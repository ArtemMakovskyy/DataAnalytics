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rtem\PycharmProjects\DataAnalytics\product\frameworks\rfm\"/>
    </mc:Choice>
  </mc:AlternateContent>
  <xr:revisionPtr revIDLastSave="0" documentId="13_ncr:1_{3AC104C0-7855-4E76-BE19-726EC230FA04}" xr6:coauthVersionLast="47" xr6:coauthVersionMax="47" xr10:uidLastSave="{00000000-0000-0000-0000-000000000000}"/>
  <bookViews>
    <workbookView xWindow="57480" yWindow="-120" windowWidth="29040" windowHeight="15720" tabRatio="418" xr2:uid="{00000000-000D-0000-FFFF-FFFF00000000}"/>
  </bookViews>
  <sheets>
    <sheet name="Transaction_DB" sheetId="3" r:id="rId1"/>
    <sheet name="RFM" sheetId="4" r:id="rId2"/>
    <sheet name="Result" sheetId="5" r:id="rId3"/>
    <sheet name="Логіка" sheetId="1" r:id="rId4"/>
    <sheet name="Sheet1" sheetId="6" r:id="rId5"/>
  </sheets>
  <definedNames>
    <definedName name="_xlnm._FilterDatabase" localSheetId="1" hidden="1">RFM!$B$9:$J$998</definedName>
    <definedName name="_xlnm._FilterDatabase" localSheetId="0" hidden="1">Transaction_DB!$A$1:$E$5001</definedName>
    <definedName name="analysis_date">RFM!$K$1</definedName>
    <definedName name="Average_Customers">RFM!$K$6</definedName>
    <definedName name="Average_Customers_name">RFM!$J$6</definedName>
    <definedName name="Best_Customers">RFM!$K$4</definedName>
    <definedName name="Best_Customers_name">RFM!$J$4</definedName>
    <definedName name="customer_id">Transaction_DB!$B$2:$B$5001</definedName>
    <definedName name="frequencyQ1">RFM!$B$5</definedName>
    <definedName name="frequencyQ2">RFM!$C$5</definedName>
    <definedName name="frequencyQ3">RFM!$D$5</definedName>
    <definedName name="included">Transaction_DB!$E$2:$E$5001</definedName>
    <definedName name="Lost_Customers_name">RFM!$J$7</definedName>
    <definedName name="Loyal_Customers">RFM!$K$5</definedName>
    <definedName name="Loyal_Customers_name">RFM!$J$5</definedName>
    <definedName name="monetaryQ1">RFM!$B$6</definedName>
    <definedName name="monetaryQ2">RFM!$C$6</definedName>
    <definedName name="monetaryQ3">RFM!$D$6</definedName>
    <definedName name="recencyQ1">RFM!$B$4</definedName>
    <definedName name="recencyQ2">RFM!$C$4</definedName>
    <definedName name="recencyQ3">RFM!$D$4</definedName>
    <definedName name="rfm_db_frequency">RFM_DB[frequency]</definedName>
    <definedName name="rfm_db_monetary">RFM_DB[monetary]</definedName>
    <definedName name="rfm_db_recency">RFM_DB[recency]</definedName>
    <definedName name="transaction_amount">Transaction_DB!$D$2:$D$5001</definedName>
    <definedName name="transaction_date">Transaction_DB!$C$2:$C$5001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" i="4" l="1"/>
  <c r="A8" i="5"/>
  <c r="A7" i="5"/>
  <c r="A6" i="5"/>
  <c r="A5" i="5"/>
  <c r="E6" i="3"/>
  <c r="A16" i="3" s="1"/>
  <c r="E15" i="3"/>
  <c r="A2" i="3"/>
  <c r="A3" i="3"/>
  <c r="A4" i="3"/>
  <c r="A5" i="3"/>
  <c r="A6" i="3"/>
  <c r="A7" i="3"/>
  <c r="A8" i="3"/>
  <c r="A9" i="3"/>
  <c r="A10" i="3"/>
  <c r="A11" i="3"/>
  <c r="A12" i="3"/>
  <c r="A13" i="3"/>
  <c r="A14" i="3"/>
  <c r="A17" i="3"/>
  <c r="A18" i="3"/>
  <c r="A19" i="3"/>
  <c r="A20" i="3"/>
  <c r="A21" i="3"/>
  <c r="A22" i="3"/>
  <c r="A23" i="3"/>
  <c r="A24" i="3"/>
  <c r="A25" i="3"/>
  <c r="A26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1808" i="3"/>
  <c r="A1809" i="3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42" i="3"/>
  <c r="A1843" i="3"/>
  <c r="A1844" i="3"/>
  <c r="A1845" i="3"/>
  <c r="A1846" i="3"/>
  <c r="A1847" i="3"/>
  <c r="A1848" i="3"/>
  <c r="A1849" i="3"/>
  <c r="A1850" i="3"/>
  <c r="A1851" i="3"/>
  <c r="A1852" i="3"/>
  <c r="A1853" i="3"/>
  <c r="A1854" i="3"/>
  <c r="A1855" i="3"/>
  <c r="A1856" i="3"/>
  <c r="A1857" i="3"/>
  <c r="A1858" i="3"/>
  <c r="A1859" i="3"/>
  <c r="A1860" i="3"/>
  <c r="A1861" i="3"/>
  <c r="A1862" i="3"/>
  <c r="A1863" i="3"/>
  <c r="A1864" i="3"/>
  <c r="A1865" i="3"/>
  <c r="A1866" i="3"/>
  <c r="A1867" i="3"/>
  <c r="A1868" i="3"/>
  <c r="A1869" i="3"/>
  <c r="A1870" i="3"/>
  <c r="A1871" i="3"/>
  <c r="A1872" i="3"/>
  <c r="A1873" i="3"/>
  <c r="A1874" i="3"/>
  <c r="A1875" i="3"/>
  <c r="A1876" i="3"/>
  <c r="A1877" i="3"/>
  <c r="A1878" i="3"/>
  <c r="A1879" i="3"/>
  <c r="A1880" i="3"/>
  <c r="A1881" i="3"/>
  <c r="A1882" i="3"/>
  <c r="A1883" i="3"/>
  <c r="A1884" i="3"/>
  <c r="A1885" i="3"/>
  <c r="A1886" i="3"/>
  <c r="A1887" i="3"/>
  <c r="A1888" i="3"/>
  <c r="A1889" i="3"/>
  <c r="A1890" i="3"/>
  <c r="A1891" i="3"/>
  <c r="A1892" i="3"/>
  <c r="A1893" i="3"/>
  <c r="A1894" i="3"/>
  <c r="A1895" i="3"/>
  <c r="A1896" i="3"/>
  <c r="A1897" i="3"/>
  <c r="A1898" i="3"/>
  <c r="A1899" i="3"/>
  <c r="A1900" i="3"/>
  <c r="A1901" i="3"/>
  <c r="A1902" i="3"/>
  <c r="A1903" i="3"/>
  <c r="A1904" i="3"/>
  <c r="A1905" i="3"/>
  <c r="A1906" i="3"/>
  <c r="A1907" i="3"/>
  <c r="A1908" i="3"/>
  <c r="A1909" i="3"/>
  <c r="A1910" i="3"/>
  <c r="A1911" i="3"/>
  <c r="A1912" i="3"/>
  <c r="A1913" i="3"/>
  <c r="A1914" i="3"/>
  <c r="A1915" i="3"/>
  <c r="A1916" i="3"/>
  <c r="A1917" i="3"/>
  <c r="A1918" i="3"/>
  <c r="A1919" i="3"/>
  <c r="A1920" i="3"/>
  <c r="A1921" i="3"/>
  <c r="A1922" i="3"/>
  <c r="A1923" i="3"/>
  <c r="A1924" i="3"/>
  <c r="A1925" i="3"/>
  <c r="A1926" i="3"/>
  <c r="A1927" i="3"/>
  <c r="A1928" i="3"/>
  <c r="A1929" i="3"/>
  <c r="A1930" i="3"/>
  <c r="A1931" i="3"/>
  <c r="A1932" i="3"/>
  <c r="A1933" i="3"/>
  <c r="A1934" i="3"/>
  <c r="A1935" i="3"/>
  <c r="A1936" i="3"/>
  <c r="A1937" i="3"/>
  <c r="A1938" i="3"/>
  <c r="A1939" i="3"/>
  <c r="A1940" i="3"/>
  <c r="A1941" i="3"/>
  <c r="A1942" i="3"/>
  <c r="A1943" i="3"/>
  <c r="A1944" i="3"/>
  <c r="A1945" i="3"/>
  <c r="A1946" i="3"/>
  <c r="A1947" i="3"/>
  <c r="A1948" i="3"/>
  <c r="A1949" i="3"/>
  <c r="A1950" i="3"/>
  <c r="A1951" i="3"/>
  <c r="A1952" i="3"/>
  <c r="A1953" i="3"/>
  <c r="A1954" i="3"/>
  <c r="A1955" i="3"/>
  <c r="A1956" i="3"/>
  <c r="A1957" i="3"/>
  <c r="A1958" i="3"/>
  <c r="A1959" i="3"/>
  <c r="A1960" i="3"/>
  <c r="A1961" i="3"/>
  <c r="A1962" i="3"/>
  <c r="A1963" i="3"/>
  <c r="A1964" i="3"/>
  <c r="A1965" i="3"/>
  <c r="A1966" i="3"/>
  <c r="A1967" i="3"/>
  <c r="A1968" i="3"/>
  <c r="A1969" i="3"/>
  <c r="A1970" i="3"/>
  <c r="A1971" i="3"/>
  <c r="A1972" i="3"/>
  <c r="A1973" i="3"/>
  <c r="A1974" i="3"/>
  <c r="A1975" i="3"/>
  <c r="A1976" i="3"/>
  <c r="A1977" i="3"/>
  <c r="A1978" i="3"/>
  <c r="A1979" i="3"/>
  <c r="A1980" i="3"/>
  <c r="A1981" i="3"/>
  <c r="A1982" i="3"/>
  <c r="A1983" i="3"/>
  <c r="A1984" i="3"/>
  <c r="A1985" i="3"/>
  <c r="A1986" i="3"/>
  <c r="A1987" i="3"/>
  <c r="A1988" i="3"/>
  <c r="A1989" i="3"/>
  <c r="A1990" i="3"/>
  <c r="A1991" i="3"/>
  <c r="A1992" i="3"/>
  <c r="A1993" i="3"/>
  <c r="A1994" i="3"/>
  <c r="A1995" i="3"/>
  <c r="A1996" i="3"/>
  <c r="A1997" i="3"/>
  <c r="A1998" i="3"/>
  <c r="A1999" i="3"/>
  <c r="A2000" i="3"/>
  <c r="A2001" i="3"/>
  <c r="A2002" i="3"/>
  <c r="A2003" i="3"/>
  <c r="A2004" i="3"/>
  <c r="A2005" i="3"/>
  <c r="A2006" i="3"/>
  <c r="A2007" i="3"/>
  <c r="A2008" i="3"/>
  <c r="A2009" i="3"/>
  <c r="A2010" i="3"/>
  <c r="A2011" i="3"/>
  <c r="A2012" i="3"/>
  <c r="A2013" i="3"/>
  <c r="A2014" i="3"/>
  <c r="A2015" i="3"/>
  <c r="A2016" i="3"/>
  <c r="A2017" i="3"/>
  <c r="A2018" i="3"/>
  <c r="A2019" i="3"/>
  <c r="A2020" i="3"/>
  <c r="A2021" i="3"/>
  <c r="A2022" i="3"/>
  <c r="A2023" i="3"/>
  <c r="A2024" i="3"/>
  <c r="A2025" i="3"/>
  <c r="A2026" i="3"/>
  <c r="A2027" i="3"/>
  <c r="A2028" i="3"/>
  <c r="A2029" i="3"/>
  <c r="A2030" i="3"/>
  <c r="A2031" i="3"/>
  <c r="A2032" i="3"/>
  <c r="A2033" i="3"/>
  <c r="A2034" i="3"/>
  <c r="A2035" i="3"/>
  <c r="A2036" i="3"/>
  <c r="A2037" i="3"/>
  <c r="A2038" i="3"/>
  <c r="A2039" i="3"/>
  <c r="A2040" i="3"/>
  <c r="A2041" i="3"/>
  <c r="A2042" i="3"/>
  <c r="A2043" i="3"/>
  <c r="A2044" i="3"/>
  <c r="A2045" i="3"/>
  <c r="A2046" i="3"/>
  <c r="A2047" i="3"/>
  <c r="A2048" i="3"/>
  <c r="A2049" i="3"/>
  <c r="A2050" i="3"/>
  <c r="A2051" i="3"/>
  <c r="A2052" i="3"/>
  <c r="A2053" i="3"/>
  <c r="A2054" i="3"/>
  <c r="A2055" i="3"/>
  <c r="A2056" i="3"/>
  <c r="A2057" i="3"/>
  <c r="A2058" i="3"/>
  <c r="A2059" i="3"/>
  <c r="A2060" i="3"/>
  <c r="A2061" i="3"/>
  <c r="A2062" i="3"/>
  <c r="A2063" i="3"/>
  <c r="A2064" i="3"/>
  <c r="A2065" i="3"/>
  <c r="A2066" i="3"/>
  <c r="A2067" i="3"/>
  <c r="A2068" i="3"/>
  <c r="A2069" i="3"/>
  <c r="A2070" i="3"/>
  <c r="A2071" i="3"/>
  <c r="A2072" i="3"/>
  <c r="A2073" i="3"/>
  <c r="A2074" i="3"/>
  <c r="A2075" i="3"/>
  <c r="A2076" i="3"/>
  <c r="A2077" i="3"/>
  <c r="A2078" i="3"/>
  <c r="A2079" i="3"/>
  <c r="A2080" i="3"/>
  <c r="A2081" i="3"/>
  <c r="A2082" i="3"/>
  <c r="A2083" i="3"/>
  <c r="A2084" i="3"/>
  <c r="A2085" i="3"/>
  <c r="A2086" i="3"/>
  <c r="A2087" i="3"/>
  <c r="A2088" i="3"/>
  <c r="A2089" i="3"/>
  <c r="A2090" i="3"/>
  <c r="A2091" i="3"/>
  <c r="A2092" i="3"/>
  <c r="A2093" i="3"/>
  <c r="A2094" i="3"/>
  <c r="A2095" i="3"/>
  <c r="A2096" i="3"/>
  <c r="A2097" i="3"/>
  <c r="A2098" i="3"/>
  <c r="A2099" i="3"/>
  <c r="A2100" i="3"/>
  <c r="A2101" i="3"/>
  <c r="A2102" i="3"/>
  <c r="A2103" i="3"/>
  <c r="A2104" i="3"/>
  <c r="A2105" i="3"/>
  <c r="A2106" i="3"/>
  <c r="A2107" i="3"/>
  <c r="A2108" i="3"/>
  <c r="A2109" i="3"/>
  <c r="A2110" i="3"/>
  <c r="A2111" i="3"/>
  <c r="A2112" i="3"/>
  <c r="A2113" i="3"/>
  <c r="A2114" i="3"/>
  <c r="A2115" i="3"/>
  <c r="A2116" i="3"/>
  <c r="A2117" i="3"/>
  <c r="A2118" i="3"/>
  <c r="A2119" i="3"/>
  <c r="A2120" i="3"/>
  <c r="A2121" i="3"/>
  <c r="A2122" i="3"/>
  <c r="A2123" i="3"/>
  <c r="A2124" i="3"/>
  <c r="A2125" i="3"/>
  <c r="A2126" i="3"/>
  <c r="A2127" i="3"/>
  <c r="A2128" i="3"/>
  <c r="A2129" i="3"/>
  <c r="A2130" i="3"/>
  <c r="A2131" i="3"/>
  <c r="A2132" i="3"/>
  <c r="A2133" i="3"/>
  <c r="A2134" i="3"/>
  <c r="A2135" i="3"/>
  <c r="A2136" i="3"/>
  <c r="A2137" i="3"/>
  <c r="A2138" i="3"/>
  <c r="A2139" i="3"/>
  <c r="A2140" i="3"/>
  <c r="A2141" i="3"/>
  <c r="A2142" i="3"/>
  <c r="A2143" i="3"/>
  <c r="A2144" i="3"/>
  <c r="A2145" i="3"/>
  <c r="A2146" i="3"/>
  <c r="A2147" i="3"/>
  <c r="A2148" i="3"/>
  <c r="A2149" i="3"/>
  <c r="A2150" i="3"/>
  <c r="A2151" i="3"/>
  <c r="A2152" i="3"/>
  <c r="A2153" i="3"/>
  <c r="A2154" i="3"/>
  <c r="A2155" i="3"/>
  <c r="A2156" i="3"/>
  <c r="A2157" i="3"/>
  <c r="A2158" i="3"/>
  <c r="A2159" i="3"/>
  <c r="A2160" i="3"/>
  <c r="A2161" i="3"/>
  <c r="A2162" i="3"/>
  <c r="A2163" i="3"/>
  <c r="A2164" i="3"/>
  <c r="A2165" i="3"/>
  <c r="A2166" i="3"/>
  <c r="A2167" i="3"/>
  <c r="A2168" i="3"/>
  <c r="A2169" i="3"/>
  <c r="A2170" i="3"/>
  <c r="A2171" i="3"/>
  <c r="A2172" i="3"/>
  <c r="A2173" i="3"/>
  <c r="A2174" i="3"/>
  <c r="A2175" i="3"/>
  <c r="A2176" i="3"/>
  <c r="A2177" i="3"/>
  <c r="A2178" i="3"/>
  <c r="A2179" i="3"/>
  <c r="A2180" i="3"/>
  <c r="A2181" i="3"/>
  <c r="A2182" i="3"/>
  <c r="A2183" i="3"/>
  <c r="A2184" i="3"/>
  <c r="A2185" i="3"/>
  <c r="A2186" i="3"/>
  <c r="A2187" i="3"/>
  <c r="A2188" i="3"/>
  <c r="A2189" i="3"/>
  <c r="A2190" i="3"/>
  <c r="A2191" i="3"/>
  <c r="A2192" i="3"/>
  <c r="A2193" i="3"/>
  <c r="A2194" i="3"/>
  <c r="A2195" i="3"/>
  <c r="A2196" i="3"/>
  <c r="A2197" i="3"/>
  <c r="A2198" i="3"/>
  <c r="A2199" i="3"/>
  <c r="A2200" i="3"/>
  <c r="A2201" i="3"/>
  <c r="A2202" i="3"/>
  <c r="A2203" i="3"/>
  <c r="A2204" i="3"/>
  <c r="A2205" i="3"/>
  <c r="A2206" i="3"/>
  <c r="A2207" i="3"/>
  <c r="A2208" i="3"/>
  <c r="A2209" i="3"/>
  <c r="A2210" i="3"/>
  <c r="A2211" i="3"/>
  <c r="A2212" i="3"/>
  <c r="A2213" i="3"/>
  <c r="A2214" i="3"/>
  <c r="A2215" i="3"/>
  <c r="A2216" i="3"/>
  <c r="A2217" i="3"/>
  <c r="A2218" i="3"/>
  <c r="A2219" i="3"/>
  <c r="A2220" i="3"/>
  <c r="A2221" i="3"/>
  <c r="A2222" i="3"/>
  <c r="A2223" i="3"/>
  <c r="A2224" i="3"/>
  <c r="A2225" i="3"/>
  <c r="A2226" i="3"/>
  <c r="A2227" i="3"/>
  <c r="A2228" i="3"/>
  <c r="A2229" i="3"/>
  <c r="A2230" i="3"/>
  <c r="A2231" i="3"/>
  <c r="A2232" i="3"/>
  <c r="A2233" i="3"/>
  <c r="A2234" i="3"/>
  <c r="A2235" i="3"/>
  <c r="A2236" i="3"/>
  <c r="A2237" i="3"/>
  <c r="A2238" i="3"/>
  <c r="A2239" i="3"/>
  <c r="A2240" i="3"/>
  <c r="A2241" i="3"/>
  <c r="A2242" i="3"/>
  <c r="A2243" i="3"/>
  <c r="A2244" i="3"/>
  <c r="A2245" i="3"/>
  <c r="A2246" i="3"/>
  <c r="A2247" i="3"/>
  <c r="A2248" i="3"/>
  <c r="A2249" i="3"/>
  <c r="A2250" i="3"/>
  <c r="A2251" i="3"/>
  <c r="A2252" i="3"/>
  <c r="A2253" i="3"/>
  <c r="A2254" i="3"/>
  <c r="A2255" i="3"/>
  <c r="A2256" i="3"/>
  <c r="A2257" i="3"/>
  <c r="A2258" i="3"/>
  <c r="A2259" i="3"/>
  <c r="A2260" i="3"/>
  <c r="A2261" i="3"/>
  <c r="A2262" i="3"/>
  <c r="A2263" i="3"/>
  <c r="A2264" i="3"/>
  <c r="A2265" i="3"/>
  <c r="A2266" i="3"/>
  <c r="A2267" i="3"/>
  <c r="A2268" i="3"/>
  <c r="A2269" i="3"/>
  <c r="A2270" i="3"/>
  <c r="A2271" i="3"/>
  <c r="A2272" i="3"/>
  <c r="A2273" i="3"/>
  <c r="A2274" i="3"/>
  <c r="A2275" i="3"/>
  <c r="A2276" i="3"/>
  <c r="A2277" i="3"/>
  <c r="A2278" i="3"/>
  <c r="A2279" i="3"/>
  <c r="A2280" i="3"/>
  <c r="A2281" i="3"/>
  <c r="A2282" i="3"/>
  <c r="A2283" i="3"/>
  <c r="A2284" i="3"/>
  <c r="A2285" i="3"/>
  <c r="A2286" i="3"/>
  <c r="A2287" i="3"/>
  <c r="A2288" i="3"/>
  <c r="A2289" i="3"/>
  <c r="A2290" i="3"/>
  <c r="A2291" i="3"/>
  <c r="A2292" i="3"/>
  <c r="A2293" i="3"/>
  <c r="A2294" i="3"/>
  <c r="A2295" i="3"/>
  <c r="A2296" i="3"/>
  <c r="A2297" i="3"/>
  <c r="A2298" i="3"/>
  <c r="A2299" i="3"/>
  <c r="A2300" i="3"/>
  <c r="A2301" i="3"/>
  <c r="A2302" i="3"/>
  <c r="A2303" i="3"/>
  <c r="A2304" i="3"/>
  <c r="A2305" i="3"/>
  <c r="A2306" i="3"/>
  <c r="A2307" i="3"/>
  <c r="A2308" i="3"/>
  <c r="A2309" i="3"/>
  <c r="A2310" i="3"/>
  <c r="A2311" i="3"/>
  <c r="A2312" i="3"/>
  <c r="A2313" i="3"/>
  <c r="A2314" i="3"/>
  <c r="A2315" i="3"/>
  <c r="A2316" i="3"/>
  <c r="A2317" i="3"/>
  <c r="A2318" i="3"/>
  <c r="A2319" i="3"/>
  <c r="A2320" i="3"/>
  <c r="A2321" i="3"/>
  <c r="A2322" i="3"/>
  <c r="A2323" i="3"/>
  <c r="A2324" i="3"/>
  <c r="A2325" i="3"/>
  <c r="A2326" i="3"/>
  <c r="A2327" i="3"/>
  <c r="A2328" i="3"/>
  <c r="A2329" i="3"/>
  <c r="A2330" i="3"/>
  <c r="A2331" i="3"/>
  <c r="A2332" i="3"/>
  <c r="A2333" i="3"/>
  <c r="A2334" i="3"/>
  <c r="A2335" i="3"/>
  <c r="A2336" i="3"/>
  <c r="A2337" i="3"/>
  <c r="A2338" i="3"/>
  <c r="A2339" i="3"/>
  <c r="A2340" i="3"/>
  <c r="A2341" i="3"/>
  <c r="A2342" i="3"/>
  <c r="A2343" i="3"/>
  <c r="A2344" i="3"/>
  <c r="A2345" i="3"/>
  <c r="A2346" i="3"/>
  <c r="A2347" i="3"/>
  <c r="A2348" i="3"/>
  <c r="A2349" i="3"/>
  <c r="A2350" i="3"/>
  <c r="A2351" i="3"/>
  <c r="A2352" i="3"/>
  <c r="A2353" i="3"/>
  <c r="A2354" i="3"/>
  <c r="A2355" i="3"/>
  <c r="A2356" i="3"/>
  <c r="A2357" i="3"/>
  <c r="A2358" i="3"/>
  <c r="A2359" i="3"/>
  <c r="A2360" i="3"/>
  <c r="A2361" i="3"/>
  <c r="A2362" i="3"/>
  <c r="A2363" i="3"/>
  <c r="A2364" i="3"/>
  <c r="A2365" i="3"/>
  <c r="A2366" i="3"/>
  <c r="A2367" i="3"/>
  <c r="A2368" i="3"/>
  <c r="A2369" i="3"/>
  <c r="A2370" i="3"/>
  <c r="A2371" i="3"/>
  <c r="A2372" i="3"/>
  <c r="A2373" i="3"/>
  <c r="A2374" i="3"/>
  <c r="A2375" i="3"/>
  <c r="A2376" i="3"/>
  <c r="A2377" i="3"/>
  <c r="A2378" i="3"/>
  <c r="A2379" i="3"/>
  <c r="A2380" i="3"/>
  <c r="A2381" i="3"/>
  <c r="A2382" i="3"/>
  <c r="A2383" i="3"/>
  <c r="A2384" i="3"/>
  <c r="A2385" i="3"/>
  <c r="A2386" i="3"/>
  <c r="A2387" i="3"/>
  <c r="A2388" i="3"/>
  <c r="A2389" i="3"/>
  <c r="A2390" i="3"/>
  <c r="A2391" i="3"/>
  <c r="A2392" i="3"/>
  <c r="A2393" i="3"/>
  <c r="A2394" i="3"/>
  <c r="A2395" i="3"/>
  <c r="A2396" i="3"/>
  <c r="A2397" i="3"/>
  <c r="A2398" i="3"/>
  <c r="A2399" i="3"/>
  <c r="A2400" i="3"/>
  <c r="A2401" i="3"/>
  <c r="A2402" i="3"/>
  <c r="A2403" i="3"/>
  <c r="A2404" i="3"/>
  <c r="A2405" i="3"/>
  <c r="A2406" i="3"/>
  <c r="A2407" i="3"/>
  <c r="A2408" i="3"/>
  <c r="A2409" i="3"/>
  <c r="A2410" i="3"/>
  <c r="A2411" i="3"/>
  <c r="A2412" i="3"/>
  <c r="A2413" i="3"/>
  <c r="A2414" i="3"/>
  <c r="A2415" i="3"/>
  <c r="A2416" i="3"/>
  <c r="A2417" i="3"/>
  <c r="A2418" i="3"/>
  <c r="A2419" i="3"/>
  <c r="A2420" i="3"/>
  <c r="A2421" i="3"/>
  <c r="A2422" i="3"/>
  <c r="A2423" i="3"/>
  <c r="A2424" i="3"/>
  <c r="A2425" i="3"/>
  <c r="A2426" i="3"/>
  <c r="A2427" i="3"/>
  <c r="A2428" i="3"/>
  <c r="A2429" i="3"/>
  <c r="A2430" i="3"/>
  <c r="A2431" i="3"/>
  <c r="A2432" i="3"/>
  <c r="A2433" i="3"/>
  <c r="A2434" i="3"/>
  <c r="A2435" i="3"/>
  <c r="A2436" i="3"/>
  <c r="A2437" i="3"/>
  <c r="A2438" i="3"/>
  <c r="A2439" i="3"/>
  <c r="A2440" i="3"/>
  <c r="A2441" i="3"/>
  <c r="A2442" i="3"/>
  <c r="A2443" i="3"/>
  <c r="A2444" i="3"/>
  <c r="A2445" i="3"/>
  <c r="A2446" i="3"/>
  <c r="A2447" i="3"/>
  <c r="A2448" i="3"/>
  <c r="A2449" i="3"/>
  <c r="A2450" i="3"/>
  <c r="A2451" i="3"/>
  <c r="A2452" i="3"/>
  <c r="A2453" i="3"/>
  <c r="A2454" i="3"/>
  <c r="A2455" i="3"/>
  <c r="A2456" i="3"/>
  <c r="A2457" i="3"/>
  <c r="A2458" i="3"/>
  <c r="A2459" i="3"/>
  <c r="A2460" i="3"/>
  <c r="A2461" i="3"/>
  <c r="A2462" i="3"/>
  <c r="A2463" i="3"/>
  <c r="A2464" i="3"/>
  <c r="A2465" i="3"/>
  <c r="A2466" i="3"/>
  <c r="A2467" i="3"/>
  <c r="A2468" i="3"/>
  <c r="A2469" i="3"/>
  <c r="A2470" i="3"/>
  <c r="A2471" i="3"/>
  <c r="A2472" i="3"/>
  <c r="A2473" i="3"/>
  <c r="A2474" i="3"/>
  <c r="A2475" i="3"/>
  <c r="A2476" i="3"/>
  <c r="A2477" i="3"/>
  <c r="A2478" i="3"/>
  <c r="A2479" i="3"/>
  <c r="A2480" i="3"/>
  <c r="A2481" i="3"/>
  <c r="A2482" i="3"/>
  <c r="A2483" i="3"/>
  <c r="A2484" i="3"/>
  <c r="A2485" i="3"/>
  <c r="A2486" i="3"/>
  <c r="A2487" i="3"/>
  <c r="A2488" i="3"/>
  <c r="A2489" i="3"/>
  <c r="A2490" i="3"/>
  <c r="A2491" i="3"/>
  <c r="A2492" i="3"/>
  <c r="A2493" i="3"/>
  <c r="A2494" i="3"/>
  <c r="A2495" i="3"/>
  <c r="A2496" i="3"/>
  <c r="A2497" i="3"/>
  <c r="A2498" i="3"/>
  <c r="A2499" i="3"/>
  <c r="A2500" i="3"/>
  <c r="A2501" i="3"/>
  <c r="A2502" i="3"/>
  <c r="A2503" i="3"/>
  <c r="A2504" i="3"/>
  <c r="A2505" i="3"/>
  <c r="A2506" i="3"/>
  <c r="A2507" i="3"/>
  <c r="A2508" i="3"/>
  <c r="A2509" i="3"/>
  <c r="A2510" i="3"/>
  <c r="A2511" i="3"/>
  <c r="A2512" i="3"/>
  <c r="A2513" i="3"/>
  <c r="A2514" i="3"/>
  <c r="A2515" i="3"/>
  <c r="A2516" i="3"/>
  <c r="A2517" i="3"/>
  <c r="A2518" i="3"/>
  <c r="A2519" i="3"/>
  <c r="A2520" i="3"/>
  <c r="A2521" i="3"/>
  <c r="A2522" i="3"/>
  <c r="A2523" i="3"/>
  <c r="A2524" i="3"/>
  <c r="A2525" i="3"/>
  <c r="A2526" i="3"/>
  <c r="A2527" i="3"/>
  <c r="A2528" i="3"/>
  <c r="A2529" i="3"/>
  <c r="A2530" i="3"/>
  <c r="A2531" i="3"/>
  <c r="A2532" i="3"/>
  <c r="A2533" i="3"/>
  <c r="A2534" i="3"/>
  <c r="A2535" i="3"/>
  <c r="A2536" i="3"/>
  <c r="A2537" i="3"/>
  <c r="A2538" i="3"/>
  <c r="A2539" i="3"/>
  <c r="A2540" i="3"/>
  <c r="A2541" i="3"/>
  <c r="A2542" i="3"/>
  <c r="A2543" i="3"/>
  <c r="A2544" i="3"/>
  <c r="A2545" i="3"/>
  <c r="A2546" i="3"/>
  <c r="A2547" i="3"/>
  <c r="A2548" i="3"/>
  <c r="A2549" i="3"/>
  <c r="A2550" i="3"/>
  <c r="A2551" i="3"/>
  <c r="A2552" i="3"/>
  <c r="A2553" i="3"/>
  <c r="A2554" i="3"/>
  <c r="A2555" i="3"/>
  <c r="A2556" i="3"/>
  <c r="A2557" i="3"/>
  <c r="A2558" i="3"/>
  <c r="A2559" i="3"/>
  <c r="A2560" i="3"/>
  <c r="A2561" i="3"/>
  <c r="A2562" i="3"/>
  <c r="A2563" i="3"/>
  <c r="A2564" i="3"/>
  <c r="A2565" i="3"/>
  <c r="A2566" i="3"/>
  <c r="A2567" i="3"/>
  <c r="A2568" i="3"/>
  <c r="A2569" i="3"/>
  <c r="A2570" i="3"/>
  <c r="A2571" i="3"/>
  <c r="A2572" i="3"/>
  <c r="A2573" i="3"/>
  <c r="A2574" i="3"/>
  <c r="A2575" i="3"/>
  <c r="A2576" i="3"/>
  <c r="A2577" i="3"/>
  <c r="A2578" i="3"/>
  <c r="A2579" i="3"/>
  <c r="A2580" i="3"/>
  <c r="A2581" i="3"/>
  <c r="A2582" i="3"/>
  <c r="A2583" i="3"/>
  <c r="A2584" i="3"/>
  <c r="A2585" i="3"/>
  <c r="A2586" i="3"/>
  <c r="A2587" i="3"/>
  <c r="A2588" i="3"/>
  <c r="A2589" i="3"/>
  <c r="A2590" i="3"/>
  <c r="A2591" i="3"/>
  <c r="A2592" i="3"/>
  <c r="A2593" i="3"/>
  <c r="A2594" i="3"/>
  <c r="A2595" i="3"/>
  <c r="A2596" i="3"/>
  <c r="A2597" i="3"/>
  <c r="A2598" i="3"/>
  <c r="A2599" i="3"/>
  <c r="A2600" i="3"/>
  <c r="A2601" i="3"/>
  <c r="A2602" i="3"/>
  <c r="A2603" i="3"/>
  <c r="A2604" i="3"/>
  <c r="A2605" i="3"/>
  <c r="A2606" i="3"/>
  <c r="A2607" i="3"/>
  <c r="A2608" i="3"/>
  <c r="A2609" i="3"/>
  <c r="A2610" i="3"/>
  <c r="A2611" i="3"/>
  <c r="A2612" i="3"/>
  <c r="A2613" i="3"/>
  <c r="A2614" i="3"/>
  <c r="A2615" i="3"/>
  <c r="A2616" i="3"/>
  <c r="A2617" i="3"/>
  <c r="A2618" i="3"/>
  <c r="A2619" i="3"/>
  <c r="A2620" i="3"/>
  <c r="A2621" i="3"/>
  <c r="A2622" i="3"/>
  <c r="A2623" i="3"/>
  <c r="A2624" i="3"/>
  <c r="A2625" i="3"/>
  <c r="A2626" i="3"/>
  <c r="A2627" i="3"/>
  <c r="A2628" i="3"/>
  <c r="A2629" i="3"/>
  <c r="A2630" i="3"/>
  <c r="A2631" i="3"/>
  <c r="A2632" i="3"/>
  <c r="A2633" i="3"/>
  <c r="A2634" i="3"/>
  <c r="A2635" i="3"/>
  <c r="A2636" i="3"/>
  <c r="A2637" i="3"/>
  <c r="A2638" i="3"/>
  <c r="A2639" i="3"/>
  <c r="A2640" i="3"/>
  <c r="A2641" i="3"/>
  <c r="A2642" i="3"/>
  <c r="A2643" i="3"/>
  <c r="A2644" i="3"/>
  <c r="A2645" i="3"/>
  <c r="A2646" i="3"/>
  <c r="A2647" i="3"/>
  <c r="A2648" i="3"/>
  <c r="A2649" i="3"/>
  <c r="A2650" i="3"/>
  <c r="A2651" i="3"/>
  <c r="A2652" i="3"/>
  <c r="A2653" i="3"/>
  <c r="A2654" i="3"/>
  <c r="A2655" i="3"/>
  <c r="A2656" i="3"/>
  <c r="A2657" i="3"/>
  <c r="A2658" i="3"/>
  <c r="A2659" i="3"/>
  <c r="A2660" i="3"/>
  <c r="A2661" i="3"/>
  <c r="A2662" i="3"/>
  <c r="A2663" i="3"/>
  <c r="A2664" i="3"/>
  <c r="A2665" i="3"/>
  <c r="A2666" i="3"/>
  <c r="A2667" i="3"/>
  <c r="A2668" i="3"/>
  <c r="A2669" i="3"/>
  <c r="A2670" i="3"/>
  <c r="A2671" i="3"/>
  <c r="A2672" i="3"/>
  <c r="A2673" i="3"/>
  <c r="A2674" i="3"/>
  <c r="A2675" i="3"/>
  <c r="A2676" i="3"/>
  <c r="A2677" i="3"/>
  <c r="A2678" i="3"/>
  <c r="A2679" i="3"/>
  <c r="A2680" i="3"/>
  <c r="A2681" i="3"/>
  <c r="A2682" i="3"/>
  <c r="A2683" i="3"/>
  <c r="A2684" i="3"/>
  <c r="A2685" i="3"/>
  <c r="A2686" i="3"/>
  <c r="A2687" i="3"/>
  <c r="A2688" i="3"/>
  <c r="A2689" i="3"/>
  <c r="A2690" i="3"/>
  <c r="A2691" i="3"/>
  <c r="A2692" i="3"/>
  <c r="A2693" i="3"/>
  <c r="A2694" i="3"/>
  <c r="A2695" i="3"/>
  <c r="A2696" i="3"/>
  <c r="A2697" i="3"/>
  <c r="A2698" i="3"/>
  <c r="A2699" i="3"/>
  <c r="A2700" i="3"/>
  <c r="A2701" i="3"/>
  <c r="A2702" i="3"/>
  <c r="A2703" i="3"/>
  <c r="A2704" i="3"/>
  <c r="A2705" i="3"/>
  <c r="A2706" i="3"/>
  <c r="A2707" i="3"/>
  <c r="A2708" i="3"/>
  <c r="A2709" i="3"/>
  <c r="A2710" i="3"/>
  <c r="A2711" i="3"/>
  <c r="A2712" i="3"/>
  <c r="A2713" i="3"/>
  <c r="A2714" i="3"/>
  <c r="A2715" i="3"/>
  <c r="A2716" i="3"/>
  <c r="A2717" i="3"/>
  <c r="A2718" i="3"/>
  <c r="A2719" i="3"/>
  <c r="A2720" i="3"/>
  <c r="A2721" i="3"/>
  <c r="A2722" i="3"/>
  <c r="A2723" i="3"/>
  <c r="A2724" i="3"/>
  <c r="A2725" i="3"/>
  <c r="A2726" i="3"/>
  <c r="A2727" i="3"/>
  <c r="A2728" i="3"/>
  <c r="A2729" i="3"/>
  <c r="A2730" i="3"/>
  <c r="A2731" i="3"/>
  <c r="A2732" i="3"/>
  <c r="A2733" i="3"/>
  <c r="A2734" i="3"/>
  <c r="A2735" i="3"/>
  <c r="A2736" i="3"/>
  <c r="A2737" i="3"/>
  <c r="A2738" i="3"/>
  <c r="A2739" i="3"/>
  <c r="A2740" i="3"/>
  <c r="A2741" i="3"/>
  <c r="A2742" i="3"/>
  <c r="A2743" i="3"/>
  <c r="A2744" i="3"/>
  <c r="A2745" i="3"/>
  <c r="A2746" i="3"/>
  <c r="A2747" i="3"/>
  <c r="A2748" i="3"/>
  <c r="A2749" i="3"/>
  <c r="A2750" i="3"/>
  <c r="A2751" i="3"/>
  <c r="A2752" i="3"/>
  <c r="A2753" i="3"/>
  <c r="A2754" i="3"/>
  <c r="A2755" i="3"/>
  <c r="A2756" i="3"/>
  <c r="A2757" i="3"/>
  <c r="A2758" i="3"/>
  <c r="A2759" i="3"/>
  <c r="A2760" i="3"/>
  <c r="A2761" i="3"/>
  <c r="A2762" i="3"/>
  <c r="A2763" i="3"/>
  <c r="A2764" i="3"/>
  <c r="A2765" i="3"/>
  <c r="A2766" i="3"/>
  <c r="A2767" i="3"/>
  <c r="A2768" i="3"/>
  <c r="A2769" i="3"/>
  <c r="A2770" i="3"/>
  <c r="A2771" i="3"/>
  <c r="A2772" i="3"/>
  <c r="A2773" i="3"/>
  <c r="A2774" i="3"/>
  <c r="A2775" i="3"/>
  <c r="A2776" i="3"/>
  <c r="A2777" i="3"/>
  <c r="A2778" i="3"/>
  <c r="A2779" i="3"/>
  <c r="A2780" i="3"/>
  <c r="A2781" i="3"/>
  <c r="A2782" i="3"/>
  <c r="A2783" i="3"/>
  <c r="A2784" i="3"/>
  <c r="A2785" i="3"/>
  <c r="A2786" i="3"/>
  <c r="A2787" i="3"/>
  <c r="A2788" i="3"/>
  <c r="A2789" i="3"/>
  <c r="A2790" i="3"/>
  <c r="A2791" i="3"/>
  <c r="A2792" i="3"/>
  <c r="A2793" i="3"/>
  <c r="A2794" i="3"/>
  <c r="A2795" i="3"/>
  <c r="A2796" i="3"/>
  <c r="A2797" i="3"/>
  <c r="A2798" i="3"/>
  <c r="A2799" i="3"/>
  <c r="A2800" i="3"/>
  <c r="A2801" i="3"/>
  <c r="A2802" i="3"/>
  <c r="A2803" i="3"/>
  <c r="A2804" i="3"/>
  <c r="A2805" i="3"/>
  <c r="A2806" i="3"/>
  <c r="A2807" i="3"/>
  <c r="A2808" i="3"/>
  <c r="A2809" i="3"/>
  <c r="A2810" i="3"/>
  <c r="A2811" i="3"/>
  <c r="A2812" i="3"/>
  <c r="A2813" i="3"/>
  <c r="A2814" i="3"/>
  <c r="A2815" i="3"/>
  <c r="A2816" i="3"/>
  <c r="A2817" i="3"/>
  <c r="A2818" i="3"/>
  <c r="A2819" i="3"/>
  <c r="A2820" i="3"/>
  <c r="A2821" i="3"/>
  <c r="A2822" i="3"/>
  <c r="A2823" i="3"/>
  <c r="A2824" i="3"/>
  <c r="A2825" i="3"/>
  <c r="A2826" i="3"/>
  <c r="A2827" i="3"/>
  <c r="A2828" i="3"/>
  <c r="A2829" i="3"/>
  <c r="A2830" i="3"/>
  <c r="A2831" i="3"/>
  <c r="A2832" i="3"/>
  <c r="A2833" i="3"/>
  <c r="A2834" i="3"/>
  <c r="A2835" i="3"/>
  <c r="A2836" i="3"/>
  <c r="A2837" i="3"/>
  <c r="A2838" i="3"/>
  <c r="A2839" i="3"/>
  <c r="A2840" i="3"/>
  <c r="A2841" i="3"/>
  <c r="A2842" i="3"/>
  <c r="A2843" i="3"/>
  <c r="A2844" i="3"/>
  <c r="A2845" i="3"/>
  <c r="A2846" i="3"/>
  <c r="A2847" i="3"/>
  <c r="A2848" i="3"/>
  <c r="A2849" i="3"/>
  <c r="A2850" i="3"/>
  <c r="A2851" i="3"/>
  <c r="A2852" i="3"/>
  <c r="A2853" i="3"/>
  <c r="A2854" i="3"/>
  <c r="A2855" i="3"/>
  <c r="A2856" i="3"/>
  <c r="A2857" i="3"/>
  <c r="A2858" i="3"/>
  <c r="A2859" i="3"/>
  <c r="A2860" i="3"/>
  <c r="A2861" i="3"/>
  <c r="A2862" i="3"/>
  <c r="A2863" i="3"/>
  <c r="A2864" i="3"/>
  <c r="A2865" i="3"/>
  <c r="A2866" i="3"/>
  <c r="A2867" i="3"/>
  <c r="A2868" i="3"/>
  <c r="A2869" i="3"/>
  <c r="A2870" i="3"/>
  <c r="A2871" i="3"/>
  <c r="A2872" i="3"/>
  <c r="A2873" i="3"/>
  <c r="A2874" i="3"/>
  <c r="A2875" i="3"/>
  <c r="A2876" i="3"/>
  <c r="A2877" i="3"/>
  <c r="A2878" i="3"/>
  <c r="A2879" i="3"/>
  <c r="A2880" i="3"/>
  <c r="A2881" i="3"/>
  <c r="A2882" i="3"/>
  <c r="A2883" i="3"/>
  <c r="A2884" i="3"/>
  <c r="A2885" i="3"/>
  <c r="A2886" i="3"/>
  <c r="A2887" i="3"/>
  <c r="A2888" i="3"/>
  <c r="A2889" i="3"/>
  <c r="A2890" i="3"/>
  <c r="A2891" i="3"/>
  <c r="A2892" i="3"/>
  <c r="A2893" i="3"/>
  <c r="A2894" i="3"/>
  <c r="A2895" i="3"/>
  <c r="A2896" i="3"/>
  <c r="A2897" i="3"/>
  <c r="A2898" i="3"/>
  <c r="A2899" i="3"/>
  <c r="A2900" i="3"/>
  <c r="A2901" i="3"/>
  <c r="A2902" i="3"/>
  <c r="A2903" i="3"/>
  <c r="A2904" i="3"/>
  <c r="A2905" i="3"/>
  <c r="A2906" i="3"/>
  <c r="A2907" i="3"/>
  <c r="A2908" i="3"/>
  <c r="A2909" i="3"/>
  <c r="A2910" i="3"/>
  <c r="A2911" i="3"/>
  <c r="A2912" i="3"/>
  <c r="A2913" i="3"/>
  <c r="A2914" i="3"/>
  <c r="A2915" i="3"/>
  <c r="A2916" i="3"/>
  <c r="A2917" i="3"/>
  <c r="A2918" i="3"/>
  <c r="A2919" i="3"/>
  <c r="A2920" i="3"/>
  <c r="A2921" i="3"/>
  <c r="A2922" i="3"/>
  <c r="A2923" i="3"/>
  <c r="A2924" i="3"/>
  <c r="A2925" i="3"/>
  <c r="A2926" i="3"/>
  <c r="A2927" i="3"/>
  <c r="A2928" i="3"/>
  <c r="A2929" i="3"/>
  <c r="A2930" i="3"/>
  <c r="A2931" i="3"/>
  <c r="A2932" i="3"/>
  <c r="A2933" i="3"/>
  <c r="A2934" i="3"/>
  <c r="A2935" i="3"/>
  <c r="A2936" i="3"/>
  <c r="A2937" i="3"/>
  <c r="A2938" i="3"/>
  <c r="A2939" i="3"/>
  <c r="A2940" i="3"/>
  <c r="A2941" i="3"/>
  <c r="A2942" i="3"/>
  <c r="A2943" i="3"/>
  <c r="A2944" i="3"/>
  <c r="A2945" i="3"/>
  <c r="A2946" i="3"/>
  <c r="A2947" i="3"/>
  <c r="A2948" i="3"/>
  <c r="A2949" i="3"/>
  <c r="A2950" i="3"/>
  <c r="A2951" i="3"/>
  <c r="A2952" i="3"/>
  <c r="A2953" i="3"/>
  <c r="A2954" i="3"/>
  <c r="A2955" i="3"/>
  <c r="A2956" i="3"/>
  <c r="A2957" i="3"/>
  <c r="A2958" i="3"/>
  <c r="A2959" i="3"/>
  <c r="A2960" i="3"/>
  <c r="A2961" i="3"/>
  <c r="A2962" i="3"/>
  <c r="A2963" i="3"/>
  <c r="A2964" i="3"/>
  <c r="A2965" i="3"/>
  <c r="A2966" i="3"/>
  <c r="A2967" i="3"/>
  <c r="A2968" i="3"/>
  <c r="A2969" i="3"/>
  <c r="A2970" i="3"/>
  <c r="A2971" i="3"/>
  <c r="A2972" i="3"/>
  <c r="A2973" i="3"/>
  <c r="A2974" i="3"/>
  <c r="A2975" i="3"/>
  <c r="A2976" i="3"/>
  <c r="A2977" i="3"/>
  <c r="A2978" i="3"/>
  <c r="A2979" i="3"/>
  <c r="A2980" i="3"/>
  <c r="A2981" i="3"/>
  <c r="A2982" i="3"/>
  <c r="A2983" i="3"/>
  <c r="A2984" i="3"/>
  <c r="A2985" i="3"/>
  <c r="A2986" i="3"/>
  <c r="A2987" i="3"/>
  <c r="A2988" i="3"/>
  <c r="A2989" i="3"/>
  <c r="A2990" i="3"/>
  <c r="A2991" i="3"/>
  <c r="A2992" i="3"/>
  <c r="A2993" i="3"/>
  <c r="A2994" i="3"/>
  <c r="A2995" i="3"/>
  <c r="A2996" i="3"/>
  <c r="A2997" i="3"/>
  <c r="A2998" i="3"/>
  <c r="A2999" i="3"/>
  <c r="A3000" i="3"/>
  <c r="A3001" i="3"/>
  <c r="A3002" i="3"/>
  <c r="A3003" i="3"/>
  <c r="A3004" i="3"/>
  <c r="A3005" i="3"/>
  <c r="A3006" i="3"/>
  <c r="A3007" i="3"/>
  <c r="A3008" i="3"/>
  <c r="A3009" i="3"/>
  <c r="A3010" i="3"/>
  <c r="A3011" i="3"/>
  <c r="A3012" i="3"/>
  <c r="A3013" i="3"/>
  <c r="A3014" i="3"/>
  <c r="A3015" i="3"/>
  <c r="A3016" i="3"/>
  <c r="A3017" i="3"/>
  <c r="A3018" i="3"/>
  <c r="A3019" i="3"/>
  <c r="A3020" i="3"/>
  <c r="A3021" i="3"/>
  <c r="A3022" i="3"/>
  <c r="A3023" i="3"/>
  <c r="A3024" i="3"/>
  <c r="A3025" i="3"/>
  <c r="A3026" i="3"/>
  <c r="A3027" i="3"/>
  <c r="A3028" i="3"/>
  <c r="A3029" i="3"/>
  <c r="A3030" i="3"/>
  <c r="A3031" i="3"/>
  <c r="A3032" i="3"/>
  <c r="A3033" i="3"/>
  <c r="A3034" i="3"/>
  <c r="A3035" i="3"/>
  <c r="A3036" i="3"/>
  <c r="A3037" i="3"/>
  <c r="A3038" i="3"/>
  <c r="A3039" i="3"/>
  <c r="A3040" i="3"/>
  <c r="A3041" i="3"/>
  <c r="A3042" i="3"/>
  <c r="A3043" i="3"/>
  <c r="A3044" i="3"/>
  <c r="A3045" i="3"/>
  <c r="A3046" i="3"/>
  <c r="A3047" i="3"/>
  <c r="A3048" i="3"/>
  <c r="A3049" i="3"/>
  <c r="A3050" i="3"/>
  <c r="A3051" i="3"/>
  <c r="A3052" i="3"/>
  <c r="A3053" i="3"/>
  <c r="A3054" i="3"/>
  <c r="A3055" i="3"/>
  <c r="A3056" i="3"/>
  <c r="A3057" i="3"/>
  <c r="A3058" i="3"/>
  <c r="A3059" i="3"/>
  <c r="A3060" i="3"/>
  <c r="A3061" i="3"/>
  <c r="A3062" i="3"/>
  <c r="A3063" i="3"/>
  <c r="A3064" i="3"/>
  <c r="A3065" i="3"/>
  <c r="A3066" i="3"/>
  <c r="A3067" i="3"/>
  <c r="A3068" i="3"/>
  <c r="A3069" i="3"/>
  <c r="A3070" i="3"/>
  <c r="A3071" i="3"/>
  <c r="A3072" i="3"/>
  <c r="A3073" i="3"/>
  <c r="A3074" i="3"/>
  <c r="A3075" i="3"/>
  <c r="A3076" i="3"/>
  <c r="A3077" i="3"/>
  <c r="A3078" i="3"/>
  <c r="A3079" i="3"/>
  <c r="A3080" i="3"/>
  <c r="A3081" i="3"/>
  <c r="A3082" i="3"/>
  <c r="A3083" i="3"/>
  <c r="A3084" i="3"/>
  <c r="A3085" i="3"/>
  <c r="A3086" i="3"/>
  <c r="A3087" i="3"/>
  <c r="A3088" i="3"/>
  <c r="A3089" i="3"/>
  <c r="A3090" i="3"/>
  <c r="A3091" i="3"/>
  <c r="A3092" i="3"/>
  <c r="A3093" i="3"/>
  <c r="A3094" i="3"/>
  <c r="A3095" i="3"/>
  <c r="A3096" i="3"/>
  <c r="A3097" i="3"/>
  <c r="A3098" i="3"/>
  <c r="A3099" i="3"/>
  <c r="A3100" i="3"/>
  <c r="A3101" i="3"/>
  <c r="A3102" i="3"/>
  <c r="A3103" i="3"/>
  <c r="A3104" i="3"/>
  <c r="A3105" i="3"/>
  <c r="A3106" i="3"/>
  <c r="A3107" i="3"/>
  <c r="A3108" i="3"/>
  <c r="A3109" i="3"/>
  <c r="A3110" i="3"/>
  <c r="A3111" i="3"/>
  <c r="A3112" i="3"/>
  <c r="A3113" i="3"/>
  <c r="A3114" i="3"/>
  <c r="A3115" i="3"/>
  <c r="A3116" i="3"/>
  <c r="A3117" i="3"/>
  <c r="A3118" i="3"/>
  <c r="A3119" i="3"/>
  <c r="A3120" i="3"/>
  <c r="A3121" i="3"/>
  <c r="A3122" i="3"/>
  <c r="A3123" i="3"/>
  <c r="A3124" i="3"/>
  <c r="A3125" i="3"/>
  <c r="A3126" i="3"/>
  <c r="A3127" i="3"/>
  <c r="A3128" i="3"/>
  <c r="A3129" i="3"/>
  <c r="A3130" i="3"/>
  <c r="A3131" i="3"/>
  <c r="A3132" i="3"/>
  <c r="A3133" i="3"/>
  <c r="A3134" i="3"/>
  <c r="A3135" i="3"/>
  <c r="A3136" i="3"/>
  <c r="A3137" i="3"/>
  <c r="A3138" i="3"/>
  <c r="A3139" i="3"/>
  <c r="A3140" i="3"/>
  <c r="A3141" i="3"/>
  <c r="A3142" i="3"/>
  <c r="A3143" i="3"/>
  <c r="A3144" i="3"/>
  <c r="A3145" i="3"/>
  <c r="A3146" i="3"/>
  <c r="A3147" i="3"/>
  <c r="A3148" i="3"/>
  <c r="A3149" i="3"/>
  <c r="A3150" i="3"/>
  <c r="A3151" i="3"/>
  <c r="A3152" i="3"/>
  <c r="A3153" i="3"/>
  <c r="A3154" i="3"/>
  <c r="A3155" i="3"/>
  <c r="A3156" i="3"/>
  <c r="A3157" i="3"/>
  <c r="A3158" i="3"/>
  <c r="A3159" i="3"/>
  <c r="A3160" i="3"/>
  <c r="A3161" i="3"/>
  <c r="A3162" i="3"/>
  <c r="A3163" i="3"/>
  <c r="A3164" i="3"/>
  <c r="A3165" i="3"/>
  <c r="A3166" i="3"/>
  <c r="A3167" i="3"/>
  <c r="A3168" i="3"/>
  <c r="A3169" i="3"/>
  <c r="A3170" i="3"/>
  <c r="A3171" i="3"/>
  <c r="A3172" i="3"/>
  <c r="A3173" i="3"/>
  <c r="A3174" i="3"/>
  <c r="A3175" i="3"/>
  <c r="A3176" i="3"/>
  <c r="A3177" i="3"/>
  <c r="A3178" i="3"/>
  <c r="A3179" i="3"/>
  <c r="A3180" i="3"/>
  <c r="A3181" i="3"/>
  <c r="A3182" i="3"/>
  <c r="A3183" i="3"/>
  <c r="A3184" i="3"/>
  <c r="A3185" i="3"/>
  <c r="A3186" i="3"/>
  <c r="A3187" i="3"/>
  <c r="A3188" i="3"/>
  <c r="A3189" i="3"/>
  <c r="A3190" i="3"/>
  <c r="A3191" i="3"/>
  <c r="A3192" i="3"/>
  <c r="A3193" i="3"/>
  <c r="A3194" i="3"/>
  <c r="A3195" i="3"/>
  <c r="A3196" i="3"/>
  <c r="A3197" i="3"/>
  <c r="A3198" i="3"/>
  <c r="A3199" i="3"/>
  <c r="A3200" i="3"/>
  <c r="A3201" i="3"/>
  <c r="A3202" i="3"/>
  <c r="A3203" i="3"/>
  <c r="A3204" i="3"/>
  <c r="A3205" i="3"/>
  <c r="A3206" i="3"/>
  <c r="A3207" i="3"/>
  <c r="A3208" i="3"/>
  <c r="A3209" i="3"/>
  <c r="A3210" i="3"/>
  <c r="A3211" i="3"/>
  <c r="A3212" i="3"/>
  <c r="A3213" i="3"/>
  <c r="A3214" i="3"/>
  <c r="A3215" i="3"/>
  <c r="A3216" i="3"/>
  <c r="A3217" i="3"/>
  <c r="A3218" i="3"/>
  <c r="A3219" i="3"/>
  <c r="A3220" i="3"/>
  <c r="A3221" i="3"/>
  <c r="A3222" i="3"/>
  <c r="A3223" i="3"/>
  <c r="A3224" i="3"/>
  <c r="A3225" i="3"/>
  <c r="A3226" i="3"/>
  <c r="A3227" i="3"/>
  <c r="A3228" i="3"/>
  <c r="A3229" i="3"/>
  <c r="A3230" i="3"/>
  <c r="A3231" i="3"/>
  <c r="A3232" i="3"/>
  <c r="A3233" i="3"/>
  <c r="A3234" i="3"/>
  <c r="A3235" i="3"/>
  <c r="A3236" i="3"/>
  <c r="A3237" i="3"/>
  <c r="A3238" i="3"/>
  <c r="A3239" i="3"/>
  <c r="A3240" i="3"/>
  <c r="A3241" i="3"/>
  <c r="A3242" i="3"/>
  <c r="A3243" i="3"/>
  <c r="A3244" i="3"/>
  <c r="A3245" i="3"/>
  <c r="A3246" i="3"/>
  <c r="A3247" i="3"/>
  <c r="A3248" i="3"/>
  <c r="A3249" i="3"/>
  <c r="A3250" i="3"/>
  <c r="A3251" i="3"/>
  <c r="A3252" i="3"/>
  <c r="A3253" i="3"/>
  <c r="A3254" i="3"/>
  <c r="A3255" i="3"/>
  <c r="A3256" i="3"/>
  <c r="A3257" i="3"/>
  <c r="A3258" i="3"/>
  <c r="A3259" i="3"/>
  <c r="A3260" i="3"/>
  <c r="A3261" i="3"/>
  <c r="A3262" i="3"/>
  <c r="A3263" i="3"/>
  <c r="A3264" i="3"/>
  <c r="A3265" i="3"/>
  <c r="A3266" i="3"/>
  <c r="A3267" i="3"/>
  <c r="A3268" i="3"/>
  <c r="A3269" i="3"/>
  <c r="A3270" i="3"/>
  <c r="A3271" i="3"/>
  <c r="A3272" i="3"/>
  <c r="A3273" i="3"/>
  <c r="A3274" i="3"/>
  <c r="A3275" i="3"/>
  <c r="A3276" i="3"/>
  <c r="A3277" i="3"/>
  <c r="A3278" i="3"/>
  <c r="A3279" i="3"/>
  <c r="A3280" i="3"/>
  <c r="A3281" i="3"/>
  <c r="A3282" i="3"/>
  <c r="A3283" i="3"/>
  <c r="A3284" i="3"/>
  <c r="A3285" i="3"/>
  <c r="A3286" i="3"/>
  <c r="A3287" i="3"/>
  <c r="A3288" i="3"/>
  <c r="A3289" i="3"/>
  <c r="A3290" i="3"/>
  <c r="A3291" i="3"/>
  <c r="A3292" i="3"/>
  <c r="A3293" i="3"/>
  <c r="A3294" i="3"/>
  <c r="A3295" i="3"/>
  <c r="A3296" i="3"/>
  <c r="A3297" i="3"/>
  <c r="A3298" i="3"/>
  <c r="A3299" i="3"/>
  <c r="A3300" i="3"/>
  <c r="A3301" i="3"/>
  <c r="A3302" i="3"/>
  <c r="A3303" i="3"/>
  <c r="A3304" i="3"/>
  <c r="A3305" i="3"/>
  <c r="A3306" i="3"/>
  <c r="A3307" i="3"/>
  <c r="A3308" i="3"/>
  <c r="A3309" i="3"/>
  <c r="A3310" i="3"/>
  <c r="A3311" i="3"/>
  <c r="A3312" i="3"/>
  <c r="A3313" i="3"/>
  <c r="A3314" i="3"/>
  <c r="A3315" i="3"/>
  <c r="A3316" i="3"/>
  <c r="A3317" i="3"/>
  <c r="A3318" i="3"/>
  <c r="A3319" i="3"/>
  <c r="A3320" i="3"/>
  <c r="A3321" i="3"/>
  <c r="A3322" i="3"/>
  <c r="A3323" i="3"/>
  <c r="A3324" i="3"/>
  <c r="A3325" i="3"/>
  <c r="A3326" i="3"/>
  <c r="A3327" i="3"/>
  <c r="A3328" i="3"/>
  <c r="A3329" i="3"/>
  <c r="A3330" i="3"/>
  <c r="A3331" i="3"/>
  <c r="A3332" i="3"/>
  <c r="A3333" i="3"/>
  <c r="A3334" i="3"/>
  <c r="A3335" i="3"/>
  <c r="A3336" i="3"/>
  <c r="A3337" i="3"/>
  <c r="A3338" i="3"/>
  <c r="A3339" i="3"/>
  <c r="A3340" i="3"/>
  <c r="A3341" i="3"/>
  <c r="A3342" i="3"/>
  <c r="A3343" i="3"/>
  <c r="A3344" i="3"/>
  <c r="A3345" i="3"/>
  <c r="A3346" i="3"/>
  <c r="A3347" i="3"/>
  <c r="A3348" i="3"/>
  <c r="A3349" i="3"/>
  <c r="A3350" i="3"/>
  <c r="A3351" i="3"/>
  <c r="A3352" i="3"/>
  <c r="A3353" i="3"/>
  <c r="A3354" i="3"/>
  <c r="A3355" i="3"/>
  <c r="A3356" i="3"/>
  <c r="A3357" i="3"/>
  <c r="A3358" i="3"/>
  <c r="A3359" i="3"/>
  <c r="A3360" i="3"/>
  <c r="A3361" i="3"/>
  <c r="A3362" i="3"/>
  <c r="A3363" i="3"/>
  <c r="A3364" i="3"/>
  <c r="A3365" i="3"/>
  <c r="A3366" i="3"/>
  <c r="A3367" i="3"/>
  <c r="A3368" i="3"/>
  <c r="A3369" i="3"/>
  <c r="A3370" i="3"/>
  <c r="A3371" i="3"/>
  <c r="A3372" i="3"/>
  <c r="A3373" i="3"/>
  <c r="A3374" i="3"/>
  <c r="A3375" i="3"/>
  <c r="A3376" i="3"/>
  <c r="A3377" i="3"/>
  <c r="A3378" i="3"/>
  <c r="A3379" i="3"/>
  <c r="A3380" i="3"/>
  <c r="A3381" i="3"/>
  <c r="A3382" i="3"/>
  <c r="A3383" i="3"/>
  <c r="A3384" i="3"/>
  <c r="A3385" i="3"/>
  <c r="A3386" i="3"/>
  <c r="A3387" i="3"/>
  <c r="A3388" i="3"/>
  <c r="A3389" i="3"/>
  <c r="A3390" i="3"/>
  <c r="A3391" i="3"/>
  <c r="A3392" i="3"/>
  <c r="A3393" i="3"/>
  <c r="A3394" i="3"/>
  <c r="A3395" i="3"/>
  <c r="A3396" i="3"/>
  <c r="A3397" i="3"/>
  <c r="A3398" i="3"/>
  <c r="A3399" i="3"/>
  <c r="A3400" i="3"/>
  <c r="A3401" i="3"/>
  <c r="A3402" i="3"/>
  <c r="A3403" i="3"/>
  <c r="A3404" i="3"/>
  <c r="A3405" i="3"/>
  <c r="A3406" i="3"/>
  <c r="A3407" i="3"/>
  <c r="A3408" i="3"/>
  <c r="A3409" i="3"/>
  <c r="A3410" i="3"/>
  <c r="A3411" i="3"/>
  <c r="A3412" i="3"/>
  <c r="A3413" i="3"/>
  <c r="A3414" i="3"/>
  <c r="A3415" i="3"/>
  <c r="A3416" i="3"/>
  <c r="A3417" i="3"/>
  <c r="A3418" i="3"/>
  <c r="A3419" i="3"/>
  <c r="A3420" i="3"/>
  <c r="A3421" i="3"/>
  <c r="A3422" i="3"/>
  <c r="A3423" i="3"/>
  <c r="A3424" i="3"/>
  <c r="A3425" i="3"/>
  <c r="A3426" i="3"/>
  <c r="A3427" i="3"/>
  <c r="A3428" i="3"/>
  <c r="A3429" i="3"/>
  <c r="A3430" i="3"/>
  <c r="A3431" i="3"/>
  <c r="A3432" i="3"/>
  <c r="A3433" i="3"/>
  <c r="A3434" i="3"/>
  <c r="A3435" i="3"/>
  <c r="A3436" i="3"/>
  <c r="A3437" i="3"/>
  <c r="A3438" i="3"/>
  <c r="A3439" i="3"/>
  <c r="A3440" i="3"/>
  <c r="A3441" i="3"/>
  <c r="A3442" i="3"/>
  <c r="A3443" i="3"/>
  <c r="A3444" i="3"/>
  <c r="A3445" i="3"/>
  <c r="A3446" i="3"/>
  <c r="A3447" i="3"/>
  <c r="A3448" i="3"/>
  <c r="A3449" i="3"/>
  <c r="A3450" i="3"/>
  <c r="A3451" i="3"/>
  <c r="A3452" i="3"/>
  <c r="A3453" i="3"/>
  <c r="A3454" i="3"/>
  <c r="A3455" i="3"/>
  <c r="A3456" i="3"/>
  <c r="A3457" i="3"/>
  <c r="A3458" i="3"/>
  <c r="A3459" i="3"/>
  <c r="A3460" i="3"/>
  <c r="A3461" i="3"/>
  <c r="A3462" i="3"/>
  <c r="A3463" i="3"/>
  <c r="A3464" i="3"/>
  <c r="A3465" i="3"/>
  <c r="A3466" i="3"/>
  <c r="A3467" i="3"/>
  <c r="A3468" i="3"/>
  <c r="A3469" i="3"/>
  <c r="A3470" i="3"/>
  <c r="A3471" i="3"/>
  <c r="A3472" i="3"/>
  <c r="A3473" i="3"/>
  <c r="A3474" i="3"/>
  <c r="A3475" i="3"/>
  <c r="A3476" i="3"/>
  <c r="A3477" i="3"/>
  <c r="A3478" i="3"/>
  <c r="A3479" i="3"/>
  <c r="A3480" i="3"/>
  <c r="A3481" i="3"/>
  <c r="A3482" i="3"/>
  <c r="A3483" i="3"/>
  <c r="A3484" i="3"/>
  <c r="A3485" i="3"/>
  <c r="A3486" i="3"/>
  <c r="A3487" i="3"/>
  <c r="A3488" i="3"/>
  <c r="A3489" i="3"/>
  <c r="A3490" i="3"/>
  <c r="A3491" i="3"/>
  <c r="A3492" i="3"/>
  <c r="A3493" i="3"/>
  <c r="A3494" i="3"/>
  <c r="A3495" i="3"/>
  <c r="A3496" i="3"/>
  <c r="A3497" i="3"/>
  <c r="A3498" i="3"/>
  <c r="A3499" i="3"/>
  <c r="A3500" i="3"/>
  <c r="A3501" i="3"/>
  <c r="A3502" i="3"/>
  <c r="A3503" i="3"/>
  <c r="A3504" i="3"/>
  <c r="A3505" i="3"/>
  <c r="A3506" i="3"/>
  <c r="A3507" i="3"/>
  <c r="A3508" i="3"/>
  <c r="A3509" i="3"/>
  <c r="A3510" i="3"/>
  <c r="A3511" i="3"/>
  <c r="A3512" i="3"/>
  <c r="A3513" i="3"/>
  <c r="A3514" i="3"/>
  <c r="A3515" i="3"/>
  <c r="A3516" i="3"/>
  <c r="A3517" i="3"/>
  <c r="A3518" i="3"/>
  <c r="A3519" i="3"/>
  <c r="A3520" i="3"/>
  <c r="A3521" i="3"/>
  <c r="A3522" i="3"/>
  <c r="A3523" i="3"/>
  <c r="A3524" i="3"/>
  <c r="A3525" i="3"/>
  <c r="A3526" i="3"/>
  <c r="A3527" i="3"/>
  <c r="A3528" i="3"/>
  <c r="A3529" i="3"/>
  <c r="A3530" i="3"/>
  <c r="A3531" i="3"/>
  <c r="A3532" i="3"/>
  <c r="A3533" i="3"/>
  <c r="A3534" i="3"/>
  <c r="A3535" i="3"/>
  <c r="A3536" i="3"/>
  <c r="A3537" i="3"/>
  <c r="A3538" i="3"/>
  <c r="A3539" i="3"/>
  <c r="A3540" i="3"/>
  <c r="A3541" i="3"/>
  <c r="A3542" i="3"/>
  <c r="A3543" i="3"/>
  <c r="A3544" i="3"/>
  <c r="A3545" i="3"/>
  <c r="A3546" i="3"/>
  <c r="A3547" i="3"/>
  <c r="A3548" i="3"/>
  <c r="A3549" i="3"/>
  <c r="A3550" i="3"/>
  <c r="A3551" i="3"/>
  <c r="A3552" i="3"/>
  <c r="A3553" i="3"/>
  <c r="A3554" i="3"/>
  <c r="A3555" i="3"/>
  <c r="A3556" i="3"/>
  <c r="A3557" i="3"/>
  <c r="A3558" i="3"/>
  <c r="A3559" i="3"/>
  <c r="A3560" i="3"/>
  <c r="A3561" i="3"/>
  <c r="A3562" i="3"/>
  <c r="A3563" i="3"/>
  <c r="A3564" i="3"/>
  <c r="A3565" i="3"/>
  <c r="A3566" i="3"/>
  <c r="A3567" i="3"/>
  <c r="A3568" i="3"/>
  <c r="A3569" i="3"/>
  <c r="A3570" i="3"/>
  <c r="A3571" i="3"/>
  <c r="A3572" i="3"/>
  <c r="A3573" i="3"/>
  <c r="A3574" i="3"/>
  <c r="A3575" i="3"/>
  <c r="A3576" i="3"/>
  <c r="A3577" i="3"/>
  <c r="A3578" i="3"/>
  <c r="A3579" i="3"/>
  <c r="A3580" i="3"/>
  <c r="A3581" i="3"/>
  <c r="A3582" i="3"/>
  <c r="A3583" i="3"/>
  <c r="A3584" i="3"/>
  <c r="A3585" i="3"/>
  <c r="A3586" i="3"/>
  <c r="A3587" i="3"/>
  <c r="A3588" i="3"/>
  <c r="A3589" i="3"/>
  <c r="A3590" i="3"/>
  <c r="A3591" i="3"/>
  <c r="A3592" i="3"/>
  <c r="A3593" i="3"/>
  <c r="A3594" i="3"/>
  <c r="A3595" i="3"/>
  <c r="A3596" i="3"/>
  <c r="A3597" i="3"/>
  <c r="A3598" i="3"/>
  <c r="A3599" i="3"/>
  <c r="A3600" i="3"/>
  <c r="A3601" i="3"/>
  <c r="A3602" i="3"/>
  <c r="A3603" i="3"/>
  <c r="A3604" i="3"/>
  <c r="A3605" i="3"/>
  <c r="A3606" i="3"/>
  <c r="A3607" i="3"/>
  <c r="A3608" i="3"/>
  <c r="A3609" i="3"/>
  <c r="A3610" i="3"/>
  <c r="A3611" i="3"/>
  <c r="A3612" i="3"/>
  <c r="A3613" i="3"/>
  <c r="A3614" i="3"/>
  <c r="A3615" i="3"/>
  <c r="A3616" i="3"/>
  <c r="A3617" i="3"/>
  <c r="A3618" i="3"/>
  <c r="A3619" i="3"/>
  <c r="A3620" i="3"/>
  <c r="A3621" i="3"/>
  <c r="A3622" i="3"/>
  <c r="A3623" i="3"/>
  <c r="A3624" i="3"/>
  <c r="A3625" i="3"/>
  <c r="A3626" i="3"/>
  <c r="A3627" i="3"/>
  <c r="A3628" i="3"/>
  <c r="A3629" i="3"/>
  <c r="A3630" i="3"/>
  <c r="A3631" i="3"/>
  <c r="A3632" i="3"/>
  <c r="A3633" i="3"/>
  <c r="A3634" i="3"/>
  <c r="A3635" i="3"/>
  <c r="A3636" i="3"/>
  <c r="A3637" i="3"/>
  <c r="A3638" i="3"/>
  <c r="A3639" i="3"/>
  <c r="A3640" i="3"/>
  <c r="A3641" i="3"/>
  <c r="A3642" i="3"/>
  <c r="A3643" i="3"/>
  <c r="A3644" i="3"/>
  <c r="A3645" i="3"/>
  <c r="A3646" i="3"/>
  <c r="A3647" i="3"/>
  <c r="A3648" i="3"/>
  <c r="A3649" i="3"/>
  <c r="A3650" i="3"/>
  <c r="A3651" i="3"/>
  <c r="A3652" i="3"/>
  <c r="A3653" i="3"/>
  <c r="A3654" i="3"/>
  <c r="A3655" i="3"/>
  <c r="A3656" i="3"/>
  <c r="A3657" i="3"/>
  <c r="A3658" i="3"/>
  <c r="A3659" i="3"/>
  <c r="A3660" i="3"/>
  <c r="A3661" i="3"/>
  <c r="A3662" i="3"/>
  <c r="A3663" i="3"/>
  <c r="A3664" i="3"/>
  <c r="A3665" i="3"/>
  <c r="A3666" i="3"/>
  <c r="A3667" i="3"/>
  <c r="A3668" i="3"/>
  <c r="A3669" i="3"/>
  <c r="A3670" i="3"/>
  <c r="A3671" i="3"/>
  <c r="A3672" i="3"/>
  <c r="A3673" i="3"/>
  <c r="A3674" i="3"/>
  <c r="A3675" i="3"/>
  <c r="A3676" i="3"/>
  <c r="A3677" i="3"/>
  <c r="A3678" i="3"/>
  <c r="A3679" i="3"/>
  <c r="A3680" i="3"/>
  <c r="A3681" i="3"/>
  <c r="A3682" i="3"/>
  <c r="A3683" i="3"/>
  <c r="A3684" i="3"/>
  <c r="A3685" i="3"/>
  <c r="A3686" i="3"/>
  <c r="A3687" i="3"/>
  <c r="A3688" i="3"/>
  <c r="A3689" i="3"/>
  <c r="A3690" i="3"/>
  <c r="A3691" i="3"/>
  <c r="A3692" i="3"/>
  <c r="A3693" i="3"/>
  <c r="A3694" i="3"/>
  <c r="A3695" i="3"/>
  <c r="A3696" i="3"/>
  <c r="A3697" i="3"/>
  <c r="A3698" i="3"/>
  <c r="A3699" i="3"/>
  <c r="A3700" i="3"/>
  <c r="A3701" i="3"/>
  <c r="A3702" i="3"/>
  <c r="A3703" i="3"/>
  <c r="A3704" i="3"/>
  <c r="A3705" i="3"/>
  <c r="A3706" i="3"/>
  <c r="A3707" i="3"/>
  <c r="A3708" i="3"/>
  <c r="A3709" i="3"/>
  <c r="A3710" i="3"/>
  <c r="A3711" i="3"/>
  <c r="A3712" i="3"/>
  <c r="A3713" i="3"/>
  <c r="A3714" i="3"/>
  <c r="A3715" i="3"/>
  <c r="A3716" i="3"/>
  <c r="A3717" i="3"/>
  <c r="A3718" i="3"/>
  <c r="A3719" i="3"/>
  <c r="A3720" i="3"/>
  <c r="A3721" i="3"/>
  <c r="A3722" i="3"/>
  <c r="A3723" i="3"/>
  <c r="A3724" i="3"/>
  <c r="A3725" i="3"/>
  <c r="A3726" i="3"/>
  <c r="A3727" i="3"/>
  <c r="A3728" i="3"/>
  <c r="A3729" i="3"/>
  <c r="A3730" i="3"/>
  <c r="A3731" i="3"/>
  <c r="A3732" i="3"/>
  <c r="A3733" i="3"/>
  <c r="A3734" i="3"/>
  <c r="A3735" i="3"/>
  <c r="A3736" i="3"/>
  <c r="A3737" i="3"/>
  <c r="A3738" i="3"/>
  <c r="A3739" i="3"/>
  <c r="A3740" i="3"/>
  <c r="A3741" i="3"/>
  <c r="A3742" i="3"/>
  <c r="A3743" i="3"/>
  <c r="A3744" i="3"/>
  <c r="A3745" i="3"/>
  <c r="A3746" i="3"/>
  <c r="A3747" i="3"/>
  <c r="A3748" i="3"/>
  <c r="A3749" i="3"/>
  <c r="A3750" i="3"/>
  <c r="A3751" i="3"/>
  <c r="A3752" i="3"/>
  <c r="A3753" i="3"/>
  <c r="A3754" i="3"/>
  <c r="A3755" i="3"/>
  <c r="A3756" i="3"/>
  <c r="A3757" i="3"/>
  <c r="A3758" i="3"/>
  <c r="A3759" i="3"/>
  <c r="A3760" i="3"/>
  <c r="A3761" i="3"/>
  <c r="A3762" i="3"/>
  <c r="A3763" i="3"/>
  <c r="A3764" i="3"/>
  <c r="A3765" i="3"/>
  <c r="A3766" i="3"/>
  <c r="A3767" i="3"/>
  <c r="A3768" i="3"/>
  <c r="A3769" i="3"/>
  <c r="A3770" i="3"/>
  <c r="A3771" i="3"/>
  <c r="A3772" i="3"/>
  <c r="A3773" i="3"/>
  <c r="A3774" i="3"/>
  <c r="A3775" i="3"/>
  <c r="A3776" i="3"/>
  <c r="A3777" i="3"/>
  <c r="A3778" i="3"/>
  <c r="A3779" i="3"/>
  <c r="A3780" i="3"/>
  <c r="A3781" i="3"/>
  <c r="A3782" i="3"/>
  <c r="A3783" i="3"/>
  <c r="A3784" i="3"/>
  <c r="A3785" i="3"/>
  <c r="A3786" i="3"/>
  <c r="A3787" i="3"/>
  <c r="A3788" i="3"/>
  <c r="A3789" i="3"/>
  <c r="A3790" i="3"/>
  <c r="A3791" i="3"/>
  <c r="A3792" i="3"/>
  <c r="A3793" i="3"/>
  <c r="A3794" i="3"/>
  <c r="A3795" i="3"/>
  <c r="A3796" i="3"/>
  <c r="A3797" i="3"/>
  <c r="A3798" i="3"/>
  <c r="A3799" i="3"/>
  <c r="A3800" i="3"/>
  <c r="A3801" i="3"/>
  <c r="A3802" i="3"/>
  <c r="A3803" i="3"/>
  <c r="A3804" i="3"/>
  <c r="A3805" i="3"/>
  <c r="A3806" i="3"/>
  <c r="A3807" i="3"/>
  <c r="A3808" i="3"/>
  <c r="A3809" i="3"/>
  <c r="A3810" i="3"/>
  <c r="A3811" i="3"/>
  <c r="A3812" i="3"/>
  <c r="A3813" i="3"/>
  <c r="A3814" i="3"/>
  <c r="A3815" i="3"/>
  <c r="A3816" i="3"/>
  <c r="A3817" i="3"/>
  <c r="A3818" i="3"/>
  <c r="A3819" i="3"/>
  <c r="A3820" i="3"/>
  <c r="A3821" i="3"/>
  <c r="A3822" i="3"/>
  <c r="A3823" i="3"/>
  <c r="A3824" i="3"/>
  <c r="A3825" i="3"/>
  <c r="A3826" i="3"/>
  <c r="A3827" i="3"/>
  <c r="A3828" i="3"/>
  <c r="A3829" i="3"/>
  <c r="A3830" i="3"/>
  <c r="A3831" i="3"/>
  <c r="A3832" i="3"/>
  <c r="A3833" i="3"/>
  <c r="A3834" i="3"/>
  <c r="A3835" i="3"/>
  <c r="A3836" i="3"/>
  <c r="A3837" i="3"/>
  <c r="A3838" i="3"/>
  <c r="A3839" i="3"/>
  <c r="A3840" i="3"/>
  <c r="A3841" i="3"/>
  <c r="A3842" i="3"/>
  <c r="A3843" i="3"/>
  <c r="A3844" i="3"/>
  <c r="A3845" i="3"/>
  <c r="A3846" i="3"/>
  <c r="A3847" i="3"/>
  <c r="A3848" i="3"/>
  <c r="A3849" i="3"/>
  <c r="A3850" i="3"/>
  <c r="A3851" i="3"/>
  <c r="A3852" i="3"/>
  <c r="A3853" i="3"/>
  <c r="A3854" i="3"/>
  <c r="A3855" i="3"/>
  <c r="A3856" i="3"/>
  <c r="A3857" i="3"/>
  <c r="A3858" i="3"/>
  <c r="A3859" i="3"/>
  <c r="A3860" i="3"/>
  <c r="A3861" i="3"/>
  <c r="A3862" i="3"/>
  <c r="A3863" i="3"/>
  <c r="A3864" i="3"/>
  <c r="A3865" i="3"/>
  <c r="A3866" i="3"/>
  <c r="A3867" i="3"/>
  <c r="A3868" i="3"/>
  <c r="A3869" i="3"/>
  <c r="A3870" i="3"/>
  <c r="A3871" i="3"/>
  <c r="A3872" i="3"/>
  <c r="A3873" i="3"/>
  <c r="A3874" i="3"/>
  <c r="A3875" i="3"/>
  <c r="A3876" i="3"/>
  <c r="A3877" i="3"/>
  <c r="A3878" i="3"/>
  <c r="A3879" i="3"/>
  <c r="A3880" i="3"/>
  <c r="A3881" i="3"/>
  <c r="A3882" i="3"/>
  <c r="A3883" i="3"/>
  <c r="A3884" i="3"/>
  <c r="A3885" i="3"/>
  <c r="A3886" i="3"/>
  <c r="A3887" i="3"/>
  <c r="A3888" i="3"/>
  <c r="A3889" i="3"/>
  <c r="A3890" i="3"/>
  <c r="A3891" i="3"/>
  <c r="A3892" i="3"/>
  <c r="A3893" i="3"/>
  <c r="A3894" i="3"/>
  <c r="A3895" i="3"/>
  <c r="A3896" i="3"/>
  <c r="A3897" i="3"/>
  <c r="A3898" i="3"/>
  <c r="A3899" i="3"/>
  <c r="A3900" i="3"/>
  <c r="A3901" i="3"/>
  <c r="A3902" i="3"/>
  <c r="A3903" i="3"/>
  <c r="A3904" i="3"/>
  <c r="A3905" i="3"/>
  <c r="A3906" i="3"/>
  <c r="A3907" i="3"/>
  <c r="A3908" i="3"/>
  <c r="A3909" i="3"/>
  <c r="A3910" i="3"/>
  <c r="A3911" i="3"/>
  <c r="A3912" i="3"/>
  <c r="A3913" i="3"/>
  <c r="A3914" i="3"/>
  <c r="A3915" i="3"/>
  <c r="A3916" i="3"/>
  <c r="A3917" i="3"/>
  <c r="A3918" i="3"/>
  <c r="A3919" i="3"/>
  <c r="A3920" i="3"/>
  <c r="A3921" i="3"/>
  <c r="A3922" i="3"/>
  <c r="A3923" i="3"/>
  <c r="A3924" i="3"/>
  <c r="A3925" i="3"/>
  <c r="A3926" i="3"/>
  <c r="A3927" i="3"/>
  <c r="A3928" i="3"/>
  <c r="A3929" i="3"/>
  <c r="A3930" i="3"/>
  <c r="A3931" i="3"/>
  <c r="A3932" i="3"/>
  <c r="A3933" i="3"/>
  <c r="A3934" i="3"/>
  <c r="A3935" i="3"/>
  <c r="A3936" i="3"/>
  <c r="A3937" i="3"/>
  <c r="A3938" i="3"/>
  <c r="A3939" i="3"/>
  <c r="A3940" i="3"/>
  <c r="A3941" i="3"/>
  <c r="A3942" i="3"/>
  <c r="A3943" i="3"/>
  <c r="A3944" i="3"/>
  <c r="A3945" i="3"/>
  <c r="A3946" i="3"/>
  <c r="A3947" i="3"/>
  <c r="A3948" i="3"/>
  <c r="A3949" i="3"/>
  <c r="A3950" i="3"/>
  <c r="A3951" i="3"/>
  <c r="A3952" i="3"/>
  <c r="A3953" i="3"/>
  <c r="A3954" i="3"/>
  <c r="A3955" i="3"/>
  <c r="A3956" i="3"/>
  <c r="A3957" i="3"/>
  <c r="A3958" i="3"/>
  <c r="A3959" i="3"/>
  <c r="A3960" i="3"/>
  <c r="A3961" i="3"/>
  <c r="A3962" i="3"/>
  <c r="A3963" i="3"/>
  <c r="A3964" i="3"/>
  <c r="A3965" i="3"/>
  <c r="A3966" i="3"/>
  <c r="A3967" i="3"/>
  <c r="A3968" i="3"/>
  <c r="A3969" i="3"/>
  <c r="A3970" i="3"/>
  <c r="A3971" i="3"/>
  <c r="A3972" i="3"/>
  <c r="A3973" i="3"/>
  <c r="A3974" i="3"/>
  <c r="A3975" i="3"/>
  <c r="A3976" i="3"/>
  <c r="A3977" i="3"/>
  <c r="A3978" i="3"/>
  <c r="A3979" i="3"/>
  <c r="A3980" i="3"/>
  <c r="A3981" i="3"/>
  <c r="A3982" i="3"/>
  <c r="A3983" i="3"/>
  <c r="A3984" i="3"/>
  <c r="A3985" i="3"/>
  <c r="A3986" i="3"/>
  <c r="A3987" i="3"/>
  <c r="A3988" i="3"/>
  <c r="A3989" i="3"/>
  <c r="A3990" i="3"/>
  <c r="A3991" i="3"/>
  <c r="A3992" i="3"/>
  <c r="A3993" i="3"/>
  <c r="A3994" i="3"/>
  <c r="A3995" i="3"/>
  <c r="A3996" i="3"/>
  <c r="A3997" i="3"/>
  <c r="A3998" i="3"/>
  <c r="A3999" i="3"/>
  <c r="A4000" i="3"/>
  <c r="A4001" i="3"/>
  <c r="A4002" i="3"/>
  <c r="A4003" i="3"/>
  <c r="A4004" i="3"/>
  <c r="A4005" i="3"/>
  <c r="A4006" i="3"/>
  <c r="A4007" i="3"/>
  <c r="A4008" i="3"/>
  <c r="A4009" i="3"/>
  <c r="A4010" i="3"/>
  <c r="A4011" i="3"/>
  <c r="A4012" i="3"/>
  <c r="A4013" i="3"/>
  <c r="A4014" i="3"/>
  <c r="A4015" i="3"/>
  <c r="A4016" i="3"/>
  <c r="A4017" i="3"/>
  <c r="A4018" i="3"/>
  <c r="A4019" i="3"/>
  <c r="A4020" i="3"/>
  <c r="A4021" i="3"/>
  <c r="A4022" i="3"/>
  <c r="A4023" i="3"/>
  <c r="A4024" i="3"/>
  <c r="A4025" i="3"/>
  <c r="A4026" i="3"/>
  <c r="A4027" i="3"/>
  <c r="A4028" i="3"/>
  <c r="A4029" i="3"/>
  <c r="A4030" i="3"/>
  <c r="A4031" i="3"/>
  <c r="A4032" i="3"/>
  <c r="A4033" i="3"/>
  <c r="A4034" i="3"/>
  <c r="A4035" i="3"/>
  <c r="A4036" i="3"/>
  <c r="A4037" i="3"/>
  <c r="A4038" i="3"/>
  <c r="A4039" i="3"/>
  <c r="A4040" i="3"/>
  <c r="A4041" i="3"/>
  <c r="A4042" i="3"/>
  <c r="A4043" i="3"/>
  <c r="A4044" i="3"/>
  <c r="A4045" i="3"/>
  <c r="A4046" i="3"/>
  <c r="A4047" i="3"/>
  <c r="A4048" i="3"/>
  <c r="A4049" i="3"/>
  <c r="A4050" i="3"/>
  <c r="A4051" i="3"/>
  <c r="A4052" i="3"/>
  <c r="A4053" i="3"/>
  <c r="A4054" i="3"/>
  <c r="A4055" i="3"/>
  <c r="A4056" i="3"/>
  <c r="A4057" i="3"/>
  <c r="A4058" i="3"/>
  <c r="A4059" i="3"/>
  <c r="A4060" i="3"/>
  <c r="A4061" i="3"/>
  <c r="A4062" i="3"/>
  <c r="A4063" i="3"/>
  <c r="A4064" i="3"/>
  <c r="A4065" i="3"/>
  <c r="A4066" i="3"/>
  <c r="A4067" i="3"/>
  <c r="A4068" i="3"/>
  <c r="A4069" i="3"/>
  <c r="A4070" i="3"/>
  <c r="A4071" i="3"/>
  <c r="A4072" i="3"/>
  <c r="A4073" i="3"/>
  <c r="A4074" i="3"/>
  <c r="A4075" i="3"/>
  <c r="A4076" i="3"/>
  <c r="A4077" i="3"/>
  <c r="A4078" i="3"/>
  <c r="A4079" i="3"/>
  <c r="A4080" i="3"/>
  <c r="A4081" i="3"/>
  <c r="A4082" i="3"/>
  <c r="A4083" i="3"/>
  <c r="A4084" i="3"/>
  <c r="A4085" i="3"/>
  <c r="A4086" i="3"/>
  <c r="A4087" i="3"/>
  <c r="A4088" i="3"/>
  <c r="A4089" i="3"/>
  <c r="A4090" i="3"/>
  <c r="A4091" i="3"/>
  <c r="A4092" i="3"/>
  <c r="A4093" i="3"/>
  <c r="A4094" i="3"/>
  <c r="A4095" i="3"/>
  <c r="A4096" i="3"/>
  <c r="A4097" i="3"/>
  <c r="A4098" i="3"/>
  <c r="A4099" i="3"/>
  <c r="A4100" i="3"/>
  <c r="A4101" i="3"/>
  <c r="A4102" i="3"/>
  <c r="A4103" i="3"/>
  <c r="A4104" i="3"/>
  <c r="A4105" i="3"/>
  <c r="A4106" i="3"/>
  <c r="A4107" i="3"/>
  <c r="A4108" i="3"/>
  <c r="A4109" i="3"/>
  <c r="A4110" i="3"/>
  <c r="A4111" i="3"/>
  <c r="A4112" i="3"/>
  <c r="A4113" i="3"/>
  <c r="A4114" i="3"/>
  <c r="A4115" i="3"/>
  <c r="A4116" i="3"/>
  <c r="A4117" i="3"/>
  <c r="A4118" i="3"/>
  <c r="A4119" i="3"/>
  <c r="A4120" i="3"/>
  <c r="A4121" i="3"/>
  <c r="A4122" i="3"/>
  <c r="A4123" i="3"/>
  <c r="A4124" i="3"/>
  <c r="A4125" i="3"/>
  <c r="A4126" i="3"/>
  <c r="A4127" i="3"/>
  <c r="A4128" i="3"/>
  <c r="A4129" i="3"/>
  <c r="A4130" i="3"/>
  <c r="A4131" i="3"/>
  <c r="A4132" i="3"/>
  <c r="A4133" i="3"/>
  <c r="A4134" i="3"/>
  <c r="A4135" i="3"/>
  <c r="A4136" i="3"/>
  <c r="A4137" i="3"/>
  <c r="A4138" i="3"/>
  <c r="A4139" i="3"/>
  <c r="A4140" i="3"/>
  <c r="A4141" i="3"/>
  <c r="A4142" i="3"/>
  <c r="A4143" i="3"/>
  <c r="A4144" i="3"/>
  <c r="A4145" i="3"/>
  <c r="A4146" i="3"/>
  <c r="A4147" i="3"/>
  <c r="A4148" i="3"/>
  <c r="A4149" i="3"/>
  <c r="A4150" i="3"/>
  <c r="A4151" i="3"/>
  <c r="A4152" i="3"/>
  <c r="A4153" i="3"/>
  <c r="A4154" i="3"/>
  <c r="A4155" i="3"/>
  <c r="A4156" i="3"/>
  <c r="A4157" i="3"/>
  <c r="A4158" i="3"/>
  <c r="A4159" i="3"/>
  <c r="A4160" i="3"/>
  <c r="A4161" i="3"/>
  <c r="A4162" i="3"/>
  <c r="A4163" i="3"/>
  <c r="A4164" i="3"/>
  <c r="A4165" i="3"/>
  <c r="A4166" i="3"/>
  <c r="A4167" i="3"/>
  <c r="A4168" i="3"/>
  <c r="A4169" i="3"/>
  <c r="A4170" i="3"/>
  <c r="A4171" i="3"/>
  <c r="A4172" i="3"/>
  <c r="A4173" i="3"/>
  <c r="A4174" i="3"/>
  <c r="A4175" i="3"/>
  <c r="A4176" i="3"/>
  <c r="A4177" i="3"/>
  <c r="A4178" i="3"/>
  <c r="A4179" i="3"/>
  <c r="A4180" i="3"/>
  <c r="A4181" i="3"/>
  <c r="A4182" i="3"/>
  <c r="A4183" i="3"/>
  <c r="A4184" i="3"/>
  <c r="A4185" i="3"/>
  <c r="A4186" i="3"/>
  <c r="A4187" i="3"/>
  <c r="A4188" i="3"/>
  <c r="A4189" i="3"/>
  <c r="A4190" i="3"/>
  <c r="A4191" i="3"/>
  <c r="A4192" i="3"/>
  <c r="A4193" i="3"/>
  <c r="A4194" i="3"/>
  <c r="A4195" i="3"/>
  <c r="A4196" i="3"/>
  <c r="A4197" i="3"/>
  <c r="A4198" i="3"/>
  <c r="A4199" i="3"/>
  <c r="A4200" i="3"/>
  <c r="A4201" i="3"/>
  <c r="A4202" i="3"/>
  <c r="A4203" i="3"/>
  <c r="A4204" i="3"/>
  <c r="A4205" i="3"/>
  <c r="A4206" i="3"/>
  <c r="A4207" i="3"/>
  <c r="A4208" i="3"/>
  <c r="A4209" i="3"/>
  <c r="A4210" i="3"/>
  <c r="A4211" i="3"/>
  <c r="A4212" i="3"/>
  <c r="A4213" i="3"/>
  <c r="A4214" i="3"/>
  <c r="A4215" i="3"/>
  <c r="A4216" i="3"/>
  <c r="A4217" i="3"/>
  <c r="A4218" i="3"/>
  <c r="A4219" i="3"/>
  <c r="A4220" i="3"/>
  <c r="A4221" i="3"/>
  <c r="A4222" i="3"/>
  <c r="A4223" i="3"/>
  <c r="A4224" i="3"/>
  <c r="A4225" i="3"/>
  <c r="A4226" i="3"/>
  <c r="A4227" i="3"/>
  <c r="A4228" i="3"/>
  <c r="A4229" i="3"/>
  <c r="A4230" i="3"/>
  <c r="A4231" i="3"/>
  <c r="A4232" i="3"/>
  <c r="A4233" i="3"/>
  <c r="A4234" i="3"/>
  <c r="A4235" i="3"/>
  <c r="A4236" i="3"/>
  <c r="A4237" i="3"/>
  <c r="A4238" i="3"/>
  <c r="A4239" i="3"/>
  <c r="A4240" i="3"/>
  <c r="A4241" i="3"/>
  <c r="A4242" i="3"/>
  <c r="A4243" i="3"/>
  <c r="A4244" i="3"/>
  <c r="A4245" i="3"/>
  <c r="A4246" i="3"/>
  <c r="A4247" i="3"/>
  <c r="A4248" i="3"/>
  <c r="A4249" i="3"/>
  <c r="A4250" i="3"/>
  <c r="A4251" i="3"/>
  <c r="A4252" i="3"/>
  <c r="A4253" i="3"/>
  <c r="A4254" i="3"/>
  <c r="A4255" i="3"/>
  <c r="A4256" i="3"/>
  <c r="A4257" i="3"/>
  <c r="A4258" i="3"/>
  <c r="A4259" i="3"/>
  <c r="A4260" i="3"/>
  <c r="A4261" i="3"/>
  <c r="A4262" i="3"/>
  <c r="A4263" i="3"/>
  <c r="A4264" i="3"/>
  <c r="A4265" i="3"/>
  <c r="A4266" i="3"/>
  <c r="A4267" i="3"/>
  <c r="A4268" i="3"/>
  <c r="A4269" i="3"/>
  <c r="A4270" i="3"/>
  <c r="A4271" i="3"/>
  <c r="A4272" i="3"/>
  <c r="A4273" i="3"/>
  <c r="A4274" i="3"/>
  <c r="A4275" i="3"/>
  <c r="A4276" i="3"/>
  <c r="A4277" i="3"/>
  <c r="A4278" i="3"/>
  <c r="A4279" i="3"/>
  <c r="A4280" i="3"/>
  <c r="A4281" i="3"/>
  <c r="A4282" i="3"/>
  <c r="A4283" i="3"/>
  <c r="A4284" i="3"/>
  <c r="A4285" i="3"/>
  <c r="A4286" i="3"/>
  <c r="A4287" i="3"/>
  <c r="A4288" i="3"/>
  <c r="A4289" i="3"/>
  <c r="A4290" i="3"/>
  <c r="A4291" i="3"/>
  <c r="A4292" i="3"/>
  <c r="A4293" i="3"/>
  <c r="A4294" i="3"/>
  <c r="A4295" i="3"/>
  <c r="A4296" i="3"/>
  <c r="A4297" i="3"/>
  <c r="A4298" i="3"/>
  <c r="A4299" i="3"/>
  <c r="A4300" i="3"/>
  <c r="A4301" i="3"/>
  <c r="A4302" i="3"/>
  <c r="A4303" i="3"/>
  <c r="A4304" i="3"/>
  <c r="A4305" i="3"/>
  <c r="A4306" i="3"/>
  <c r="A4307" i="3"/>
  <c r="A4308" i="3"/>
  <c r="A4309" i="3"/>
  <c r="A4310" i="3"/>
  <c r="A4311" i="3"/>
  <c r="A4312" i="3"/>
  <c r="A4313" i="3"/>
  <c r="A4314" i="3"/>
  <c r="A4315" i="3"/>
  <c r="A4316" i="3"/>
  <c r="A4317" i="3"/>
  <c r="A4318" i="3"/>
  <c r="A4319" i="3"/>
  <c r="A4320" i="3"/>
  <c r="A4321" i="3"/>
  <c r="A4322" i="3"/>
  <c r="A4323" i="3"/>
  <c r="A4324" i="3"/>
  <c r="A4325" i="3"/>
  <c r="A4326" i="3"/>
  <c r="A4327" i="3"/>
  <c r="A4328" i="3"/>
  <c r="A4329" i="3"/>
  <c r="A4330" i="3"/>
  <c r="A4331" i="3"/>
  <c r="A4332" i="3"/>
  <c r="A4333" i="3"/>
  <c r="A4334" i="3"/>
  <c r="A4335" i="3"/>
  <c r="A4336" i="3"/>
  <c r="A4337" i="3"/>
  <c r="A4338" i="3"/>
  <c r="A4339" i="3"/>
  <c r="A4340" i="3"/>
  <c r="A4341" i="3"/>
  <c r="A4342" i="3"/>
  <c r="A4343" i="3"/>
  <c r="A4344" i="3"/>
  <c r="A4345" i="3"/>
  <c r="A4346" i="3"/>
  <c r="A4347" i="3"/>
  <c r="A4348" i="3"/>
  <c r="A4349" i="3"/>
  <c r="A4350" i="3"/>
  <c r="A4351" i="3"/>
  <c r="A4352" i="3"/>
  <c r="A4353" i="3"/>
  <c r="A4354" i="3"/>
  <c r="A4355" i="3"/>
  <c r="A4356" i="3"/>
  <c r="A4357" i="3"/>
  <c r="A4358" i="3"/>
  <c r="A4359" i="3"/>
  <c r="A4360" i="3"/>
  <c r="A4361" i="3"/>
  <c r="A4362" i="3"/>
  <c r="A4363" i="3"/>
  <c r="A4364" i="3"/>
  <c r="A4365" i="3"/>
  <c r="A4366" i="3"/>
  <c r="A4367" i="3"/>
  <c r="A4368" i="3"/>
  <c r="A4369" i="3"/>
  <c r="A4370" i="3"/>
  <c r="A4371" i="3"/>
  <c r="A4372" i="3"/>
  <c r="A4373" i="3"/>
  <c r="A4374" i="3"/>
  <c r="A4375" i="3"/>
  <c r="A4376" i="3"/>
  <c r="A4377" i="3"/>
  <c r="A4378" i="3"/>
  <c r="A4379" i="3"/>
  <c r="A4380" i="3"/>
  <c r="A4381" i="3"/>
  <c r="A4382" i="3"/>
  <c r="A4383" i="3"/>
  <c r="A4384" i="3"/>
  <c r="A4385" i="3"/>
  <c r="A4386" i="3"/>
  <c r="A4387" i="3"/>
  <c r="A4388" i="3"/>
  <c r="A4389" i="3"/>
  <c r="A4390" i="3"/>
  <c r="A4391" i="3"/>
  <c r="A4392" i="3"/>
  <c r="A4393" i="3"/>
  <c r="A4394" i="3"/>
  <c r="A4395" i="3"/>
  <c r="A4396" i="3"/>
  <c r="A4397" i="3"/>
  <c r="A4398" i="3"/>
  <c r="A4399" i="3"/>
  <c r="A4400" i="3"/>
  <c r="A4401" i="3"/>
  <c r="A4402" i="3"/>
  <c r="A4403" i="3"/>
  <c r="A4404" i="3"/>
  <c r="A4405" i="3"/>
  <c r="A4406" i="3"/>
  <c r="A4407" i="3"/>
  <c r="A4408" i="3"/>
  <c r="A4409" i="3"/>
  <c r="A4410" i="3"/>
  <c r="A4411" i="3"/>
  <c r="A4412" i="3"/>
  <c r="A4413" i="3"/>
  <c r="A4414" i="3"/>
  <c r="A4415" i="3"/>
  <c r="A4416" i="3"/>
  <c r="A4417" i="3"/>
  <c r="A4418" i="3"/>
  <c r="A4419" i="3"/>
  <c r="A4420" i="3"/>
  <c r="A4421" i="3"/>
  <c r="A4422" i="3"/>
  <c r="A4423" i="3"/>
  <c r="A4424" i="3"/>
  <c r="A4425" i="3"/>
  <c r="A4426" i="3"/>
  <c r="A4427" i="3"/>
  <c r="A4428" i="3"/>
  <c r="A4429" i="3"/>
  <c r="A4430" i="3"/>
  <c r="A4431" i="3"/>
  <c r="A4432" i="3"/>
  <c r="A4433" i="3"/>
  <c r="A4434" i="3"/>
  <c r="A4435" i="3"/>
  <c r="A4436" i="3"/>
  <c r="A4437" i="3"/>
  <c r="A4438" i="3"/>
  <c r="A4439" i="3"/>
  <c r="A4440" i="3"/>
  <c r="A4441" i="3"/>
  <c r="A4442" i="3"/>
  <c r="A4443" i="3"/>
  <c r="A4444" i="3"/>
  <c r="A4445" i="3"/>
  <c r="A4446" i="3"/>
  <c r="A4447" i="3"/>
  <c r="A4448" i="3"/>
  <c r="A4449" i="3"/>
  <c r="A4450" i="3"/>
  <c r="A4451" i="3"/>
  <c r="A4452" i="3"/>
  <c r="A4453" i="3"/>
  <c r="A4454" i="3"/>
  <c r="A4455" i="3"/>
  <c r="A4456" i="3"/>
  <c r="A4457" i="3"/>
  <c r="A4458" i="3"/>
  <c r="A4459" i="3"/>
  <c r="A4460" i="3"/>
  <c r="A4461" i="3"/>
  <c r="A4462" i="3"/>
  <c r="A4463" i="3"/>
  <c r="A4464" i="3"/>
  <c r="A4465" i="3"/>
  <c r="A4466" i="3"/>
  <c r="A4467" i="3"/>
  <c r="A4468" i="3"/>
  <c r="A4469" i="3"/>
  <c r="A4470" i="3"/>
  <c r="A4471" i="3"/>
  <c r="A4472" i="3"/>
  <c r="A4473" i="3"/>
  <c r="A4474" i="3"/>
  <c r="A4475" i="3"/>
  <c r="A4476" i="3"/>
  <c r="A4477" i="3"/>
  <c r="A4478" i="3"/>
  <c r="A4479" i="3"/>
  <c r="A4480" i="3"/>
  <c r="A4481" i="3"/>
  <c r="A4482" i="3"/>
  <c r="A4483" i="3"/>
  <c r="A4484" i="3"/>
  <c r="A4485" i="3"/>
  <c r="A4486" i="3"/>
  <c r="A4487" i="3"/>
  <c r="A4488" i="3"/>
  <c r="A4489" i="3"/>
  <c r="A4490" i="3"/>
  <c r="A4491" i="3"/>
  <c r="A4492" i="3"/>
  <c r="A4493" i="3"/>
  <c r="A4494" i="3"/>
  <c r="A4495" i="3"/>
  <c r="A4496" i="3"/>
  <c r="A4497" i="3"/>
  <c r="A4498" i="3"/>
  <c r="A4499" i="3"/>
  <c r="A4500" i="3"/>
  <c r="A4501" i="3"/>
  <c r="A4502" i="3"/>
  <c r="A4503" i="3"/>
  <c r="A4504" i="3"/>
  <c r="A4505" i="3"/>
  <c r="A4506" i="3"/>
  <c r="A4507" i="3"/>
  <c r="A4508" i="3"/>
  <c r="A4509" i="3"/>
  <c r="A4510" i="3"/>
  <c r="A4511" i="3"/>
  <c r="A4512" i="3"/>
  <c r="A4513" i="3"/>
  <c r="A4514" i="3"/>
  <c r="A4515" i="3"/>
  <c r="A4516" i="3"/>
  <c r="A4517" i="3"/>
  <c r="A4518" i="3"/>
  <c r="A4519" i="3"/>
  <c r="A4520" i="3"/>
  <c r="A4521" i="3"/>
  <c r="A4522" i="3"/>
  <c r="A4523" i="3"/>
  <c r="A4524" i="3"/>
  <c r="A4525" i="3"/>
  <c r="A4526" i="3"/>
  <c r="A4527" i="3"/>
  <c r="A4528" i="3"/>
  <c r="A4529" i="3"/>
  <c r="A4530" i="3"/>
  <c r="A4531" i="3"/>
  <c r="A4532" i="3"/>
  <c r="A4533" i="3"/>
  <c r="A4534" i="3"/>
  <c r="A4535" i="3"/>
  <c r="A4536" i="3"/>
  <c r="A4537" i="3"/>
  <c r="A4538" i="3"/>
  <c r="A4539" i="3"/>
  <c r="A4540" i="3"/>
  <c r="A4541" i="3"/>
  <c r="A4542" i="3"/>
  <c r="A4543" i="3"/>
  <c r="A4544" i="3"/>
  <c r="A4545" i="3"/>
  <c r="A4546" i="3"/>
  <c r="A4547" i="3"/>
  <c r="A4548" i="3"/>
  <c r="A4549" i="3"/>
  <c r="A4550" i="3"/>
  <c r="A4551" i="3"/>
  <c r="A4552" i="3"/>
  <c r="A4553" i="3"/>
  <c r="A4554" i="3"/>
  <c r="A4555" i="3"/>
  <c r="A4556" i="3"/>
  <c r="A4557" i="3"/>
  <c r="A4558" i="3"/>
  <c r="A4559" i="3"/>
  <c r="A4560" i="3"/>
  <c r="A4561" i="3"/>
  <c r="A4562" i="3"/>
  <c r="A4563" i="3"/>
  <c r="A4564" i="3"/>
  <c r="A4565" i="3"/>
  <c r="A4566" i="3"/>
  <c r="A4567" i="3"/>
  <c r="A4568" i="3"/>
  <c r="A4569" i="3"/>
  <c r="A4570" i="3"/>
  <c r="A4571" i="3"/>
  <c r="A4572" i="3"/>
  <c r="A4573" i="3"/>
  <c r="A4574" i="3"/>
  <c r="A4575" i="3"/>
  <c r="A4576" i="3"/>
  <c r="A4577" i="3"/>
  <c r="A4578" i="3"/>
  <c r="A4579" i="3"/>
  <c r="A4580" i="3"/>
  <c r="A4581" i="3"/>
  <c r="A4582" i="3"/>
  <c r="A4583" i="3"/>
  <c r="A4584" i="3"/>
  <c r="A4585" i="3"/>
  <c r="A4586" i="3"/>
  <c r="A4587" i="3"/>
  <c r="A4588" i="3"/>
  <c r="A4589" i="3"/>
  <c r="A4590" i="3"/>
  <c r="A4591" i="3"/>
  <c r="A4592" i="3"/>
  <c r="A4593" i="3"/>
  <c r="A4594" i="3"/>
  <c r="A4595" i="3"/>
  <c r="A4596" i="3"/>
  <c r="A4597" i="3"/>
  <c r="A4598" i="3"/>
  <c r="A4599" i="3"/>
  <c r="A4600" i="3"/>
  <c r="A4601" i="3"/>
  <c r="A4602" i="3"/>
  <c r="A4603" i="3"/>
  <c r="A4604" i="3"/>
  <c r="A4605" i="3"/>
  <c r="A4606" i="3"/>
  <c r="A4607" i="3"/>
  <c r="A4608" i="3"/>
  <c r="A4609" i="3"/>
  <c r="A4610" i="3"/>
  <c r="A4611" i="3"/>
  <c r="A4612" i="3"/>
  <c r="A4613" i="3"/>
  <c r="A4614" i="3"/>
  <c r="A4615" i="3"/>
  <c r="A4616" i="3"/>
  <c r="A4617" i="3"/>
  <c r="A4618" i="3"/>
  <c r="A4619" i="3"/>
  <c r="A4620" i="3"/>
  <c r="A4621" i="3"/>
  <c r="A4622" i="3"/>
  <c r="A4623" i="3"/>
  <c r="A4624" i="3"/>
  <c r="A4625" i="3"/>
  <c r="A4626" i="3"/>
  <c r="A4627" i="3"/>
  <c r="A4628" i="3"/>
  <c r="A4629" i="3"/>
  <c r="A4630" i="3"/>
  <c r="A4631" i="3"/>
  <c r="A4632" i="3"/>
  <c r="A4633" i="3"/>
  <c r="A4634" i="3"/>
  <c r="A4635" i="3"/>
  <c r="A4636" i="3"/>
  <c r="A4637" i="3"/>
  <c r="A4638" i="3"/>
  <c r="A4639" i="3"/>
  <c r="A4640" i="3"/>
  <c r="A4641" i="3"/>
  <c r="A4642" i="3"/>
  <c r="A4643" i="3"/>
  <c r="A4644" i="3"/>
  <c r="A4645" i="3"/>
  <c r="A4646" i="3"/>
  <c r="A4647" i="3"/>
  <c r="A4648" i="3"/>
  <c r="A4649" i="3"/>
  <c r="A4650" i="3"/>
  <c r="A4651" i="3"/>
  <c r="A4652" i="3"/>
  <c r="A4653" i="3"/>
  <c r="A4654" i="3"/>
  <c r="A4655" i="3"/>
  <c r="A4656" i="3"/>
  <c r="A4657" i="3"/>
  <c r="A4658" i="3"/>
  <c r="A4659" i="3"/>
  <c r="A4660" i="3"/>
  <c r="A4661" i="3"/>
  <c r="A4662" i="3"/>
  <c r="A4663" i="3"/>
  <c r="A4664" i="3"/>
  <c r="A4665" i="3"/>
  <c r="A4666" i="3"/>
  <c r="A4667" i="3"/>
  <c r="A4668" i="3"/>
  <c r="A4669" i="3"/>
  <c r="A4670" i="3"/>
  <c r="A4671" i="3"/>
  <c r="A4672" i="3"/>
  <c r="A4673" i="3"/>
  <c r="A4674" i="3"/>
  <c r="A4675" i="3"/>
  <c r="A4676" i="3"/>
  <c r="A4677" i="3"/>
  <c r="A4678" i="3"/>
  <c r="A4679" i="3"/>
  <c r="A4680" i="3"/>
  <c r="A4681" i="3"/>
  <c r="A4682" i="3"/>
  <c r="A4683" i="3"/>
  <c r="A4684" i="3"/>
  <c r="A4685" i="3"/>
  <c r="A4686" i="3"/>
  <c r="A4687" i="3"/>
  <c r="A4688" i="3"/>
  <c r="A4689" i="3"/>
  <c r="A4690" i="3"/>
  <c r="A4691" i="3"/>
  <c r="A4692" i="3"/>
  <c r="A4693" i="3"/>
  <c r="A4694" i="3"/>
  <c r="A4695" i="3"/>
  <c r="A4696" i="3"/>
  <c r="A4697" i="3"/>
  <c r="A4698" i="3"/>
  <c r="A4699" i="3"/>
  <c r="A4700" i="3"/>
  <c r="A4701" i="3"/>
  <c r="A4702" i="3"/>
  <c r="A4703" i="3"/>
  <c r="A4704" i="3"/>
  <c r="A4705" i="3"/>
  <c r="A4706" i="3"/>
  <c r="A4707" i="3"/>
  <c r="A4708" i="3"/>
  <c r="A4709" i="3"/>
  <c r="A4710" i="3"/>
  <c r="A4711" i="3"/>
  <c r="A4712" i="3"/>
  <c r="A4713" i="3"/>
  <c r="A4714" i="3"/>
  <c r="A4715" i="3"/>
  <c r="A4716" i="3"/>
  <c r="A4717" i="3"/>
  <c r="A4718" i="3"/>
  <c r="A4719" i="3"/>
  <c r="A4720" i="3"/>
  <c r="A4721" i="3"/>
  <c r="A4722" i="3"/>
  <c r="A4723" i="3"/>
  <c r="A4724" i="3"/>
  <c r="A4725" i="3"/>
  <c r="A4726" i="3"/>
  <c r="A4727" i="3"/>
  <c r="A4728" i="3"/>
  <c r="A4729" i="3"/>
  <c r="A4730" i="3"/>
  <c r="A4731" i="3"/>
  <c r="A4732" i="3"/>
  <c r="A4733" i="3"/>
  <c r="A4734" i="3"/>
  <c r="A4735" i="3"/>
  <c r="A4736" i="3"/>
  <c r="A4737" i="3"/>
  <c r="A4738" i="3"/>
  <c r="A4739" i="3"/>
  <c r="A4740" i="3"/>
  <c r="A4741" i="3"/>
  <c r="A4742" i="3"/>
  <c r="A4743" i="3"/>
  <c r="A4744" i="3"/>
  <c r="A4745" i="3"/>
  <c r="A4746" i="3"/>
  <c r="A4747" i="3"/>
  <c r="A4748" i="3"/>
  <c r="A4749" i="3"/>
  <c r="A4750" i="3"/>
  <c r="A4751" i="3"/>
  <c r="A4752" i="3"/>
  <c r="A4753" i="3"/>
  <c r="A4754" i="3"/>
  <c r="A4755" i="3"/>
  <c r="A4756" i="3"/>
  <c r="A4757" i="3"/>
  <c r="A4758" i="3"/>
  <c r="A4759" i="3"/>
  <c r="A4760" i="3"/>
  <c r="A4761" i="3"/>
  <c r="A4762" i="3"/>
  <c r="A4763" i="3"/>
  <c r="A4764" i="3"/>
  <c r="A4765" i="3"/>
  <c r="A4766" i="3"/>
  <c r="A4767" i="3"/>
  <c r="A4768" i="3"/>
  <c r="A4769" i="3"/>
  <c r="A4770" i="3"/>
  <c r="A4771" i="3"/>
  <c r="A4772" i="3"/>
  <c r="A4773" i="3"/>
  <c r="A4774" i="3"/>
  <c r="A4775" i="3"/>
  <c r="A4776" i="3"/>
  <c r="A4777" i="3"/>
  <c r="A4778" i="3"/>
  <c r="A4779" i="3"/>
  <c r="A4780" i="3"/>
  <c r="A4781" i="3"/>
  <c r="A4782" i="3"/>
  <c r="A4783" i="3"/>
  <c r="A4784" i="3"/>
  <c r="A4785" i="3"/>
  <c r="A4786" i="3"/>
  <c r="A4787" i="3"/>
  <c r="A4788" i="3"/>
  <c r="A4789" i="3"/>
  <c r="A4790" i="3"/>
  <c r="A4791" i="3"/>
  <c r="A4792" i="3"/>
  <c r="A4793" i="3"/>
  <c r="A4794" i="3"/>
  <c r="A4795" i="3"/>
  <c r="A4796" i="3"/>
  <c r="A4797" i="3"/>
  <c r="A4798" i="3"/>
  <c r="A4799" i="3"/>
  <c r="A4800" i="3"/>
  <c r="A4801" i="3"/>
  <c r="A4802" i="3"/>
  <c r="A4803" i="3"/>
  <c r="A4804" i="3"/>
  <c r="A4805" i="3"/>
  <c r="A4806" i="3"/>
  <c r="A4807" i="3"/>
  <c r="A4808" i="3"/>
  <c r="A4809" i="3"/>
  <c r="A4810" i="3"/>
  <c r="A4811" i="3"/>
  <c r="A4812" i="3"/>
  <c r="A4813" i="3"/>
  <c r="A4814" i="3"/>
  <c r="A4815" i="3"/>
  <c r="A4816" i="3"/>
  <c r="A4817" i="3"/>
  <c r="A4818" i="3"/>
  <c r="A4819" i="3"/>
  <c r="A4820" i="3"/>
  <c r="A4821" i="3"/>
  <c r="A4822" i="3"/>
  <c r="A4823" i="3"/>
  <c r="A4824" i="3"/>
  <c r="A4825" i="3"/>
  <c r="A4826" i="3"/>
  <c r="A4827" i="3"/>
  <c r="A4828" i="3"/>
  <c r="A4829" i="3"/>
  <c r="A4830" i="3"/>
  <c r="A4831" i="3"/>
  <c r="A4832" i="3"/>
  <c r="A4833" i="3"/>
  <c r="A4834" i="3"/>
  <c r="A4835" i="3"/>
  <c r="A4836" i="3"/>
  <c r="A4837" i="3"/>
  <c r="A4838" i="3"/>
  <c r="A4839" i="3"/>
  <c r="A4840" i="3"/>
  <c r="A4841" i="3"/>
  <c r="A4842" i="3"/>
  <c r="A4843" i="3"/>
  <c r="A4844" i="3"/>
  <c r="A4845" i="3"/>
  <c r="A4846" i="3"/>
  <c r="A4847" i="3"/>
  <c r="A4848" i="3"/>
  <c r="A4849" i="3"/>
  <c r="A4850" i="3"/>
  <c r="A4851" i="3"/>
  <c r="A4852" i="3"/>
  <c r="A4853" i="3"/>
  <c r="A4854" i="3"/>
  <c r="A4855" i="3"/>
  <c r="A4856" i="3"/>
  <c r="A4857" i="3"/>
  <c r="A4858" i="3"/>
  <c r="A4859" i="3"/>
  <c r="A4860" i="3"/>
  <c r="A4861" i="3"/>
  <c r="A4862" i="3"/>
  <c r="A4863" i="3"/>
  <c r="A4864" i="3"/>
  <c r="A4865" i="3"/>
  <c r="A4866" i="3"/>
  <c r="A4867" i="3"/>
  <c r="A4868" i="3"/>
  <c r="A4869" i="3"/>
  <c r="A4870" i="3"/>
  <c r="A4871" i="3"/>
  <c r="A4872" i="3"/>
  <c r="A4873" i="3"/>
  <c r="A4874" i="3"/>
  <c r="A4875" i="3"/>
  <c r="A4876" i="3"/>
  <c r="A4877" i="3"/>
  <c r="A4878" i="3"/>
  <c r="A4879" i="3"/>
  <c r="A4880" i="3"/>
  <c r="A4881" i="3"/>
  <c r="A4882" i="3"/>
  <c r="A4883" i="3"/>
  <c r="A4884" i="3"/>
  <c r="A4885" i="3"/>
  <c r="A4886" i="3"/>
  <c r="A4887" i="3"/>
  <c r="A4888" i="3"/>
  <c r="A4889" i="3"/>
  <c r="A4890" i="3"/>
  <c r="A4891" i="3"/>
  <c r="A4892" i="3"/>
  <c r="A4893" i="3"/>
  <c r="A4894" i="3"/>
  <c r="A4895" i="3"/>
  <c r="A4896" i="3"/>
  <c r="A4897" i="3"/>
  <c r="A4898" i="3"/>
  <c r="A4899" i="3"/>
  <c r="A4900" i="3"/>
  <c r="A4901" i="3"/>
  <c r="A4902" i="3"/>
  <c r="A4903" i="3"/>
  <c r="A4904" i="3"/>
  <c r="A4905" i="3"/>
  <c r="A4906" i="3"/>
  <c r="A4907" i="3"/>
  <c r="A4908" i="3"/>
  <c r="A4909" i="3"/>
  <c r="A4910" i="3"/>
  <c r="A4911" i="3"/>
  <c r="A4912" i="3"/>
  <c r="A4913" i="3"/>
  <c r="A4914" i="3"/>
  <c r="A4915" i="3"/>
  <c r="A4916" i="3"/>
  <c r="A4917" i="3"/>
  <c r="A4918" i="3"/>
  <c r="A4919" i="3"/>
  <c r="A4920" i="3"/>
  <c r="A4921" i="3"/>
  <c r="A4922" i="3"/>
  <c r="A4923" i="3"/>
  <c r="A4924" i="3"/>
  <c r="A4925" i="3"/>
  <c r="A4926" i="3"/>
  <c r="A4927" i="3"/>
  <c r="A4928" i="3"/>
  <c r="A4929" i="3"/>
  <c r="A4930" i="3"/>
  <c r="A4931" i="3"/>
  <c r="A4932" i="3"/>
  <c r="A4933" i="3"/>
  <c r="A4934" i="3"/>
  <c r="A4935" i="3"/>
  <c r="A4936" i="3"/>
  <c r="A4937" i="3"/>
  <c r="A4938" i="3"/>
  <c r="A4939" i="3"/>
  <c r="A4940" i="3"/>
  <c r="A4941" i="3"/>
  <c r="A4942" i="3"/>
  <c r="A4943" i="3"/>
  <c r="A4944" i="3"/>
  <c r="A4945" i="3"/>
  <c r="A4946" i="3"/>
  <c r="A4947" i="3"/>
  <c r="A4948" i="3"/>
  <c r="A4949" i="3"/>
  <c r="A4950" i="3"/>
  <c r="A4951" i="3"/>
  <c r="A4952" i="3"/>
  <c r="A4953" i="3"/>
  <c r="A4954" i="3"/>
  <c r="A4955" i="3"/>
  <c r="A4956" i="3"/>
  <c r="A4957" i="3"/>
  <c r="A4958" i="3"/>
  <c r="A4959" i="3"/>
  <c r="A4960" i="3"/>
  <c r="A4961" i="3"/>
  <c r="A4962" i="3"/>
  <c r="A4963" i="3"/>
  <c r="A4964" i="3"/>
  <c r="A4965" i="3"/>
  <c r="A4966" i="3"/>
  <c r="A4967" i="3"/>
  <c r="A4968" i="3"/>
  <c r="A4969" i="3"/>
  <c r="A4970" i="3"/>
  <c r="A4971" i="3"/>
  <c r="A4972" i="3"/>
  <c r="A4973" i="3"/>
  <c r="A4974" i="3"/>
  <c r="A4975" i="3"/>
  <c r="A4976" i="3"/>
  <c r="A4977" i="3"/>
  <c r="A4978" i="3"/>
  <c r="A4979" i="3"/>
  <c r="A4980" i="3"/>
  <c r="A4981" i="3"/>
  <c r="A4982" i="3"/>
  <c r="A4983" i="3"/>
  <c r="A4984" i="3"/>
  <c r="A4985" i="3"/>
  <c r="A4986" i="3"/>
  <c r="A4987" i="3"/>
  <c r="A4988" i="3"/>
  <c r="A4989" i="3"/>
  <c r="A4990" i="3"/>
  <c r="A4991" i="3"/>
  <c r="A4992" i="3"/>
  <c r="A4993" i="3"/>
  <c r="A4994" i="3"/>
  <c r="A4995" i="3"/>
  <c r="A4996" i="3"/>
  <c r="A4997" i="3"/>
  <c r="A4998" i="3"/>
  <c r="A4999" i="3"/>
  <c r="A5000" i="3"/>
  <c r="A5001" i="3"/>
  <c r="A10" i="4" a="1"/>
  <c r="C398" i="4" s="1"/>
  <c r="E5001" i="3"/>
  <c r="E5000" i="3"/>
  <c r="E4999" i="3"/>
  <c r="E4998" i="3"/>
  <c r="E4997" i="3"/>
  <c r="E4996" i="3"/>
  <c r="E4995" i="3"/>
  <c r="E4994" i="3"/>
  <c r="E4993" i="3"/>
  <c r="E4992" i="3"/>
  <c r="E4991" i="3"/>
  <c r="E4990" i="3"/>
  <c r="E4989" i="3"/>
  <c r="E4988" i="3"/>
  <c r="E4987" i="3"/>
  <c r="E4986" i="3"/>
  <c r="E4985" i="3"/>
  <c r="E4984" i="3"/>
  <c r="E4983" i="3"/>
  <c r="E4982" i="3"/>
  <c r="E4981" i="3"/>
  <c r="E4980" i="3"/>
  <c r="E4979" i="3"/>
  <c r="E4978" i="3"/>
  <c r="E4977" i="3"/>
  <c r="E4976" i="3"/>
  <c r="E4975" i="3"/>
  <c r="E4974" i="3"/>
  <c r="E4973" i="3"/>
  <c r="E4972" i="3"/>
  <c r="E4971" i="3"/>
  <c r="E4970" i="3"/>
  <c r="E4969" i="3"/>
  <c r="E4968" i="3"/>
  <c r="E4967" i="3"/>
  <c r="E4966" i="3"/>
  <c r="E4965" i="3"/>
  <c r="E4964" i="3"/>
  <c r="E4963" i="3"/>
  <c r="E4962" i="3"/>
  <c r="E4961" i="3"/>
  <c r="E4960" i="3"/>
  <c r="E4959" i="3"/>
  <c r="E4958" i="3"/>
  <c r="E4957" i="3"/>
  <c r="E4956" i="3"/>
  <c r="E4955" i="3"/>
  <c r="E4954" i="3"/>
  <c r="E4953" i="3"/>
  <c r="E4952" i="3"/>
  <c r="E4951" i="3"/>
  <c r="E4950" i="3"/>
  <c r="E4949" i="3"/>
  <c r="E4948" i="3"/>
  <c r="E4947" i="3"/>
  <c r="E4946" i="3"/>
  <c r="E4945" i="3"/>
  <c r="E4944" i="3"/>
  <c r="E4943" i="3"/>
  <c r="E4942" i="3"/>
  <c r="E4941" i="3"/>
  <c r="E4940" i="3"/>
  <c r="E4939" i="3"/>
  <c r="E4938" i="3"/>
  <c r="E4937" i="3"/>
  <c r="E4936" i="3"/>
  <c r="E4935" i="3"/>
  <c r="E4934" i="3"/>
  <c r="E4933" i="3"/>
  <c r="E4932" i="3"/>
  <c r="E4931" i="3"/>
  <c r="E4930" i="3"/>
  <c r="E4929" i="3"/>
  <c r="E4928" i="3"/>
  <c r="E4927" i="3"/>
  <c r="E4926" i="3"/>
  <c r="E4925" i="3"/>
  <c r="E4924" i="3"/>
  <c r="E4923" i="3"/>
  <c r="E4922" i="3"/>
  <c r="E4921" i="3"/>
  <c r="E4920" i="3"/>
  <c r="E4919" i="3"/>
  <c r="E4918" i="3"/>
  <c r="E4917" i="3"/>
  <c r="E4916" i="3"/>
  <c r="E4915" i="3"/>
  <c r="E4914" i="3"/>
  <c r="E4913" i="3"/>
  <c r="E4912" i="3"/>
  <c r="E4911" i="3"/>
  <c r="E4910" i="3"/>
  <c r="E4909" i="3"/>
  <c r="E4908" i="3"/>
  <c r="E4907" i="3"/>
  <c r="E4906" i="3"/>
  <c r="E4905" i="3"/>
  <c r="E4904" i="3"/>
  <c r="E4903" i="3"/>
  <c r="E4902" i="3"/>
  <c r="E4901" i="3"/>
  <c r="E4900" i="3"/>
  <c r="E4899" i="3"/>
  <c r="E4898" i="3"/>
  <c r="E4897" i="3"/>
  <c r="E4896" i="3"/>
  <c r="E4895" i="3"/>
  <c r="E4894" i="3"/>
  <c r="E4893" i="3"/>
  <c r="E4892" i="3"/>
  <c r="E4891" i="3"/>
  <c r="E4890" i="3"/>
  <c r="E4889" i="3"/>
  <c r="E4888" i="3"/>
  <c r="E4887" i="3"/>
  <c r="E4886" i="3"/>
  <c r="E4885" i="3"/>
  <c r="E4884" i="3"/>
  <c r="E4883" i="3"/>
  <c r="E4882" i="3"/>
  <c r="E4881" i="3"/>
  <c r="E4880" i="3"/>
  <c r="E4879" i="3"/>
  <c r="E4878" i="3"/>
  <c r="E4877" i="3"/>
  <c r="E4876" i="3"/>
  <c r="E4875" i="3"/>
  <c r="E4874" i="3"/>
  <c r="E4873" i="3"/>
  <c r="E4872" i="3"/>
  <c r="E4871" i="3"/>
  <c r="E4870" i="3"/>
  <c r="E4869" i="3"/>
  <c r="E4868" i="3"/>
  <c r="E4867" i="3"/>
  <c r="E4866" i="3"/>
  <c r="E4865" i="3"/>
  <c r="E4864" i="3"/>
  <c r="E4863" i="3"/>
  <c r="E4862" i="3"/>
  <c r="E4861" i="3"/>
  <c r="E4860" i="3"/>
  <c r="E4859" i="3"/>
  <c r="E4858" i="3"/>
  <c r="E4857" i="3"/>
  <c r="E4856" i="3"/>
  <c r="E4855" i="3"/>
  <c r="E4854" i="3"/>
  <c r="E4853" i="3"/>
  <c r="E4852" i="3"/>
  <c r="E4851" i="3"/>
  <c r="E4850" i="3"/>
  <c r="E4849" i="3"/>
  <c r="E4848" i="3"/>
  <c r="E4847" i="3"/>
  <c r="E4846" i="3"/>
  <c r="E4845" i="3"/>
  <c r="E4844" i="3"/>
  <c r="E4843" i="3"/>
  <c r="E4842" i="3"/>
  <c r="E4841" i="3"/>
  <c r="E4840" i="3"/>
  <c r="E4839" i="3"/>
  <c r="E4838" i="3"/>
  <c r="E4837" i="3"/>
  <c r="E4836" i="3"/>
  <c r="E4835" i="3"/>
  <c r="E4834" i="3"/>
  <c r="E4833" i="3"/>
  <c r="E4832" i="3"/>
  <c r="E4831" i="3"/>
  <c r="E4830" i="3"/>
  <c r="E4829" i="3"/>
  <c r="E4828" i="3"/>
  <c r="E4827" i="3"/>
  <c r="E4826" i="3"/>
  <c r="E4825" i="3"/>
  <c r="E4824" i="3"/>
  <c r="E4823" i="3"/>
  <c r="E4822" i="3"/>
  <c r="E4821" i="3"/>
  <c r="E4820" i="3"/>
  <c r="E4819" i="3"/>
  <c r="E4818" i="3"/>
  <c r="E4817" i="3"/>
  <c r="E4816" i="3"/>
  <c r="E4815" i="3"/>
  <c r="E4814" i="3"/>
  <c r="E4813" i="3"/>
  <c r="E4812" i="3"/>
  <c r="E4811" i="3"/>
  <c r="E4810" i="3"/>
  <c r="E4809" i="3"/>
  <c r="E4808" i="3"/>
  <c r="E4807" i="3"/>
  <c r="E4806" i="3"/>
  <c r="E4805" i="3"/>
  <c r="E4804" i="3"/>
  <c r="E4803" i="3"/>
  <c r="E4802" i="3"/>
  <c r="E4801" i="3"/>
  <c r="E4800" i="3"/>
  <c r="E4799" i="3"/>
  <c r="E4798" i="3"/>
  <c r="E4797" i="3"/>
  <c r="E4796" i="3"/>
  <c r="E4795" i="3"/>
  <c r="E4794" i="3"/>
  <c r="E4793" i="3"/>
  <c r="E4792" i="3"/>
  <c r="E4791" i="3"/>
  <c r="E4790" i="3"/>
  <c r="E4789" i="3"/>
  <c r="E4788" i="3"/>
  <c r="E4787" i="3"/>
  <c r="E4786" i="3"/>
  <c r="E4785" i="3"/>
  <c r="E4784" i="3"/>
  <c r="E4783" i="3"/>
  <c r="E4782" i="3"/>
  <c r="E4781" i="3"/>
  <c r="E4780" i="3"/>
  <c r="E4779" i="3"/>
  <c r="E4778" i="3"/>
  <c r="E4777" i="3"/>
  <c r="E4776" i="3"/>
  <c r="E4775" i="3"/>
  <c r="E4774" i="3"/>
  <c r="E4773" i="3"/>
  <c r="E4772" i="3"/>
  <c r="E4771" i="3"/>
  <c r="E4770" i="3"/>
  <c r="E4769" i="3"/>
  <c r="E4768" i="3"/>
  <c r="E4767" i="3"/>
  <c r="E4766" i="3"/>
  <c r="E4765" i="3"/>
  <c r="E4764" i="3"/>
  <c r="E4763" i="3"/>
  <c r="E4762" i="3"/>
  <c r="E4761" i="3"/>
  <c r="E4760" i="3"/>
  <c r="E4759" i="3"/>
  <c r="E4758" i="3"/>
  <c r="E4757" i="3"/>
  <c r="E4756" i="3"/>
  <c r="E4755" i="3"/>
  <c r="E4754" i="3"/>
  <c r="E4753" i="3"/>
  <c r="E4752" i="3"/>
  <c r="E4751" i="3"/>
  <c r="E4750" i="3"/>
  <c r="E4749" i="3"/>
  <c r="E4748" i="3"/>
  <c r="E4747" i="3"/>
  <c r="E4746" i="3"/>
  <c r="E4745" i="3"/>
  <c r="E4744" i="3"/>
  <c r="E4743" i="3"/>
  <c r="E4742" i="3"/>
  <c r="E4741" i="3"/>
  <c r="E4740" i="3"/>
  <c r="E4739" i="3"/>
  <c r="E4738" i="3"/>
  <c r="E4737" i="3"/>
  <c r="E4736" i="3"/>
  <c r="E4735" i="3"/>
  <c r="E4734" i="3"/>
  <c r="E4733" i="3"/>
  <c r="E4732" i="3"/>
  <c r="E4731" i="3"/>
  <c r="E4730" i="3"/>
  <c r="E4729" i="3"/>
  <c r="E4728" i="3"/>
  <c r="E4727" i="3"/>
  <c r="E4726" i="3"/>
  <c r="E4725" i="3"/>
  <c r="E4724" i="3"/>
  <c r="E4723" i="3"/>
  <c r="E4722" i="3"/>
  <c r="E4721" i="3"/>
  <c r="E4720" i="3"/>
  <c r="E4719" i="3"/>
  <c r="E4718" i="3"/>
  <c r="E4717" i="3"/>
  <c r="E4716" i="3"/>
  <c r="E4715" i="3"/>
  <c r="E4714" i="3"/>
  <c r="E4713" i="3"/>
  <c r="E4712" i="3"/>
  <c r="E4711" i="3"/>
  <c r="E4710" i="3"/>
  <c r="E4709" i="3"/>
  <c r="E4708" i="3"/>
  <c r="E4707" i="3"/>
  <c r="E4706" i="3"/>
  <c r="E4705" i="3"/>
  <c r="E4704" i="3"/>
  <c r="E4703" i="3"/>
  <c r="E4702" i="3"/>
  <c r="E4701" i="3"/>
  <c r="E4700" i="3"/>
  <c r="E4699" i="3"/>
  <c r="E4698" i="3"/>
  <c r="E4697" i="3"/>
  <c r="E4696" i="3"/>
  <c r="E4695" i="3"/>
  <c r="E4694" i="3"/>
  <c r="E4693" i="3"/>
  <c r="E4692" i="3"/>
  <c r="E4691" i="3"/>
  <c r="E4690" i="3"/>
  <c r="E4689" i="3"/>
  <c r="E4688" i="3"/>
  <c r="E4687" i="3"/>
  <c r="E4686" i="3"/>
  <c r="E4685" i="3"/>
  <c r="E4684" i="3"/>
  <c r="E4683" i="3"/>
  <c r="E4682" i="3"/>
  <c r="E4681" i="3"/>
  <c r="E4680" i="3"/>
  <c r="E4679" i="3"/>
  <c r="E4678" i="3"/>
  <c r="E4677" i="3"/>
  <c r="E4676" i="3"/>
  <c r="E4675" i="3"/>
  <c r="E4674" i="3"/>
  <c r="E4673" i="3"/>
  <c r="E4672" i="3"/>
  <c r="E4671" i="3"/>
  <c r="E4670" i="3"/>
  <c r="E4669" i="3"/>
  <c r="E4668" i="3"/>
  <c r="E4667" i="3"/>
  <c r="E4666" i="3"/>
  <c r="E4665" i="3"/>
  <c r="E4664" i="3"/>
  <c r="E4663" i="3"/>
  <c r="E4662" i="3"/>
  <c r="E4661" i="3"/>
  <c r="E4660" i="3"/>
  <c r="E4659" i="3"/>
  <c r="E4658" i="3"/>
  <c r="E4657" i="3"/>
  <c r="E4656" i="3"/>
  <c r="E4655" i="3"/>
  <c r="E4654" i="3"/>
  <c r="E4653" i="3"/>
  <c r="E4652" i="3"/>
  <c r="E4651" i="3"/>
  <c r="E4650" i="3"/>
  <c r="E4649" i="3"/>
  <c r="E4648" i="3"/>
  <c r="E4647" i="3"/>
  <c r="E4646" i="3"/>
  <c r="E4645" i="3"/>
  <c r="E4644" i="3"/>
  <c r="E4643" i="3"/>
  <c r="E4642" i="3"/>
  <c r="E4641" i="3"/>
  <c r="E4640" i="3"/>
  <c r="E4639" i="3"/>
  <c r="E4638" i="3"/>
  <c r="E4637" i="3"/>
  <c r="E4636" i="3"/>
  <c r="E4635" i="3"/>
  <c r="E4634" i="3"/>
  <c r="E4633" i="3"/>
  <c r="E4632" i="3"/>
  <c r="E4631" i="3"/>
  <c r="E4630" i="3"/>
  <c r="E4629" i="3"/>
  <c r="E4628" i="3"/>
  <c r="E4627" i="3"/>
  <c r="E4626" i="3"/>
  <c r="E4625" i="3"/>
  <c r="E4624" i="3"/>
  <c r="E4623" i="3"/>
  <c r="E4622" i="3"/>
  <c r="E4621" i="3"/>
  <c r="E4620" i="3"/>
  <c r="E4619" i="3"/>
  <c r="E4618" i="3"/>
  <c r="E4617" i="3"/>
  <c r="E4616" i="3"/>
  <c r="E4615" i="3"/>
  <c r="E4614" i="3"/>
  <c r="E4613" i="3"/>
  <c r="E4612" i="3"/>
  <c r="E4611" i="3"/>
  <c r="E4610" i="3"/>
  <c r="E4609" i="3"/>
  <c r="E4608" i="3"/>
  <c r="E4607" i="3"/>
  <c r="E4606" i="3"/>
  <c r="E4605" i="3"/>
  <c r="E4604" i="3"/>
  <c r="E4603" i="3"/>
  <c r="E4602" i="3"/>
  <c r="E4601" i="3"/>
  <c r="E4600" i="3"/>
  <c r="E4599" i="3"/>
  <c r="E4598" i="3"/>
  <c r="E4597" i="3"/>
  <c r="E4596" i="3"/>
  <c r="E4595" i="3"/>
  <c r="E4594" i="3"/>
  <c r="E4593" i="3"/>
  <c r="E4592" i="3"/>
  <c r="E4591" i="3"/>
  <c r="E4590" i="3"/>
  <c r="E4589" i="3"/>
  <c r="E4588" i="3"/>
  <c r="E4587" i="3"/>
  <c r="E4586" i="3"/>
  <c r="E4585" i="3"/>
  <c r="E4584" i="3"/>
  <c r="E4583" i="3"/>
  <c r="E4582" i="3"/>
  <c r="E4581" i="3"/>
  <c r="E4580" i="3"/>
  <c r="E4579" i="3"/>
  <c r="E4578" i="3"/>
  <c r="E4577" i="3"/>
  <c r="E4576" i="3"/>
  <c r="E4575" i="3"/>
  <c r="E4574" i="3"/>
  <c r="E4573" i="3"/>
  <c r="E4572" i="3"/>
  <c r="E4571" i="3"/>
  <c r="E4570" i="3"/>
  <c r="E4569" i="3"/>
  <c r="E4568" i="3"/>
  <c r="E4567" i="3"/>
  <c r="E4566" i="3"/>
  <c r="E4565" i="3"/>
  <c r="E4564" i="3"/>
  <c r="E4563" i="3"/>
  <c r="E4562" i="3"/>
  <c r="E4561" i="3"/>
  <c r="E4560" i="3"/>
  <c r="E4559" i="3"/>
  <c r="E4558" i="3"/>
  <c r="E4557" i="3"/>
  <c r="E4556" i="3"/>
  <c r="E4555" i="3"/>
  <c r="E4554" i="3"/>
  <c r="E4553" i="3"/>
  <c r="E4552" i="3"/>
  <c r="E4551" i="3"/>
  <c r="E4550" i="3"/>
  <c r="E4549" i="3"/>
  <c r="E4548" i="3"/>
  <c r="E4547" i="3"/>
  <c r="E4546" i="3"/>
  <c r="E4545" i="3"/>
  <c r="E4544" i="3"/>
  <c r="E4543" i="3"/>
  <c r="E4542" i="3"/>
  <c r="E4541" i="3"/>
  <c r="E4540" i="3"/>
  <c r="E4539" i="3"/>
  <c r="E4538" i="3"/>
  <c r="E4537" i="3"/>
  <c r="E4536" i="3"/>
  <c r="E4535" i="3"/>
  <c r="E4534" i="3"/>
  <c r="E4533" i="3"/>
  <c r="E4532" i="3"/>
  <c r="E4531" i="3"/>
  <c r="E4530" i="3"/>
  <c r="E4529" i="3"/>
  <c r="E4528" i="3"/>
  <c r="E4527" i="3"/>
  <c r="E4526" i="3"/>
  <c r="E4525" i="3"/>
  <c r="E4524" i="3"/>
  <c r="E4523" i="3"/>
  <c r="E4522" i="3"/>
  <c r="E4521" i="3"/>
  <c r="E4520" i="3"/>
  <c r="E4519" i="3"/>
  <c r="E4518" i="3"/>
  <c r="E4517" i="3"/>
  <c r="E4516" i="3"/>
  <c r="E4515" i="3"/>
  <c r="E4514" i="3"/>
  <c r="E4513" i="3"/>
  <c r="E4512" i="3"/>
  <c r="E4511" i="3"/>
  <c r="E4510" i="3"/>
  <c r="E4509" i="3"/>
  <c r="E4508" i="3"/>
  <c r="E4507" i="3"/>
  <c r="E4506" i="3"/>
  <c r="E4505" i="3"/>
  <c r="E4504" i="3"/>
  <c r="E4503" i="3"/>
  <c r="E4502" i="3"/>
  <c r="E4501" i="3"/>
  <c r="E4500" i="3"/>
  <c r="E4499" i="3"/>
  <c r="E4498" i="3"/>
  <c r="E4497" i="3"/>
  <c r="E4496" i="3"/>
  <c r="E4495" i="3"/>
  <c r="E4494" i="3"/>
  <c r="E4493" i="3"/>
  <c r="E4492" i="3"/>
  <c r="E4491" i="3"/>
  <c r="E4490" i="3"/>
  <c r="E4489" i="3"/>
  <c r="E4488" i="3"/>
  <c r="E4487" i="3"/>
  <c r="E4486" i="3"/>
  <c r="E4485" i="3"/>
  <c r="E4484" i="3"/>
  <c r="E4483" i="3"/>
  <c r="E4482" i="3"/>
  <c r="E4481" i="3"/>
  <c r="E4480" i="3"/>
  <c r="E4479" i="3"/>
  <c r="E4478" i="3"/>
  <c r="E4477" i="3"/>
  <c r="E4476" i="3"/>
  <c r="E4475" i="3"/>
  <c r="E4474" i="3"/>
  <c r="E4473" i="3"/>
  <c r="E4472" i="3"/>
  <c r="E4471" i="3"/>
  <c r="E4470" i="3"/>
  <c r="E4469" i="3"/>
  <c r="E4468" i="3"/>
  <c r="E4467" i="3"/>
  <c r="E4466" i="3"/>
  <c r="E4465" i="3"/>
  <c r="E4464" i="3"/>
  <c r="E4463" i="3"/>
  <c r="E4462" i="3"/>
  <c r="E4461" i="3"/>
  <c r="E4460" i="3"/>
  <c r="E4459" i="3"/>
  <c r="E4458" i="3"/>
  <c r="E4457" i="3"/>
  <c r="E4456" i="3"/>
  <c r="E4455" i="3"/>
  <c r="E4454" i="3"/>
  <c r="E4453" i="3"/>
  <c r="E4452" i="3"/>
  <c r="E4451" i="3"/>
  <c r="E4450" i="3"/>
  <c r="E4449" i="3"/>
  <c r="E4448" i="3"/>
  <c r="E4447" i="3"/>
  <c r="E4446" i="3"/>
  <c r="E4445" i="3"/>
  <c r="E4444" i="3"/>
  <c r="E4443" i="3"/>
  <c r="E4442" i="3"/>
  <c r="E4441" i="3"/>
  <c r="E4440" i="3"/>
  <c r="E4439" i="3"/>
  <c r="E4438" i="3"/>
  <c r="E4437" i="3"/>
  <c r="E4436" i="3"/>
  <c r="E4435" i="3"/>
  <c r="E4434" i="3"/>
  <c r="E4433" i="3"/>
  <c r="E4432" i="3"/>
  <c r="E4431" i="3"/>
  <c r="E4430" i="3"/>
  <c r="E4429" i="3"/>
  <c r="E4428" i="3"/>
  <c r="E4427" i="3"/>
  <c r="E4426" i="3"/>
  <c r="E4425" i="3"/>
  <c r="E4424" i="3"/>
  <c r="E4423" i="3"/>
  <c r="E4422" i="3"/>
  <c r="E4421" i="3"/>
  <c r="E4420" i="3"/>
  <c r="E4419" i="3"/>
  <c r="E4418" i="3"/>
  <c r="E4417" i="3"/>
  <c r="E4416" i="3"/>
  <c r="E4415" i="3"/>
  <c r="E4414" i="3"/>
  <c r="E4413" i="3"/>
  <c r="E4412" i="3"/>
  <c r="E4411" i="3"/>
  <c r="E4410" i="3"/>
  <c r="E4409" i="3"/>
  <c r="E4408" i="3"/>
  <c r="E4407" i="3"/>
  <c r="E4406" i="3"/>
  <c r="E4405" i="3"/>
  <c r="E4404" i="3"/>
  <c r="E4403" i="3"/>
  <c r="E4402" i="3"/>
  <c r="E4401" i="3"/>
  <c r="E4400" i="3"/>
  <c r="E4399" i="3"/>
  <c r="E4398" i="3"/>
  <c r="E4397" i="3"/>
  <c r="E4396" i="3"/>
  <c r="E4395" i="3"/>
  <c r="E4394" i="3"/>
  <c r="E4393" i="3"/>
  <c r="E4392" i="3"/>
  <c r="E4391" i="3"/>
  <c r="E4390" i="3"/>
  <c r="E4389" i="3"/>
  <c r="E4388" i="3"/>
  <c r="E4387" i="3"/>
  <c r="E4386" i="3"/>
  <c r="E4385" i="3"/>
  <c r="E4384" i="3"/>
  <c r="E4383" i="3"/>
  <c r="E4382" i="3"/>
  <c r="E4381" i="3"/>
  <c r="E4380" i="3"/>
  <c r="E4379" i="3"/>
  <c r="E4378" i="3"/>
  <c r="E4377" i="3"/>
  <c r="E4376" i="3"/>
  <c r="E4375" i="3"/>
  <c r="E4374" i="3"/>
  <c r="E4373" i="3"/>
  <c r="E4372" i="3"/>
  <c r="E4371" i="3"/>
  <c r="E4370" i="3"/>
  <c r="E4369" i="3"/>
  <c r="E4368" i="3"/>
  <c r="E4367" i="3"/>
  <c r="E4366" i="3"/>
  <c r="E4365" i="3"/>
  <c r="E4364" i="3"/>
  <c r="E4363" i="3"/>
  <c r="E4362" i="3"/>
  <c r="E4361" i="3"/>
  <c r="E4360" i="3"/>
  <c r="E4359" i="3"/>
  <c r="E4358" i="3"/>
  <c r="E4357" i="3"/>
  <c r="E4356" i="3"/>
  <c r="E4355" i="3"/>
  <c r="E4354" i="3"/>
  <c r="E4353" i="3"/>
  <c r="E4352" i="3"/>
  <c r="E4351" i="3"/>
  <c r="E4350" i="3"/>
  <c r="E4349" i="3"/>
  <c r="E4348" i="3"/>
  <c r="E4347" i="3"/>
  <c r="E4346" i="3"/>
  <c r="E4345" i="3"/>
  <c r="E4344" i="3"/>
  <c r="E4343" i="3"/>
  <c r="E4342" i="3"/>
  <c r="E4341" i="3"/>
  <c r="E4340" i="3"/>
  <c r="E4339" i="3"/>
  <c r="E4338" i="3"/>
  <c r="E4337" i="3"/>
  <c r="E4336" i="3"/>
  <c r="E4335" i="3"/>
  <c r="E4334" i="3"/>
  <c r="E4333" i="3"/>
  <c r="E4332" i="3"/>
  <c r="E4331" i="3"/>
  <c r="E4330" i="3"/>
  <c r="E4329" i="3"/>
  <c r="E4328" i="3"/>
  <c r="E4327" i="3"/>
  <c r="E4326" i="3"/>
  <c r="E4325" i="3"/>
  <c r="E4324" i="3"/>
  <c r="E4323" i="3"/>
  <c r="E4322" i="3"/>
  <c r="E4321" i="3"/>
  <c r="E4320" i="3"/>
  <c r="E4319" i="3"/>
  <c r="E4318" i="3"/>
  <c r="E4317" i="3"/>
  <c r="E4316" i="3"/>
  <c r="E4315" i="3"/>
  <c r="E4314" i="3"/>
  <c r="E4313" i="3"/>
  <c r="E4312" i="3"/>
  <c r="E4311" i="3"/>
  <c r="E4310" i="3"/>
  <c r="E4309" i="3"/>
  <c r="E4308" i="3"/>
  <c r="E4307" i="3"/>
  <c r="E4306" i="3"/>
  <c r="E4305" i="3"/>
  <c r="E4304" i="3"/>
  <c r="E4303" i="3"/>
  <c r="E4302" i="3"/>
  <c r="E4301" i="3"/>
  <c r="E4300" i="3"/>
  <c r="E4299" i="3"/>
  <c r="E4298" i="3"/>
  <c r="E4297" i="3"/>
  <c r="E4296" i="3"/>
  <c r="E4295" i="3"/>
  <c r="E4294" i="3"/>
  <c r="E4293" i="3"/>
  <c r="E4292" i="3"/>
  <c r="E4291" i="3"/>
  <c r="E4290" i="3"/>
  <c r="E4289" i="3"/>
  <c r="E4288" i="3"/>
  <c r="E4287" i="3"/>
  <c r="E4286" i="3"/>
  <c r="E4285" i="3"/>
  <c r="E4284" i="3"/>
  <c r="E4283" i="3"/>
  <c r="E4282" i="3"/>
  <c r="E4281" i="3"/>
  <c r="E4280" i="3"/>
  <c r="E4279" i="3"/>
  <c r="E4278" i="3"/>
  <c r="E4277" i="3"/>
  <c r="E4276" i="3"/>
  <c r="E4275" i="3"/>
  <c r="E4274" i="3"/>
  <c r="E4273" i="3"/>
  <c r="E4272" i="3"/>
  <c r="E4271" i="3"/>
  <c r="E4270" i="3"/>
  <c r="E4269" i="3"/>
  <c r="E4268" i="3"/>
  <c r="E4267" i="3"/>
  <c r="E4266" i="3"/>
  <c r="E4265" i="3"/>
  <c r="E4264" i="3"/>
  <c r="E4263" i="3"/>
  <c r="E4262" i="3"/>
  <c r="E4261" i="3"/>
  <c r="E4260" i="3"/>
  <c r="E4259" i="3"/>
  <c r="E4258" i="3"/>
  <c r="E4257" i="3"/>
  <c r="E4256" i="3"/>
  <c r="E4255" i="3"/>
  <c r="E4254" i="3"/>
  <c r="E4253" i="3"/>
  <c r="E4252" i="3"/>
  <c r="E4251" i="3"/>
  <c r="E4250" i="3"/>
  <c r="E4249" i="3"/>
  <c r="E4248" i="3"/>
  <c r="E4247" i="3"/>
  <c r="E4246" i="3"/>
  <c r="E4245" i="3"/>
  <c r="E4244" i="3"/>
  <c r="E4243" i="3"/>
  <c r="E4242" i="3"/>
  <c r="E4241" i="3"/>
  <c r="E4240" i="3"/>
  <c r="E4239" i="3"/>
  <c r="E4238" i="3"/>
  <c r="E4237" i="3"/>
  <c r="E4236" i="3"/>
  <c r="E4235" i="3"/>
  <c r="E4234" i="3"/>
  <c r="E4233" i="3"/>
  <c r="E4232" i="3"/>
  <c r="E4231" i="3"/>
  <c r="E4230" i="3"/>
  <c r="E4229" i="3"/>
  <c r="E4228" i="3"/>
  <c r="E4227" i="3"/>
  <c r="E4226" i="3"/>
  <c r="E4225" i="3"/>
  <c r="E4224" i="3"/>
  <c r="E4223" i="3"/>
  <c r="E4222" i="3"/>
  <c r="E4221" i="3"/>
  <c r="E4220" i="3"/>
  <c r="E4219" i="3"/>
  <c r="E4218" i="3"/>
  <c r="E4217" i="3"/>
  <c r="E4216" i="3"/>
  <c r="E4215" i="3"/>
  <c r="E4214" i="3"/>
  <c r="E4213" i="3"/>
  <c r="E4212" i="3"/>
  <c r="E4211" i="3"/>
  <c r="E4210" i="3"/>
  <c r="E4209" i="3"/>
  <c r="E4208" i="3"/>
  <c r="E4207" i="3"/>
  <c r="E4206" i="3"/>
  <c r="E4205" i="3"/>
  <c r="E4204" i="3"/>
  <c r="E4203" i="3"/>
  <c r="E4202" i="3"/>
  <c r="E4201" i="3"/>
  <c r="E4200" i="3"/>
  <c r="E4199" i="3"/>
  <c r="E4198" i="3"/>
  <c r="E4197" i="3"/>
  <c r="E4196" i="3"/>
  <c r="E4195" i="3"/>
  <c r="E4194" i="3"/>
  <c r="E4193" i="3"/>
  <c r="E4192" i="3"/>
  <c r="E4191" i="3"/>
  <c r="E4190" i="3"/>
  <c r="E4189" i="3"/>
  <c r="E4188" i="3"/>
  <c r="E4187" i="3"/>
  <c r="E4186" i="3"/>
  <c r="E4185" i="3"/>
  <c r="E4184" i="3"/>
  <c r="E4183" i="3"/>
  <c r="E4182" i="3"/>
  <c r="E4181" i="3"/>
  <c r="E4180" i="3"/>
  <c r="E4179" i="3"/>
  <c r="E4178" i="3"/>
  <c r="E4177" i="3"/>
  <c r="E4176" i="3"/>
  <c r="E4175" i="3"/>
  <c r="E4174" i="3"/>
  <c r="E4173" i="3"/>
  <c r="E4172" i="3"/>
  <c r="E4171" i="3"/>
  <c r="E4170" i="3"/>
  <c r="E4169" i="3"/>
  <c r="E4168" i="3"/>
  <c r="E4167" i="3"/>
  <c r="E4166" i="3"/>
  <c r="E4165" i="3"/>
  <c r="E4164" i="3"/>
  <c r="E4163" i="3"/>
  <c r="E4162" i="3"/>
  <c r="E4161" i="3"/>
  <c r="E4160" i="3"/>
  <c r="E4159" i="3"/>
  <c r="E4158" i="3"/>
  <c r="E4157" i="3"/>
  <c r="E4156" i="3"/>
  <c r="E4155" i="3"/>
  <c r="E4154" i="3"/>
  <c r="E4153" i="3"/>
  <c r="E4152" i="3"/>
  <c r="E4151" i="3"/>
  <c r="E4150" i="3"/>
  <c r="E4149" i="3"/>
  <c r="E4148" i="3"/>
  <c r="E4147" i="3"/>
  <c r="E4146" i="3"/>
  <c r="E4145" i="3"/>
  <c r="E4144" i="3"/>
  <c r="E4143" i="3"/>
  <c r="E4142" i="3"/>
  <c r="E4141" i="3"/>
  <c r="E4140" i="3"/>
  <c r="E4139" i="3"/>
  <c r="E4138" i="3"/>
  <c r="E4137" i="3"/>
  <c r="E4136" i="3"/>
  <c r="E4135" i="3"/>
  <c r="E4134" i="3"/>
  <c r="E4133" i="3"/>
  <c r="E4132" i="3"/>
  <c r="E4131" i="3"/>
  <c r="E4130" i="3"/>
  <c r="E4129" i="3"/>
  <c r="E4128" i="3"/>
  <c r="E4127" i="3"/>
  <c r="E4126" i="3"/>
  <c r="E4125" i="3"/>
  <c r="E4124" i="3"/>
  <c r="E4123" i="3"/>
  <c r="E4122" i="3"/>
  <c r="E4121" i="3"/>
  <c r="E4120" i="3"/>
  <c r="E4119" i="3"/>
  <c r="E4118" i="3"/>
  <c r="E4117" i="3"/>
  <c r="E4116" i="3"/>
  <c r="E4115" i="3"/>
  <c r="E4114" i="3"/>
  <c r="E4113" i="3"/>
  <c r="E4112" i="3"/>
  <c r="E4111" i="3"/>
  <c r="E4110" i="3"/>
  <c r="E4109" i="3"/>
  <c r="E4108" i="3"/>
  <c r="E4107" i="3"/>
  <c r="E4106" i="3"/>
  <c r="E4105" i="3"/>
  <c r="E4104" i="3"/>
  <c r="E4103" i="3"/>
  <c r="E4102" i="3"/>
  <c r="E4101" i="3"/>
  <c r="E4100" i="3"/>
  <c r="E4099" i="3"/>
  <c r="E4098" i="3"/>
  <c r="E4097" i="3"/>
  <c r="E4096" i="3"/>
  <c r="E4095" i="3"/>
  <c r="E4094" i="3"/>
  <c r="E4093" i="3"/>
  <c r="E4092" i="3"/>
  <c r="E4091" i="3"/>
  <c r="E4090" i="3"/>
  <c r="E4089" i="3"/>
  <c r="E4088" i="3"/>
  <c r="E4087" i="3"/>
  <c r="E4086" i="3"/>
  <c r="E4085" i="3"/>
  <c r="E4084" i="3"/>
  <c r="E4083" i="3"/>
  <c r="E4082" i="3"/>
  <c r="E4081" i="3"/>
  <c r="E4080" i="3"/>
  <c r="E4079" i="3"/>
  <c r="E4078" i="3"/>
  <c r="E4077" i="3"/>
  <c r="E4076" i="3"/>
  <c r="E4075" i="3"/>
  <c r="E4074" i="3"/>
  <c r="E4073" i="3"/>
  <c r="E4072" i="3"/>
  <c r="E4071" i="3"/>
  <c r="E4070" i="3"/>
  <c r="E4069" i="3"/>
  <c r="E4068" i="3"/>
  <c r="E4067" i="3"/>
  <c r="E4066" i="3"/>
  <c r="E4065" i="3"/>
  <c r="E4064" i="3"/>
  <c r="E4063" i="3"/>
  <c r="E4062" i="3"/>
  <c r="E4061" i="3"/>
  <c r="E4060" i="3"/>
  <c r="E4059" i="3"/>
  <c r="E4058" i="3"/>
  <c r="E4057" i="3"/>
  <c r="E4056" i="3"/>
  <c r="E4055" i="3"/>
  <c r="E4054" i="3"/>
  <c r="E4053" i="3"/>
  <c r="E4052" i="3"/>
  <c r="E4051" i="3"/>
  <c r="E4050" i="3"/>
  <c r="E4049" i="3"/>
  <c r="E4048" i="3"/>
  <c r="E4047" i="3"/>
  <c r="E4046" i="3"/>
  <c r="E4045" i="3"/>
  <c r="E4044" i="3"/>
  <c r="E4043" i="3"/>
  <c r="E4042" i="3"/>
  <c r="E4041" i="3"/>
  <c r="E4040" i="3"/>
  <c r="E4039" i="3"/>
  <c r="E4038" i="3"/>
  <c r="E4037" i="3"/>
  <c r="E4036" i="3"/>
  <c r="E4035" i="3"/>
  <c r="E4034" i="3"/>
  <c r="E4033" i="3"/>
  <c r="E4032" i="3"/>
  <c r="E4031" i="3"/>
  <c r="E4030" i="3"/>
  <c r="E4029" i="3"/>
  <c r="E4028" i="3"/>
  <c r="E4027" i="3"/>
  <c r="E4026" i="3"/>
  <c r="E4025" i="3"/>
  <c r="E4024" i="3"/>
  <c r="E4023" i="3"/>
  <c r="E4022" i="3"/>
  <c r="E4021" i="3"/>
  <c r="E4020" i="3"/>
  <c r="E4019" i="3"/>
  <c r="E4018" i="3"/>
  <c r="E4017" i="3"/>
  <c r="E4016" i="3"/>
  <c r="E4015" i="3"/>
  <c r="E4014" i="3"/>
  <c r="E4013" i="3"/>
  <c r="E4012" i="3"/>
  <c r="E4011" i="3"/>
  <c r="E4010" i="3"/>
  <c r="E4009" i="3"/>
  <c r="E4008" i="3"/>
  <c r="E4007" i="3"/>
  <c r="E4006" i="3"/>
  <c r="E4005" i="3"/>
  <c r="E4004" i="3"/>
  <c r="E4003" i="3"/>
  <c r="E4002" i="3"/>
  <c r="E4001" i="3"/>
  <c r="E4000" i="3"/>
  <c r="E3999" i="3"/>
  <c r="E3998" i="3"/>
  <c r="E3997" i="3"/>
  <c r="E3996" i="3"/>
  <c r="E3995" i="3"/>
  <c r="E3994" i="3"/>
  <c r="E3993" i="3"/>
  <c r="E3992" i="3"/>
  <c r="E3991" i="3"/>
  <c r="E3990" i="3"/>
  <c r="E3989" i="3"/>
  <c r="E3988" i="3"/>
  <c r="E3987" i="3"/>
  <c r="E3986" i="3"/>
  <c r="E3985" i="3"/>
  <c r="E3984" i="3"/>
  <c r="E3983" i="3"/>
  <c r="E3982" i="3"/>
  <c r="E3981" i="3"/>
  <c r="E3980" i="3"/>
  <c r="E3979" i="3"/>
  <c r="E3978" i="3"/>
  <c r="E3977" i="3"/>
  <c r="E3976" i="3"/>
  <c r="E3975" i="3"/>
  <c r="E3974" i="3"/>
  <c r="E3973" i="3"/>
  <c r="E3972" i="3"/>
  <c r="E3971" i="3"/>
  <c r="E3970" i="3"/>
  <c r="E3969" i="3"/>
  <c r="E3968" i="3"/>
  <c r="E3967" i="3"/>
  <c r="E3966" i="3"/>
  <c r="E3965" i="3"/>
  <c r="E3964" i="3"/>
  <c r="E3963" i="3"/>
  <c r="E3962" i="3"/>
  <c r="E3961" i="3"/>
  <c r="E3960" i="3"/>
  <c r="E3959" i="3"/>
  <c r="E3958" i="3"/>
  <c r="E3957" i="3"/>
  <c r="E3956" i="3"/>
  <c r="E3955" i="3"/>
  <c r="E3954" i="3"/>
  <c r="E3953" i="3"/>
  <c r="E3952" i="3"/>
  <c r="E3951" i="3"/>
  <c r="E3950" i="3"/>
  <c r="E3949" i="3"/>
  <c r="E3948" i="3"/>
  <c r="E3947" i="3"/>
  <c r="E3946" i="3"/>
  <c r="E3945" i="3"/>
  <c r="E3944" i="3"/>
  <c r="E3943" i="3"/>
  <c r="E3942" i="3"/>
  <c r="E3941" i="3"/>
  <c r="E3940" i="3"/>
  <c r="E3939" i="3"/>
  <c r="E3938" i="3"/>
  <c r="E3937" i="3"/>
  <c r="E3936" i="3"/>
  <c r="E3935" i="3"/>
  <c r="E3934" i="3"/>
  <c r="E3933" i="3"/>
  <c r="E3932" i="3"/>
  <c r="E3931" i="3"/>
  <c r="E3930" i="3"/>
  <c r="E3929" i="3"/>
  <c r="E3928" i="3"/>
  <c r="E3927" i="3"/>
  <c r="E3926" i="3"/>
  <c r="E3925" i="3"/>
  <c r="E3924" i="3"/>
  <c r="E3923" i="3"/>
  <c r="E3922" i="3"/>
  <c r="E3921" i="3"/>
  <c r="E3920" i="3"/>
  <c r="E3919" i="3"/>
  <c r="E3918" i="3"/>
  <c r="E3917" i="3"/>
  <c r="E3916" i="3"/>
  <c r="E3915" i="3"/>
  <c r="E3914" i="3"/>
  <c r="E3913" i="3"/>
  <c r="E3912" i="3"/>
  <c r="E3911" i="3"/>
  <c r="E3910" i="3"/>
  <c r="E3909" i="3"/>
  <c r="E3908" i="3"/>
  <c r="E3907" i="3"/>
  <c r="E3906" i="3"/>
  <c r="E3905" i="3"/>
  <c r="E3904" i="3"/>
  <c r="E3903" i="3"/>
  <c r="E3902" i="3"/>
  <c r="E3901" i="3"/>
  <c r="E3900" i="3"/>
  <c r="E3899" i="3"/>
  <c r="E3898" i="3"/>
  <c r="E3897" i="3"/>
  <c r="E3896" i="3"/>
  <c r="E3895" i="3"/>
  <c r="E3894" i="3"/>
  <c r="E3893" i="3"/>
  <c r="E3892" i="3"/>
  <c r="E3891" i="3"/>
  <c r="E3890" i="3"/>
  <c r="E3889" i="3"/>
  <c r="E3888" i="3"/>
  <c r="E3887" i="3"/>
  <c r="E3886" i="3"/>
  <c r="E3885" i="3"/>
  <c r="E3884" i="3"/>
  <c r="E3883" i="3"/>
  <c r="E3882" i="3"/>
  <c r="E3881" i="3"/>
  <c r="E3880" i="3"/>
  <c r="E3879" i="3"/>
  <c r="E3878" i="3"/>
  <c r="E3877" i="3"/>
  <c r="E3876" i="3"/>
  <c r="E3875" i="3"/>
  <c r="E3874" i="3"/>
  <c r="E3873" i="3"/>
  <c r="E3872" i="3"/>
  <c r="E3871" i="3"/>
  <c r="E3870" i="3"/>
  <c r="E3869" i="3"/>
  <c r="E3868" i="3"/>
  <c r="E3867" i="3"/>
  <c r="E3866" i="3"/>
  <c r="E3865" i="3"/>
  <c r="E3864" i="3"/>
  <c r="E3863" i="3"/>
  <c r="E3862" i="3"/>
  <c r="E3861" i="3"/>
  <c r="E3860" i="3"/>
  <c r="E3859" i="3"/>
  <c r="E3858" i="3"/>
  <c r="E3857" i="3"/>
  <c r="E3856" i="3"/>
  <c r="E3855" i="3"/>
  <c r="E3854" i="3"/>
  <c r="E3853" i="3"/>
  <c r="E3852" i="3"/>
  <c r="E3851" i="3"/>
  <c r="E3850" i="3"/>
  <c r="E3849" i="3"/>
  <c r="E3848" i="3"/>
  <c r="E3847" i="3"/>
  <c r="E3846" i="3"/>
  <c r="E3845" i="3"/>
  <c r="E3844" i="3"/>
  <c r="E3843" i="3"/>
  <c r="E3842" i="3"/>
  <c r="E3841" i="3"/>
  <c r="E3840" i="3"/>
  <c r="E3839" i="3"/>
  <c r="E3838" i="3"/>
  <c r="E3837" i="3"/>
  <c r="E3836" i="3"/>
  <c r="E3835" i="3"/>
  <c r="E3834" i="3"/>
  <c r="E3833" i="3"/>
  <c r="E3832" i="3"/>
  <c r="E3831" i="3"/>
  <c r="E3830" i="3"/>
  <c r="E3829" i="3"/>
  <c r="E3828" i="3"/>
  <c r="E3827" i="3"/>
  <c r="E3826" i="3"/>
  <c r="E3825" i="3"/>
  <c r="E3824" i="3"/>
  <c r="E3823" i="3"/>
  <c r="E3822" i="3"/>
  <c r="E3821" i="3"/>
  <c r="E3820" i="3"/>
  <c r="E3819" i="3"/>
  <c r="E3818" i="3"/>
  <c r="E3817" i="3"/>
  <c r="E3816" i="3"/>
  <c r="E3815" i="3"/>
  <c r="E3814" i="3"/>
  <c r="E3813" i="3"/>
  <c r="E3812" i="3"/>
  <c r="E3811" i="3"/>
  <c r="E3810" i="3"/>
  <c r="E3809" i="3"/>
  <c r="E3808" i="3"/>
  <c r="E3807" i="3"/>
  <c r="E3806" i="3"/>
  <c r="E3805" i="3"/>
  <c r="E3804" i="3"/>
  <c r="E3803" i="3"/>
  <c r="E3802" i="3"/>
  <c r="E3801" i="3"/>
  <c r="E3800" i="3"/>
  <c r="E3799" i="3"/>
  <c r="E3798" i="3"/>
  <c r="E3797" i="3"/>
  <c r="E3796" i="3"/>
  <c r="E3795" i="3"/>
  <c r="E3794" i="3"/>
  <c r="E3793" i="3"/>
  <c r="E3792" i="3"/>
  <c r="E3791" i="3"/>
  <c r="E3790" i="3"/>
  <c r="E3789" i="3"/>
  <c r="E3788" i="3"/>
  <c r="E3787" i="3"/>
  <c r="E3786" i="3"/>
  <c r="E3785" i="3"/>
  <c r="E3784" i="3"/>
  <c r="E3783" i="3"/>
  <c r="E3782" i="3"/>
  <c r="E3781" i="3"/>
  <c r="E3780" i="3"/>
  <c r="E3779" i="3"/>
  <c r="E3778" i="3"/>
  <c r="E3777" i="3"/>
  <c r="E3776" i="3"/>
  <c r="E3775" i="3"/>
  <c r="E3774" i="3"/>
  <c r="E3773" i="3"/>
  <c r="E3772" i="3"/>
  <c r="E3771" i="3"/>
  <c r="E3770" i="3"/>
  <c r="E3769" i="3"/>
  <c r="E3768" i="3"/>
  <c r="E3767" i="3"/>
  <c r="E3766" i="3"/>
  <c r="E3765" i="3"/>
  <c r="E3764" i="3"/>
  <c r="E3763" i="3"/>
  <c r="E3762" i="3"/>
  <c r="E3761" i="3"/>
  <c r="E3760" i="3"/>
  <c r="E3759" i="3"/>
  <c r="E3758" i="3"/>
  <c r="E3757" i="3"/>
  <c r="E3756" i="3"/>
  <c r="E3755" i="3"/>
  <c r="E3754" i="3"/>
  <c r="E3753" i="3"/>
  <c r="E3752" i="3"/>
  <c r="E3751" i="3"/>
  <c r="E3750" i="3"/>
  <c r="E3749" i="3"/>
  <c r="E3748" i="3"/>
  <c r="E3747" i="3"/>
  <c r="E3746" i="3"/>
  <c r="E3745" i="3"/>
  <c r="E3744" i="3"/>
  <c r="E3743" i="3"/>
  <c r="E3742" i="3"/>
  <c r="E3741" i="3"/>
  <c r="E3740" i="3"/>
  <c r="E3739" i="3"/>
  <c r="E3738" i="3"/>
  <c r="E3737" i="3"/>
  <c r="E3736" i="3"/>
  <c r="E3735" i="3"/>
  <c r="E3734" i="3"/>
  <c r="E3733" i="3"/>
  <c r="E3732" i="3"/>
  <c r="E3731" i="3"/>
  <c r="E3730" i="3"/>
  <c r="E3729" i="3"/>
  <c r="E3728" i="3"/>
  <c r="E3727" i="3"/>
  <c r="E3726" i="3"/>
  <c r="E3725" i="3"/>
  <c r="E3724" i="3"/>
  <c r="E3723" i="3"/>
  <c r="E3722" i="3"/>
  <c r="E3721" i="3"/>
  <c r="E3720" i="3"/>
  <c r="E3719" i="3"/>
  <c r="E3718" i="3"/>
  <c r="E3717" i="3"/>
  <c r="E3716" i="3"/>
  <c r="E3715" i="3"/>
  <c r="E3714" i="3"/>
  <c r="E3713" i="3"/>
  <c r="E3712" i="3"/>
  <c r="E3711" i="3"/>
  <c r="E3710" i="3"/>
  <c r="E3709" i="3"/>
  <c r="E3708" i="3"/>
  <c r="E3707" i="3"/>
  <c r="E3706" i="3"/>
  <c r="E3705" i="3"/>
  <c r="E3704" i="3"/>
  <c r="E3703" i="3"/>
  <c r="E3702" i="3"/>
  <c r="E3701" i="3"/>
  <c r="E3700" i="3"/>
  <c r="E3699" i="3"/>
  <c r="E3698" i="3"/>
  <c r="E3697" i="3"/>
  <c r="E3696" i="3"/>
  <c r="E3695" i="3"/>
  <c r="E3694" i="3"/>
  <c r="E3693" i="3"/>
  <c r="E3692" i="3"/>
  <c r="E3691" i="3"/>
  <c r="E3690" i="3"/>
  <c r="E3689" i="3"/>
  <c r="E3688" i="3"/>
  <c r="E3687" i="3"/>
  <c r="E3686" i="3"/>
  <c r="E3685" i="3"/>
  <c r="E3684" i="3"/>
  <c r="E3683" i="3"/>
  <c r="E3682" i="3"/>
  <c r="E3681" i="3"/>
  <c r="E3680" i="3"/>
  <c r="E3679" i="3"/>
  <c r="E3678" i="3"/>
  <c r="E3677" i="3"/>
  <c r="E3676" i="3"/>
  <c r="E3675" i="3"/>
  <c r="E3674" i="3"/>
  <c r="E3673" i="3"/>
  <c r="E3672" i="3"/>
  <c r="E3671" i="3"/>
  <c r="E3670" i="3"/>
  <c r="E3669" i="3"/>
  <c r="E3668" i="3"/>
  <c r="E3667" i="3"/>
  <c r="E3666" i="3"/>
  <c r="E3665" i="3"/>
  <c r="E3664" i="3"/>
  <c r="E3663" i="3"/>
  <c r="E3662" i="3"/>
  <c r="E3661" i="3"/>
  <c r="E3660" i="3"/>
  <c r="E3659" i="3"/>
  <c r="E3658" i="3"/>
  <c r="E3657" i="3"/>
  <c r="E3656" i="3"/>
  <c r="E3655" i="3"/>
  <c r="E3654" i="3"/>
  <c r="E3653" i="3"/>
  <c r="E3652" i="3"/>
  <c r="E3651" i="3"/>
  <c r="E3650" i="3"/>
  <c r="E3649" i="3"/>
  <c r="E3648" i="3"/>
  <c r="E3647" i="3"/>
  <c r="E3646" i="3"/>
  <c r="E3645" i="3"/>
  <c r="E3644" i="3"/>
  <c r="E3643" i="3"/>
  <c r="E3642" i="3"/>
  <c r="E3641" i="3"/>
  <c r="E3640" i="3"/>
  <c r="E3639" i="3"/>
  <c r="E3638" i="3"/>
  <c r="E3637" i="3"/>
  <c r="E3636" i="3"/>
  <c r="E3635" i="3"/>
  <c r="E3634" i="3"/>
  <c r="E3633" i="3"/>
  <c r="E3632" i="3"/>
  <c r="E3631" i="3"/>
  <c r="E3630" i="3"/>
  <c r="E3629" i="3"/>
  <c r="E3628" i="3"/>
  <c r="E3627" i="3"/>
  <c r="E3626" i="3"/>
  <c r="E3625" i="3"/>
  <c r="E3624" i="3"/>
  <c r="E3623" i="3"/>
  <c r="E3622" i="3"/>
  <c r="E3621" i="3"/>
  <c r="E3620" i="3"/>
  <c r="E3619" i="3"/>
  <c r="E3618" i="3"/>
  <c r="E3617" i="3"/>
  <c r="E3616" i="3"/>
  <c r="E3615" i="3"/>
  <c r="E3614" i="3"/>
  <c r="E3613" i="3"/>
  <c r="E3612" i="3"/>
  <c r="E3611" i="3"/>
  <c r="E3610" i="3"/>
  <c r="E3609" i="3"/>
  <c r="E3608" i="3"/>
  <c r="E3607" i="3"/>
  <c r="E3606" i="3"/>
  <c r="E3605" i="3"/>
  <c r="E3604" i="3"/>
  <c r="E3603" i="3"/>
  <c r="E3602" i="3"/>
  <c r="E3601" i="3"/>
  <c r="E3600" i="3"/>
  <c r="E3599" i="3"/>
  <c r="E3598" i="3"/>
  <c r="E3597" i="3"/>
  <c r="E3596" i="3"/>
  <c r="E3595" i="3"/>
  <c r="E3594" i="3"/>
  <c r="E3593" i="3"/>
  <c r="E3592" i="3"/>
  <c r="E3591" i="3"/>
  <c r="E3590" i="3"/>
  <c r="E3589" i="3"/>
  <c r="E3588" i="3"/>
  <c r="E3587" i="3"/>
  <c r="E3586" i="3"/>
  <c r="E3585" i="3"/>
  <c r="E3584" i="3"/>
  <c r="E3583" i="3"/>
  <c r="E3582" i="3"/>
  <c r="E3581" i="3"/>
  <c r="E3580" i="3"/>
  <c r="E3579" i="3"/>
  <c r="E3578" i="3"/>
  <c r="E3577" i="3"/>
  <c r="E3576" i="3"/>
  <c r="E3575" i="3"/>
  <c r="E3574" i="3"/>
  <c r="E3573" i="3"/>
  <c r="E3572" i="3"/>
  <c r="E3571" i="3"/>
  <c r="E3570" i="3"/>
  <c r="E3569" i="3"/>
  <c r="E3568" i="3"/>
  <c r="E3567" i="3"/>
  <c r="E3566" i="3"/>
  <c r="E3565" i="3"/>
  <c r="E3564" i="3"/>
  <c r="E3563" i="3"/>
  <c r="E3562" i="3"/>
  <c r="E3561" i="3"/>
  <c r="E3560" i="3"/>
  <c r="E3559" i="3"/>
  <c r="E3558" i="3"/>
  <c r="E3557" i="3"/>
  <c r="E3556" i="3"/>
  <c r="E3555" i="3"/>
  <c r="E3554" i="3"/>
  <c r="E3553" i="3"/>
  <c r="E3552" i="3"/>
  <c r="E3551" i="3"/>
  <c r="E3550" i="3"/>
  <c r="E3549" i="3"/>
  <c r="E3548" i="3"/>
  <c r="E3547" i="3"/>
  <c r="E3546" i="3"/>
  <c r="E3545" i="3"/>
  <c r="E3544" i="3"/>
  <c r="E3543" i="3"/>
  <c r="E3542" i="3"/>
  <c r="E3541" i="3"/>
  <c r="E3540" i="3"/>
  <c r="E3539" i="3"/>
  <c r="E3538" i="3"/>
  <c r="E3537" i="3"/>
  <c r="E3536" i="3"/>
  <c r="E3535" i="3"/>
  <c r="E3534" i="3"/>
  <c r="E3533" i="3"/>
  <c r="E3532" i="3"/>
  <c r="E3531" i="3"/>
  <c r="E3530" i="3"/>
  <c r="E3529" i="3"/>
  <c r="E3528" i="3"/>
  <c r="E3527" i="3"/>
  <c r="E3526" i="3"/>
  <c r="E3525" i="3"/>
  <c r="E3524" i="3"/>
  <c r="E3523" i="3"/>
  <c r="E3522" i="3"/>
  <c r="E3521" i="3"/>
  <c r="E3520" i="3"/>
  <c r="E3519" i="3"/>
  <c r="E3518" i="3"/>
  <c r="E3517" i="3"/>
  <c r="E3516" i="3"/>
  <c r="E3515" i="3"/>
  <c r="E3514" i="3"/>
  <c r="E3513" i="3"/>
  <c r="E3512" i="3"/>
  <c r="E3511" i="3"/>
  <c r="E3510" i="3"/>
  <c r="E3509" i="3"/>
  <c r="E3508" i="3"/>
  <c r="E3507" i="3"/>
  <c r="E3506" i="3"/>
  <c r="E3505" i="3"/>
  <c r="E3504" i="3"/>
  <c r="E3503" i="3"/>
  <c r="E3502" i="3"/>
  <c r="E3501" i="3"/>
  <c r="E3500" i="3"/>
  <c r="E3499" i="3"/>
  <c r="E3498" i="3"/>
  <c r="E3497" i="3"/>
  <c r="E3496" i="3"/>
  <c r="E3495" i="3"/>
  <c r="E3494" i="3"/>
  <c r="E3493" i="3"/>
  <c r="E3492" i="3"/>
  <c r="E3491" i="3"/>
  <c r="E3490" i="3"/>
  <c r="E3489" i="3"/>
  <c r="E3488" i="3"/>
  <c r="E3487" i="3"/>
  <c r="E3486" i="3"/>
  <c r="E3485" i="3"/>
  <c r="E3484" i="3"/>
  <c r="E3483" i="3"/>
  <c r="E3482" i="3"/>
  <c r="E3481" i="3"/>
  <c r="E3480" i="3"/>
  <c r="E3479" i="3"/>
  <c r="E3478" i="3"/>
  <c r="E3477" i="3"/>
  <c r="E3476" i="3"/>
  <c r="E3475" i="3"/>
  <c r="E3474" i="3"/>
  <c r="E3473" i="3"/>
  <c r="E3472" i="3"/>
  <c r="E3471" i="3"/>
  <c r="E3470" i="3"/>
  <c r="E3469" i="3"/>
  <c r="E3468" i="3"/>
  <c r="E3467" i="3"/>
  <c r="E3466" i="3"/>
  <c r="E3465" i="3"/>
  <c r="E3464" i="3"/>
  <c r="E3463" i="3"/>
  <c r="E3462" i="3"/>
  <c r="E3461" i="3"/>
  <c r="E3460" i="3"/>
  <c r="E3459" i="3"/>
  <c r="E3458" i="3"/>
  <c r="E3457" i="3"/>
  <c r="E3456" i="3"/>
  <c r="E3455" i="3"/>
  <c r="E3454" i="3"/>
  <c r="E3453" i="3"/>
  <c r="E3452" i="3"/>
  <c r="E3451" i="3"/>
  <c r="E3450" i="3"/>
  <c r="E3449" i="3"/>
  <c r="E3448" i="3"/>
  <c r="E3447" i="3"/>
  <c r="E3446" i="3"/>
  <c r="E3445" i="3"/>
  <c r="E3444" i="3"/>
  <c r="E3443" i="3"/>
  <c r="E3442" i="3"/>
  <c r="E3441" i="3"/>
  <c r="E3440" i="3"/>
  <c r="E3439" i="3"/>
  <c r="E3438" i="3"/>
  <c r="E3437" i="3"/>
  <c r="E3436" i="3"/>
  <c r="E3435" i="3"/>
  <c r="E3434" i="3"/>
  <c r="E3433" i="3"/>
  <c r="E3432" i="3"/>
  <c r="E3431" i="3"/>
  <c r="E3430" i="3"/>
  <c r="E3429" i="3"/>
  <c r="E3428" i="3"/>
  <c r="E3427" i="3"/>
  <c r="E3426" i="3"/>
  <c r="E3425" i="3"/>
  <c r="E3424" i="3"/>
  <c r="E3423" i="3"/>
  <c r="E3422" i="3"/>
  <c r="E3421" i="3"/>
  <c r="E3420" i="3"/>
  <c r="E3419" i="3"/>
  <c r="E3418" i="3"/>
  <c r="E3417" i="3"/>
  <c r="E3416" i="3"/>
  <c r="E3415" i="3"/>
  <c r="E3414" i="3"/>
  <c r="E3413" i="3"/>
  <c r="E3412" i="3"/>
  <c r="E3411" i="3"/>
  <c r="E3410" i="3"/>
  <c r="E3409" i="3"/>
  <c r="E3408" i="3"/>
  <c r="E3407" i="3"/>
  <c r="E3406" i="3"/>
  <c r="E3405" i="3"/>
  <c r="E3404" i="3"/>
  <c r="E3403" i="3"/>
  <c r="E3402" i="3"/>
  <c r="E3401" i="3"/>
  <c r="E3400" i="3"/>
  <c r="E3399" i="3"/>
  <c r="E3398" i="3"/>
  <c r="E3397" i="3"/>
  <c r="E3396" i="3"/>
  <c r="E3395" i="3"/>
  <c r="E3394" i="3"/>
  <c r="E3393" i="3"/>
  <c r="E3392" i="3"/>
  <c r="E3391" i="3"/>
  <c r="E3390" i="3"/>
  <c r="E3389" i="3"/>
  <c r="E3388" i="3"/>
  <c r="E3387" i="3"/>
  <c r="E3386" i="3"/>
  <c r="E3385" i="3"/>
  <c r="E3384" i="3"/>
  <c r="E3383" i="3"/>
  <c r="E3382" i="3"/>
  <c r="E3381" i="3"/>
  <c r="E3380" i="3"/>
  <c r="E3379" i="3"/>
  <c r="E3378" i="3"/>
  <c r="E3377" i="3"/>
  <c r="E3376" i="3"/>
  <c r="E3375" i="3"/>
  <c r="E3374" i="3"/>
  <c r="E3373" i="3"/>
  <c r="E3372" i="3"/>
  <c r="E3371" i="3"/>
  <c r="E3370" i="3"/>
  <c r="E3369" i="3"/>
  <c r="E3368" i="3"/>
  <c r="E3367" i="3"/>
  <c r="E3366" i="3"/>
  <c r="E3365" i="3"/>
  <c r="E3364" i="3"/>
  <c r="E3363" i="3"/>
  <c r="E3362" i="3"/>
  <c r="E3361" i="3"/>
  <c r="E3360" i="3"/>
  <c r="E3359" i="3"/>
  <c r="E3358" i="3"/>
  <c r="E3357" i="3"/>
  <c r="E3356" i="3"/>
  <c r="E3355" i="3"/>
  <c r="E3354" i="3"/>
  <c r="E3353" i="3"/>
  <c r="E3352" i="3"/>
  <c r="E3351" i="3"/>
  <c r="E3350" i="3"/>
  <c r="E3349" i="3"/>
  <c r="E3348" i="3"/>
  <c r="E3347" i="3"/>
  <c r="E3346" i="3"/>
  <c r="E3345" i="3"/>
  <c r="E3344" i="3"/>
  <c r="E3343" i="3"/>
  <c r="E3342" i="3"/>
  <c r="E3341" i="3"/>
  <c r="E3340" i="3"/>
  <c r="E3339" i="3"/>
  <c r="E3338" i="3"/>
  <c r="E3337" i="3"/>
  <c r="E3336" i="3"/>
  <c r="E3335" i="3"/>
  <c r="E3334" i="3"/>
  <c r="E3333" i="3"/>
  <c r="E3332" i="3"/>
  <c r="E3331" i="3"/>
  <c r="E3330" i="3"/>
  <c r="E3329" i="3"/>
  <c r="E3328" i="3"/>
  <c r="E3327" i="3"/>
  <c r="E3326" i="3"/>
  <c r="E3325" i="3"/>
  <c r="E3324" i="3"/>
  <c r="E3323" i="3"/>
  <c r="E3322" i="3"/>
  <c r="E3321" i="3"/>
  <c r="E3320" i="3"/>
  <c r="E3319" i="3"/>
  <c r="E3318" i="3"/>
  <c r="E3317" i="3"/>
  <c r="E3316" i="3"/>
  <c r="E3315" i="3"/>
  <c r="E3314" i="3"/>
  <c r="E3313" i="3"/>
  <c r="E3312" i="3"/>
  <c r="E3311" i="3"/>
  <c r="E3310" i="3"/>
  <c r="E3309" i="3"/>
  <c r="E3308" i="3"/>
  <c r="E3307" i="3"/>
  <c r="E3306" i="3"/>
  <c r="E3305" i="3"/>
  <c r="E3304" i="3"/>
  <c r="E3303" i="3"/>
  <c r="E3302" i="3"/>
  <c r="E3301" i="3"/>
  <c r="E3300" i="3"/>
  <c r="E3299" i="3"/>
  <c r="E3298" i="3"/>
  <c r="E3297" i="3"/>
  <c r="E3296" i="3"/>
  <c r="E3295" i="3"/>
  <c r="E3294" i="3"/>
  <c r="E3293" i="3"/>
  <c r="E3292" i="3"/>
  <c r="E3291" i="3"/>
  <c r="E3290" i="3"/>
  <c r="E3289" i="3"/>
  <c r="E3288" i="3"/>
  <c r="E3287" i="3"/>
  <c r="E3286" i="3"/>
  <c r="E3285" i="3"/>
  <c r="E3284" i="3"/>
  <c r="E3283" i="3"/>
  <c r="E3282" i="3"/>
  <c r="E3281" i="3"/>
  <c r="E3280" i="3"/>
  <c r="E3279" i="3"/>
  <c r="E3278" i="3"/>
  <c r="E3277" i="3"/>
  <c r="E3276" i="3"/>
  <c r="E3275" i="3"/>
  <c r="E3274" i="3"/>
  <c r="E3273" i="3"/>
  <c r="E3272" i="3"/>
  <c r="E3271" i="3"/>
  <c r="E3270" i="3"/>
  <c r="E3269" i="3"/>
  <c r="E3268" i="3"/>
  <c r="E3267" i="3"/>
  <c r="E3266" i="3"/>
  <c r="E3265" i="3"/>
  <c r="E3264" i="3"/>
  <c r="E3263" i="3"/>
  <c r="E3262" i="3"/>
  <c r="E3261" i="3"/>
  <c r="E3260" i="3"/>
  <c r="E3259" i="3"/>
  <c r="E3258" i="3"/>
  <c r="E3257" i="3"/>
  <c r="E3256" i="3"/>
  <c r="E3255" i="3"/>
  <c r="E3254" i="3"/>
  <c r="E3253" i="3"/>
  <c r="E3252" i="3"/>
  <c r="E3251" i="3"/>
  <c r="E3250" i="3"/>
  <c r="E3249" i="3"/>
  <c r="E3248" i="3"/>
  <c r="E3247" i="3"/>
  <c r="E3246" i="3"/>
  <c r="E3245" i="3"/>
  <c r="E3244" i="3"/>
  <c r="E3243" i="3"/>
  <c r="E3242" i="3"/>
  <c r="E3241" i="3"/>
  <c r="E3240" i="3"/>
  <c r="E3239" i="3"/>
  <c r="E3238" i="3"/>
  <c r="E3237" i="3"/>
  <c r="E3236" i="3"/>
  <c r="E3235" i="3"/>
  <c r="E3234" i="3"/>
  <c r="E3233" i="3"/>
  <c r="E3232" i="3"/>
  <c r="E3231" i="3"/>
  <c r="E3230" i="3"/>
  <c r="E3229" i="3"/>
  <c r="E3228" i="3"/>
  <c r="E3227" i="3"/>
  <c r="E3226" i="3"/>
  <c r="E3225" i="3"/>
  <c r="E3224" i="3"/>
  <c r="E3223" i="3"/>
  <c r="E3222" i="3"/>
  <c r="E3221" i="3"/>
  <c r="E3220" i="3"/>
  <c r="E3219" i="3"/>
  <c r="E3218" i="3"/>
  <c r="E3217" i="3"/>
  <c r="E3216" i="3"/>
  <c r="E3215" i="3"/>
  <c r="E3214" i="3"/>
  <c r="E3213" i="3"/>
  <c r="E3212" i="3"/>
  <c r="E3211" i="3"/>
  <c r="E3210" i="3"/>
  <c r="E3209" i="3"/>
  <c r="E3208" i="3"/>
  <c r="E3207" i="3"/>
  <c r="E3206" i="3"/>
  <c r="E3205" i="3"/>
  <c r="E3204" i="3"/>
  <c r="E3203" i="3"/>
  <c r="E3202" i="3"/>
  <c r="E3201" i="3"/>
  <c r="E3200" i="3"/>
  <c r="E3199" i="3"/>
  <c r="E3198" i="3"/>
  <c r="E3197" i="3"/>
  <c r="E3196" i="3"/>
  <c r="E3195" i="3"/>
  <c r="E3194" i="3"/>
  <c r="E3193" i="3"/>
  <c r="E3192" i="3"/>
  <c r="E3191" i="3"/>
  <c r="E3190" i="3"/>
  <c r="E3189" i="3"/>
  <c r="E3188" i="3"/>
  <c r="E3187" i="3"/>
  <c r="E3186" i="3"/>
  <c r="E3185" i="3"/>
  <c r="E3184" i="3"/>
  <c r="E3183" i="3"/>
  <c r="E3182" i="3"/>
  <c r="E3181" i="3"/>
  <c r="E3180" i="3"/>
  <c r="E3179" i="3"/>
  <c r="E3178" i="3"/>
  <c r="E3177" i="3"/>
  <c r="E3176" i="3"/>
  <c r="E3175" i="3"/>
  <c r="E3174" i="3"/>
  <c r="E3173" i="3"/>
  <c r="E3172" i="3"/>
  <c r="E3171" i="3"/>
  <c r="E3170" i="3"/>
  <c r="E3169" i="3"/>
  <c r="E3168" i="3"/>
  <c r="E3167" i="3"/>
  <c r="E3166" i="3"/>
  <c r="E3165" i="3"/>
  <c r="E3164" i="3"/>
  <c r="E3163" i="3"/>
  <c r="E3162" i="3"/>
  <c r="E3161" i="3"/>
  <c r="E3160" i="3"/>
  <c r="E3159" i="3"/>
  <c r="E3158" i="3"/>
  <c r="E3157" i="3"/>
  <c r="E3156" i="3"/>
  <c r="E3155" i="3"/>
  <c r="E3154" i="3"/>
  <c r="E3153" i="3"/>
  <c r="E3152" i="3"/>
  <c r="E3151" i="3"/>
  <c r="E3150" i="3"/>
  <c r="E3149" i="3"/>
  <c r="E3148" i="3"/>
  <c r="E3147" i="3"/>
  <c r="E3146" i="3"/>
  <c r="E3145" i="3"/>
  <c r="E3144" i="3"/>
  <c r="E3143" i="3"/>
  <c r="E3142" i="3"/>
  <c r="E3141" i="3"/>
  <c r="E3140" i="3"/>
  <c r="E3139" i="3"/>
  <c r="E3138" i="3"/>
  <c r="E3137" i="3"/>
  <c r="E3136" i="3"/>
  <c r="E3135" i="3"/>
  <c r="E3134" i="3"/>
  <c r="E3133" i="3"/>
  <c r="E3132" i="3"/>
  <c r="E3131" i="3"/>
  <c r="E3130" i="3"/>
  <c r="E3129" i="3"/>
  <c r="E3128" i="3"/>
  <c r="E3127" i="3"/>
  <c r="E3126" i="3"/>
  <c r="E3125" i="3"/>
  <c r="E3124" i="3"/>
  <c r="E3123" i="3"/>
  <c r="E3122" i="3"/>
  <c r="E3121" i="3"/>
  <c r="E3120" i="3"/>
  <c r="E3119" i="3"/>
  <c r="E3118" i="3"/>
  <c r="E3117" i="3"/>
  <c r="E3116" i="3"/>
  <c r="E3115" i="3"/>
  <c r="E3114" i="3"/>
  <c r="E3113" i="3"/>
  <c r="E3112" i="3"/>
  <c r="E3111" i="3"/>
  <c r="E3110" i="3"/>
  <c r="E3109" i="3"/>
  <c r="E3108" i="3"/>
  <c r="E3107" i="3"/>
  <c r="E3106" i="3"/>
  <c r="E3105" i="3"/>
  <c r="E3104" i="3"/>
  <c r="E3103" i="3"/>
  <c r="E3102" i="3"/>
  <c r="E3101" i="3"/>
  <c r="E3100" i="3"/>
  <c r="E3099" i="3"/>
  <c r="E3098" i="3"/>
  <c r="E3097" i="3"/>
  <c r="E3096" i="3"/>
  <c r="E3095" i="3"/>
  <c r="E3094" i="3"/>
  <c r="E3093" i="3"/>
  <c r="E3092" i="3"/>
  <c r="E3091" i="3"/>
  <c r="E3090" i="3"/>
  <c r="E3089" i="3"/>
  <c r="E3088" i="3"/>
  <c r="E3087" i="3"/>
  <c r="E3086" i="3"/>
  <c r="E3085" i="3"/>
  <c r="E3084" i="3"/>
  <c r="E3083" i="3"/>
  <c r="E3082" i="3"/>
  <c r="E3081" i="3"/>
  <c r="E3080" i="3"/>
  <c r="E3079" i="3"/>
  <c r="E3078" i="3"/>
  <c r="E3077" i="3"/>
  <c r="E3076" i="3"/>
  <c r="E3075" i="3"/>
  <c r="E3074" i="3"/>
  <c r="E3073" i="3"/>
  <c r="E3072" i="3"/>
  <c r="E3071" i="3"/>
  <c r="E3070" i="3"/>
  <c r="E3069" i="3"/>
  <c r="E3068" i="3"/>
  <c r="E3067" i="3"/>
  <c r="E3066" i="3"/>
  <c r="E3065" i="3"/>
  <c r="E3064" i="3"/>
  <c r="E3063" i="3"/>
  <c r="E3062" i="3"/>
  <c r="E3061" i="3"/>
  <c r="E3060" i="3"/>
  <c r="E3059" i="3"/>
  <c r="E3058" i="3"/>
  <c r="E3057" i="3"/>
  <c r="E3056" i="3"/>
  <c r="E3055" i="3"/>
  <c r="E3054" i="3"/>
  <c r="E3053" i="3"/>
  <c r="E3052" i="3"/>
  <c r="E3051" i="3"/>
  <c r="E3050" i="3"/>
  <c r="E3049" i="3"/>
  <c r="E3048" i="3"/>
  <c r="E3047" i="3"/>
  <c r="E3046" i="3"/>
  <c r="E3045" i="3"/>
  <c r="E3044" i="3"/>
  <c r="E3043" i="3"/>
  <c r="E3042" i="3"/>
  <c r="E3041" i="3"/>
  <c r="E3040" i="3"/>
  <c r="E3039" i="3"/>
  <c r="E3038" i="3"/>
  <c r="E3037" i="3"/>
  <c r="E3036" i="3"/>
  <c r="E3035" i="3"/>
  <c r="E3034" i="3"/>
  <c r="E3033" i="3"/>
  <c r="E3032" i="3"/>
  <c r="E3031" i="3"/>
  <c r="E3030" i="3"/>
  <c r="E3029" i="3"/>
  <c r="E3028" i="3"/>
  <c r="E3027" i="3"/>
  <c r="E3026" i="3"/>
  <c r="E3025" i="3"/>
  <c r="E3024" i="3"/>
  <c r="E3023" i="3"/>
  <c r="E3022" i="3"/>
  <c r="E3021" i="3"/>
  <c r="E3020" i="3"/>
  <c r="E3019" i="3"/>
  <c r="E3018" i="3"/>
  <c r="E3017" i="3"/>
  <c r="E3016" i="3"/>
  <c r="E3015" i="3"/>
  <c r="E3014" i="3"/>
  <c r="E3013" i="3"/>
  <c r="E3012" i="3"/>
  <c r="E3011" i="3"/>
  <c r="E3010" i="3"/>
  <c r="E3009" i="3"/>
  <c r="E3008" i="3"/>
  <c r="E3007" i="3"/>
  <c r="E3006" i="3"/>
  <c r="E3005" i="3"/>
  <c r="E3004" i="3"/>
  <c r="E3003" i="3"/>
  <c r="E3002" i="3"/>
  <c r="E3001" i="3"/>
  <c r="E3000" i="3"/>
  <c r="E2999" i="3"/>
  <c r="E2998" i="3"/>
  <c r="E2997" i="3"/>
  <c r="E2996" i="3"/>
  <c r="E2995" i="3"/>
  <c r="E2994" i="3"/>
  <c r="E2993" i="3"/>
  <c r="E2992" i="3"/>
  <c r="E2991" i="3"/>
  <c r="E2990" i="3"/>
  <c r="E2989" i="3"/>
  <c r="E2988" i="3"/>
  <c r="E2987" i="3"/>
  <c r="E2986" i="3"/>
  <c r="E2985" i="3"/>
  <c r="E2984" i="3"/>
  <c r="E2983" i="3"/>
  <c r="E2982" i="3"/>
  <c r="E2981" i="3"/>
  <c r="E2980" i="3"/>
  <c r="E2979" i="3"/>
  <c r="E2978" i="3"/>
  <c r="E2977" i="3"/>
  <c r="E2976" i="3"/>
  <c r="E2975" i="3"/>
  <c r="E2974" i="3"/>
  <c r="E2973" i="3"/>
  <c r="E2972" i="3"/>
  <c r="E2971" i="3"/>
  <c r="E2970" i="3"/>
  <c r="E2969" i="3"/>
  <c r="E2968" i="3"/>
  <c r="E2967" i="3"/>
  <c r="E2966" i="3"/>
  <c r="E2965" i="3"/>
  <c r="E2964" i="3"/>
  <c r="E2963" i="3"/>
  <c r="E2962" i="3"/>
  <c r="E2961" i="3"/>
  <c r="E2960" i="3"/>
  <c r="E2959" i="3"/>
  <c r="E2958" i="3"/>
  <c r="E2957" i="3"/>
  <c r="E2956" i="3"/>
  <c r="E2955" i="3"/>
  <c r="E2954" i="3"/>
  <c r="E2953" i="3"/>
  <c r="E2952" i="3"/>
  <c r="E2951" i="3"/>
  <c r="E2950" i="3"/>
  <c r="E2949" i="3"/>
  <c r="E2948" i="3"/>
  <c r="E2947" i="3"/>
  <c r="E2946" i="3"/>
  <c r="E2945" i="3"/>
  <c r="E2944" i="3"/>
  <c r="E2943" i="3"/>
  <c r="E2942" i="3"/>
  <c r="E2941" i="3"/>
  <c r="E2940" i="3"/>
  <c r="E2939" i="3"/>
  <c r="E2938" i="3"/>
  <c r="E2937" i="3"/>
  <c r="E2936" i="3"/>
  <c r="E2935" i="3"/>
  <c r="E2934" i="3"/>
  <c r="E2933" i="3"/>
  <c r="E2932" i="3"/>
  <c r="E2931" i="3"/>
  <c r="E2930" i="3"/>
  <c r="E2929" i="3"/>
  <c r="E2928" i="3"/>
  <c r="E2927" i="3"/>
  <c r="E2926" i="3"/>
  <c r="E2925" i="3"/>
  <c r="E2924" i="3"/>
  <c r="E2923" i="3"/>
  <c r="E2922" i="3"/>
  <c r="E2921" i="3"/>
  <c r="E2920" i="3"/>
  <c r="E2919" i="3"/>
  <c r="E2918" i="3"/>
  <c r="E2917" i="3"/>
  <c r="E2916" i="3"/>
  <c r="E2915" i="3"/>
  <c r="E2914" i="3"/>
  <c r="E2913" i="3"/>
  <c r="E2912" i="3"/>
  <c r="E2911" i="3"/>
  <c r="E2910" i="3"/>
  <c r="E2909" i="3"/>
  <c r="E2908" i="3"/>
  <c r="E2907" i="3"/>
  <c r="E2906" i="3"/>
  <c r="E2905" i="3"/>
  <c r="E2904" i="3"/>
  <c r="E2903" i="3"/>
  <c r="E2902" i="3"/>
  <c r="E2901" i="3"/>
  <c r="E2900" i="3"/>
  <c r="E2899" i="3"/>
  <c r="E2898" i="3"/>
  <c r="E2897" i="3"/>
  <c r="E2896" i="3"/>
  <c r="E2895" i="3"/>
  <c r="E2894" i="3"/>
  <c r="E2893" i="3"/>
  <c r="E2892" i="3"/>
  <c r="E2891" i="3"/>
  <c r="E2890" i="3"/>
  <c r="E2889" i="3"/>
  <c r="E2888" i="3"/>
  <c r="E2887" i="3"/>
  <c r="E2886" i="3"/>
  <c r="E2885" i="3"/>
  <c r="E2884" i="3"/>
  <c r="E2883" i="3"/>
  <c r="E2882" i="3"/>
  <c r="E2881" i="3"/>
  <c r="E2880" i="3"/>
  <c r="E2879" i="3"/>
  <c r="E2878" i="3"/>
  <c r="E2877" i="3"/>
  <c r="E2876" i="3"/>
  <c r="E2875" i="3"/>
  <c r="E2874" i="3"/>
  <c r="E2873" i="3"/>
  <c r="E2872" i="3"/>
  <c r="E2871" i="3"/>
  <c r="E2870" i="3"/>
  <c r="E2869" i="3"/>
  <c r="E2868" i="3"/>
  <c r="E2867" i="3"/>
  <c r="E2866" i="3"/>
  <c r="E2865" i="3"/>
  <c r="E2864" i="3"/>
  <c r="E2863" i="3"/>
  <c r="E2862" i="3"/>
  <c r="E2861" i="3"/>
  <c r="E2860" i="3"/>
  <c r="E2859" i="3"/>
  <c r="E2858" i="3"/>
  <c r="E2857" i="3"/>
  <c r="E2856" i="3"/>
  <c r="E2855" i="3"/>
  <c r="E2854" i="3"/>
  <c r="E2853" i="3"/>
  <c r="E2852" i="3"/>
  <c r="E2851" i="3"/>
  <c r="E2850" i="3"/>
  <c r="E2849" i="3"/>
  <c r="E2848" i="3"/>
  <c r="E2847" i="3"/>
  <c r="E2846" i="3"/>
  <c r="E2845" i="3"/>
  <c r="E2844" i="3"/>
  <c r="E2843" i="3"/>
  <c r="E2842" i="3"/>
  <c r="E2841" i="3"/>
  <c r="E2840" i="3"/>
  <c r="E2839" i="3"/>
  <c r="E2838" i="3"/>
  <c r="E2837" i="3"/>
  <c r="E2836" i="3"/>
  <c r="E2835" i="3"/>
  <c r="E2834" i="3"/>
  <c r="E2833" i="3"/>
  <c r="E2832" i="3"/>
  <c r="E2831" i="3"/>
  <c r="E2830" i="3"/>
  <c r="E2829" i="3"/>
  <c r="E2828" i="3"/>
  <c r="E2827" i="3"/>
  <c r="E2826" i="3"/>
  <c r="E2825" i="3"/>
  <c r="E2824" i="3"/>
  <c r="E2823" i="3"/>
  <c r="E2822" i="3"/>
  <c r="E2821" i="3"/>
  <c r="E2820" i="3"/>
  <c r="E2819" i="3"/>
  <c r="E2818" i="3"/>
  <c r="E2817" i="3"/>
  <c r="E2816" i="3"/>
  <c r="E2815" i="3"/>
  <c r="E2814" i="3"/>
  <c r="E2813" i="3"/>
  <c r="E2812" i="3"/>
  <c r="E2811" i="3"/>
  <c r="E2810" i="3"/>
  <c r="E2809" i="3"/>
  <c r="E2808" i="3"/>
  <c r="E2807" i="3"/>
  <c r="E2806" i="3"/>
  <c r="E2805" i="3"/>
  <c r="E2804" i="3"/>
  <c r="E2803" i="3"/>
  <c r="E2802" i="3"/>
  <c r="E2801" i="3"/>
  <c r="E2800" i="3"/>
  <c r="E2799" i="3"/>
  <c r="E2798" i="3"/>
  <c r="E2797" i="3"/>
  <c r="E2796" i="3"/>
  <c r="E2795" i="3"/>
  <c r="E2794" i="3"/>
  <c r="E2793" i="3"/>
  <c r="E2792" i="3"/>
  <c r="E2791" i="3"/>
  <c r="E2790" i="3"/>
  <c r="E2789" i="3"/>
  <c r="E2788" i="3"/>
  <c r="E2787" i="3"/>
  <c r="E2786" i="3"/>
  <c r="E2785" i="3"/>
  <c r="E2784" i="3"/>
  <c r="E2783" i="3"/>
  <c r="E2782" i="3"/>
  <c r="E2781" i="3"/>
  <c r="E2780" i="3"/>
  <c r="E2779" i="3"/>
  <c r="E2778" i="3"/>
  <c r="E2777" i="3"/>
  <c r="E2776" i="3"/>
  <c r="E2775" i="3"/>
  <c r="E2774" i="3"/>
  <c r="E2773" i="3"/>
  <c r="E2772" i="3"/>
  <c r="E2771" i="3"/>
  <c r="E2770" i="3"/>
  <c r="E2769" i="3"/>
  <c r="E2768" i="3"/>
  <c r="E2767" i="3"/>
  <c r="E2766" i="3"/>
  <c r="E2765" i="3"/>
  <c r="E2764" i="3"/>
  <c r="E2763" i="3"/>
  <c r="E2762" i="3"/>
  <c r="E2761" i="3"/>
  <c r="E2760" i="3"/>
  <c r="E2759" i="3"/>
  <c r="E2758" i="3"/>
  <c r="E2757" i="3"/>
  <c r="E2756" i="3"/>
  <c r="E2755" i="3"/>
  <c r="E2754" i="3"/>
  <c r="E2753" i="3"/>
  <c r="E2752" i="3"/>
  <c r="E2751" i="3"/>
  <c r="E2750" i="3"/>
  <c r="E2749" i="3"/>
  <c r="E2748" i="3"/>
  <c r="E2747" i="3"/>
  <c r="E2746" i="3"/>
  <c r="E2745" i="3"/>
  <c r="E2744" i="3"/>
  <c r="E2743" i="3"/>
  <c r="E2742" i="3"/>
  <c r="E2741" i="3"/>
  <c r="E2740" i="3"/>
  <c r="E2739" i="3"/>
  <c r="E2738" i="3"/>
  <c r="E2737" i="3"/>
  <c r="E2736" i="3"/>
  <c r="E2735" i="3"/>
  <c r="E2734" i="3"/>
  <c r="E2733" i="3"/>
  <c r="E2732" i="3"/>
  <c r="E2731" i="3"/>
  <c r="E2730" i="3"/>
  <c r="E2729" i="3"/>
  <c r="E2728" i="3"/>
  <c r="E2727" i="3"/>
  <c r="E2726" i="3"/>
  <c r="E2725" i="3"/>
  <c r="E2724" i="3"/>
  <c r="E2723" i="3"/>
  <c r="E2722" i="3"/>
  <c r="E2721" i="3"/>
  <c r="E2720" i="3"/>
  <c r="E2719" i="3"/>
  <c r="E2718" i="3"/>
  <c r="E2717" i="3"/>
  <c r="E2716" i="3"/>
  <c r="E2715" i="3"/>
  <c r="E2714" i="3"/>
  <c r="E2713" i="3"/>
  <c r="E2712" i="3"/>
  <c r="E2711" i="3"/>
  <c r="E2710" i="3"/>
  <c r="E2709" i="3"/>
  <c r="E2708" i="3"/>
  <c r="E2707" i="3"/>
  <c r="E2706" i="3"/>
  <c r="E2705" i="3"/>
  <c r="E2704" i="3"/>
  <c r="E2703" i="3"/>
  <c r="E2702" i="3"/>
  <c r="E2701" i="3"/>
  <c r="E2700" i="3"/>
  <c r="E2699" i="3"/>
  <c r="E2698" i="3"/>
  <c r="E2697" i="3"/>
  <c r="E2696" i="3"/>
  <c r="E2695" i="3"/>
  <c r="E2694" i="3"/>
  <c r="E2693" i="3"/>
  <c r="E2692" i="3"/>
  <c r="E2691" i="3"/>
  <c r="E2690" i="3"/>
  <c r="E2689" i="3"/>
  <c r="E2688" i="3"/>
  <c r="E2687" i="3"/>
  <c r="E2686" i="3"/>
  <c r="E2685" i="3"/>
  <c r="E2684" i="3"/>
  <c r="E2683" i="3"/>
  <c r="E2682" i="3"/>
  <c r="E2681" i="3"/>
  <c r="E2680" i="3"/>
  <c r="E2679" i="3"/>
  <c r="E2678" i="3"/>
  <c r="E2677" i="3"/>
  <c r="E2676" i="3"/>
  <c r="E2675" i="3"/>
  <c r="E2674" i="3"/>
  <c r="E2673" i="3"/>
  <c r="E2672" i="3"/>
  <c r="E2671" i="3"/>
  <c r="E2670" i="3"/>
  <c r="E2669" i="3"/>
  <c r="E2668" i="3"/>
  <c r="E2667" i="3"/>
  <c r="E2666" i="3"/>
  <c r="E2665" i="3"/>
  <c r="E2664" i="3"/>
  <c r="E2663" i="3"/>
  <c r="E2662" i="3"/>
  <c r="E2661" i="3"/>
  <c r="E2660" i="3"/>
  <c r="E2659" i="3"/>
  <c r="E2658" i="3"/>
  <c r="E2657" i="3"/>
  <c r="E2656" i="3"/>
  <c r="E2655" i="3"/>
  <c r="E2654" i="3"/>
  <c r="E2653" i="3"/>
  <c r="E2652" i="3"/>
  <c r="E2651" i="3"/>
  <c r="E2650" i="3"/>
  <c r="E2649" i="3"/>
  <c r="E2648" i="3"/>
  <c r="E2647" i="3"/>
  <c r="E2646" i="3"/>
  <c r="E2645" i="3"/>
  <c r="E2644" i="3"/>
  <c r="E2643" i="3"/>
  <c r="E2642" i="3"/>
  <c r="E2641" i="3"/>
  <c r="E2640" i="3"/>
  <c r="E2639" i="3"/>
  <c r="E2638" i="3"/>
  <c r="E2637" i="3"/>
  <c r="E2636" i="3"/>
  <c r="E2635" i="3"/>
  <c r="E2634" i="3"/>
  <c r="E2633" i="3"/>
  <c r="E2632" i="3"/>
  <c r="E2631" i="3"/>
  <c r="E2630" i="3"/>
  <c r="E2629" i="3"/>
  <c r="E2628" i="3"/>
  <c r="E2627" i="3"/>
  <c r="E2626" i="3"/>
  <c r="E2625" i="3"/>
  <c r="E2624" i="3"/>
  <c r="E2623" i="3"/>
  <c r="E2622" i="3"/>
  <c r="E2621" i="3"/>
  <c r="E2620" i="3"/>
  <c r="E2619" i="3"/>
  <c r="E2618" i="3"/>
  <c r="E2617" i="3"/>
  <c r="E2616" i="3"/>
  <c r="E2615" i="3"/>
  <c r="E2614" i="3"/>
  <c r="E2613" i="3"/>
  <c r="E2612" i="3"/>
  <c r="E2611" i="3"/>
  <c r="E2610" i="3"/>
  <c r="E2609" i="3"/>
  <c r="E2608" i="3"/>
  <c r="E2607" i="3"/>
  <c r="E2606" i="3"/>
  <c r="E2605" i="3"/>
  <c r="E2604" i="3"/>
  <c r="E2603" i="3"/>
  <c r="E2602" i="3"/>
  <c r="E2601" i="3"/>
  <c r="E2600" i="3"/>
  <c r="E2599" i="3"/>
  <c r="E2598" i="3"/>
  <c r="E2597" i="3"/>
  <c r="E2596" i="3"/>
  <c r="E2595" i="3"/>
  <c r="E2594" i="3"/>
  <c r="E2593" i="3"/>
  <c r="E2592" i="3"/>
  <c r="E2591" i="3"/>
  <c r="E2590" i="3"/>
  <c r="E2589" i="3"/>
  <c r="E2588" i="3"/>
  <c r="E2587" i="3"/>
  <c r="E2586" i="3"/>
  <c r="E2585" i="3"/>
  <c r="E2584" i="3"/>
  <c r="E2583" i="3"/>
  <c r="E2582" i="3"/>
  <c r="E2581" i="3"/>
  <c r="E2580" i="3"/>
  <c r="E2579" i="3"/>
  <c r="E2578" i="3"/>
  <c r="E2577" i="3"/>
  <c r="E2576" i="3"/>
  <c r="E2575" i="3"/>
  <c r="E2574" i="3"/>
  <c r="E2573" i="3"/>
  <c r="E2572" i="3"/>
  <c r="E2571" i="3"/>
  <c r="E2570" i="3"/>
  <c r="E2569" i="3"/>
  <c r="E2568" i="3"/>
  <c r="E2567" i="3"/>
  <c r="E2566" i="3"/>
  <c r="E2565" i="3"/>
  <c r="E2564" i="3"/>
  <c r="E2563" i="3"/>
  <c r="E2562" i="3"/>
  <c r="E2561" i="3"/>
  <c r="E2560" i="3"/>
  <c r="E2559" i="3"/>
  <c r="E2558" i="3"/>
  <c r="E2557" i="3"/>
  <c r="E2556" i="3"/>
  <c r="E2555" i="3"/>
  <c r="E2554" i="3"/>
  <c r="E2553" i="3"/>
  <c r="E2552" i="3"/>
  <c r="E2551" i="3"/>
  <c r="E2550" i="3"/>
  <c r="E2549" i="3"/>
  <c r="E2548" i="3"/>
  <c r="E2547" i="3"/>
  <c r="E2546" i="3"/>
  <c r="E2545" i="3"/>
  <c r="E2544" i="3"/>
  <c r="E2543" i="3"/>
  <c r="E2542" i="3"/>
  <c r="E2541" i="3"/>
  <c r="E2540" i="3"/>
  <c r="E2539" i="3"/>
  <c r="E2538" i="3"/>
  <c r="E2537" i="3"/>
  <c r="E2536" i="3"/>
  <c r="E2535" i="3"/>
  <c r="E2534" i="3"/>
  <c r="E2533" i="3"/>
  <c r="E2532" i="3"/>
  <c r="E2531" i="3"/>
  <c r="E2530" i="3"/>
  <c r="E2529" i="3"/>
  <c r="E2528" i="3"/>
  <c r="E2527" i="3"/>
  <c r="E2526" i="3"/>
  <c r="E2525" i="3"/>
  <c r="E2524" i="3"/>
  <c r="E2523" i="3"/>
  <c r="E2522" i="3"/>
  <c r="E2521" i="3"/>
  <c r="E2520" i="3"/>
  <c r="E2519" i="3"/>
  <c r="E2518" i="3"/>
  <c r="E2517" i="3"/>
  <c r="E2516" i="3"/>
  <c r="E2515" i="3"/>
  <c r="E2514" i="3"/>
  <c r="E2513" i="3"/>
  <c r="E2512" i="3"/>
  <c r="E2511" i="3"/>
  <c r="E2510" i="3"/>
  <c r="E2509" i="3"/>
  <c r="E2508" i="3"/>
  <c r="E2507" i="3"/>
  <c r="E2506" i="3"/>
  <c r="E2505" i="3"/>
  <c r="E2504" i="3"/>
  <c r="E2503" i="3"/>
  <c r="E2502" i="3"/>
  <c r="E2501" i="3"/>
  <c r="E2500" i="3"/>
  <c r="E2499" i="3"/>
  <c r="E2498" i="3"/>
  <c r="E2497" i="3"/>
  <c r="E2496" i="3"/>
  <c r="E2495" i="3"/>
  <c r="E2494" i="3"/>
  <c r="E2493" i="3"/>
  <c r="E2492" i="3"/>
  <c r="E2491" i="3"/>
  <c r="E2490" i="3"/>
  <c r="E2489" i="3"/>
  <c r="E2488" i="3"/>
  <c r="E2487" i="3"/>
  <c r="E2486" i="3"/>
  <c r="E2485" i="3"/>
  <c r="E2484" i="3"/>
  <c r="E2483" i="3"/>
  <c r="E2482" i="3"/>
  <c r="E2481" i="3"/>
  <c r="E2480" i="3"/>
  <c r="E2479" i="3"/>
  <c r="E2478" i="3"/>
  <c r="E2477" i="3"/>
  <c r="E2476" i="3"/>
  <c r="E2475" i="3"/>
  <c r="E2474" i="3"/>
  <c r="E2473" i="3"/>
  <c r="E2472" i="3"/>
  <c r="E2471" i="3"/>
  <c r="E2470" i="3"/>
  <c r="E2469" i="3"/>
  <c r="E2468" i="3"/>
  <c r="E2467" i="3"/>
  <c r="E2466" i="3"/>
  <c r="E2465" i="3"/>
  <c r="E2464" i="3"/>
  <c r="E2463" i="3"/>
  <c r="E2462" i="3"/>
  <c r="E2461" i="3"/>
  <c r="E2460" i="3"/>
  <c r="E2459" i="3"/>
  <c r="E2458" i="3"/>
  <c r="E2457" i="3"/>
  <c r="E2456" i="3"/>
  <c r="E2455" i="3"/>
  <c r="E2454" i="3"/>
  <c r="E2453" i="3"/>
  <c r="E2452" i="3"/>
  <c r="E2451" i="3"/>
  <c r="E2450" i="3"/>
  <c r="E2449" i="3"/>
  <c r="E2448" i="3"/>
  <c r="E2447" i="3"/>
  <c r="E2446" i="3"/>
  <c r="E2445" i="3"/>
  <c r="E2444" i="3"/>
  <c r="E2443" i="3"/>
  <c r="E2442" i="3"/>
  <c r="E2441" i="3"/>
  <c r="E2440" i="3"/>
  <c r="E2439" i="3"/>
  <c r="E2438" i="3"/>
  <c r="E2437" i="3"/>
  <c r="E2436" i="3"/>
  <c r="E2435" i="3"/>
  <c r="E2434" i="3"/>
  <c r="E2433" i="3"/>
  <c r="E2432" i="3"/>
  <c r="E2431" i="3"/>
  <c r="E2430" i="3"/>
  <c r="E2429" i="3"/>
  <c r="E2428" i="3"/>
  <c r="E2427" i="3"/>
  <c r="E2426" i="3"/>
  <c r="E2425" i="3"/>
  <c r="E2424" i="3"/>
  <c r="E2423" i="3"/>
  <c r="E2422" i="3"/>
  <c r="E2421" i="3"/>
  <c r="E2420" i="3"/>
  <c r="E2419" i="3"/>
  <c r="E2418" i="3"/>
  <c r="E2417" i="3"/>
  <c r="E2416" i="3"/>
  <c r="E2415" i="3"/>
  <c r="E2414" i="3"/>
  <c r="E2413" i="3"/>
  <c r="E2412" i="3"/>
  <c r="E2411" i="3"/>
  <c r="E2410" i="3"/>
  <c r="E2409" i="3"/>
  <c r="E2408" i="3"/>
  <c r="E2407" i="3"/>
  <c r="E2406" i="3"/>
  <c r="E2405" i="3"/>
  <c r="E2404" i="3"/>
  <c r="E2403" i="3"/>
  <c r="E2402" i="3"/>
  <c r="E2401" i="3"/>
  <c r="E2400" i="3"/>
  <c r="E2399" i="3"/>
  <c r="E2398" i="3"/>
  <c r="E2397" i="3"/>
  <c r="E2396" i="3"/>
  <c r="E2395" i="3"/>
  <c r="E2394" i="3"/>
  <c r="E2393" i="3"/>
  <c r="E2392" i="3"/>
  <c r="E2391" i="3"/>
  <c r="E2390" i="3"/>
  <c r="E2389" i="3"/>
  <c r="E2388" i="3"/>
  <c r="E2387" i="3"/>
  <c r="E2386" i="3"/>
  <c r="E2385" i="3"/>
  <c r="E2384" i="3"/>
  <c r="E2383" i="3"/>
  <c r="E2382" i="3"/>
  <c r="E2381" i="3"/>
  <c r="E2380" i="3"/>
  <c r="E2379" i="3"/>
  <c r="E2378" i="3"/>
  <c r="E2377" i="3"/>
  <c r="E2376" i="3"/>
  <c r="E2375" i="3"/>
  <c r="E2374" i="3"/>
  <c r="E2373" i="3"/>
  <c r="E2372" i="3"/>
  <c r="E2371" i="3"/>
  <c r="E2370" i="3"/>
  <c r="E2369" i="3"/>
  <c r="E2368" i="3"/>
  <c r="E2367" i="3"/>
  <c r="E2366" i="3"/>
  <c r="E2365" i="3"/>
  <c r="E2364" i="3"/>
  <c r="E2363" i="3"/>
  <c r="E2362" i="3"/>
  <c r="E2361" i="3"/>
  <c r="E2360" i="3"/>
  <c r="E2359" i="3"/>
  <c r="E2358" i="3"/>
  <c r="E2357" i="3"/>
  <c r="E2356" i="3"/>
  <c r="E2355" i="3"/>
  <c r="E2354" i="3"/>
  <c r="E2353" i="3"/>
  <c r="E2352" i="3"/>
  <c r="E2351" i="3"/>
  <c r="E2350" i="3"/>
  <c r="E2349" i="3"/>
  <c r="E2348" i="3"/>
  <c r="E2347" i="3"/>
  <c r="E2346" i="3"/>
  <c r="E2345" i="3"/>
  <c r="E2344" i="3"/>
  <c r="E2343" i="3"/>
  <c r="E2342" i="3"/>
  <c r="E2341" i="3"/>
  <c r="E2340" i="3"/>
  <c r="E2339" i="3"/>
  <c r="E2338" i="3"/>
  <c r="E2337" i="3"/>
  <c r="E2336" i="3"/>
  <c r="E2335" i="3"/>
  <c r="E2334" i="3"/>
  <c r="E2333" i="3"/>
  <c r="E2332" i="3"/>
  <c r="E2331" i="3"/>
  <c r="E2330" i="3"/>
  <c r="E2329" i="3"/>
  <c r="E2328" i="3"/>
  <c r="E2327" i="3"/>
  <c r="E2326" i="3"/>
  <c r="E2325" i="3"/>
  <c r="E2324" i="3"/>
  <c r="E2323" i="3"/>
  <c r="E2322" i="3"/>
  <c r="E2321" i="3"/>
  <c r="E2320" i="3"/>
  <c r="E2319" i="3"/>
  <c r="E2318" i="3"/>
  <c r="E2317" i="3"/>
  <c r="E2316" i="3"/>
  <c r="E2315" i="3"/>
  <c r="E2314" i="3"/>
  <c r="E2313" i="3"/>
  <c r="E2312" i="3"/>
  <c r="E2311" i="3"/>
  <c r="E2310" i="3"/>
  <c r="E2309" i="3"/>
  <c r="E2308" i="3"/>
  <c r="E2307" i="3"/>
  <c r="E2306" i="3"/>
  <c r="E2305" i="3"/>
  <c r="E2304" i="3"/>
  <c r="E2303" i="3"/>
  <c r="E2302" i="3"/>
  <c r="E2301" i="3"/>
  <c r="E2300" i="3"/>
  <c r="E2299" i="3"/>
  <c r="E2298" i="3"/>
  <c r="E2297" i="3"/>
  <c r="E2296" i="3"/>
  <c r="E2295" i="3"/>
  <c r="E2294" i="3"/>
  <c r="E2293" i="3"/>
  <c r="E2292" i="3"/>
  <c r="E2291" i="3"/>
  <c r="E2290" i="3"/>
  <c r="E2289" i="3"/>
  <c r="E2288" i="3"/>
  <c r="E2287" i="3"/>
  <c r="E2286" i="3"/>
  <c r="E2285" i="3"/>
  <c r="E2284" i="3"/>
  <c r="E2283" i="3"/>
  <c r="E2282" i="3"/>
  <c r="E2281" i="3"/>
  <c r="E2280" i="3"/>
  <c r="E2279" i="3"/>
  <c r="E2278" i="3"/>
  <c r="E2277" i="3"/>
  <c r="E2276" i="3"/>
  <c r="E2275" i="3"/>
  <c r="E2274" i="3"/>
  <c r="E2273" i="3"/>
  <c r="E2272" i="3"/>
  <c r="E2271" i="3"/>
  <c r="E2270" i="3"/>
  <c r="E2269" i="3"/>
  <c r="E2268" i="3"/>
  <c r="E2267" i="3"/>
  <c r="E2266" i="3"/>
  <c r="E2265" i="3"/>
  <c r="E2264" i="3"/>
  <c r="E2263" i="3"/>
  <c r="E2262" i="3"/>
  <c r="E2261" i="3"/>
  <c r="E2260" i="3"/>
  <c r="E2259" i="3"/>
  <c r="E2258" i="3"/>
  <c r="E2257" i="3"/>
  <c r="E2256" i="3"/>
  <c r="E2255" i="3"/>
  <c r="E2254" i="3"/>
  <c r="E2253" i="3"/>
  <c r="E2252" i="3"/>
  <c r="E2251" i="3"/>
  <c r="E2250" i="3"/>
  <c r="E2249" i="3"/>
  <c r="E2248" i="3"/>
  <c r="E2247" i="3"/>
  <c r="E2246" i="3"/>
  <c r="E2245" i="3"/>
  <c r="E2244" i="3"/>
  <c r="E2243" i="3"/>
  <c r="E2242" i="3"/>
  <c r="E2241" i="3"/>
  <c r="E2240" i="3"/>
  <c r="E2239" i="3"/>
  <c r="E2238" i="3"/>
  <c r="E2237" i="3"/>
  <c r="E2236" i="3"/>
  <c r="E2235" i="3"/>
  <c r="E2234" i="3"/>
  <c r="E2233" i="3"/>
  <c r="E2232" i="3"/>
  <c r="E2231" i="3"/>
  <c r="E2230" i="3"/>
  <c r="E2229" i="3"/>
  <c r="E2228" i="3"/>
  <c r="E2227" i="3"/>
  <c r="E2226" i="3"/>
  <c r="E2225" i="3"/>
  <c r="E2224" i="3"/>
  <c r="E2223" i="3"/>
  <c r="E2222" i="3"/>
  <c r="E2221" i="3"/>
  <c r="E2220" i="3"/>
  <c r="E2219" i="3"/>
  <c r="E2218" i="3"/>
  <c r="E2217" i="3"/>
  <c r="E2216" i="3"/>
  <c r="E2215" i="3"/>
  <c r="E2214" i="3"/>
  <c r="E2213" i="3"/>
  <c r="E2212" i="3"/>
  <c r="E2211" i="3"/>
  <c r="E2210" i="3"/>
  <c r="E2209" i="3"/>
  <c r="E2208" i="3"/>
  <c r="E2207" i="3"/>
  <c r="E2206" i="3"/>
  <c r="E2205" i="3"/>
  <c r="E2204" i="3"/>
  <c r="E2203" i="3"/>
  <c r="E2202" i="3"/>
  <c r="E2201" i="3"/>
  <c r="E2200" i="3"/>
  <c r="E2199" i="3"/>
  <c r="E2198" i="3"/>
  <c r="E2197" i="3"/>
  <c r="E2196" i="3"/>
  <c r="E2195" i="3"/>
  <c r="E2194" i="3"/>
  <c r="E2193" i="3"/>
  <c r="E2192" i="3"/>
  <c r="E2191" i="3"/>
  <c r="E2190" i="3"/>
  <c r="E2189" i="3"/>
  <c r="E2188" i="3"/>
  <c r="E2187" i="3"/>
  <c r="E2186" i="3"/>
  <c r="E2185" i="3"/>
  <c r="E2184" i="3"/>
  <c r="E2183" i="3"/>
  <c r="E2182" i="3"/>
  <c r="E2181" i="3"/>
  <c r="E2180" i="3"/>
  <c r="E2179" i="3"/>
  <c r="E2178" i="3"/>
  <c r="E2177" i="3"/>
  <c r="E2176" i="3"/>
  <c r="E2175" i="3"/>
  <c r="E2174" i="3"/>
  <c r="E2173" i="3"/>
  <c r="E2172" i="3"/>
  <c r="E2171" i="3"/>
  <c r="E2170" i="3"/>
  <c r="E2169" i="3"/>
  <c r="E2168" i="3"/>
  <c r="E2167" i="3"/>
  <c r="E2166" i="3"/>
  <c r="E2165" i="3"/>
  <c r="E2164" i="3"/>
  <c r="E2163" i="3"/>
  <c r="E2162" i="3"/>
  <c r="E2161" i="3"/>
  <c r="E2160" i="3"/>
  <c r="E2159" i="3"/>
  <c r="E2158" i="3"/>
  <c r="E2157" i="3"/>
  <c r="E2156" i="3"/>
  <c r="E2155" i="3"/>
  <c r="E2154" i="3"/>
  <c r="E2153" i="3"/>
  <c r="E2152" i="3"/>
  <c r="E2151" i="3"/>
  <c r="E2150" i="3"/>
  <c r="E2149" i="3"/>
  <c r="E2148" i="3"/>
  <c r="E2147" i="3"/>
  <c r="E2146" i="3"/>
  <c r="E2145" i="3"/>
  <c r="E2144" i="3"/>
  <c r="E2143" i="3"/>
  <c r="E2142" i="3"/>
  <c r="E2141" i="3"/>
  <c r="E2140" i="3"/>
  <c r="E2139" i="3"/>
  <c r="E2138" i="3"/>
  <c r="E2137" i="3"/>
  <c r="E2136" i="3"/>
  <c r="E2135" i="3"/>
  <c r="E2134" i="3"/>
  <c r="E2133" i="3"/>
  <c r="E2132" i="3"/>
  <c r="E2131" i="3"/>
  <c r="E2130" i="3"/>
  <c r="E2129" i="3"/>
  <c r="E2128" i="3"/>
  <c r="E2127" i="3"/>
  <c r="E2126" i="3"/>
  <c r="E2125" i="3"/>
  <c r="E2124" i="3"/>
  <c r="E2123" i="3"/>
  <c r="E2122" i="3"/>
  <c r="E2121" i="3"/>
  <c r="E2120" i="3"/>
  <c r="E2119" i="3"/>
  <c r="E2118" i="3"/>
  <c r="E2117" i="3"/>
  <c r="E2116" i="3"/>
  <c r="E2115" i="3"/>
  <c r="E2114" i="3"/>
  <c r="E2113" i="3"/>
  <c r="E2112" i="3"/>
  <c r="E2111" i="3"/>
  <c r="E2110" i="3"/>
  <c r="E2109" i="3"/>
  <c r="E2108" i="3"/>
  <c r="E2107" i="3"/>
  <c r="E2106" i="3"/>
  <c r="E2105" i="3"/>
  <c r="E2104" i="3"/>
  <c r="E2103" i="3"/>
  <c r="E2102" i="3"/>
  <c r="E2101" i="3"/>
  <c r="E2100" i="3"/>
  <c r="E2099" i="3"/>
  <c r="E2098" i="3"/>
  <c r="E2097" i="3"/>
  <c r="E2096" i="3"/>
  <c r="E2095" i="3"/>
  <c r="E2094" i="3"/>
  <c r="E2093" i="3"/>
  <c r="E2092" i="3"/>
  <c r="E2091" i="3"/>
  <c r="E2090" i="3"/>
  <c r="E2089" i="3"/>
  <c r="E2088" i="3"/>
  <c r="E2087" i="3"/>
  <c r="E2086" i="3"/>
  <c r="E2085" i="3"/>
  <c r="E2084" i="3"/>
  <c r="E2083" i="3"/>
  <c r="E2082" i="3"/>
  <c r="E2081" i="3"/>
  <c r="E2080" i="3"/>
  <c r="E2079" i="3"/>
  <c r="E2078" i="3"/>
  <c r="E2077" i="3"/>
  <c r="E2076" i="3"/>
  <c r="E2075" i="3"/>
  <c r="E2074" i="3"/>
  <c r="E2073" i="3"/>
  <c r="E2072" i="3"/>
  <c r="E2071" i="3"/>
  <c r="E2070" i="3"/>
  <c r="E2069" i="3"/>
  <c r="E2068" i="3"/>
  <c r="E2067" i="3"/>
  <c r="E2066" i="3"/>
  <c r="E2065" i="3"/>
  <c r="E2064" i="3"/>
  <c r="E2063" i="3"/>
  <c r="E2062" i="3"/>
  <c r="E2061" i="3"/>
  <c r="E2060" i="3"/>
  <c r="E2059" i="3"/>
  <c r="E2058" i="3"/>
  <c r="E2057" i="3"/>
  <c r="E2056" i="3"/>
  <c r="E2055" i="3"/>
  <c r="E2054" i="3"/>
  <c r="E2053" i="3"/>
  <c r="E2052" i="3"/>
  <c r="E2051" i="3"/>
  <c r="E2050" i="3"/>
  <c r="E2049" i="3"/>
  <c r="E2048" i="3"/>
  <c r="E2047" i="3"/>
  <c r="E2046" i="3"/>
  <c r="E2045" i="3"/>
  <c r="E2044" i="3"/>
  <c r="E2043" i="3"/>
  <c r="E2042" i="3"/>
  <c r="E2041" i="3"/>
  <c r="E2040" i="3"/>
  <c r="E2039" i="3"/>
  <c r="E2038" i="3"/>
  <c r="E2037" i="3"/>
  <c r="E2036" i="3"/>
  <c r="E2035" i="3"/>
  <c r="E2034" i="3"/>
  <c r="E2033" i="3"/>
  <c r="E2032" i="3"/>
  <c r="E2031" i="3"/>
  <c r="E2030" i="3"/>
  <c r="E2029" i="3"/>
  <c r="E2028" i="3"/>
  <c r="E2027" i="3"/>
  <c r="E2026" i="3"/>
  <c r="E2025" i="3"/>
  <c r="E2024" i="3"/>
  <c r="E2023" i="3"/>
  <c r="E2022" i="3"/>
  <c r="E2021" i="3"/>
  <c r="E2020" i="3"/>
  <c r="E2019" i="3"/>
  <c r="E2018" i="3"/>
  <c r="E2017" i="3"/>
  <c r="E2016" i="3"/>
  <c r="E2015" i="3"/>
  <c r="E2014" i="3"/>
  <c r="E2013" i="3"/>
  <c r="E2012" i="3"/>
  <c r="E2011" i="3"/>
  <c r="E2010" i="3"/>
  <c r="E2009" i="3"/>
  <c r="E2008" i="3"/>
  <c r="E2007" i="3"/>
  <c r="E2006" i="3"/>
  <c r="E2005" i="3"/>
  <c r="E2004" i="3"/>
  <c r="E2003" i="3"/>
  <c r="E2002" i="3"/>
  <c r="E2001" i="3"/>
  <c r="E2000" i="3"/>
  <c r="E1999" i="3"/>
  <c r="E1998" i="3"/>
  <c r="E1997" i="3"/>
  <c r="E1996" i="3"/>
  <c r="E1995" i="3"/>
  <c r="E1994" i="3"/>
  <c r="E1993" i="3"/>
  <c r="E1992" i="3"/>
  <c r="E1991" i="3"/>
  <c r="E1990" i="3"/>
  <c r="E1989" i="3"/>
  <c r="E1988" i="3"/>
  <c r="E1987" i="3"/>
  <c r="E1986" i="3"/>
  <c r="E1985" i="3"/>
  <c r="E1984" i="3"/>
  <c r="E1983" i="3"/>
  <c r="E1982" i="3"/>
  <c r="E1981" i="3"/>
  <c r="E1980" i="3"/>
  <c r="E1979" i="3"/>
  <c r="E1978" i="3"/>
  <c r="E1977" i="3"/>
  <c r="E1976" i="3"/>
  <c r="E1975" i="3"/>
  <c r="E1974" i="3"/>
  <c r="E1973" i="3"/>
  <c r="E1972" i="3"/>
  <c r="E1971" i="3"/>
  <c r="E1970" i="3"/>
  <c r="E1969" i="3"/>
  <c r="E1968" i="3"/>
  <c r="E1967" i="3"/>
  <c r="E1966" i="3"/>
  <c r="E1965" i="3"/>
  <c r="E1964" i="3"/>
  <c r="E1963" i="3"/>
  <c r="E1962" i="3"/>
  <c r="E1961" i="3"/>
  <c r="E1960" i="3"/>
  <c r="E1959" i="3"/>
  <c r="E1958" i="3"/>
  <c r="E1957" i="3"/>
  <c r="E1956" i="3"/>
  <c r="E1955" i="3"/>
  <c r="E1954" i="3"/>
  <c r="E1953" i="3"/>
  <c r="E1952" i="3"/>
  <c r="E1951" i="3"/>
  <c r="E1950" i="3"/>
  <c r="E1949" i="3"/>
  <c r="E1948" i="3"/>
  <c r="E1947" i="3"/>
  <c r="E1946" i="3"/>
  <c r="E1945" i="3"/>
  <c r="E1944" i="3"/>
  <c r="E1943" i="3"/>
  <c r="E1942" i="3"/>
  <c r="E1941" i="3"/>
  <c r="E1940" i="3"/>
  <c r="E1939" i="3"/>
  <c r="E1938" i="3"/>
  <c r="E1937" i="3"/>
  <c r="E1936" i="3"/>
  <c r="E1935" i="3"/>
  <c r="E1934" i="3"/>
  <c r="E1933" i="3"/>
  <c r="E1932" i="3"/>
  <c r="E1931" i="3"/>
  <c r="E1930" i="3"/>
  <c r="E1929" i="3"/>
  <c r="E1928" i="3"/>
  <c r="E1927" i="3"/>
  <c r="E1926" i="3"/>
  <c r="E1925" i="3"/>
  <c r="E1924" i="3"/>
  <c r="E1923" i="3"/>
  <c r="E1922" i="3"/>
  <c r="E1921" i="3"/>
  <c r="E1920" i="3"/>
  <c r="E1919" i="3"/>
  <c r="E1918" i="3"/>
  <c r="E1917" i="3"/>
  <c r="E1916" i="3"/>
  <c r="E1915" i="3"/>
  <c r="E1914" i="3"/>
  <c r="E1913" i="3"/>
  <c r="E1912" i="3"/>
  <c r="E1911" i="3"/>
  <c r="E1910" i="3"/>
  <c r="E1909" i="3"/>
  <c r="E1908" i="3"/>
  <c r="E1907" i="3"/>
  <c r="E1906" i="3"/>
  <c r="E1905" i="3"/>
  <c r="E1904" i="3"/>
  <c r="E1903" i="3"/>
  <c r="E1902" i="3"/>
  <c r="E1901" i="3"/>
  <c r="E1900" i="3"/>
  <c r="E1899" i="3"/>
  <c r="E1898" i="3"/>
  <c r="E1897" i="3"/>
  <c r="E1896" i="3"/>
  <c r="E1895" i="3"/>
  <c r="E1894" i="3"/>
  <c r="E1893" i="3"/>
  <c r="E1892" i="3"/>
  <c r="E1891" i="3"/>
  <c r="E1890" i="3"/>
  <c r="E1889" i="3"/>
  <c r="E1888" i="3"/>
  <c r="E1887" i="3"/>
  <c r="E1886" i="3"/>
  <c r="E1885" i="3"/>
  <c r="E1884" i="3"/>
  <c r="E1883" i="3"/>
  <c r="E1882" i="3"/>
  <c r="E1881" i="3"/>
  <c r="E1880" i="3"/>
  <c r="E1879" i="3"/>
  <c r="E1878" i="3"/>
  <c r="E1877" i="3"/>
  <c r="E1876" i="3"/>
  <c r="E1875" i="3"/>
  <c r="E1874" i="3"/>
  <c r="E1873" i="3"/>
  <c r="E1872" i="3"/>
  <c r="E1871" i="3"/>
  <c r="E1870" i="3"/>
  <c r="E1869" i="3"/>
  <c r="E1868" i="3"/>
  <c r="E1867" i="3"/>
  <c r="E1866" i="3"/>
  <c r="E1865" i="3"/>
  <c r="E1864" i="3"/>
  <c r="E1863" i="3"/>
  <c r="E1862" i="3"/>
  <c r="E1861" i="3"/>
  <c r="E1860" i="3"/>
  <c r="E1859" i="3"/>
  <c r="E1858" i="3"/>
  <c r="E1857" i="3"/>
  <c r="E1856" i="3"/>
  <c r="E1855" i="3"/>
  <c r="E1854" i="3"/>
  <c r="E1853" i="3"/>
  <c r="E1852" i="3"/>
  <c r="E1851" i="3"/>
  <c r="E1850" i="3"/>
  <c r="E1849" i="3"/>
  <c r="E1848" i="3"/>
  <c r="E1847" i="3"/>
  <c r="E1846" i="3"/>
  <c r="E1845" i="3"/>
  <c r="E1844" i="3"/>
  <c r="E1843" i="3"/>
  <c r="E1842" i="3"/>
  <c r="E1841" i="3"/>
  <c r="E1840" i="3"/>
  <c r="E1839" i="3"/>
  <c r="E1838" i="3"/>
  <c r="E1837" i="3"/>
  <c r="E1836" i="3"/>
  <c r="E1835" i="3"/>
  <c r="E1834" i="3"/>
  <c r="E1833" i="3"/>
  <c r="E1832" i="3"/>
  <c r="E1831" i="3"/>
  <c r="E1830" i="3"/>
  <c r="E1829" i="3"/>
  <c r="E1828" i="3"/>
  <c r="E1827" i="3"/>
  <c r="E1826" i="3"/>
  <c r="E1825" i="3"/>
  <c r="E1824" i="3"/>
  <c r="E1823" i="3"/>
  <c r="E1822" i="3"/>
  <c r="E1821" i="3"/>
  <c r="E1820" i="3"/>
  <c r="E1819" i="3"/>
  <c r="E1818" i="3"/>
  <c r="E1817" i="3"/>
  <c r="E1816" i="3"/>
  <c r="E1815" i="3"/>
  <c r="E1814" i="3"/>
  <c r="E1813" i="3"/>
  <c r="E1812" i="3"/>
  <c r="E1811" i="3"/>
  <c r="E1810" i="3"/>
  <c r="E1809" i="3"/>
  <c r="E1808" i="3"/>
  <c r="E1807" i="3"/>
  <c r="E1806" i="3"/>
  <c r="E1805" i="3"/>
  <c r="E1804" i="3"/>
  <c r="E1803" i="3"/>
  <c r="E1802" i="3"/>
  <c r="E1801" i="3"/>
  <c r="E1800" i="3"/>
  <c r="E1799" i="3"/>
  <c r="E1798" i="3"/>
  <c r="E1797" i="3"/>
  <c r="E1796" i="3"/>
  <c r="E1795" i="3"/>
  <c r="E1794" i="3"/>
  <c r="E1793" i="3"/>
  <c r="E1792" i="3"/>
  <c r="E1791" i="3"/>
  <c r="E1790" i="3"/>
  <c r="E1789" i="3"/>
  <c r="E1788" i="3"/>
  <c r="E1787" i="3"/>
  <c r="E1786" i="3"/>
  <c r="E1785" i="3"/>
  <c r="E1784" i="3"/>
  <c r="E1783" i="3"/>
  <c r="E1782" i="3"/>
  <c r="E1781" i="3"/>
  <c r="E1780" i="3"/>
  <c r="E1779" i="3"/>
  <c r="E1778" i="3"/>
  <c r="E1777" i="3"/>
  <c r="E1776" i="3"/>
  <c r="E1775" i="3"/>
  <c r="E1774" i="3"/>
  <c r="E1773" i="3"/>
  <c r="E1772" i="3"/>
  <c r="E1771" i="3"/>
  <c r="E1770" i="3"/>
  <c r="E1769" i="3"/>
  <c r="E1768" i="3"/>
  <c r="E1767" i="3"/>
  <c r="E1766" i="3"/>
  <c r="E1765" i="3"/>
  <c r="E1764" i="3"/>
  <c r="E1763" i="3"/>
  <c r="E1762" i="3"/>
  <c r="E1761" i="3"/>
  <c r="E1760" i="3"/>
  <c r="E1759" i="3"/>
  <c r="E1758" i="3"/>
  <c r="E1757" i="3"/>
  <c r="E1756" i="3"/>
  <c r="E1755" i="3"/>
  <c r="E1754" i="3"/>
  <c r="E1753" i="3"/>
  <c r="E1752" i="3"/>
  <c r="E1751" i="3"/>
  <c r="E1750" i="3"/>
  <c r="E1749" i="3"/>
  <c r="E1748" i="3"/>
  <c r="E1747" i="3"/>
  <c r="E1746" i="3"/>
  <c r="E1745" i="3"/>
  <c r="E1744" i="3"/>
  <c r="E1743" i="3"/>
  <c r="E1742" i="3"/>
  <c r="E1741" i="3"/>
  <c r="E1740" i="3"/>
  <c r="E1739" i="3"/>
  <c r="E1738" i="3"/>
  <c r="E1737" i="3"/>
  <c r="E1736" i="3"/>
  <c r="E1735" i="3"/>
  <c r="E1734" i="3"/>
  <c r="E1733" i="3"/>
  <c r="E1732" i="3"/>
  <c r="E1731" i="3"/>
  <c r="E1730" i="3"/>
  <c r="E1729" i="3"/>
  <c r="E1728" i="3"/>
  <c r="E1727" i="3"/>
  <c r="E1726" i="3"/>
  <c r="E1725" i="3"/>
  <c r="E1724" i="3"/>
  <c r="E1723" i="3"/>
  <c r="E1722" i="3"/>
  <c r="E1721" i="3"/>
  <c r="E1720" i="3"/>
  <c r="E1719" i="3"/>
  <c r="E1718" i="3"/>
  <c r="E1717" i="3"/>
  <c r="E1716" i="3"/>
  <c r="E1715" i="3"/>
  <c r="E1714" i="3"/>
  <c r="E1713" i="3"/>
  <c r="E1712" i="3"/>
  <c r="E1711" i="3"/>
  <c r="E1710" i="3"/>
  <c r="E1709" i="3"/>
  <c r="E1708" i="3"/>
  <c r="E1707" i="3"/>
  <c r="E1706" i="3"/>
  <c r="E1705" i="3"/>
  <c r="E1704" i="3"/>
  <c r="E1703" i="3"/>
  <c r="E1702" i="3"/>
  <c r="E1701" i="3"/>
  <c r="E1700" i="3"/>
  <c r="E1699" i="3"/>
  <c r="E1698" i="3"/>
  <c r="E1697" i="3"/>
  <c r="E1696" i="3"/>
  <c r="E1695" i="3"/>
  <c r="E1694" i="3"/>
  <c r="E1693" i="3"/>
  <c r="E1692" i="3"/>
  <c r="E1691" i="3"/>
  <c r="E1690" i="3"/>
  <c r="E1689" i="3"/>
  <c r="E1688" i="3"/>
  <c r="E1687" i="3"/>
  <c r="E1686" i="3"/>
  <c r="E1685" i="3"/>
  <c r="E1684" i="3"/>
  <c r="E1683" i="3"/>
  <c r="E1682" i="3"/>
  <c r="E1681" i="3"/>
  <c r="E1680" i="3"/>
  <c r="E1679" i="3"/>
  <c r="E1678" i="3"/>
  <c r="E1677" i="3"/>
  <c r="E1676" i="3"/>
  <c r="E1675" i="3"/>
  <c r="E1674" i="3"/>
  <c r="E1673" i="3"/>
  <c r="E1672" i="3"/>
  <c r="E1671" i="3"/>
  <c r="E1670" i="3"/>
  <c r="E1669" i="3"/>
  <c r="E1668" i="3"/>
  <c r="E1667" i="3"/>
  <c r="E1666" i="3"/>
  <c r="E1665" i="3"/>
  <c r="E1664" i="3"/>
  <c r="E1663" i="3"/>
  <c r="E1662" i="3"/>
  <c r="E1661" i="3"/>
  <c r="E1660" i="3"/>
  <c r="E1659" i="3"/>
  <c r="E1658" i="3"/>
  <c r="E1657" i="3"/>
  <c r="E1656" i="3"/>
  <c r="E1655" i="3"/>
  <c r="E1654" i="3"/>
  <c r="E1653" i="3"/>
  <c r="E1652" i="3"/>
  <c r="E1651" i="3"/>
  <c r="E1650" i="3"/>
  <c r="E1649" i="3"/>
  <c r="E1648" i="3"/>
  <c r="E1647" i="3"/>
  <c r="E1646" i="3"/>
  <c r="E1645" i="3"/>
  <c r="E1644" i="3"/>
  <c r="E1643" i="3"/>
  <c r="E1642" i="3"/>
  <c r="E1641" i="3"/>
  <c r="E1640" i="3"/>
  <c r="E1639" i="3"/>
  <c r="E1638" i="3"/>
  <c r="E1637" i="3"/>
  <c r="E1636" i="3"/>
  <c r="E1635" i="3"/>
  <c r="E1634" i="3"/>
  <c r="E1633" i="3"/>
  <c r="E1632" i="3"/>
  <c r="E1631" i="3"/>
  <c r="E1630" i="3"/>
  <c r="E1629" i="3"/>
  <c r="E1628" i="3"/>
  <c r="E1627" i="3"/>
  <c r="E1626" i="3"/>
  <c r="E1625" i="3"/>
  <c r="E1624" i="3"/>
  <c r="E1623" i="3"/>
  <c r="E1622" i="3"/>
  <c r="E1621" i="3"/>
  <c r="E1620" i="3"/>
  <c r="E1619" i="3"/>
  <c r="E1618" i="3"/>
  <c r="E1617" i="3"/>
  <c r="E1616" i="3"/>
  <c r="E1615" i="3"/>
  <c r="E1614" i="3"/>
  <c r="E1613" i="3"/>
  <c r="E1612" i="3"/>
  <c r="E1611" i="3"/>
  <c r="E1610" i="3"/>
  <c r="E1609" i="3"/>
  <c r="E1608" i="3"/>
  <c r="E1607" i="3"/>
  <c r="E1606" i="3"/>
  <c r="E1605" i="3"/>
  <c r="E1604" i="3"/>
  <c r="E1603" i="3"/>
  <c r="E1602" i="3"/>
  <c r="E1601" i="3"/>
  <c r="E1600" i="3"/>
  <c r="E1599" i="3"/>
  <c r="E1598" i="3"/>
  <c r="E1597" i="3"/>
  <c r="E1596" i="3"/>
  <c r="E1595" i="3"/>
  <c r="E1594" i="3"/>
  <c r="E1593" i="3"/>
  <c r="E1592" i="3"/>
  <c r="E1591" i="3"/>
  <c r="E1590" i="3"/>
  <c r="E1589" i="3"/>
  <c r="E1588" i="3"/>
  <c r="E1587" i="3"/>
  <c r="E1586" i="3"/>
  <c r="E1585" i="3"/>
  <c r="E1584" i="3"/>
  <c r="E1583" i="3"/>
  <c r="E1582" i="3"/>
  <c r="E1581" i="3"/>
  <c r="E1580" i="3"/>
  <c r="E1579" i="3"/>
  <c r="E1578" i="3"/>
  <c r="E1577" i="3"/>
  <c r="E1576" i="3"/>
  <c r="E1575" i="3"/>
  <c r="E1574" i="3"/>
  <c r="E1573" i="3"/>
  <c r="E1572" i="3"/>
  <c r="E1571" i="3"/>
  <c r="E1570" i="3"/>
  <c r="E1569" i="3"/>
  <c r="E1568" i="3"/>
  <c r="E1567" i="3"/>
  <c r="E1566" i="3"/>
  <c r="E1565" i="3"/>
  <c r="E1564" i="3"/>
  <c r="E1563" i="3"/>
  <c r="E1562" i="3"/>
  <c r="E1561" i="3"/>
  <c r="E1560" i="3"/>
  <c r="E1559" i="3"/>
  <c r="E1558" i="3"/>
  <c r="E1557" i="3"/>
  <c r="E1556" i="3"/>
  <c r="E1555" i="3"/>
  <c r="E1554" i="3"/>
  <c r="E1553" i="3"/>
  <c r="E1552" i="3"/>
  <c r="E1551" i="3"/>
  <c r="E1550" i="3"/>
  <c r="E1549" i="3"/>
  <c r="E1548" i="3"/>
  <c r="E1547" i="3"/>
  <c r="E1546" i="3"/>
  <c r="E1545" i="3"/>
  <c r="E1544" i="3"/>
  <c r="E1543" i="3"/>
  <c r="E1542" i="3"/>
  <c r="E1541" i="3"/>
  <c r="E1540" i="3"/>
  <c r="E1539" i="3"/>
  <c r="E1538" i="3"/>
  <c r="E1537" i="3"/>
  <c r="E1536" i="3"/>
  <c r="E1535" i="3"/>
  <c r="E1534" i="3"/>
  <c r="E1533" i="3"/>
  <c r="E1532" i="3"/>
  <c r="E1531" i="3"/>
  <c r="E1530" i="3"/>
  <c r="E1529" i="3"/>
  <c r="E1528" i="3"/>
  <c r="E1527" i="3"/>
  <c r="E1526" i="3"/>
  <c r="E1525" i="3"/>
  <c r="E1524" i="3"/>
  <c r="E1523" i="3"/>
  <c r="E1522" i="3"/>
  <c r="E1521" i="3"/>
  <c r="E1520" i="3"/>
  <c r="E1519" i="3"/>
  <c r="E1518" i="3"/>
  <c r="E1517" i="3"/>
  <c r="E1516" i="3"/>
  <c r="E1515" i="3"/>
  <c r="E1514" i="3"/>
  <c r="E1513" i="3"/>
  <c r="E1512" i="3"/>
  <c r="E1511" i="3"/>
  <c r="E1510" i="3"/>
  <c r="E1509" i="3"/>
  <c r="E1508" i="3"/>
  <c r="E1507" i="3"/>
  <c r="E1506" i="3"/>
  <c r="E1505" i="3"/>
  <c r="E1504" i="3"/>
  <c r="E1503" i="3"/>
  <c r="E1502" i="3"/>
  <c r="E1501" i="3"/>
  <c r="E1500" i="3"/>
  <c r="E1499" i="3"/>
  <c r="E1498" i="3"/>
  <c r="E1497" i="3"/>
  <c r="E1496" i="3"/>
  <c r="E1495" i="3"/>
  <c r="E1494" i="3"/>
  <c r="E1493" i="3"/>
  <c r="E1492" i="3"/>
  <c r="E1491" i="3"/>
  <c r="E1490" i="3"/>
  <c r="E1489" i="3"/>
  <c r="E1488" i="3"/>
  <c r="E1487" i="3"/>
  <c r="E1486" i="3"/>
  <c r="E1485" i="3"/>
  <c r="E1484" i="3"/>
  <c r="E1483" i="3"/>
  <c r="E1482" i="3"/>
  <c r="E1481" i="3"/>
  <c r="E1480" i="3"/>
  <c r="E1479" i="3"/>
  <c r="E1478" i="3"/>
  <c r="E1477" i="3"/>
  <c r="E1476" i="3"/>
  <c r="E1475" i="3"/>
  <c r="E1474" i="3"/>
  <c r="E1473" i="3"/>
  <c r="E1472" i="3"/>
  <c r="E1471" i="3"/>
  <c r="E1470" i="3"/>
  <c r="E1469" i="3"/>
  <c r="E1468" i="3"/>
  <c r="E1467" i="3"/>
  <c r="E1466" i="3"/>
  <c r="E1465" i="3"/>
  <c r="E1464" i="3"/>
  <c r="E1463" i="3"/>
  <c r="E1462" i="3"/>
  <c r="E1461" i="3"/>
  <c r="E1460" i="3"/>
  <c r="E1459" i="3"/>
  <c r="E1458" i="3"/>
  <c r="E1457" i="3"/>
  <c r="E1456" i="3"/>
  <c r="E1455" i="3"/>
  <c r="E1454" i="3"/>
  <c r="E1453" i="3"/>
  <c r="E1452" i="3"/>
  <c r="E1451" i="3"/>
  <c r="E1450" i="3"/>
  <c r="E1449" i="3"/>
  <c r="E1448" i="3"/>
  <c r="E1447" i="3"/>
  <c r="E1446" i="3"/>
  <c r="E1445" i="3"/>
  <c r="E1444" i="3"/>
  <c r="E1443" i="3"/>
  <c r="E1442" i="3"/>
  <c r="E1441" i="3"/>
  <c r="E1440" i="3"/>
  <c r="E1439" i="3"/>
  <c r="E1438" i="3"/>
  <c r="E1437" i="3"/>
  <c r="E1436" i="3"/>
  <c r="E1435" i="3"/>
  <c r="E1434" i="3"/>
  <c r="E1433" i="3"/>
  <c r="E1432" i="3"/>
  <c r="E1431" i="3"/>
  <c r="E1430" i="3"/>
  <c r="E1429" i="3"/>
  <c r="E1428" i="3"/>
  <c r="E1427" i="3"/>
  <c r="E1426" i="3"/>
  <c r="E1425" i="3"/>
  <c r="E1424" i="3"/>
  <c r="E1423" i="3"/>
  <c r="E1422" i="3"/>
  <c r="E1421" i="3"/>
  <c r="E1420" i="3"/>
  <c r="E1419" i="3"/>
  <c r="E1418" i="3"/>
  <c r="E1417" i="3"/>
  <c r="E1416" i="3"/>
  <c r="E1415" i="3"/>
  <c r="E1414" i="3"/>
  <c r="E1413" i="3"/>
  <c r="E1412" i="3"/>
  <c r="E1411" i="3"/>
  <c r="E1410" i="3"/>
  <c r="E1409" i="3"/>
  <c r="E1408" i="3"/>
  <c r="E1407" i="3"/>
  <c r="E1406" i="3"/>
  <c r="E1405" i="3"/>
  <c r="E1404" i="3"/>
  <c r="E1403" i="3"/>
  <c r="E1402" i="3"/>
  <c r="E1401" i="3"/>
  <c r="E1400" i="3"/>
  <c r="E1399" i="3"/>
  <c r="E1398" i="3"/>
  <c r="E1397" i="3"/>
  <c r="E1396" i="3"/>
  <c r="E1395" i="3"/>
  <c r="E1394" i="3"/>
  <c r="E1393" i="3"/>
  <c r="E1392" i="3"/>
  <c r="E1391" i="3"/>
  <c r="E1390" i="3"/>
  <c r="E1389" i="3"/>
  <c r="E1388" i="3"/>
  <c r="E1387" i="3"/>
  <c r="E1386" i="3"/>
  <c r="E1385" i="3"/>
  <c r="E1384" i="3"/>
  <c r="E1383" i="3"/>
  <c r="E1382" i="3"/>
  <c r="E1381" i="3"/>
  <c r="E1380" i="3"/>
  <c r="E1379" i="3"/>
  <c r="E1378" i="3"/>
  <c r="E1377" i="3"/>
  <c r="E1376" i="3"/>
  <c r="E1375" i="3"/>
  <c r="E1374" i="3"/>
  <c r="E1373" i="3"/>
  <c r="E1372" i="3"/>
  <c r="E1371" i="3"/>
  <c r="E1370" i="3"/>
  <c r="E1369" i="3"/>
  <c r="E1368" i="3"/>
  <c r="E1367" i="3"/>
  <c r="E1366" i="3"/>
  <c r="E1365" i="3"/>
  <c r="E1364" i="3"/>
  <c r="E1363" i="3"/>
  <c r="E1362" i="3"/>
  <c r="E1361" i="3"/>
  <c r="E1360" i="3"/>
  <c r="E1359" i="3"/>
  <c r="E1358" i="3"/>
  <c r="E1357" i="3"/>
  <c r="E1356" i="3"/>
  <c r="E1355" i="3"/>
  <c r="E1354" i="3"/>
  <c r="E1353" i="3"/>
  <c r="E1352" i="3"/>
  <c r="E1351" i="3"/>
  <c r="E1350" i="3"/>
  <c r="E1349" i="3"/>
  <c r="E1348" i="3"/>
  <c r="E1347" i="3"/>
  <c r="E1346" i="3"/>
  <c r="E1345" i="3"/>
  <c r="E1344" i="3"/>
  <c r="E1343" i="3"/>
  <c r="E1342" i="3"/>
  <c r="E1341" i="3"/>
  <c r="E1340" i="3"/>
  <c r="E1339" i="3"/>
  <c r="E1338" i="3"/>
  <c r="E1337" i="3"/>
  <c r="E1336" i="3"/>
  <c r="E1335" i="3"/>
  <c r="E1334" i="3"/>
  <c r="E1333" i="3"/>
  <c r="E1332" i="3"/>
  <c r="E1331" i="3"/>
  <c r="E1330" i="3"/>
  <c r="E1329" i="3"/>
  <c r="E1328" i="3"/>
  <c r="E1327" i="3"/>
  <c r="E1326" i="3"/>
  <c r="E1325" i="3"/>
  <c r="E1324" i="3"/>
  <c r="E1323" i="3"/>
  <c r="E1322" i="3"/>
  <c r="E1321" i="3"/>
  <c r="E1320" i="3"/>
  <c r="E1319" i="3"/>
  <c r="E1318" i="3"/>
  <c r="E1317" i="3"/>
  <c r="E1316" i="3"/>
  <c r="E1315" i="3"/>
  <c r="E1314" i="3"/>
  <c r="E1313" i="3"/>
  <c r="E1312" i="3"/>
  <c r="E1311" i="3"/>
  <c r="E1310" i="3"/>
  <c r="E1309" i="3"/>
  <c r="E1308" i="3"/>
  <c r="E1307" i="3"/>
  <c r="E1306" i="3"/>
  <c r="E1305" i="3"/>
  <c r="E1304" i="3"/>
  <c r="E1303" i="3"/>
  <c r="E1302" i="3"/>
  <c r="E1301" i="3"/>
  <c r="E1300" i="3"/>
  <c r="E1299" i="3"/>
  <c r="E1298" i="3"/>
  <c r="E1297" i="3"/>
  <c r="E1296" i="3"/>
  <c r="E1295" i="3"/>
  <c r="E1294" i="3"/>
  <c r="E1293" i="3"/>
  <c r="E1292" i="3"/>
  <c r="E1291" i="3"/>
  <c r="E1290" i="3"/>
  <c r="E1289" i="3"/>
  <c r="E1288" i="3"/>
  <c r="E1287" i="3"/>
  <c r="E1286" i="3"/>
  <c r="E1285" i="3"/>
  <c r="E1284" i="3"/>
  <c r="E1283" i="3"/>
  <c r="E1282" i="3"/>
  <c r="E1281" i="3"/>
  <c r="E1280" i="3"/>
  <c r="E1279" i="3"/>
  <c r="E1278" i="3"/>
  <c r="E1277" i="3"/>
  <c r="E1276" i="3"/>
  <c r="E1275" i="3"/>
  <c r="E1274" i="3"/>
  <c r="E1273" i="3"/>
  <c r="E1272" i="3"/>
  <c r="E1271" i="3"/>
  <c r="E1270" i="3"/>
  <c r="E1269" i="3"/>
  <c r="E1268" i="3"/>
  <c r="E1267" i="3"/>
  <c r="E1266" i="3"/>
  <c r="E1265" i="3"/>
  <c r="E1264" i="3"/>
  <c r="E1263" i="3"/>
  <c r="E1262" i="3"/>
  <c r="E1261" i="3"/>
  <c r="E1260" i="3"/>
  <c r="E1259" i="3"/>
  <c r="E1258" i="3"/>
  <c r="E1257" i="3"/>
  <c r="E1256" i="3"/>
  <c r="E1255" i="3"/>
  <c r="E1254" i="3"/>
  <c r="E1253" i="3"/>
  <c r="E1252" i="3"/>
  <c r="E1251" i="3"/>
  <c r="E1250" i="3"/>
  <c r="E1249" i="3"/>
  <c r="E1248" i="3"/>
  <c r="E1247" i="3"/>
  <c r="E1246" i="3"/>
  <c r="E1245" i="3"/>
  <c r="E1244" i="3"/>
  <c r="E1243" i="3"/>
  <c r="E1242" i="3"/>
  <c r="E1241" i="3"/>
  <c r="E1240" i="3"/>
  <c r="E1239" i="3"/>
  <c r="E1238" i="3"/>
  <c r="E1237" i="3"/>
  <c r="E1236" i="3"/>
  <c r="E1235" i="3"/>
  <c r="E1234" i="3"/>
  <c r="E1233" i="3"/>
  <c r="E1232" i="3"/>
  <c r="E1231" i="3"/>
  <c r="E1230" i="3"/>
  <c r="E1229" i="3"/>
  <c r="E1228" i="3"/>
  <c r="E1227" i="3"/>
  <c r="E1226" i="3"/>
  <c r="E1225" i="3"/>
  <c r="E1224" i="3"/>
  <c r="E1223" i="3"/>
  <c r="E1222" i="3"/>
  <c r="E1221" i="3"/>
  <c r="E1220" i="3"/>
  <c r="E1219" i="3"/>
  <c r="E1218" i="3"/>
  <c r="E1217" i="3"/>
  <c r="E1216" i="3"/>
  <c r="E1215" i="3"/>
  <c r="E1214" i="3"/>
  <c r="E1213" i="3"/>
  <c r="E1212" i="3"/>
  <c r="E1211" i="3"/>
  <c r="E1210" i="3"/>
  <c r="E1209" i="3"/>
  <c r="E1208" i="3"/>
  <c r="E1207" i="3"/>
  <c r="E1206" i="3"/>
  <c r="E1205" i="3"/>
  <c r="E1204" i="3"/>
  <c r="E1203" i="3"/>
  <c r="E1202" i="3"/>
  <c r="E1201" i="3"/>
  <c r="E1200" i="3"/>
  <c r="E1199" i="3"/>
  <c r="E1198" i="3"/>
  <c r="E1197" i="3"/>
  <c r="E1196" i="3"/>
  <c r="E1195" i="3"/>
  <c r="E1194" i="3"/>
  <c r="E1193" i="3"/>
  <c r="E1192" i="3"/>
  <c r="E1191" i="3"/>
  <c r="E1190" i="3"/>
  <c r="E1189" i="3"/>
  <c r="E1188" i="3"/>
  <c r="E1187" i="3"/>
  <c r="E1186" i="3"/>
  <c r="E1185" i="3"/>
  <c r="E1184" i="3"/>
  <c r="E1183" i="3"/>
  <c r="E1182" i="3"/>
  <c r="E1181" i="3"/>
  <c r="E1180" i="3"/>
  <c r="E1179" i="3"/>
  <c r="E1178" i="3"/>
  <c r="E1177" i="3"/>
  <c r="E1176" i="3"/>
  <c r="E1175" i="3"/>
  <c r="E1174" i="3"/>
  <c r="E1173" i="3"/>
  <c r="E1172" i="3"/>
  <c r="E1171" i="3"/>
  <c r="E1170" i="3"/>
  <c r="E1169" i="3"/>
  <c r="E1168" i="3"/>
  <c r="E1167" i="3"/>
  <c r="E1166" i="3"/>
  <c r="E1165" i="3"/>
  <c r="E1164" i="3"/>
  <c r="E1163" i="3"/>
  <c r="E1162" i="3"/>
  <c r="E1161" i="3"/>
  <c r="E1160" i="3"/>
  <c r="E1159" i="3"/>
  <c r="E1158" i="3"/>
  <c r="E1157" i="3"/>
  <c r="E1156" i="3"/>
  <c r="E1155" i="3"/>
  <c r="E1154" i="3"/>
  <c r="E1153" i="3"/>
  <c r="E1152" i="3"/>
  <c r="E1151" i="3"/>
  <c r="E1150" i="3"/>
  <c r="E1149" i="3"/>
  <c r="E1148" i="3"/>
  <c r="E1147" i="3"/>
  <c r="E1146" i="3"/>
  <c r="E1145" i="3"/>
  <c r="E1144" i="3"/>
  <c r="E1143" i="3"/>
  <c r="E1142" i="3"/>
  <c r="E1141" i="3"/>
  <c r="E1140" i="3"/>
  <c r="E1139" i="3"/>
  <c r="E1138" i="3"/>
  <c r="E1137" i="3"/>
  <c r="E1136" i="3"/>
  <c r="E1135" i="3"/>
  <c r="E1134" i="3"/>
  <c r="E1133" i="3"/>
  <c r="E1132" i="3"/>
  <c r="E1131" i="3"/>
  <c r="E1130" i="3"/>
  <c r="E1129" i="3"/>
  <c r="E1128" i="3"/>
  <c r="E1127" i="3"/>
  <c r="E1126" i="3"/>
  <c r="E1125" i="3"/>
  <c r="E1124" i="3"/>
  <c r="E1123" i="3"/>
  <c r="E1122" i="3"/>
  <c r="E1121" i="3"/>
  <c r="E1120" i="3"/>
  <c r="E1119" i="3"/>
  <c r="E1118" i="3"/>
  <c r="E1117" i="3"/>
  <c r="E1116" i="3"/>
  <c r="E1115" i="3"/>
  <c r="E1114" i="3"/>
  <c r="E1113" i="3"/>
  <c r="E1112" i="3"/>
  <c r="E1111" i="3"/>
  <c r="E1110" i="3"/>
  <c r="E1109" i="3"/>
  <c r="E1108" i="3"/>
  <c r="E1107" i="3"/>
  <c r="E1106" i="3"/>
  <c r="E1105" i="3"/>
  <c r="E1104" i="3"/>
  <c r="E1103" i="3"/>
  <c r="E1102" i="3"/>
  <c r="E1101" i="3"/>
  <c r="E1100" i="3"/>
  <c r="E1099" i="3"/>
  <c r="E1098" i="3"/>
  <c r="E1097" i="3"/>
  <c r="E1096" i="3"/>
  <c r="E1095" i="3"/>
  <c r="E1094" i="3"/>
  <c r="E1093" i="3"/>
  <c r="E1092" i="3"/>
  <c r="E1091" i="3"/>
  <c r="E1090" i="3"/>
  <c r="E1089" i="3"/>
  <c r="E1088" i="3"/>
  <c r="E1087" i="3"/>
  <c r="E1086" i="3"/>
  <c r="E1085" i="3"/>
  <c r="E1084" i="3"/>
  <c r="E1083" i="3"/>
  <c r="E1082" i="3"/>
  <c r="E1081" i="3"/>
  <c r="E1080" i="3"/>
  <c r="E1079" i="3"/>
  <c r="E1078" i="3"/>
  <c r="E1077" i="3"/>
  <c r="E1076" i="3"/>
  <c r="E1075" i="3"/>
  <c r="E1074" i="3"/>
  <c r="E1073" i="3"/>
  <c r="E1072" i="3"/>
  <c r="E1071" i="3"/>
  <c r="E1070" i="3"/>
  <c r="E1069" i="3"/>
  <c r="E1068" i="3"/>
  <c r="E1067" i="3"/>
  <c r="E1066" i="3"/>
  <c r="E1065" i="3"/>
  <c r="E1064" i="3"/>
  <c r="E1063" i="3"/>
  <c r="E1062" i="3"/>
  <c r="E1061" i="3"/>
  <c r="E1060" i="3"/>
  <c r="E1059" i="3"/>
  <c r="E1058" i="3"/>
  <c r="E1057" i="3"/>
  <c r="E1056" i="3"/>
  <c r="E1055" i="3"/>
  <c r="E1054" i="3"/>
  <c r="E1053" i="3"/>
  <c r="E1052" i="3"/>
  <c r="E1051" i="3"/>
  <c r="E1050" i="3"/>
  <c r="E1049" i="3"/>
  <c r="E1048" i="3"/>
  <c r="E1047" i="3"/>
  <c r="E1046" i="3"/>
  <c r="E1045" i="3"/>
  <c r="E1044" i="3"/>
  <c r="E1043" i="3"/>
  <c r="E1042" i="3"/>
  <c r="E1041" i="3"/>
  <c r="E1040" i="3"/>
  <c r="E1039" i="3"/>
  <c r="E1038" i="3"/>
  <c r="E1037" i="3"/>
  <c r="E1036" i="3"/>
  <c r="E1035" i="3"/>
  <c r="E1034" i="3"/>
  <c r="E1033" i="3"/>
  <c r="E1032" i="3"/>
  <c r="E1031" i="3"/>
  <c r="E1030" i="3"/>
  <c r="E1029" i="3"/>
  <c r="E1028" i="3"/>
  <c r="E1027" i="3"/>
  <c r="E1026" i="3"/>
  <c r="E1025" i="3"/>
  <c r="E1024" i="3"/>
  <c r="E1023" i="3"/>
  <c r="E1022" i="3"/>
  <c r="E1021" i="3"/>
  <c r="E1020" i="3"/>
  <c r="E1019" i="3"/>
  <c r="E1018" i="3"/>
  <c r="E1017" i="3"/>
  <c r="E1016" i="3"/>
  <c r="E1015" i="3"/>
  <c r="E1014" i="3"/>
  <c r="E1013" i="3"/>
  <c r="E1012" i="3"/>
  <c r="E1011" i="3"/>
  <c r="E1010" i="3"/>
  <c r="E1009" i="3"/>
  <c r="E1008" i="3"/>
  <c r="E1007" i="3"/>
  <c r="E1006" i="3"/>
  <c r="E1005" i="3"/>
  <c r="E1004" i="3"/>
  <c r="E1003" i="3"/>
  <c r="E1002" i="3"/>
  <c r="E1001" i="3"/>
  <c r="E1000" i="3"/>
  <c r="E999" i="3"/>
  <c r="E998" i="3"/>
  <c r="E997" i="3"/>
  <c r="E996" i="3"/>
  <c r="E995" i="3"/>
  <c r="E994" i="3"/>
  <c r="E993" i="3"/>
  <c r="E992" i="3"/>
  <c r="E991" i="3"/>
  <c r="E990" i="3"/>
  <c r="E989" i="3"/>
  <c r="E988" i="3"/>
  <c r="E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E965" i="3"/>
  <c r="E964" i="3"/>
  <c r="E963" i="3"/>
  <c r="E962" i="3"/>
  <c r="E961" i="3"/>
  <c r="E960" i="3"/>
  <c r="E959" i="3"/>
  <c r="E958" i="3"/>
  <c r="E957" i="3"/>
  <c r="E956" i="3"/>
  <c r="E955" i="3"/>
  <c r="E954" i="3"/>
  <c r="E953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4" i="3"/>
  <c r="E13" i="3"/>
  <c r="E12" i="3"/>
  <c r="E11" i="3"/>
  <c r="E10" i="3"/>
  <c r="E9" i="3"/>
  <c r="E8" i="3"/>
  <c r="E7" i="3"/>
  <c r="E5" i="3"/>
  <c r="E4" i="3"/>
  <c r="E3" i="3"/>
  <c r="E2" i="3"/>
  <c r="A15" i="3" l="1"/>
  <c r="A27" i="3"/>
  <c r="B982" i="4"/>
  <c r="B922" i="4"/>
  <c r="B862" i="4"/>
  <c r="B802" i="4"/>
  <c r="B742" i="4"/>
  <c r="B658" i="4"/>
  <c r="B538" i="4"/>
  <c r="C566" i="4"/>
  <c r="B993" i="4"/>
  <c r="B981" i="4"/>
  <c r="B969" i="4"/>
  <c r="B957" i="4"/>
  <c r="B945" i="4"/>
  <c r="B933" i="4"/>
  <c r="B921" i="4"/>
  <c r="B909" i="4"/>
  <c r="B897" i="4"/>
  <c r="B885" i="4"/>
  <c r="B873" i="4"/>
  <c r="B861" i="4"/>
  <c r="B849" i="4"/>
  <c r="B837" i="4"/>
  <c r="B825" i="4"/>
  <c r="B813" i="4"/>
  <c r="B801" i="4"/>
  <c r="B789" i="4"/>
  <c r="B777" i="4"/>
  <c r="B765" i="4"/>
  <c r="B753" i="4"/>
  <c r="B741" i="4"/>
  <c r="B729" i="4"/>
  <c r="B717" i="4"/>
  <c r="B705" i="4"/>
  <c r="B693" i="4"/>
  <c r="B681" i="4"/>
  <c r="B669" i="4"/>
  <c r="B657" i="4"/>
  <c r="B645" i="4"/>
  <c r="B633" i="4"/>
  <c r="B621" i="4"/>
  <c r="B609" i="4"/>
  <c r="B597" i="4"/>
  <c r="B585" i="4"/>
  <c r="B573" i="4"/>
  <c r="B561" i="4"/>
  <c r="B549" i="4"/>
  <c r="B537" i="4"/>
  <c r="B525" i="4"/>
  <c r="B510" i="4"/>
  <c r="B492" i="4"/>
  <c r="B477" i="4"/>
  <c r="B462" i="4"/>
  <c r="B444" i="4"/>
  <c r="B429" i="4"/>
  <c r="B414" i="4"/>
  <c r="B396" i="4"/>
  <c r="B381" i="4"/>
  <c r="B366" i="4"/>
  <c r="B346" i="4"/>
  <c r="B322" i="4"/>
  <c r="B290" i="4"/>
  <c r="B263" i="4"/>
  <c r="B218" i="4"/>
  <c r="B74" i="4"/>
  <c r="C919" i="4"/>
  <c r="C743" i="4"/>
  <c r="C549" i="4"/>
  <c r="B994" i="4"/>
  <c r="B934" i="4"/>
  <c r="B874" i="4"/>
  <c r="B814" i="4"/>
  <c r="B754" i="4"/>
  <c r="B694" i="4"/>
  <c r="B646" i="4"/>
  <c r="B610" i="4"/>
  <c r="B586" i="4"/>
  <c r="B526" i="4"/>
  <c r="B463" i="4"/>
  <c r="B415" i="4"/>
  <c r="B382" i="4"/>
  <c r="B264" i="4"/>
  <c r="B86" i="4"/>
  <c r="B992" i="4"/>
  <c r="B980" i="4"/>
  <c r="B968" i="4"/>
  <c r="B956" i="4"/>
  <c r="B944" i="4"/>
  <c r="B932" i="4"/>
  <c r="B920" i="4"/>
  <c r="B908" i="4"/>
  <c r="B896" i="4"/>
  <c r="B884" i="4"/>
  <c r="B872" i="4"/>
  <c r="B860" i="4"/>
  <c r="B848" i="4"/>
  <c r="B836" i="4"/>
  <c r="B824" i="4"/>
  <c r="B812" i="4"/>
  <c r="B800" i="4"/>
  <c r="B788" i="4"/>
  <c r="B776" i="4"/>
  <c r="B764" i="4"/>
  <c r="B752" i="4"/>
  <c r="B740" i="4"/>
  <c r="B728" i="4"/>
  <c r="B716" i="4"/>
  <c r="B704" i="4"/>
  <c r="B692" i="4"/>
  <c r="B680" i="4"/>
  <c r="B668" i="4"/>
  <c r="B656" i="4"/>
  <c r="B644" i="4"/>
  <c r="B632" i="4"/>
  <c r="B620" i="4"/>
  <c r="B608" i="4"/>
  <c r="B596" i="4"/>
  <c r="B584" i="4"/>
  <c r="B572" i="4"/>
  <c r="B560" i="4"/>
  <c r="B548" i="4"/>
  <c r="B536" i="4"/>
  <c r="B524" i="4"/>
  <c r="B506" i="4"/>
  <c r="B491" i="4"/>
  <c r="B476" i="4"/>
  <c r="B458" i="4"/>
  <c r="B443" i="4"/>
  <c r="B428" i="4"/>
  <c r="B410" i="4"/>
  <c r="B395" i="4"/>
  <c r="B380" i="4"/>
  <c r="B362" i="4"/>
  <c r="B345" i="4"/>
  <c r="B321" i="4"/>
  <c r="B288" i="4"/>
  <c r="B262" i="4"/>
  <c r="B206" i="4"/>
  <c r="B62" i="4"/>
  <c r="C907" i="4"/>
  <c r="C725" i="4"/>
  <c r="C529" i="4"/>
  <c r="B946" i="4"/>
  <c r="B886" i="4"/>
  <c r="B826" i="4"/>
  <c r="B778" i="4"/>
  <c r="B706" i="4"/>
  <c r="B622" i="4"/>
  <c r="B550" i="4"/>
  <c r="B478" i="4"/>
  <c r="B397" i="4"/>
  <c r="B347" i="4"/>
  <c r="B297" i="4"/>
  <c r="B230" i="4"/>
  <c r="B991" i="4"/>
  <c r="B979" i="4"/>
  <c r="B967" i="4"/>
  <c r="B955" i="4"/>
  <c r="B943" i="4"/>
  <c r="B931" i="4"/>
  <c r="B919" i="4"/>
  <c r="B907" i="4"/>
  <c r="B895" i="4"/>
  <c r="B883" i="4"/>
  <c r="B871" i="4"/>
  <c r="B859" i="4"/>
  <c r="B847" i="4"/>
  <c r="B835" i="4"/>
  <c r="B823" i="4"/>
  <c r="B811" i="4"/>
  <c r="B799" i="4"/>
  <c r="B787" i="4"/>
  <c r="B775" i="4"/>
  <c r="B763" i="4"/>
  <c r="B751" i="4"/>
  <c r="B739" i="4"/>
  <c r="B727" i="4"/>
  <c r="B715" i="4"/>
  <c r="B703" i="4"/>
  <c r="B691" i="4"/>
  <c r="B679" i="4"/>
  <c r="B667" i="4"/>
  <c r="B655" i="4"/>
  <c r="B643" i="4"/>
  <c r="B631" i="4"/>
  <c r="B619" i="4"/>
  <c r="B607" i="4"/>
  <c r="B595" i="4"/>
  <c r="B583" i="4"/>
  <c r="B571" i="4"/>
  <c r="B559" i="4"/>
  <c r="B547" i="4"/>
  <c r="B535" i="4"/>
  <c r="B523" i="4"/>
  <c r="B505" i="4"/>
  <c r="B490" i="4"/>
  <c r="B475" i="4"/>
  <c r="B457" i="4"/>
  <c r="B442" i="4"/>
  <c r="B427" i="4"/>
  <c r="B409" i="4"/>
  <c r="B394" i="4"/>
  <c r="B379" i="4"/>
  <c r="B361" i="4"/>
  <c r="B343" i="4"/>
  <c r="B314" i="4"/>
  <c r="B287" i="4"/>
  <c r="B261" i="4"/>
  <c r="B194" i="4"/>
  <c r="B50" i="4"/>
  <c r="C895" i="4"/>
  <c r="C710" i="4"/>
  <c r="C507" i="4"/>
  <c r="B970" i="4"/>
  <c r="B910" i="4"/>
  <c r="B850" i="4"/>
  <c r="B790" i="4"/>
  <c r="B730" i="4"/>
  <c r="B670" i="4"/>
  <c r="B598" i="4"/>
  <c r="B562" i="4"/>
  <c r="B511" i="4"/>
  <c r="B445" i="4"/>
  <c r="B367" i="4"/>
  <c r="C758" i="4"/>
  <c r="B990" i="4"/>
  <c r="B978" i="4"/>
  <c r="B966" i="4"/>
  <c r="B954" i="4"/>
  <c r="B942" i="4"/>
  <c r="B930" i="4"/>
  <c r="B918" i="4"/>
  <c r="B906" i="4"/>
  <c r="B894" i="4"/>
  <c r="B882" i="4"/>
  <c r="B870" i="4"/>
  <c r="B858" i="4"/>
  <c r="B846" i="4"/>
  <c r="B834" i="4"/>
  <c r="B822" i="4"/>
  <c r="B810" i="4"/>
  <c r="B798" i="4"/>
  <c r="B786" i="4"/>
  <c r="B774" i="4"/>
  <c r="B762" i="4"/>
  <c r="B750" i="4"/>
  <c r="B738" i="4"/>
  <c r="B726" i="4"/>
  <c r="B714" i="4"/>
  <c r="B702" i="4"/>
  <c r="B690" i="4"/>
  <c r="B678" i="4"/>
  <c r="B666" i="4"/>
  <c r="B654" i="4"/>
  <c r="B642" i="4"/>
  <c r="B630" i="4"/>
  <c r="B618" i="4"/>
  <c r="B606" i="4"/>
  <c r="B594" i="4"/>
  <c r="B582" i="4"/>
  <c r="B570" i="4"/>
  <c r="B558" i="4"/>
  <c r="B546" i="4"/>
  <c r="B534" i="4"/>
  <c r="B522" i="4"/>
  <c r="B504" i="4"/>
  <c r="B489" i="4"/>
  <c r="B474" i="4"/>
  <c r="B456" i="4"/>
  <c r="B441" i="4"/>
  <c r="B426" i="4"/>
  <c r="B408" i="4"/>
  <c r="B393" i="4"/>
  <c r="B378" i="4"/>
  <c r="B360" i="4"/>
  <c r="B338" i="4"/>
  <c r="B312" i="4"/>
  <c r="B286" i="4"/>
  <c r="B254" i="4"/>
  <c r="B182" i="4"/>
  <c r="B38" i="4"/>
  <c r="C882" i="4"/>
  <c r="C695" i="4"/>
  <c r="C483" i="4"/>
  <c r="B958" i="4"/>
  <c r="B898" i="4"/>
  <c r="B838" i="4"/>
  <c r="B766" i="4"/>
  <c r="B718" i="4"/>
  <c r="B682" i="4"/>
  <c r="B634" i="4"/>
  <c r="B574" i="4"/>
  <c r="B493" i="4"/>
  <c r="B430" i="4"/>
  <c r="B323" i="4"/>
  <c r="C931" i="4"/>
  <c r="B989" i="4"/>
  <c r="B977" i="4"/>
  <c r="B965" i="4"/>
  <c r="B953" i="4"/>
  <c r="B941" i="4"/>
  <c r="B929" i="4"/>
  <c r="B917" i="4"/>
  <c r="B905" i="4"/>
  <c r="B893" i="4"/>
  <c r="B881" i="4"/>
  <c r="B869" i="4"/>
  <c r="B857" i="4"/>
  <c r="B845" i="4"/>
  <c r="B833" i="4"/>
  <c r="B821" i="4"/>
  <c r="B809" i="4"/>
  <c r="B797" i="4"/>
  <c r="B785" i="4"/>
  <c r="B773" i="4"/>
  <c r="B761" i="4"/>
  <c r="B749" i="4"/>
  <c r="B737" i="4"/>
  <c r="B725" i="4"/>
  <c r="B713" i="4"/>
  <c r="B701" i="4"/>
  <c r="B689" i="4"/>
  <c r="B677" i="4"/>
  <c r="B665" i="4"/>
  <c r="B653" i="4"/>
  <c r="B641" i="4"/>
  <c r="B629" i="4"/>
  <c r="B617" i="4"/>
  <c r="B605" i="4"/>
  <c r="B593" i="4"/>
  <c r="B581" i="4"/>
  <c r="B569" i="4"/>
  <c r="B557" i="4"/>
  <c r="B545" i="4"/>
  <c r="B533" i="4"/>
  <c r="B518" i="4"/>
  <c r="B503" i="4"/>
  <c r="B488" i="4"/>
  <c r="B470" i="4"/>
  <c r="B455" i="4"/>
  <c r="B440" i="4"/>
  <c r="B422" i="4"/>
  <c r="B407" i="4"/>
  <c r="B392" i="4"/>
  <c r="B374" i="4"/>
  <c r="B359" i="4"/>
  <c r="B337" i="4"/>
  <c r="B311" i="4"/>
  <c r="B285" i="4"/>
  <c r="B252" i="4"/>
  <c r="B170" i="4"/>
  <c r="B26" i="4"/>
  <c r="C869" i="4"/>
  <c r="C677" i="4"/>
  <c r="C446" i="4"/>
  <c r="B988" i="4"/>
  <c r="B976" i="4"/>
  <c r="B964" i="4"/>
  <c r="B952" i="4"/>
  <c r="B940" i="4"/>
  <c r="B928" i="4"/>
  <c r="B916" i="4"/>
  <c r="B904" i="4"/>
  <c r="B892" i="4"/>
  <c r="B880" i="4"/>
  <c r="B868" i="4"/>
  <c r="B856" i="4"/>
  <c r="B844" i="4"/>
  <c r="B832" i="4"/>
  <c r="B820" i="4"/>
  <c r="B808" i="4"/>
  <c r="B796" i="4"/>
  <c r="B784" i="4"/>
  <c r="B772" i="4"/>
  <c r="B760" i="4"/>
  <c r="B748" i="4"/>
  <c r="B736" i="4"/>
  <c r="B724" i="4"/>
  <c r="B712" i="4"/>
  <c r="B700" i="4"/>
  <c r="B688" i="4"/>
  <c r="B676" i="4"/>
  <c r="B664" i="4"/>
  <c r="B652" i="4"/>
  <c r="B640" i="4"/>
  <c r="B628" i="4"/>
  <c r="B616" i="4"/>
  <c r="B604" i="4"/>
  <c r="B592" i="4"/>
  <c r="B580" i="4"/>
  <c r="B568" i="4"/>
  <c r="B556" i="4"/>
  <c r="B544" i="4"/>
  <c r="B532" i="4"/>
  <c r="B517" i="4"/>
  <c r="B502" i="4"/>
  <c r="B487" i="4"/>
  <c r="B469" i="4"/>
  <c r="B454" i="4"/>
  <c r="B439" i="4"/>
  <c r="B421" i="4"/>
  <c r="B406" i="4"/>
  <c r="B391" i="4"/>
  <c r="B373" i="4"/>
  <c r="B358" i="4"/>
  <c r="B336" i="4"/>
  <c r="B310" i="4"/>
  <c r="B278" i="4"/>
  <c r="B251" i="4"/>
  <c r="B158" i="4"/>
  <c r="B14" i="4"/>
  <c r="C854" i="4"/>
  <c r="C662" i="4"/>
  <c r="A10" i="4"/>
  <c r="D22" i="4"/>
  <c r="D34" i="4"/>
  <c r="D46" i="4"/>
  <c r="D58" i="4"/>
  <c r="D70" i="4"/>
  <c r="D82" i="4"/>
  <c r="D94" i="4"/>
  <c r="D106" i="4"/>
  <c r="D118" i="4"/>
  <c r="D130" i="4"/>
  <c r="D142" i="4"/>
  <c r="D154" i="4"/>
  <c r="D166" i="4"/>
  <c r="D178" i="4"/>
  <c r="D190" i="4"/>
  <c r="D202" i="4"/>
  <c r="D214" i="4"/>
  <c r="D226" i="4"/>
  <c r="D238" i="4"/>
  <c r="D250" i="4"/>
  <c r="D262" i="4"/>
  <c r="D274" i="4"/>
  <c r="D286" i="4"/>
  <c r="D298" i="4"/>
  <c r="D310" i="4"/>
  <c r="D322" i="4"/>
  <c r="D334" i="4"/>
  <c r="D346" i="4"/>
  <c r="D358" i="4"/>
  <c r="D370" i="4"/>
  <c r="D382" i="4"/>
  <c r="D394" i="4"/>
  <c r="D406" i="4"/>
  <c r="D418" i="4"/>
  <c r="D430" i="4"/>
  <c r="D442" i="4"/>
  <c r="D454" i="4"/>
  <c r="D466" i="4"/>
  <c r="D478" i="4"/>
  <c r="D490" i="4"/>
  <c r="D502" i="4"/>
  <c r="D514" i="4"/>
  <c r="D526" i="4"/>
  <c r="D538" i="4"/>
  <c r="D550" i="4"/>
  <c r="D562" i="4"/>
  <c r="D574" i="4"/>
  <c r="D586" i="4"/>
  <c r="D598" i="4"/>
  <c r="D610" i="4"/>
  <c r="D622" i="4"/>
  <c r="D634" i="4"/>
  <c r="D646" i="4"/>
  <c r="D658" i="4"/>
  <c r="D670" i="4"/>
  <c r="D682" i="4"/>
  <c r="D694" i="4"/>
  <c r="D706" i="4"/>
  <c r="D718" i="4"/>
  <c r="D730" i="4"/>
  <c r="D742" i="4"/>
  <c r="D754" i="4"/>
  <c r="D766" i="4"/>
  <c r="D778" i="4"/>
  <c r="D790" i="4"/>
  <c r="D802" i="4"/>
  <c r="D814" i="4"/>
  <c r="D826" i="4"/>
  <c r="D838" i="4"/>
  <c r="D850" i="4"/>
  <c r="D862" i="4"/>
  <c r="D874" i="4"/>
  <c r="D886" i="4"/>
  <c r="D898" i="4"/>
  <c r="D910" i="4"/>
  <c r="D922" i="4"/>
  <c r="D934" i="4"/>
  <c r="D946" i="4"/>
  <c r="D958" i="4"/>
  <c r="D970" i="4"/>
  <c r="D982" i="4"/>
  <c r="D994" i="4"/>
  <c r="C17" i="4"/>
  <c r="C29" i="4"/>
  <c r="D11" i="4"/>
  <c r="D23" i="4"/>
  <c r="D35" i="4"/>
  <c r="D47" i="4"/>
  <c r="D59" i="4"/>
  <c r="D71" i="4"/>
  <c r="D83" i="4"/>
  <c r="D95" i="4"/>
  <c r="D107" i="4"/>
  <c r="D119" i="4"/>
  <c r="D131" i="4"/>
  <c r="D143" i="4"/>
  <c r="D155" i="4"/>
  <c r="D167" i="4"/>
  <c r="D179" i="4"/>
  <c r="D191" i="4"/>
  <c r="D203" i="4"/>
  <c r="D215" i="4"/>
  <c r="D227" i="4"/>
  <c r="D239" i="4"/>
  <c r="D251" i="4"/>
  <c r="D263" i="4"/>
  <c r="D275" i="4"/>
  <c r="D287" i="4"/>
  <c r="D299" i="4"/>
  <c r="D311" i="4"/>
  <c r="D323" i="4"/>
  <c r="D335" i="4"/>
  <c r="D347" i="4"/>
  <c r="D359" i="4"/>
  <c r="D371" i="4"/>
  <c r="D383" i="4"/>
  <c r="D395" i="4"/>
  <c r="D407" i="4"/>
  <c r="D419" i="4"/>
  <c r="D431" i="4"/>
  <c r="D443" i="4"/>
  <c r="D455" i="4"/>
  <c r="D467" i="4"/>
  <c r="D479" i="4"/>
  <c r="D491" i="4"/>
  <c r="D503" i="4"/>
  <c r="D515" i="4"/>
  <c r="D527" i="4"/>
  <c r="D539" i="4"/>
  <c r="D551" i="4"/>
  <c r="D563" i="4"/>
  <c r="D575" i="4"/>
  <c r="D587" i="4"/>
  <c r="D599" i="4"/>
  <c r="D611" i="4"/>
  <c r="D623" i="4"/>
  <c r="D635" i="4"/>
  <c r="D647" i="4"/>
  <c r="D659" i="4"/>
  <c r="D671" i="4"/>
  <c r="D683" i="4"/>
  <c r="D695" i="4"/>
  <c r="D707" i="4"/>
  <c r="D719" i="4"/>
  <c r="D731" i="4"/>
  <c r="D743" i="4"/>
  <c r="D755" i="4"/>
  <c r="D767" i="4"/>
  <c r="D779" i="4"/>
  <c r="D791" i="4"/>
  <c r="D803" i="4"/>
  <c r="D815" i="4"/>
  <c r="D827" i="4"/>
  <c r="D839" i="4"/>
  <c r="D851" i="4"/>
  <c r="D863" i="4"/>
  <c r="D875" i="4"/>
  <c r="D887" i="4"/>
  <c r="D899" i="4"/>
  <c r="D911" i="4"/>
  <c r="D12" i="4"/>
  <c r="D24" i="4"/>
  <c r="D36" i="4"/>
  <c r="D48" i="4"/>
  <c r="D60" i="4"/>
  <c r="D72" i="4"/>
  <c r="D84" i="4"/>
  <c r="D96" i="4"/>
  <c r="D108" i="4"/>
  <c r="D120" i="4"/>
  <c r="D132" i="4"/>
  <c r="D144" i="4"/>
  <c r="D156" i="4"/>
  <c r="D168" i="4"/>
  <c r="D180" i="4"/>
  <c r="D192" i="4"/>
  <c r="D204" i="4"/>
  <c r="D216" i="4"/>
  <c r="D228" i="4"/>
  <c r="D240" i="4"/>
  <c r="D252" i="4"/>
  <c r="D264" i="4"/>
  <c r="D276" i="4"/>
  <c r="D288" i="4"/>
  <c r="D300" i="4"/>
  <c r="D312" i="4"/>
  <c r="D324" i="4"/>
  <c r="D336" i="4"/>
  <c r="D348" i="4"/>
  <c r="D360" i="4"/>
  <c r="D372" i="4"/>
  <c r="D384" i="4"/>
  <c r="D396" i="4"/>
  <c r="D408" i="4"/>
  <c r="D420" i="4"/>
  <c r="D432" i="4"/>
  <c r="D444" i="4"/>
  <c r="D456" i="4"/>
  <c r="D468" i="4"/>
  <c r="D480" i="4"/>
  <c r="D492" i="4"/>
  <c r="D504" i="4"/>
  <c r="D516" i="4"/>
  <c r="D528" i="4"/>
  <c r="D540" i="4"/>
  <c r="D552" i="4"/>
  <c r="D564" i="4"/>
  <c r="D576" i="4"/>
  <c r="D588" i="4"/>
  <c r="D600" i="4"/>
  <c r="D612" i="4"/>
  <c r="D624" i="4"/>
  <c r="D636" i="4"/>
  <c r="D648" i="4"/>
  <c r="D660" i="4"/>
  <c r="D672" i="4"/>
  <c r="D684" i="4"/>
  <c r="D696" i="4"/>
  <c r="D708" i="4"/>
  <c r="D720" i="4"/>
  <c r="D732" i="4"/>
  <c r="D744" i="4"/>
  <c r="D756" i="4"/>
  <c r="D768" i="4"/>
  <c r="D780" i="4"/>
  <c r="D792" i="4"/>
  <c r="D804" i="4"/>
  <c r="D816" i="4"/>
  <c r="D828" i="4"/>
  <c r="D840" i="4"/>
  <c r="D852" i="4"/>
  <c r="D864" i="4"/>
  <c r="D876" i="4"/>
  <c r="D888" i="4"/>
  <c r="D900" i="4"/>
  <c r="D912" i="4"/>
  <c r="D13" i="4"/>
  <c r="D25" i="4"/>
  <c r="D37" i="4"/>
  <c r="D49" i="4"/>
  <c r="D61" i="4"/>
  <c r="D73" i="4"/>
  <c r="D85" i="4"/>
  <c r="D97" i="4"/>
  <c r="D109" i="4"/>
  <c r="D121" i="4"/>
  <c r="D133" i="4"/>
  <c r="D145" i="4"/>
  <c r="D157" i="4"/>
  <c r="D169" i="4"/>
  <c r="D181" i="4"/>
  <c r="D193" i="4"/>
  <c r="D205" i="4"/>
  <c r="D217" i="4"/>
  <c r="D229" i="4"/>
  <c r="D241" i="4"/>
  <c r="D253" i="4"/>
  <c r="D265" i="4"/>
  <c r="D277" i="4"/>
  <c r="D289" i="4"/>
  <c r="D301" i="4"/>
  <c r="D313" i="4"/>
  <c r="D325" i="4"/>
  <c r="D337" i="4"/>
  <c r="D349" i="4"/>
  <c r="D361" i="4"/>
  <c r="D373" i="4"/>
  <c r="D385" i="4"/>
  <c r="D397" i="4"/>
  <c r="D409" i="4"/>
  <c r="D421" i="4"/>
  <c r="D433" i="4"/>
  <c r="D445" i="4"/>
  <c r="D457" i="4"/>
  <c r="D469" i="4"/>
  <c r="D481" i="4"/>
  <c r="D493" i="4"/>
  <c r="D505" i="4"/>
  <c r="D517" i="4"/>
  <c r="D529" i="4"/>
  <c r="D541" i="4"/>
  <c r="D553" i="4"/>
  <c r="D565" i="4"/>
  <c r="D577" i="4"/>
  <c r="D589" i="4"/>
  <c r="D601" i="4"/>
  <c r="D613" i="4"/>
  <c r="D625" i="4"/>
  <c r="D637" i="4"/>
  <c r="D649" i="4"/>
  <c r="D661" i="4"/>
  <c r="D673" i="4"/>
  <c r="D685" i="4"/>
  <c r="D697" i="4"/>
  <c r="D709" i="4"/>
  <c r="D721" i="4"/>
  <c r="D733" i="4"/>
  <c r="D745" i="4"/>
  <c r="D757" i="4"/>
  <c r="D769" i="4"/>
  <c r="D781" i="4"/>
  <c r="D793" i="4"/>
  <c r="D805" i="4"/>
  <c r="D817" i="4"/>
  <c r="D829" i="4"/>
  <c r="D841" i="4"/>
  <c r="D853" i="4"/>
  <c r="D865" i="4"/>
  <c r="D877" i="4"/>
  <c r="D889" i="4"/>
  <c r="D901" i="4"/>
  <c r="D913" i="4"/>
  <c r="D925" i="4"/>
  <c r="D937" i="4"/>
  <c r="D949" i="4"/>
  <c r="D14" i="4"/>
  <c r="D26" i="4"/>
  <c r="D38" i="4"/>
  <c r="D50" i="4"/>
  <c r="D62" i="4"/>
  <c r="D74" i="4"/>
  <c r="D86" i="4"/>
  <c r="D98" i="4"/>
  <c r="D110" i="4"/>
  <c r="D122" i="4"/>
  <c r="D134" i="4"/>
  <c r="D146" i="4"/>
  <c r="D158" i="4"/>
  <c r="D170" i="4"/>
  <c r="D182" i="4"/>
  <c r="D194" i="4"/>
  <c r="D206" i="4"/>
  <c r="D218" i="4"/>
  <c r="D230" i="4"/>
  <c r="D242" i="4"/>
  <c r="D254" i="4"/>
  <c r="D266" i="4"/>
  <c r="D278" i="4"/>
  <c r="D290" i="4"/>
  <c r="D302" i="4"/>
  <c r="D314" i="4"/>
  <c r="D326" i="4"/>
  <c r="D338" i="4"/>
  <c r="D350" i="4"/>
  <c r="D362" i="4"/>
  <c r="D374" i="4"/>
  <c r="D386" i="4"/>
  <c r="D398" i="4"/>
  <c r="D410" i="4"/>
  <c r="D422" i="4"/>
  <c r="D434" i="4"/>
  <c r="D446" i="4"/>
  <c r="D458" i="4"/>
  <c r="D470" i="4"/>
  <c r="D482" i="4"/>
  <c r="D494" i="4"/>
  <c r="D506" i="4"/>
  <c r="D518" i="4"/>
  <c r="D530" i="4"/>
  <c r="D542" i="4"/>
  <c r="D554" i="4"/>
  <c r="D566" i="4"/>
  <c r="D578" i="4"/>
  <c r="D590" i="4"/>
  <c r="D602" i="4"/>
  <c r="D614" i="4"/>
  <c r="D626" i="4"/>
  <c r="D638" i="4"/>
  <c r="D650" i="4"/>
  <c r="D662" i="4"/>
  <c r="D674" i="4"/>
  <c r="D686" i="4"/>
  <c r="D698" i="4"/>
  <c r="D710" i="4"/>
  <c r="D722" i="4"/>
  <c r="D734" i="4"/>
  <c r="D746" i="4"/>
  <c r="D758" i="4"/>
  <c r="D770" i="4"/>
  <c r="D782" i="4"/>
  <c r="D794" i="4"/>
  <c r="D806" i="4"/>
  <c r="D818" i="4"/>
  <c r="D830" i="4"/>
  <c r="D842" i="4"/>
  <c r="D854" i="4"/>
  <c r="D866" i="4"/>
  <c r="D878" i="4"/>
  <c r="D890" i="4"/>
  <c r="D902" i="4"/>
  <c r="D914" i="4"/>
  <c r="D15" i="4"/>
  <c r="D27" i="4"/>
  <c r="D39" i="4"/>
  <c r="D51" i="4"/>
  <c r="D63" i="4"/>
  <c r="D75" i="4"/>
  <c r="D87" i="4"/>
  <c r="D99" i="4"/>
  <c r="D111" i="4"/>
  <c r="D123" i="4"/>
  <c r="D135" i="4"/>
  <c r="D147" i="4"/>
  <c r="D159" i="4"/>
  <c r="D171" i="4"/>
  <c r="D183" i="4"/>
  <c r="D195" i="4"/>
  <c r="D207" i="4"/>
  <c r="D219" i="4"/>
  <c r="D231" i="4"/>
  <c r="D243" i="4"/>
  <c r="D255" i="4"/>
  <c r="D267" i="4"/>
  <c r="D279" i="4"/>
  <c r="D291" i="4"/>
  <c r="D303" i="4"/>
  <c r="D315" i="4"/>
  <c r="D327" i="4"/>
  <c r="D339" i="4"/>
  <c r="D351" i="4"/>
  <c r="D363" i="4"/>
  <c r="D375" i="4"/>
  <c r="D387" i="4"/>
  <c r="D399" i="4"/>
  <c r="D411" i="4"/>
  <c r="D423" i="4"/>
  <c r="D435" i="4"/>
  <c r="D447" i="4"/>
  <c r="D459" i="4"/>
  <c r="D471" i="4"/>
  <c r="D483" i="4"/>
  <c r="D495" i="4"/>
  <c r="D507" i="4"/>
  <c r="D519" i="4"/>
  <c r="D531" i="4"/>
  <c r="D543" i="4"/>
  <c r="D555" i="4"/>
  <c r="D567" i="4"/>
  <c r="D579" i="4"/>
  <c r="D591" i="4"/>
  <c r="D603" i="4"/>
  <c r="D615" i="4"/>
  <c r="D627" i="4"/>
  <c r="D639" i="4"/>
  <c r="D651" i="4"/>
  <c r="D663" i="4"/>
  <c r="D675" i="4"/>
  <c r="D687" i="4"/>
  <c r="D699" i="4"/>
  <c r="D711" i="4"/>
  <c r="D723" i="4"/>
  <c r="D735" i="4"/>
  <c r="D747" i="4"/>
  <c r="D759" i="4"/>
  <c r="D771" i="4"/>
  <c r="D783" i="4"/>
  <c r="D795" i="4"/>
  <c r="D807" i="4"/>
  <c r="D819" i="4"/>
  <c r="D831" i="4"/>
  <c r="D843" i="4"/>
  <c r="D855" i="4"/>
  <c r="D867" i="4"/>
  <c r="D879" i="4"/>
  <c r="D891" i="4"/>
  <c r="D903" i="4"/>
  <c r="D915" i="4"/>
  <c r="D927" i="4"/>
  <c r="D939" i="4"/>
  <c r="D16" i="4"/>
  <c r="D28" i="4"/>
  <c r="D40" i="4"/>
  <c r="D52" i="4"/>
  <c r="D64" i="4"/>
  <c r="D76" i="4"/>
  <c r="D88" i="4"/>
  <c r="D100" i="4"/>
  <c r="D112" i="4"/>
  <c r="D124" i="4"/>
  <c r="D136" i="4"/>
  <c r="D148" i="4"/>
  <c r="D160" i="4"/>
  <c r="D172" i="4"/>
  <c r="D184" i="4"/>
  <c r="D196" i="4"/>
  <c r="D208" i="4"/>
  <c r="D220" i="4"/>
  <c r="D232" i="4"/>
  <c r="D244" i="4"/>
  <c r="D256" i="4"/>
  <c r="D268" i="4"/>
  <c r="D280" i="4"/>
  <c r="D292" i="4"/>
  <c r="D304" i="4"/>
  <c r="D316" i="4"/>
  <c r="D328" i="4"/>
  <c r="D340" i="4"/>
  <c r="D352" i="4"/>
  <c r="D364" i="4"/>
  <c r="D376" i="4"/>
  <c r="D388" i="4"/>
  <c r="D400" i="4"/>
  <c r="D412" i="4"/>
  <c r="D424" i="4"/>
  <c r="D436" i="4"/>
  <c r="D448" i="4"/>
  <c r="D460" i="4"/>
  <c r="D472" i="4"/>
  <c r="D484" i="4"/>
  <c r="D496" i="4"/>
  <c r="D508" i="4"/>
  <c r="D520" i="4"/>
  <c r="D532" i="4"/>
  <c r="D544" i="4"/>
  <c r="D556" i="4"/>
  <c r="D568" i="4"/>
  <c r="D580" i="4"/>
  <c r="D592" i="4"/>
  <c r="D604" i="4"/>
  <c r="D616" i="4"/>
  <c r="D628" i="4"/>
  <c r="D640" i="4"/>
  <c r="D652" i="4"/>
  <c r="D664" i="4"/>
  <c r="D676" i="4"/>
  <c r="D688" i="4"/>
  <c r="D700" i="4"/>
  <c r="D712" i="4"/>
  <c r="D724" i="4"/>
  <c r="D736" i="4"/>
  <c r="D748" i="4"/>
  <c r="D760" i="4"/>
  <c r="D772" i="4"/>
  <c r="D784" i="4"/>
  <c r="D796" i="4"/>
  <c r="D808" i="4"/>
  <c r="D820" i="4"/>
  <c r="D832" i="4"/>
  <c r="D844" i="4"/>
  <c r="D856" i="4"/>
  <c r="D868" i="4"/>
  <c r="D880" i="4"/>
  <c r="D892" i="4"/>
  <c r="D904" i="4"/>
  <c r="D916" i="4"/>
  <c r="D928" i="4"/>
  <c r="D940" i="4"/>
  <c r="D952" i="4"/>
  <c r="D964" i="4"/>
  <c r="D976" i="4"/>
  <c r="D988" i="4"/>
  <c r="C11" i="4"/>
  <c r="C23" i="4"/>
  <c r="C35" i="4"/>
  <c r="D17" i="4"/>
  <c r="D29" i="4"/>
  <c r="D41" i="4"/>
  <c r="D53" i="4"/>
  <c r="D65" i="4"/>
  <c r="D77" i="4"/>
  <c r="D89" i="4"/>
  <c r="D101" i="4"/>
  <c r="D113" i="4"/>
  <c r="D125" i="4"/>
  <c r="D137" i="4"/>
  <c r="D149" i="4"/>
  <c r="D161" i="4"/>
  <c r="D173" i="4"/>
  <c r="D185" i="4"/>
  <c r="D197" i="4"/>
  <c r="D209" i="4"/>
  <c r="D221" i="4"/>
  <c r="D233" i="4"/>
  <c r="D245" i="4"/>
  <c r="D257" i="4"/>
  <c r="D269" i="4"/>
  <c r="D281" i="4"/>
  <c r="D293" i="4"/>
  <c r="D305" i="4"/>
  <c r="D317" i="4"/>
  <c r="D329" i="4"/>
  <c r="D341" i="4"/>
  <c r="D353" i="4"/>
  <c r="D365" i="4"/>
  <c r="D377" i="4"/>
  <c r="D389" i="4"/>
  <c r="D401" i="4"/>
  <c r="D413" i="4"/>
  <c r="D425" i="4"/>
  <c r="D437" i="4"/>
  <c r="D449" i="4"/>
  <c r="D461" i="4"/>
  <c r="D473" i="4"/>
  <c r="D485" i="4"/>
  <c r="D497" i="4"/>
  <c r="D509" i="4"/>
  <c r="D521" i="4"/>
  <c r="D533" i="4"/>
  <c r="D545" i="4"/>
  <c r="D557" i="4"/>
  <c r="D569" i="4"/>
  <c r="D581" i="4"/>
  <c r="D593" i="4"/>
  <c r="D605" i="4"/>
  <c r="D617" i="4"/>
  <c r="D629" i="4"/>
  <c r="D641" i="4"/>
  <c r="D653" i="4"/>
  <c r="D665" i="4"/>
  <c r="D677" i="4"/>
  <c r="D689" i="4"/>
  <c r="D701" i="4"/>
  <c r="D713" i="4"/>
  <c r="D725" i="4"/>
  <c r="D737" i="4"/>
  <c r="D749" i="4"/>
  <c r="D761" i="4"/>
  <c r="D773" i="4"/>
  <c r="D785" i="4"/>
  <c r="D797" i="4"/>
  <c r="D809" i="4"/>
  <c r="D821" i="4"/>
  <c r="D833" i="4"/>
  <c r="D845" i="4"/>
  <c r="D857" i="4"/>
  <c r="D869" i="4"/>
  <c r="D881" i="4"/>
  <c r="D893" i="4"/>
  <c r="D905" i="4"/>
  <c r="D917" i="4"/>
  <c r="D929" i="4"/>
  <c r="D941" i="4"/>
  <c r="D18" i="4"/>
  <c r="D30" i="4"/>
  <c r="D42" i="4"/>
  <c r="D54" i="4"/>
  <c r="D66" i="4"/>
  <c r="D78" i="4"/>
  <c r="D90" i="4"/>
  <c r="D102" i="4"/>
  <c r="D114" i="4"/>
  <c r="D126" i="4"/>
  <c r="D138" i="4"/>
  <c r="D150" i="4"/>
  <c r="D162" i="4"/>
  <c r="D174" i="4"/>
  <c r="D186" i="4"/>
  <c r="D198" i="4"/>
  <c r="D210" i="4"/>
  <c r="D222" i="4"/>
  <c r="D234" i="4"/>
  <c r="D246" i="4"/>
  <c r="D258" i="4"/>
  <c r="D270" i="4"/>
  <c r="D282" i="4"/>
  <c r="D294" i="4"/>
  <c r="D306" i="4"/>
  <c r="D318" i="4"/>
  <c r="D330" i="4"/>
  <c r="D342" i="4"/>
  <c r="D354" i="4"/>
  <c r="D366" i="4"/>
  <c r="D378" i="4"/>
  <c r="D390" i="4"/>
  <c r="D402" i="4"/>
  <c r="D414" i="4"/>
  <c r="D426" i="4"/>
  <c r="D438" i="4"/>
  <c r="D450" i="4"/>
  <c r="D462" i="4"/>
  <c r="D474" i="4"/>
  <c r="D486" i="4"/>
  <c r="D498" i="4"/>
  <c r="D510" i="4"/>
  <c r="D522" i="4"/>
  <c r="D534" i="4"/>
  <c r="D546" i="4"/>
  <c r="D558" i="4"/>
  <c r="D570" i="4"/>
  <c r="D582" i="4"/>
  <c r="D594" i="4"/>
  <c r="D606" i="4"/>
  <c r="D618" i="4"/>
  <c r="D630" i="4"/>
  <c r="D642" i="4"/>
  <c r="D654" i="4"/>
  <c r="D666" i="4"/>
  <c r="D678" i="4"/>
  <c r="D690" i="4"/>
  <c r="D702" i="4"/>
  <c r="D714" i="4"/>
  <c r="D726" i="4"/>
  <c r="D738" i="4"/>
  <c r="D750" i="4"/>
  <c r="D762" i="4"/>
  <c r="D774" i="4"/>
  <c r="D786" i="4"/>
  <c r="D798" i="4"/>
  <c r="D810" i="4"/>
  <c r="D822" i="4"/>
  <c r="D19" i="4"/>
  <c r="D31" i="4"/>
  <c r="D43" i="4"/>
  <c r="D55" i="4"/>
  <c r="D67" i="4"/>
  <c r="D79" i="4"/>
  <c r="D91" i="4"/>
  <c r="D103" i="4"/>
  <c r="D115" i="4"/>
  <c r="D127" i="4"/>
  <c r="D139" i="4"/>
  <c r="D151" i="4"/>
  <c r="D163" i="4"/>
  <c r="D175" i="4"/>
  <c r="D187" i="4"/>
  <c r="D199" i="4"/>
  <c r="D211" i="4"/>
  <c r="D223" i="4"/>
  <c r="D235" i="4"/>
  <c r="D247" i="4"/>
  <c r="D259" i="4"/>
  <c r="D271" i="4"/>
  <c r="D283" i="4"/>
  <c r="D295" i="4"/>
  <c r="D307" i="4"/>
  <c r="D319" i="4"/>
  <c r="D331" i="4"/>
  <c r="D343" i="4"/>
  <c r="D355" i="4"/>
  <c r="D367" i="4"/>
  <c r="D379" i="4"/>
  <c r="D391" i="4"/>
  <c r="D403" i="4"/>
  <c r="D415" i="4"/>
  <c r="D427" i="4"/>
  <c r="D439" i="4"/>
  <c r="D451" i="4"/>
  <c r="D463" i="4"/>
  <c r="D475" i="4"/>
  <c r="D487" i="4"/>
  <c r="D499" i="4"/>
  <c r="D511" i="4"/>
  <c r="D523" i="4"/>
  <c r="D535" i="4"/>
  <c r="D547" i="4"/>
  <c r="D559" i="4"/>
  <c r="D571" i="4"/>
  <c r="D583" i="4"/>
  <c r="D595" i="4"/>
  <c r="D607" i="4"/>
  <c r="D619" i="4"/>
  <c r="D631" i="4"/>
  <c r="D643" i="4"/>
  <c r="D655" i="4"/>
  <c r="D667" i="4"/>
  <c r="D679" i="4"/>
  <c r="D691" i="4"/>
  <c r="D703" i="4"/>
  <c r="D715" i="4"/>
  <c r="D727" i="4"/>
  <c r="D739" i="4"/>
  <c r="D751" i="4"/>
  <c r="D763" i="4"/>
  <c r="D775" i="4"/>
  <c r="D787" i="4"/>
  <c r="D799" i="4"/>
  <c r="D811" i="4"/>
  <c r="D823" i="4"/>
  <c r="D835" i="4"/>
  <c r="D847" i="4"/>
  <c r="D859" i="4"/>
  <c r="D871" i="4"/>
  <c r="D883" i="4"/>
  <c r="D895" i="4"/>
  <c r="D907" i="4"/>
  <c r="D20" i="4"/>
  <c r="D32" i="4"/>
  <c r="D44" i="4"/>
  <c r="D56" i="4"/>
  <c r="D68" i="4"/>
  <c r="D80" i="4"/>
  <c r="D92" i="4"/>
  <c r="D104" i="4"/>
  <c r="D116" i="4"/>
  <c r="D128" i="4"/>
  <c r="D140" i="4"/>
  <c r="D152" i="4"/>
  <c r="D164" i="4"/>
  <c r="D176" i="4"/>
  <c r="D188" i="4"/>
  <c r="D200" i="4"/>
  <c r="D212" i="4"/>
  <c r="D224" i="4"/>
  <c r="D236" i="4"/>
  <c r="D248" i="4"/>
  <c r="D260" i="4"/>
  <c r="D272" i="4"/>
  <c r="D284" i="4"/>
  <c r="D296" i="4"/>
  <c r="D308" i="4"/>
  <c r="D320" i="4"/>
  <c r="D332" i="4"/>
  <c r="D344" i="4"/>
  <c r="D356" i="4"/>
  <c r="D368" i="4"/>
  <c r="D380" i="4"/>
  <c r="D392" i="4"/>
  <c r="D404" i="4"/>
  <c r="D416" i="4"/>
  <c r="D428" i="4"/>
  <c r="D440" i="4"/>
  <c r="D452" i="4"/>
  <c r="D464" i="4"/>
  <c r="D476" i="4"/>
  <c r="D488" i="4"/>
  <c r="D500" i="4"/>
  <c r="D512" i="4"/>
  <c r="D524" i="4"/>
  <c r="D536" i="4"/>
  <c r="D548" i="4"/>
  <c r="D560" i="4"/>
  <c r="D572" i="4"/>
  <c r="D584" i="4"/>
  <c r="D596" i="4"/>
  <c r="D608" i="4"/>
  <c r="D620" i="4"/>
  <c r="D632" i="4"/>
  <c r="D644" i="4"/>
  <c r="D656" i="4"/>
  <c r="D668" i="4"/>
  <c r="D680" i="4"/>
  <c r="D692" i="4"/>
  <c r="D704" i="4"/>
  <c r="D716" i="4"/>
  <c r="D728" i="4"/>
  <c r="D740" i="4"/>
  <c r="D752" i="4"/>
  <c r="D764" i="4"/>
  <c r="D776" i="4"/>
  <c r="D788" i="4"/>
  <c r="D800" i="4"/>
  <c r="D812" i="4"/>
  <c r="D824" i="4"/>
  <c r="D836" i="4"/>
  <c r="D848" i="4"/>
  <c r="D860" i="4"/>
  <c r="D872" i="4"/>
  <c r="D884" i="4"/>
  <c r="D896" i="4"/>
  <c r="D908" i="4"/>
  <c r="D920" i="4"/>
  <c r="D932" i="4"/>
  <c r="D21" i="4"/>
  <c r="D165" i="4"/>
  <c r="D309" i="4"/>
  <c r="D453" i="4"/>
  <c r="D597" i="4"/>
  <c r="D741" i="4"/>
  <c r="D858" i="4"/>
  <c r="D921" i="4"/>
  <c r="D944" i="4"/>
  <c r="D960" i="4"/>
  <c r="D974" i="4"/>
  <c r="D989" i="4"/>
  <c r="C14" i="4"/>
  <c r="C28" i="4"/>
  <c r="C42" i="4"/>
  <c r="C54" i="4"/>
  <c r="C66" i="4"/>
  <c r="C78" i="4"/>
  <c r="C90" i="4"/>
  <c r="C102" i="4"/>
  <c r="C114" i="4"/>
  <c r="C126" i="4"/>
  <c r="C138" i="4"/>
  <c r="C150" i="4"/>
  <c r="C162" i="4"/>
  <c r="C174" i="4"/>
  <c r="C186" i="4"/>
  <c r="C198" i="4"/>
  <c r="C210" i="4"/>
  <c r="C222" i="4"/>
  <c r="C234" i="4"/>
  <c r="C246" i="4"/>
  <c r="C258" i="4"/>
  <c r="C270" i="4"/>
  <c r="C282" i="4"/>
  <c r="C294" i="4"/>
  <c r="C306" i="4"/>
  <c r="C318" i="4"/>
  <c r="C330" i="4"/>
  <c r="C342" i="4"/>
  <c r="C354" i="4"/>
  <c r="C366" i="4"/>
  <c r="C378" i="4"/>
  <c r="C390" i="4"/>
  <c r="C402" i="4"/>
  <c r="C414" i="4"/>
  <c r="C426" i="4"/>
  <c r="C438" i="4"/>
  <c r="C450" i="4"/>
  <c r="C462" i="4"/>
  <c r="C474" i="4"/>
  <c r="C486" i="4"/>
  <c r="C498" i="4"/>
  <c r="C510" i="4"/>
  <c r="C522" i="4"/>
  <c r="C534" i="4"/>
  <c r="C546" i="4"/>
  <c r="C558" i="4"/>
  <c r="C570" i="4"/>
  <c r="C582" i="4"/>
  <c r="C594" i="4"/>
  <c r="C606" i="4"/>
  <c r="C618" i="4"/>
  <c r="C630" i="4"/>
  <c r="C642" i="4"/>
  <c r="C654" i="4"/>
  <c r="C666" i="4"/>
  <c r="C678" i="4"/>
  <c r="C690" i="4"/>
  <c r="C702" i="4"/>
  <c r="C714" i="4"/>
  <c r="C726" i="4"/>
  <c r="C738" i="4"/>
  <c r="C750" i="4"/>
  <c r="C762" i="4"/>
  <c r="C774" i="4"/>
  <c r="C786" i="4"/>
  <c r="C798" i="4"/>
  <c r="C810" i="4"/>
  <c r="C822" i="4"/>
  <c r="C834" i="4"/>
  <c r="C846" i="4"/>
  <c r="C858" i="4"/>
  <c r="D33" i="4"/>
  <c r="D177" i="4"/>
  <c r="D321" i="4"/>
  <c r="D465" i="4"/>
  <c r="D609" i="4"/>
  <c r="D753" i="4"/>
  <c r="D861" i="4"/>
  <c r="D923" i="4"/>
  <c r="D945" i="4"/>
  <c r="D961" i="4"/>
  <c r="D975" i="4"/>
  <c r="D990" i="4"/>
  <c r="C15" i="4"/>
  <c r="C30" i="4"/>
  <c r="C43" i="4"/>
  <c r="C55" i="4"/>
  <c r="C67" i="4"/>
  <c r="C79" i="4"/>
  <c r="C91" i="4"/>
  <c r="C103" i="4"/>
  <c r="C115" i="4"/>
  <c r="C127" i="4"/>
  <c r="C139" i="4"/>
  <c r="C151" i="4"/>
  <c r="C163" i="4"/>
  <c r="C175" i="4"/>
  <c r="C187" i="4"/>
  <c r="C199" i="4"/>
  <c r="C211" i="4"/>
  <c r="C223" i="4"/>
  <c r="C235" i="4"/>
  <c r="C247" i="4"/>
  <c r="C259" i="4"/>
  <c r="C271" i="4"/>
  <c r="C283" i="4"/>
  <c r="C295" i="4"/>
  <c r="C307" i="4"/>
  <c r="C319" i="4"/>
  <c r="C331" i="4"/>
  <c r="C343" i="4"/>
  <c r="C355" i="4"/>
  <c r="C367" i="4"/>
  <c r="C379" i="4"/>
  <c r="C391" i="4"/>
  <c r="C403" i="4"/>
  <c r="C415" i="4"/>
  <c r="C427" i="4"/>
  <c r="C439" i="4"/>
  <c r="C451" i="4"/>
  <c r="C463" i="4"/>
  <c r="C475" i="4"/>
  <c r="C487" i="4"/>
  <c r="C499" i="4"/>
  <c r="C511" i="4"/>
  <c r="C523" i="4"/>
  <c r="C535" i="4"/>
  <c r="C547" i="4"/>
  <c r="C559" i="4"/>
  <c r="C571" i="4"/>
  <c r="C583" i="4"/>
  <c r="C595" i="4"/>
  <c r="C607" i="4"/>
  <c r="C619" i="4"/>
  <c r="C631" i="4"/>
  <c r="C643" i="4"/>
  <c r="C655" i="4"/>
  <c r="C667" i="4"/>
  <c r="C679" i="4"/>
  <c r="C691" i="4"/>
  <c r="C703" i="4"/>
  <c r="C715" i="4"/>
  <c r="C727" i="4"/>
  <c r="C739" i="4"/>
  <c r="C751" i="4"/>
  <c r="C763" i="4"/>
  <c r="C775" i="4"/>
  <c r="C787" i="4"/>
  <c r="C799" i="4"/>
  <c r="C811" i="4"/>
  <c r="C823" i="4"/>
  <c r="C835" i="4"/>
  <c r="C847" i="4"/>
  <c r="C859" i="4"/>
  <c r="D45" i="4"/>
  <c r="D189" i="4"/>
  <c r="D333" i="4"/>
  <c r="D477" i="4"/>
  <c r="D621" i="4"/>
  <c r="D765" i="4"/>
  <c r="D870" i="4"/>
  <c r="D924" i="4"/>
  <c r="D947" i="4"/>
  <c r="D962" i="4"/>
  <c r="D977" i="4"/>
  <c r="D991" i="4"/>
  <c r="C16" i="4"/>
  <c r="C31" i="4"/>
  <c r="C44" i="4"/>
  <c r="C56" i="4"/>
  <c r="C68" i="4"/>
  <c r="C80" i="4"/>
  <c r="C92" i="4"/>
  <c r="C104" i="4"/>
  <c r="C116" i="4"/>
  <c r="C128" i="4"/>
  <c r="C140" i="4"/>
  <c r="C152" i="4"/>
  <c r="C164" i="4"/>
  <c r="C176" i="4"/>
  <c r="C188" i="4"/>
  <c r="C200" i="4"/>
  <c r="C212" i="4"/>
  <c r="C224" i="4"/>
  <c r="C236" i="4"/>
  <c r="C248" i="4"/>
  <c r="C260" i="4"/>
  <c r="C272" i="4"/>
  <c r="C284" i="4"/>
  <c r="C296" i="4"/>
  <c r="C308" i="4"/>
  <c r="C320" i="4"/>
  <c r="C332" i="4"/>
  <c r="C344" i="4"/>
  <c r="C356" i="4"/>
  <c r="C368" i="4"/>
  <c r="C380" i="4"/>
  <c r="C392" i="4"/>
  <c r="C404" i="4"/>
  <c r="C416" i="4"/>
  <c r="C428" i="4"/>
  <c r="C440" i="4"/>
  <c r="C452" i="4"/>
  <c r="C464" i="4"/>
  <c r="C476" i="4"/>
  <c r="C488" i="4"/>
  <c r="C500" i="4"/>
  <c r="C512" i="4"/>
  <c r="C524" i="4"/>
  <c r="C536" i="4"/>
  <c r="C548" i="4"/>
  <c r="D57" i="4"/>
  <c r="D201" i="4"/>
  <c r="D345" i="4"/>
  <c r="D489" i="4"/>
  <c r="D633" i="4"/>
  <c r="D777" i="4"/>
  <c r="D873" i="4"/>
  <c r="D926" i="4"/>
  <c r="D948" i="4"/>
  <c r="D963" i="4"/>
  <c r="D978" i="4"/>
  <c r="D992" i="4"/>
  <c r="C18" i="4"/>
  <c r="C32" i="4"/>
  <c r="C45" i="4"/>
  <c r="C57" i="4"/>
  <c r="C69" i="4"/>
  <c r="C81" i="4"/>
  <c r="C93" i="4"/>
  <c r="C105" i="4"/>
  <c r="C117" i="4"/>
  <c r="C129" i="4"/>
  <c r="C141" i="4"/>
  <c r="C153" i="4"/>
  <c r="C165" i="4"/>
  <c r="C177" i="4"/>
  <c r="C189" i="4"/>
  <c r="C201" i="4"/>
  <c r="C213" i="4"/>
  <c r="C225" i="4"/>
  <c r="C237" i="4"/>
  <c r="C249" i="4"/>
  <c r="C261" i="4"/>
  <c r="C273" i="4"/>
  <c r="C285" i="4"/>
  <c r="C297" i="4"/>
  <c r="C309" i="4"/>
  <c r="C321" i="4"/>
  <c r="C333" i="4"/>
  <c r="C345" i="4"/>
  <c r="C357" i="4"/>
  <c r="C369" i="4"/>
  <c r="C381" i="4"/>
  <c r="C393" i="4"/>
  <c r="C405" i="4"/>
  <c r="C417" i="4"/>
  <c r="C429" i="4"/>
  <c r="C441" i="4"/>
  <c r="C453" i="4"/>
  <c r="C465" i="4"/>
  <c r="C477" i="4"/>
  <c r="C489" i="4"/>
  <c r="D69" i="4"/>
  <c r="D213" i="4"/>
  <c r="D357" i="4"/>
  <c r="D501" i="4"/>
  <c r="D645" i="4"/>
  <c r="D789" i="4"/>
  <c r="D882" i="4"/>
  <c r="D930" i="4"/>
  <c r="D950" i="4"/>
  <c r="D965" i="4"/>
  <c r="D979" i="4"/>
  <c r="D993" i="4"/>
  <c r="C19" i="4"/>
  <c r="C33" i="4"/>
  <c r="C46" i="4"/>
  <c r="C58" i="4"/>
  <c r="C70" i="4"/>
  <c r="C82" i="4"/>
  <c r="C94" i="4"/>
  <c r="C106" i="4"/>
  <c r="C118" i="4"/>
  <c r="C130" i="4"/>
  <c r="C142" i="4"/>
  <c r="C154" i="4"/>
  <c r="C166" i="4"/>
  <c r="C178" i="4"/>
  <c r="C190" i="4"/>
  <c r="C202" i="4"/>
  <c r="C214" i="4"/>
  <c r="C226" i="4"/>
  <c r="C238" i="4"/>
  <c r="C250" i="4"/>
  <c r="C262" i="4"/>
  <c r="C274" i="4"/>
  <c r="C286" i="4"/>
  <c r="C298" i="4"/>
  <c r="C310" i="4"/>
  <c r="C322" i="4"/>
  <c r="C334" i="4"/>
  <c r="C346" i="4"/>
  <c r="C358" i="4"/>
  <c r="C370" i="4"/>
  <c r="C382" i="4"/>
  <c r="C394" i="4"/>
  <c r="C406" i="4"/>
  <c r="C418" i="4"/>
  <c r="C430" i="4"/>
  <c r="C442" i="4"/>
  <c r="C454" i="4"/>
  <c r="C466" i="4"/>
  <c r="C478" i="4"/>
  <c r="C490" i="4"/>
  <c r="C502" i="4"/>
  <c r="C514" i="4"/>
  <c r="C526" i="4"/>
  <c r="C538" i="4"/>
  <c r="C550" i="4"/>
  <c r="C562" i="4"/>
  <c r="C574" i="4"/>
  <c r="C586" i="4"/>
  <c r="C598" i="4"/>
  <c r="C610" i="4"/>
  <c r="C622" i="4"/>
  <c r="C634" i="4"/>
  <c r="C646" i="4"/>
  <c r="C658" i="4"/>
  <c r="C670" i="4"/>
  <c r="C682" i="4"/>
  <c r="C694" i="4"/>
  <c r="C706" i="4"/>
  <c r="C718" i="4"/>
  <c r="C730" i="4"/>
  <c r="C742" i="4"/>
  <c r="C754" i="4"/>
  <c r="C766" i="4"/>
  <c r="C778" i="4"/>
  <c r="C790" i="4"/>
  <c r="C802" i="4"/>
  <c r="C814" i="4"/>
  <c r="C826" i="4"/>
  <c r="C838" i="4"/>
  <c r="C850" i="4"/>
  <c r="C862" i="4"/>
  <c r="C874" i="4"/>
  <c r="C886" i="4"/>
  <c r="D81" i="4"/>
  <c r="D225" i="4"/>
  <c r="D369" i="4"/>
  <c r="D513" i="4"/>
  <c r="D657" i="4"/>
  <c r="D801" i="4"/>
  <c r="D885" i="4"/>
  <c r="D931" i="4"/>
  <c r="D951" i="4"/>
  <c r="D966" i="4"/>
  <c r="D980" i="4"/>
  <c r="D995" i="4"/>
  <c r="C20" i="4"/>
  <c r="C34" i="4"/>
  <c r="C47" i="4"/>
  <c r="C59" i="4"/>
  <c r="C71" i="4"/>
  <c r="C83" i="4"/>
  <c r="C95" i="4"/>
  <c r="C107" i="4"/>
  <c r="C119" i="4"/>
  <c r="C131" i="4"/>
  <c r="C143" i="4"/>
  <c r="C155" i="4"/>
  <c r="C167" i="4"/>
  <c r="C179" i="4"/>
  <c r="C191" i="4"/>
  <c r="C203" i="4"/>
  <c r="C215" i="4"/>
  <c r="C227" i="4"/>
  <c r="C239" i="4"/>
  <c r="C251" i="4"/>
  <c r="C263" i="4"/>
  <c r="C275" i="4"/>
  <c r="C287" i="4"/>
  <c r="C299" i="4"/>
  <c r="C311" i="4"/>
  <c r="C323" i="4"/>
  <c r="C335" i="4"/>
  <c r="C347" i="4"/>
  <c r="C359" i="4"/>
  <c r="C371" i="4"/>
  <c r="C383" i="4"/>
  <c r="C395" i="4"/>
  <c r="C407" i="4"/>
  <c r="C419" i="4"/>
  <c r="C431" i="4"/>
  <c r="C443" i="4"/>
  <c r="C455" i="4"/>
  <c r="C467" i="4"/>
  <c r="C479" i="4"/>
  <c r="C491" i="4"/>
  <c r="C503" i="4"/>
  <c r="C515" i="4"/>
  <c r="C527" i="4"/>
  <c r="C539" i="4"/>
  <c r="C551" i="4"/>
  <c r="D93" i="4"/>
  <c r="D237" i="4"/>
  <c r="D381" i="4"/>
  <c r="D525" i="4"/>
  <c r="D669" i="4"/>
  <c r="D813" i="4"/>
  <c r="D894" i="4"/>
  <c r="D933" i="4"/>
  <c r="D953" i="4"/>
  <c r="D967" i="4"/>
  <c r="D981" i="4"/>
  <c r="D996" i="4"/>
  <c r="C21" i="4"/>
  <c r="C36" i="4"/>
  <c r="C48" i="4"/>
  <c r="C60" i="4"/>
  <c r="C72" i="4"/>
  <c r="C84" i="4"/>
  <c r="C96" i="4"/>
  <c r="C108" i="4"/>
  <c r="D105" i="4"/>
  <c r="D249" i="4"/>
  <c r="D393" i="4"/>
  <c r="D537" i="4"/>
  <c r="D681" i="4"/>
  <c r="D825" i="4"/>
  <c r="D897" i="4"/>
  <c r="D935" i="4"/>
  <c r="D954" i="4"/>
  <c r="D968" i="4"/>
  <c r="D983" i="4"/>
  <c r="D997" i="4"/>
  <c r="C22" i="4"/>
  <c r="C37" i="4"/>
  <c r="C49" i="4"/>
  <c r="C61" i="4"/>
  <c r="C73" i="4"/>
  <c r="C85" i="4"/>
  <c r="C97" i="4"/>
  <c r="C109" i="4"/>
  <c r="C121" i="4"/>
  <c r="C133" i="4"/>
  <c r="C145" i="4"/>
  <c r="C157" i="4"/>
  <c r="C169" i="4"/>
  <c r="C181" i="4"/>
  <c r="C193" i="4"/>
  <c r="C205" i="4"/>
  <c r="C217" i="4"/>
  <c r="C229" i="4"/>
  <c r="C241" i="4"/>
  <c r="C253" i="4"/>
  <c r="C265" i="4"/>
  <c r="C277" i="4"/>
  <c r="C289" i="4"/>
  <c r="C301" i="4"/>
  <c r="C313" i="4"/>
  <c r="C325" i="4"/>
  <c r="C337" i="4"/>
  <c r="C349" i="4"/>
  <c r="C361" i="4"/>
  <c r="C373" i="4"/>
  <c r="C385" i="4"/>
  <c r="C397" i="4"/>
  <c r="C409" i="4"/>
  <c r="C421" i="4"/>
  <c r="C433" i="4"/>
  <c r="C445" i="4"/>
  <c r="C457" i="4"/>
  <c r="C469" i="4"/>
  <c r="C481" i="4"/>
  <c r="D117" i="4"/>
  <c r="D261" i="4"/>
  <c r="D405" i="4"/>
  <c r="D549" i="4"/>
  <c r="D693" i="4"/>
  <c r="D834" i="4"/>
  <c r="D906" i="4"/>
  <c r="D936" i="4"/>
  <c r="D955" i="4"/>
  <c r="D969" i="4"/>
  <c r="D984" i="4"/>
  <c r="D998" i="4"/>
  <c r="C24" i="4"/>
  <c r="C38" i="4"/>
  <c r="C50" i="4"/>
  <c r="C62" i="4"/>
  <c r="C74" i="4"/>
  <c r="C86" i="4"/>
  <c r="C98" i="4"/>
  <c r="C110" i="4"/>
  <c r="C122" i="4"/>
  <c r="C134" i="4"/>
  <c r="C146" i="4"/>
  <c r="C158" i="4"/>
  <c r="C170" i="4"/>
  <c r="C182" i="4"/>
  <c r="C194" i="4"/>
  <c r="C206" i="4"/>
  <c r="C218" i="4"/>
  <c r="C230" i="4"/>
  <c r="C242" i="4"/>
  <c r="C254" i="4"/>
  <c r="C266" i="4"/>
  <c r="C278" i="4"/>
  <c r="C290" i="4"/>
  <c r="C302" i="4"/>
  <c r="C314" i="4"/>
  <c r="C326" i="4"/>
  <c r="C338" i="4"/>
  <c r="D129" i="4"/>
  <c r="D273" i="4"/>
  <c r="D417" i="4"/>
  <c r="D561" i="4"/>
  <c r="D705" i="4"/>
  <c r="D837" i="4"/>
  <c r="D909" i="4"/>
  <c r="D938" i="4"/>
  <c r="D956" i="4"/>
  <c r="D971" i="4"/>
  <c r="D985" i="4"/>
  <c r="C25" i="4"/>
  <c r="C39" i="4"/>
  <c r="C51" i="4"/>
  <c r="C63" i="4"/>
  <c r="C75" i="4"/>
  <c r="C87" i="4"/>
  <c r="C99" i="4"/>
  <c r="C111" i="4"/>
  <c r="C123" i="4"/>
  <c r="C135" i="4"/>
  <c r="C147" i="4"/>
  <c r="C159" i="4"/>
  <c r="C171" i="4"/>
  <c r="C183" i="4"/>
  <c r="C195" i="4"/>
  <c r="C207" i="4"/>
  <c r="C219" i="4"/>
  <c r="C231" i="4"/>
  <c r="C243" i="4"/>
  <c r="C255" i="4"/>
  <c r="C267" i="4"/>
  <c r="C279" i="4"/>
  <c r="C291" i="4"/>
  <c r="C303" i="4"/>
  <c r="C315" i="4"/>
  <c r="C327" i="4"/>
  <c r="C339" i="4"/>
  <c r="C351" i="4"/>
  <c r="C363" i="4"/>
  <c r="C375" i="4"/>
  <c r="C387" i="4"/>
  <c r="C399" i="4"/>
  <c r="C411" i="4"/>
  <c r="C423" i="4"/>
  <c r="C435" i="4"/>
  <c r="C447" i="4"/>
  <c r="D141" i="4"/>
  <c r="D285" i="4"/>
  <c r="D429" i="4"/>
  <c r="D573" i="4"/>
  <c r="D717" i="4"/>
  <c r="D846" i="4"/>
  <c r="D918" i="4"/>
  <c r="D942" i="4"/>
  <c r="D957" i="4"/>
  <c r="D972" i="4"/>
  <c r="D986" i="4"/>
  <c r="C12" i="4"/>
  <c r="C26" i="4"/>
  <c r="C40" i="4"/>
  <c r="C52" i="4"/>
  <c r="C64" i="4"/>
  <c r="C76" i="4"/>
  <c r="C88" i="4"/>
  <c r="C100" i="4"/>
  <c r="C112" i="4"/>
  <c r="C124" i="4"/>
  <c r="C136" i="4"/>
  <c r="C148" i="4"/>
  <c r="C160" i="4"/>
  <c r="C172" i="4"/>
  <c r="C184" i="4"/>
  <c r="C196" i="4"/>
  <c r="C208" i="4"/>
  <c r="C220" i="4"/>
  <c r="C232" i="4"/>
  <c r="C244" i="4"/>
  <c r="C256" i="4"/>
  <c r="C268" i="4"/>
  <c r="C280" i="4"/>
  <c r="C292" i="4"/>
  <c r="C304" i="4"/>
  <c r="C316" i="4"/>
  <c r="C328" i="4"/>
  <c r="C340" i="4"/>
  <c r="C352" i="4"/>
  <c r="C364" i="4"/>
  <c r="C376" i="4"/>
  <c r="C388" i="4"/>
  <c r="C400" i="4"/>
  <c r="C412" i="4"/>
  <c r="C424" i="4"/>
  <c r="C436" i="4"/>
  <c r="C448" i="4"/>
  <c r="C460" i="4"/>
  <c r="C472" i="4"/>
  <c r="C484" i="4"/>
  <c r="D153" i="4"/>
  <c r="C27" i="4"/>
  <c r="C144" i="4"/>
  <c r="C216" i="4"/>
  <c r="C288" i="4"/>
  <c r="C353" i="4"/>
  <c r="C401" i="4"/>
  <c r="C449" i="4"/>
  <c r="C485" i="4"/>
  <c r="C508" i="4"/>
  <c r="C530" i="4"/>
  <c r="C552" i="4"/>
  <c r="C567" i="4"/>
  <c r="C584" i="4"/>
  <c r="C600" i="4"/>
  <c r="C615" i="4"/>
  <c r="C632" i="4"/>
  <c r="C648" i="4"/>
  <c r="C663" i="4"/>
  <c r="C680" i="4"/>
  <c r="C696" i="4"/>
  <c r="C711" i="4"/>
  <c r="C728" i="4"/>
  <c r="C744" i="4"/>
  <c r="C759" i="4"/>
  <c r="C776" i="4"/>
  <c r="C792" i="4"/>
  <c r="C807" i="4"/>
  <c r="C824" i="4"/>
  <c r="C840" i="4"/>
  <c r="C855" i="4"/>
  <c r="C870" i="4"/>
  <c r="C883" i="4"/>
  <c r="C896" i="4"/>
  <c r="C908" i="4"/>
  <c r="C920" i="4"/>
  <c r="C932" i="4"/>
  <c r="C944" i="4"/>
  <c r="C956" i="4"/>
  <c r="C968" i="4"/>
  <c r="C980" i="4"/>
  <c r="C992" i="4"/>
  <c r="B15" i="4"/>
  <c r="B27" i="4"/>
  <c r="B39" i="4"/>
  <c r="B51" i="4"/>
  <c r="B63" i="4"/>
  <c r="B75" i="4"/>
  <c r="B87" i="4"/>
  <c r="B99" i="4"/>
  <c r="B111" i="4"/>
  <c r="B123" i="4"/>
  <c r="B135" i="4"/>
  <c r="B147" i="4"/>
  <c r="B159" i="4"/>
  <c r="B171" i="4"/>
  <c r="B183" i="4"/>
  <c r="B195" i="4"/>
  <c r="B207" i="4"/>
  <c r="B219" i="4"/>
  <c r="B231" i="4"/>
  <c r="B243" i="4"/>
  <c r="B255" i="4"/>
  <c r="B267" i="4"/>
  <c r="B279" i="4"/>
  <c r="B291" i="4"/>
  <c r="B303" i="4"/>
  <c r="B315" i="4"/>
  <c r="B327" i="4"/>
  <c r="B339" i="4"/>
  <c r="B351" i="4"/>
  <c r="B363" i="4"/>
  <c r="B375" i="4"/>
  <c r="B387" i="4"/>
  <c r="B399" i="4"/>
  <c r="B411" i="4"/>
  <c r="B423" i="4"/>
  <c r="B435" i="4"/>
  <c r="B447" i="4"/>
  <c r="B459" i="4"/>
  <c r="B471" i="4"/>
  <c r="B483" i="4"/>
  <c r="B495" i="4"/>
  <c r="B507" i="4"/>
  <c r="B519" i="4"/>
  <c r="D297" i="4"/>
  <c r="C41" i="4"/>
  <c r="C149" i="4"/>
  <c r="C221" i="4"/>
  <c r="C293" i="4"/>
  <c r="C360" i="4"/>
  <c r="C408" i="4"/>
  <c r="C456" i="4"/>
  <c r="C492" i="4"/>
  <c r="C509" i="4"/>
  <c r="C531" i="4"/>
  <c r="C553" i="4"/>
  <c r="C568" i="4"/>
  <c r="C585" i="4"/>
  <c r="C601" i="4"/>
  <c r="C616" i="4"/>
  <c r="C633" i="4"/>
  <c r="C649" i="4"/>
  <c r="C664" i="4"/>
  <c r="C681" i="4"/>
  <c r="C697" i="4"/>
  <c r="C712" i="4"/>
  <c r="C729" i="4"/>
  <c r="C745" i="4"/>
  <c r="C760" i="4"/>
  <c r="C777" i="4"/>
  <c r="C793" i="4"/>
  <c r="C808" i="4"/>
  <c r="C825" i="4"/>
  <c r="C841" i="4"/>
  <c r="C856" i="4"/>
  <c r="C871" i="4"/>
  <c r="C884" i="4"/>
  <c r="C897" i="4"/>
  <c r="C909" i="4"/>
  <c r="C921" i="4"/>
  <c r="C933" i="4"/>
  <c r="C945" i="4"/>
  <c r="C957" i="4"/>
  <c r="C969" i="4"/>
  <c r="C981" i="4"/>
  <c r="C993" i="4"/>
  <c r="B16" i="4"/>
  <c r="B28" i="4"/>
  <c r="B40" i="4"/>
  <c r="B52" i="4"/>
  <c r="B64" i="4"/>
  <c r="B76" i="4"/>
  <c r="B88" i="4"/>
  <c r="B100" i="4"/>
  <c r="B112" i="4"/>
  <c r="B124" i="4"/>
  <c r="B136" i="4"/>
  <c r="B148" i="4"/>
  <c r="B160" i="4"/>
  <c r="B172" i="4"/>
  <c r="B184" i="4"/>
  <c r="B196" i="4"/>
  <c r="B208" i="4"/>
  <c r="B220" i="4"/>
  <c r="B232" i="4"/>
  <c r="B244" i="4"/>
  <c r="B256" i="4"/>
  <c r="B268" i="4"/>
  <c r="B280" i="4"/>
  <c r="B292" i="4"/>
  <c r="B304" i="4"/>
  <c r="B316" i="4"/>
  <c r="B328" i="4"/>
  <c r="B340" i="4"/>
  <c r="B352" i="4"/>
  <c r="B364" i="4"/>
  <c r="B376" i="4"/>
  <c r="B388" i="4"/>
  <c r="B400" i="4"/>
  <c r="B412" i="4"/>
  <c r="B424" i="4"/>
  <c r="B436" i="4"/>
  <c r="B448" i="4"/>
  <c r="B460" i="4"/>
  <c r="B472" i="4"/>
  <c r="B484" i="4"/>
  <c r="B496" i="4"/>
  <c r="B508" i="4"/>
  <c r="B520" i="4"/>
  <c r="D441" i="4"/>
  <c r="C53" i="4"/>
  <c r="C156" i="4"/>
  <c r="C228" i="4"/>
  <c r="C300" i="4"/>
  <c r="C362" i="4"/>
  <c r="C410" i="4"/>
  <c r="C458" i="4"/>
  <c r="C493" i="4"/>
  <c r="C513" i="4"/>
  <c r="C532" i="4"/>
  <c r="C554" i="4"/>
  <c r="C569" i="4"/>
  <c r="C587" i="4"/>
  <c r="C602" i="4"/>
  <c r="C617" i="4"/>
  <c r="C635" i="4"/>
  <c r="C650" i="4"/>
  <c r="C665" i="4"/>
  <c r="C683" i="4"/>
  <c r="C698" i="4"/>
  <c r="C713" i="4"/>
  <c r="C731" i="4"/>
  <c r="C746" i="4"/>
  <c r="C761" i="4"/>
  <c r="C779" i="4"/>
  <c r="C794" i="4"/>
  <c r="C809" i="4"/>
  <c r="C827" i="4"/>
  <c r="C842" i="4"/>
  <c r="C857" i="4"/>
  <c r="C872" i="4"/>
  <c r="C885" i="4"/>
  <c r="C898" i="4"/>
  <c r="C910" i="4"/>
  <c r="C922" i="4"/>
  <c r="C934" i="4"/>
  <c r="C946" i="4"/>
  <c r="C958" i="4"/>
  <c r="C970" i="4"/>
  <c r="C982" i="4"/>
  <c r="C994" i="4"/>
  <c r="B17" i="4"/>
  <c r="B29" i="4"/>
  <c r="B41" i="4"/>
  <c r="B53" i="4"/>
  <c r="B65" i="4"/>
  <c r="B77" i="4"/>
  <c r="B89" i="4"/>
  <c r="B101" i="4"/>
  <c r="B113" i="4"/>
  <c r="B125" i="4"/>
  <c r="B137" i="4"/>
  <c r="B149" i="4"/>
  <c r="B161" i="4"/>
  <c r="B173" i="4"/>
  <c r="B185" i="4"/>
  <c r="B197" i="4"/>
  <c r="B209" i="4"/>
  <c r="B221" i="4"/>
  <c r="B233" i="4"/>
  <c r="B245" i="4"/>
  <c r="B257" i="4"/>
  <c r="B269" i="4"/>
  <c r="B281" i="4"/>
  <c r="B293" i="4"/>
  <c r="B305" i="4"/>
  <c r="B317" i="4"/>
  <c r="B329" i="4"/>
  <c r="B341" i="4"/>
  <c r="B353" i="4"/>
  <c r="B365" i="4"/>
  <c r="B377" i="4"/>
  <c r="B389" i="4"/>
  <c r="B401" i="4"/>
  <c r="B413" i="4"/>
  <c r="B425" i="4"/>
  <c r="B437" i="4"/>
  <c r="B449" i="4"/>
  <c r="B461" i="4"/>
  <c r="B473" i="4"/>
  <c r="B485" i="4"/>
  <c r="B497" i="4"/>
  <c r="B509" i="4"/>
  <c r="B521" i="4"/>
  <c r="D585" i="4"/>
  <c r="C65" i="4"/>
  <c r="C161" i="4"/>
  <c r="C233" i="4"/>
  <c r="C305" i="4"/>
  <c r="C365" i="4"/>
  <c r="C413" i="4"/>
  <c r="C459" i="4"/>
  <c r="C494" i="4"/>
  <c r="C516" i="4"/>
  <c r="C533" i="4"/>
  <c r="C555" i="4"/>
  <c r="C572" i="4"/>
  <c r="C588" i="4"/>
  <c r="C603" i="4"/>
  <c r="C620" i="4"/>
  <c r="C636" i="4"/>
  <c r="C651" i="4"/>
  <c r="C668" i="4"/>
  <c r="C684" i="4"/>
  <c r="C699" i="4"/>
  <c r="C716" i="4"/>
  <c r="C732" i="4"/>
  <c r="C747" i="4"/>
  <c r="C764" i="4"/>
  <c r="C780" i="4"/>
  <c r="C795" i="4"/>
  <c r="C812" i="4"/>
  <c r="C828" i="4"/>
  <c r="C843" i="4"/>
  <c r="C860" i="4"/>
  <c r="C873" i="4"/>
  <c r="C887" i="4"/>
  <c r="C899" i="4"/>
  <c r="C911" i="4"/>
  <c r="C923" i="4"/>
  <c r="C935" i="4"/>
  <c r="C947" i="4"/>
  <c r="C959" i="4"/>
  <c r="C971" i="4"/>
  <c r="C983" i="4"/>
  <c r="C995" i="4"/>
  <c r="B18" i="4"/>
  <c r="B30" i="4"/>
  <c r="B42" i="4"/>
  <c r="B54" i="4"/>
  <c r="B66" i="4"/>
  <c r="B78" i="4"/>
  <c r="B90" i="4"/>
  <c r="B102" i="4"/>
  <c r="B114" i="4"/>
  <c r="B126" i="4"/>
  <c r="B138" i="4"/>
  <c r="B150" i="4"/>
  <c r="B162" i="4"/>
  <c r="B174" i="4"/>
  <c r="B186" i="4"/>
  <c r="B198" i="4"/>
  <c r="B210" i="4"/>
  <c r="B222" i="4"/>
  <c r="B234" i="4"/>
  <c r="B246" i="4"/>
  <c r="B258" i="4"/>
  <c r="B270" i="4"/>
  <c r="B282" i="4"/>
  <c r="B294" i="4"/>
  <c r="B306" i="4"/>
  <c r="B318" i="4"/>
  <c r="B330" i="4"/>
  <c r="B342" i="4"/>
  <c r="B354" i="4"/>
  <c r="D729" i="4"/>
  <c r="C77" i="4"/>
  <c r="C168" i="4"/>
  <c r="C240" i="4"/>
  <c r="C312" i="4"/>
  <c r="C372" i="4"/>
  <c r="C420" i="4"/>
  <c r="C461" i="4"/>
  <c r="C495" i="4"/>
  <c r="C517" i="4"/>
  <c r="C537" i="4"/>
  <c r="C556" i="4"/>
  <c r="C573" i="4"/>
  <c r="C589" i="4"/>
  <c r="C604" i="4"/>
  <c r="C621" i="4"/>
  <c r="C637" i="4"/>
  <c r="C652" i="4"/>
  <c r="C669" i="4"/>
  <c r="C685" i="4"/>
  <c r="C700" i="4"/>
  <c r="C717" i="4"/>
  <c r="C733" i="4"/>
  <c r="C748" i="4"/>
  <c r="C765" i="4"/>
  <c r="C781" i="4"/>
  <c r="C796" i="4"/>
  <c r="C813" i="4"/>
  <c r="C829" i="4"/>
  <c r="C844" i="4"/>
  <c r="C861" i="4"/>
  <c r="C875" i="4"/>
  <c r="C888" i="4"/>
  <c r="C900" i="4"/>
  <c r="C912" i="4"/>
  <c r="C924" i="4"/>
  <c r="C936" i="4"/>
  <c r="C948" i="4"/>
  <c r="C960" i="4"/>
  <c r="C972" i="4"/>
  <c r="C984" i="4"/>
  <c r="C996" i="4"/>
  <c r="B19" i="4"/>
  <c r="B31" i="4"/>
  <c r="B43" i="4"/>
  <c r="B55" i="4"/>
  <c r="B67" i="4"/>
  <c r="B79" i="4"/>
  <c r="B91" i="4"/>
  <c r="B103" i="4"/>
  <c r="B115" i="4"/>
  <c r="B127" i="4"/>
  <c r="B139" i="4"/>
  <c r="B151" i="4"/>
  <c r="B163" i="4"/>
  <c r="B175" i="4"/>
  <c r="B187" i="4"/>
  <c r="B199" i="4"/>
  <c r="B211" i="4"/>
  <c r="B223" i="4"/>
  <c r="B235" i="4"/>
  <c r="B247" i="4"/>
  <c r="B259" i="4"/>
  <c r="B271" i="4"/>
  <c r="B283" i="4"/>
  <c r="B295" i="4"/>
  <c r="B307" i="4"/>
  <c r="B319" i="4"/>
  <c r="B331" i="4"/>
  <c r="D849" i="4"/>
  <c r="C89" i="4"/>
  <c r="C173" i="4"/>
  <c r="C245" i="4"/>
  <c r="C317" i="4"/>
  <c r="C374" i="4"/>
  <c r="C422" i="4"/>
  <c r="C468" i="4"/>
  <c r="C496" i="4"/>
  <c r="C518" i="4"/>
  <c r="C540" i="4"/>
  <c r="C557" i="4"/>
  <c r="C575" i="4"/>
  <c r="C590" i="4"/>
  <c r="C605" i="4"/>
  <c r="C623" i="4"/>
  <c r="C638" i="4"/>
  <c r="C653" i="4"/>
  <c r="C671" i="4"/>
  <c r="C686" i="4"/>
  <c r="C701" i="4"/>
  <c r="C719" i="4"/>
  <c r="C734" i="4"/>
  <c r="C749" i="4"/>
  <c r="C767" i="4"/>
  <c r="C782" i="4"/>
  <c r="C797" i="4"/>
  <c r="C815" i="4"/>
  <c r="C830" i="4"/>
  <c r="C845" i="4"/>
  <c r="C863" i="4"/>
  <c r="C876" i="4"/>
  <c r="C889" i="4"/>
  <c r="C901" i="4"/>
  <c r="C913" i="4"/>
  <c r="C925" i="4"/>
  <c r="C937" i="4"/>
  <c r="C949" i="4"/>
  <c r="C961" i="4"/>
  <c r="C973" i="4"/>
  <c r="C985" i="4"/>
  <c r="C997" i="4"/>
  <c r="B20" i="4"/>
  <c r="B32" i="4"/>
  <c r="B44" i="4"/>
  <c r="B56" i="4"/>
  <c r="B68" i="4"/>
  <c r="B80" i="4"/>
  <c r="B92" i="4"/>
  <c r="B104" i="4"/>
  <c r="B116" i="4"/>
  <c r="B128" i="4"/>
  <c r="B140" i="4"/>
  <c r="B152" i="4"/>
  <c r="B164" i="4"/>
  <c r="B176" i="4"/>
  <c r="B188" i="4"/>
  <c r="B200" i="4"/>
  <c r="B212" i="4"/>
  <c r="B224" i="4"/>
  <c r="B236" i="4"/>
  <c r="B248" i="4"/>
  <c r="B260" i="4"/>
  <c r="B272" i="4"/>
  <c r="B284" i="4"/>
  <c r="B296" i="4"/>
  <c r="B308" i="4"/>
  <c r="B320" i="4"/>
  <c r="B332" i="4"/>
  <c r="B344" i="4"/>
  <c r="B356" i="4"/>
  <c r="D919" i="4"/>
  <c r="C101" i="4"/>
  <c r="C180" i="4"/>
  <c r="C252" i="4"/>
  <c r="C324" i="4"/>
  <c r="C377" i="4"/>
  <c r="C425" i="4"/>
  <c r="C470" i="4"/>
  <c r="C497" i="4"/>
  <c r="C519" i="4"/>
  <c r="C541" i="4"/>
  <c r="C560" i="4"/>
  <c r="C576" i="4"/>
  <c r="C591" i="4"/>
  <c r="C608" i="4"/>
  <c r="C624" i="4"/>
  <c r="C639" i="4"/>
  <c r="C656" i="4"/>
  <c r="C672" i="4"/>
  <c r="C687" i="4"/>
  <c r="C704" i="4"/>
  <c r="C720" i="4"/>
  <c r="C735" i="4"/>
  <c r="C752" i="4"/>
  <c r="C768" i="4"/>
  <c r="C783" i="4"/>
  <c r="C800" i="4"/>
  <c r="C816" i="4"/>
  <c r="C831" i="4"/>
  <c r="C848" i="4"/>
  <c r="C864" i="4"/>
  <c r="C877" i="4"/>
  <c r="C890" i="4"/>
  <c r="C902" i="4"/>
  <c r="C914" i="4"/>
  <c r="C926" i="4"/>
  <c r="C938" i="4"/>
  <c r="C950" i="4"/>
  <c r="C962" i="4"/>
  <c r="C974" i="4"/>
  <c r="C986" i="4"/>
  <c r="C998" i="4"/>
  <c r="B21" i="4"/>
  <c r="B33" i="4"/>
  <c r="B45" i="4"/>
  <c r="B57" i="4"/>
  <c r="B69" i="4"/>
  <c r="B81" i="4"/>
  <c r="B93" i="4"/>
  <c r="B105" i="4"/>
  <c r="B117" i="4"/>
  <c r="B129" i="4"/>
  <c r="B141" i="4"/>
  <c r="B153" i="4"/>
  <c r="B165" i="4"/>
  <c r="B177" i="4"/>
  <c r="B189" i="4"/>
  <c r="B201" i="4"/>
  <c r="B213" i="4"/>
  <c r="B225" i="4"/>
  <c r="D943" i="4"/>
  <c r="C113" i="4"/>
  <c r="C185" i="4"/>
  <c r="C257" i="4"/>
  <c r="C329" i="4"/>
  <c r="C384" i="4"/>
  <c r="C432" i="4"/>
  <c r="C471" i="4"/>
  <c r="C501" i="4"/>
  <c r="C520" i="4"/>
  <c r="C542" i="4"/>
  <c r="C561" i="4"/>
  <c r="C577" i="4"/>
  <c r="C592" i="4"/>
  <c r="C609" i="4"/>
  <c r="C625" i="4"/>
  <c r="C640" i="4"/>
  <c r="C657" i="4"/>
  <c r="C673" i="4"/>
  <c r="C688" i="4"/>
  <c r="C705" i="4"/>
  <c r="C721" i="4"/>
  <c r="C736" i="4"/>
  <c r="C753" i="4"/>
  <c r="C769" i="4"/>
  <c r="C784" i="4"/>
  <c r="C801" i="4"/>
  <c r="C817" i="4"/>
  <c r="C832" i="4"/>
  <c r="C849" i="4"/>
  <c r="C865" i="4"/>
  <c r="C878" i="4"/>
  <c r="C891" i="4"/>
  <c r="C903" i="4"/>
  <c r="C915" i="4"/>
  <c r="C927" i="4"/>
  <c r="C939" i="4"/>
  <c r="C951" i="4"/>
  <c r="C963" i="4"/>
  <c r="C975" i="4"/>
  <c r="C987" i="4"/>
  <c r="B22" i="4"/>
  <c r="B34" i="4"/>
  <c r="B46" i="4"/>
  <c r="B58" i="4"/>
  <c r="B70" i="4"/>
  <c r="B82" i="4"/>
  <c r="B94" i="4"/>
  <c r="B106" i="4"/>
  <c r="B118" i="4"/>
  <c r="B130" i="4"/>
  <c r="B142" i="4"/>
  <c r="B154" i="4"/>
  <c r="B166" i="4"/>
  <c r="B178" i="4"/>
  <c r="B190" i="4"/>
  <c r="B202" i="4"/>
  <c r="B214" i="4"/>
  <c r="B226" i="4"/>
  <c r="B238" i="4"/>
  <c r="D959" i="4"/>
  <c r="C120" i="4"/>
  <c r="C192" i="4"/>
  <c r="C264" i="4"/>
  <c r="C336" i="4"/>
  <c r="C386" i="4"/>
  <c r="C434" i="4"/>
  <c r="C473" i="4"/>
  <c r="C504" i="4"/>
  <c r="C521" i="4"/>
  <c r="C543" i="4"/>
  <c r="C563" i="4"/>
  <c r="C578" i="4"/>
  <c r="C593" i="4"/>
  <c r="C611" i="4"/>
  <c r="C626" i="4"/>
  <c r="C641" i="4"/>
  <c r="C659" i="4"/>
  <c r="C674" i="4"/>
  <c r="C689" i="4"/>
  <c r="C707" i="4"/>
  <c r="C722" i="4"/>
  <c r="C737" i="4"/>
  <c r="C755" i="4"/>
  <c r="C770" i="4"/>
  <c r="C785" i="4"/>
  <c r="C803" i="4"/>
  <c r="C818" i="4"/>
  <c r="C833" i="4"/>
  <c r="C851" i="4"/>
  <c r="C866" i="4"/>
  <c r="C879" i="4"/>
  <c r="C892" i="4"/>
  <c r="C904" i="4"/>
  <c r="C916" i="4"/>
  <c r="C928" i="4"/>
  <c r="C940" i="4"/>
  <c r="C952" i="4"/>
  <c r="C964" i="4"/>
  <c r="C976" i="4"/>
  <c r="C988" i="4"/>
  <c r="B11" i="4"/>
  <c r="B23" i="4"/>
  <c r="B35" i="4"/>
  <c r="B47" i="4"/>
  <c r="B59" i="4"/>
  <c r="B71" i="4"/>
  <c r="B83" i="4"/>
  <c r="B95" i="4"/>
  <c r="B107" i="4"/>
  <c r="B119" i="4"/>
  <c r="B131" i="4"/>
  <c r="B143" i="4"/>
  <c r="B155" i="4"/>
  <c r="B167" i="4"/>
  <c r="B179" i="4"/>
  <c r="B191" i="4"/>
  <c r="B203" i="4"/>
  <c r="B215" i="4"/>
  <c r="B227" i="4"/>
  <c r="D973" i="4"/>
  <c r="C125" i="4"/>
  <c r="C197" i="4"/>
  <c r="C269" i="4"/>
  <c r="C341" i="4"/>
  <c r="C389" i="4"/>
  <c r="C437" i="4"/>
  <c r="C480" i="4"/>
  <c r="C505" i="4"/>
  <c r="C525" i="4"/>
  <c r="C544" i="4"/>
  <c r="C564" i="4"/>
  <c r="C579" i="4"/>
  <c r="C596" i="4"/>
  <c r="C612" i="4"/>
  <c r="C627" i="4"/>
  <c r="C644" i="4"/>
  <c r="C660" i="4"/>
  <c r="C675" i="4"/>
  <c r="C692" i="4"/>
  <c r="C708" i="4"/>
  <c r="C723" i="4"/>
  <c r="C740" i="4"/>
  <c r="C756" i="4"/>
  <c r="C771" i="4"/>
  <c r="C788" i="4"/>
  <c r="C804" i="4"/>
  <c r="C819" i="4"/>
  <c r="C836" i="4"/>
  <c r="C852" i="4"/>
  <c r="C867" i="4"/>
  <c r="C880" i="4"/>
  <c r="C893" i="4"/>
  <c r="C905" i="4"/>
  <c r="C917" i="4"/>
  <c r="C929" i="4"/>
  <c r="C941" i="4"/>
  <c r="C953" i="4"/>
  <c r="C965" i="4"/>
  <c r="C977" i="4"/>
  <c r="C989" i="4"/>
  <c r="B12" i="4"/>
  <c r="B24" i="4"/>
  <c r="B36" i="4"/>
  <c r="B48" i="4"/>
  <c r="B60" i="4"/>
  <c r="B72" i="4"/>
  <c r="B84" i="4"/>
  <c r="B96" i="4"/>
  <c r="B108" i="4"/>
  <c r="B120" i="4"/>
  <c r="B132" i="4"/>
  <c r="B144" i="4"/>
  <c r="B156" i="4"/>
  <c r="B168" i="4"/>
  <c r="B180" i="4"/>
  <c r="B192" i="4"/>
  <c r="B204" i="4"/>
  <c r="B216" i="4"/>
  <c r="B228" i="4"/>
  <c r="B240" i="4"/>
  <c r="D987" i="4"/>
  <c r="C132" i="4"/>
  <c r="C204" i="4"/>
  <c r="C276" i="4"/>
  <c r="C348" i="4"/>
  <c r="C396" i="4"/>
  <c r="C444" i="4"/>
  <c r="C482" i="4"/>
  <c r="C506" i="4"/>
  <c r="C528" i="4"/>
  <c r="C545" i="4"/>
  <c r="C565" i="4"/>
  <c r="C580" i="4"/>
  <c r="C597" i="4"/>
  <c r="C613" i="4"/>
  <c r="C628" i="4"/>
  <c r="C645" i="4"/>
  <c r="C661" i="4"/>
  <c r="C676" i="4"/>
  <c r="C693" i="4"/>
  <c r="C709" i="4"/>
  <c r="C724" i="4"/>
  <c r="C741" i="4"/>
  <c r="C757" i="4"/>
  <c r="C772" i="4"/>
  <c r="C789" i="4"/>
  <c r="C805" i="4"/>
  <c r="C820" i="4"/>
  <c r="C837" i="4"/>
  <c r="C853" i="4"/>
  <c r="C868" i="4"/>
  <c r="C881" i="4"/>
  <c r="C894" i="4"/>
  <c r="C906" i="4"/>
  <c r="C918" i="4"/>
  <c r="C930" i="4"/>
  <c r="C942" i="4"/>
  <c r="C954" i="4"/>
  <c r="C966" i="4"/>
  <c r="C978" i="4"/>
  <c r="C990" i="4"/>
  <c r="B13" i="4"/>
  <c r="B25" i="4"/>
  <c r="B37" i="4"/>
  <c r="B49" i="4"/>
  <c r="B61" i="4"/>
  <c r="B73" i="4"/>
  <c r="B85" i="4"/>
  <c r="B97" i="4"/>
  <c r="B109" i="4"/>
  <c r="B121" i="4"/>
  <c r="B133" i="4"/>
  <c r="B145" i="4"/>
  <c r="B157" i="4"/>
  <c r="B169" i="4"/>
  <c r="B181" i="4"/>
  <c r="B193" i="4"/>
  <c r="B205" i="4"/>
  <c r="B217" i="4"/>
  <c r="B229" i="4"/>
  <c r="B241" i="4"/>
  <c r="B253" i="4"/>
  <c r="B265" i="4"/>
  <c r="B277" i="4"/>
  <c r="B289" i="4"/>
  <c r="B301" i="4"/>
  <c r="B313" i="4"/>
  <c r="B325" i="4"/>
  <c r="B987" i="4"/>
  <c r="B975" i="4"/>
  <c r="B963" i="4"/>
  <c r="B951" i="4"/>
  <c r="B939" i="4"/>
  <c r="B927" i="4"/>
  <c r="B915" i="4"/>
  <c r="B903" i="4"/>
  <c r="B891" i="4"/>
  <c r="B879" i="4"/>
  <c r="B867" i="4"/>
  <c r="B855" i="4"/>
  <c r="B843" i="4"/>
  <c r="B831" i="4"/>
  <c r="B819" i="4"/>
  <c r="B807" i="4"/>
  <c r="B795" i="4"/>
  <c r="B783" i="4"/>
  <c r="B771" i="4"/>
  <c r="B759" i="4"/>
  <c r="B747" i="4"/>
  <c r="B735" i="4"/>
  <c r="B723" i="4"/>
  <c r="B711" i="4"/>
  <c r="B699" i="4"/>
  <c r="B687" i="4"/>
  <c r="B675" i="4"/>
  <c r="B663" i="4"/>
  <c r="B651" i="4"/>
  <c r="B639" i="4"/>
  <c r="B627" i="4"/>
  <c r="B615" i="4"/>
  <c r="B603" i="4"/>
  <c r="B591" i="4"/>
  <c r="B579" i="4"/>
  <c r="B567" i="4"/>
  <c r="B555" i="4"/>
  <c r="B543" i="4"/>
  <c r="B531" i="4"/>
  <c r="B516" i="4"/>
  <c r="B501" i="4"/>
  <c r="B486" i="4"/>
  <c r="B468" i="4"/>
  <c r="B453" i="4"/>
  <c r="B438" i="4"/>
  <c r="B420" i="4"/>
  <c r="B405" i="4"/>
  <c r="B390" i="4"/>
  <c r="B372" i="4"/>
  <c r="B357" i="4"/>
  <c r="B335" i="4"/>
  <c r="B309" i="4"/>
  <c r="B276" i="4"/>
  <c r="B250" i="4"/>
  <c r="B146" i="4"/>
  <c r="C991" i="4"/>
  <c r="C839" i="4"/>
  <c r="C647" i="4"/>
  <c r="C350" i="4"/>
  <c r="B998" i="4"/>
  <c r="B986" i="4"/>
  <c r="B974" i="4"/>
  <c r="B962" i="4"/>
  <c r="B950" i="4"/>
  <c r="B938" i="4"/>
  <c r="B926" i="4"/>
  <c r="B914" i="4"/>
  <c r="B902" i="4"/>
  <c r="B890" i="4"/>
  <c r="B878" i="4"/>
  <c r="B866" i="4"/>
  <c r="B854" i="4"/>
  <c r="B842" i="4"/>
  <c r="B830" i="4"/>
  <c r="B818" i="4"/>
  <c r="B806" i="4"/>
  <c r="B794" i="4"/>
  <c r="B782" i="4"/>
  <c r="B770" i="4"/>
  <c r="B758" i="4"/>
  <c r="B746" i="4"/>
  <c r="B734" i="4"/>
  <c r="B722" i="4"/>
  <c r="B710" i="4"/>
  <c r="B698" i="4"/>
  <c r="B686" i="4"/>
  <c r="B674" i="4"/>
  <c r="B662" i="4"/>
  <c r="B650" i="4"/>
  <c r="B638" i="4"/>
  <c r="B626" i="4"/>
  <c r="B614" i="4"/>
  <c r="B602" i="4"/>
  <c r="B590" i="4"/>
  <c r="B578" i="4"/>
  <c r="B566" i="4"/>
  <c r="B554" i="4"/>
  <c r="B542" i="4"/>
  <c r="B530" i="4"/>
  <c r="B515" i="4"/>
  <c r="B500" i="4"/>
  <c r="B482" i="4"/>
  <c r="B467" i="4"/>
  <c r="B452" i="4"/>
  <c r="B434" i="4"/>
  <c r="B419" i="4"/>
  <c r="B404" i="4"/>
  <c r="B386" i="4"/>
  <c r="B371" i="4"/>
  <c r="B355" i="4"/>
  <c r="B334" i="4"/>
  <c r="B302" i="4"/>
  <c r="B275" i="4"/>
  <c r="B249" i="4"/>
  <c r="B134" i="4"/>
  <c r="C979" i="4"/>
  <c r="C821" i="4"/>
  <c r="C629" i="4"/>
  <c r="C281" i="4"/>
  <c r="B997" i="4"/>
  <c r="B985" i="4"/>
  <c r="B973" i="4"/>
  <c r="B961" i="4"/>
  <c r="B949" i="4"/>
  <c r="B937" i="4"/>
  <c r="B925" i="4"/>
  <c r="B913" i="4"/>
  <c r="B901" i="4"/>
  <c r="B889" i="4"/>
  <c r="B877" i="4"/>
  <c r="B865" i="4"/>
  <c r="B853" i="4"/>
  <c r="B841" i="4"/>
  <c r="B829" i="4"/>
  <c r="B817" i="4"/>
  <c r="B805" i="4"/>
  <c r="B793" i="4"/>
  <c r="B781" i="4"/>
  <c r="B769" i="4"/>
  <c r="B757" i="4"/>
  <c r="B745" i="4"/>
  <c r="B733" i="4"/>
  <c r="B721" i="4"/>
  <c r="B709" i="4"/>
  <c r="B697" i="4"/>
  <c r="B685" i="4"/>
  <c r="B673" i="4"/>
  <c r="B661" i="4"/>
  <c r="B649" i="4"/>
  <c r="B637" i="4"/>
  <c r="B625" i="4"/>
  <c r="B613" i="4"/>
  <c r="B601" i="4"/>
  <c r="B589" i="4"/>
  <c r="B577" i="4"/>
  <c r="B565" i="4"/>
  <c r="B553" i="4"/>
  <c r="B541" i="4"/>
  <c r="B529" i="4"/>
  <c r="B514" i="4"/>
  <c r="B499" i="4"/>
  <c r="B481" i="4"/>
  <c r="B466" i="4"/>
  <c r="B451" i="4"/>
  <c r="B433" i="4"/>
  <c r="B418" i="4"/>
  <c r="B403" i="4"/>
  <c r="B385" i="4"/>
  <c r="B370" i="4"/>
  <c r="B350" i="4"/>
  <c r="B333" i="4"/>
  <c r="B300" i="4"/>
  <c r="B274" i="4"/>
  <c r="B242" i="4"/>
  <c r="B122" i="4"/>
  <c r="C967" i="4"/>
  <c r="C806" i="4"/>
  <c r="C614" i="4"/>
  <c r="C209" i="4"/>
  <c r="B996" i="4"/>
  <c r="B984" i="4"/>
  <c r="B972" i="4"/>
  <c r="B960" i="4"/>
  <c r="B948" i="4"/>
  <c r="B936" i="4"/>
  <c r="B924" i="4"/>
  <c r="B912" i="4"/>
  <c r="B900" i="4"/>
  <c r="B888" i="4"/>
  <c r="B876" i="4"/>
  <c r="B864" i="4"/>
  <c r="B852" i="4"/>
  <c r="B840" i="4"/>
  <c r="B828" i="4"/>
  <c r="B816" i="4"/>
  <c r="B804" i="4"/>
  <c r="B792" i="4"/>
  <c r="B780" i="4"/>
  <c r="B768" i="4"/>
  <c r="B756" i="4"/>
  <c r="B744" i="4"/>
  <c r="B732" i="4"/>
  <c r="B720" i="4"/>
  <c r="B708" i="4"/>
  <c r="B696" i="4"/>
  <c r="B684" i="4"/>
  <c r="B672" i="4"/>
  <c r="B660" i="4"/>
  <c r="B648" i="4"/>
  <c r="B636" i="4"/>
  <c r="B624" i="4"/>
  <c r="B612" i="4"/>
  <c r="B600" i="4"/>
  <c r="B588" i="4"/>
  <c r="B576" i="4"/>
  <c r="B564" i="4"/>
  <c r="B552" i="4"/>
  <c r="B540" i="4"/>
  <c r="B528" i="4"/>
  <c r="B513" i="4"/>
  <c r="B498" i="4"/>
  <c r="B480" i="4"/>
  <c r="B465" i="4"/>
  <c r="B450" i="4"/>
  <c r="B432" i="4"/>
  <c r="B417" i="4"/>
  <c r="B402" i="4"/>
  <c r="B384" i="4"/>
  <c r="B369" i="4"/>
  <c r="B349" i="4"/>
  <c r="B326" i="4"/>
  <c r="B299" i="4"/>
  <c r="B273" i="4"/>
  <c r="B239" i="4"/>
  <c r="B110" i="4"/>
  <c r="C955" i="4"/>
  <c r="C791" i="4"/>
  <c r="C599" i="4"/>
  <c r="C137" i="4"/>
  <c r="B995" i="4"/>
  <c r="B983" i="4"/>
  <c r="B971" i="4"/>
  <c r="B959" i="4"/>
  <c r="B947" i="4"/>
  <c r="B935" i="4"/>
  <c r="B923" i="4"/>
  <c r="B911" i="4"/>
  <c r="B899" i="4"/>
  <c r="B887" i="4"/>
  <c r="B875" i="4"/>
  <c r="B863" i="4"/>
  <c r="B851" i="4"/>
  <c r="B839" i="4"/>
  <c r="B827" i="4"/>
  <c r="B815" i="4"/>
  <c r="B803" i="4"/>
  <c r="B791" i="4"/>
  <c r="B779" i="4"/>
  <c r="B767" i="4"/>
  <c r="B755" i="4"/>
  <c r="B743" i="4"/>
  <c r="B731" i="4"/>
  <c r="B719" i="4"/>
  <c r="B707" i="4"/>
  <c r="B695" i="4"/>
  <c r="B683" i="4"/>
  <c r="B671" i="4"/>
  <c r="B659" i="4"/>
  <c r="B647" i="4"/>
  <c r="B635" i="4"/>
  <c r="B623" i="4"/>
  <c r="B611" i="4"/>
  <c r="B599" i="4"/>
  <c r="B587" i="4"/>
  <c r="B575" i="4"/>
  <c r="B563" i="4"/>
  <c r="B551" i="4"/>
  <c r="B539" i="4"/>
  <c r="B527" i="4"/>
  <c r="B512" i="4"/>
  <c r="B494" i="4"/>
  <c r="B479" i="4"/>
  <c r="B464" i="4"/>
  <c r="B446" i="4"/>
  <c r="B431" i="4"/>
  <c r="B416" i="4"/>
  <c r="B398" i="4"/>
  <c r="B383" i="4"/>
  <c r="B368" i="4"/>
  <c r="B348" i="4"/>
  <c r="B324" i="4"/>
  <c r="B298" i="4"/>
  <c r="B266" i="4"/>
  <c r="B237" i="4"/>
  <c r="B98" i="4"/>
  <c r="C943" i="4"/>
  <c r="C773" i="4"/>
  <c r="C581" i="4"/>
  <c r="C13" i="4"/>
  <c r="B23" i="5"/>
  <c r="D10" i="4" l="1"/>
  <c r="C10" i="4"/>
  <c r="B10" i="4"/>
  <c r="C18" i="5" l="1"/>
  <c r="D5" i="4"/>
  <c r="C5" i="4"/>
  <c r="B5" i="4"/>
  <c r="D6" i="4"/>
  <c r="C6" i="4"/>
  <c r="B6" i="4"/>
  <c r="B17" i="5"/>
  <c r="D4" i="4"/>
  <c r="C4" i="4"/>
  <c r="E10" i="4" a="1"/>
  <c r="E10" i="4" s="1"/>
  <c r="B19" i="5"/>
  <c r="B20" i="5"/>
  <c r="B15" i="5"/>
  <c r="D16" i="5"/>
  <c r="B13" i="5"/>
  <c r="D17" i="5"/>
  <c r="D20" i="5"/>
  <c r="C14" i="5"/>
  <c r="B24" i="5"/>
  <c r="B25" i="5" s="1"/>
  <c r="D19" i="5"/>
  <c r="B16" i="5"/>
  <c r="D15" i="5"/>
  <c r="D18" i="5"/>
  <c r="C17" i="5"/>
  <c r="B18" i="5"/>
  <c r="D14" i="5"/>
  <c r="C20" i="5"/>
  <c r="C15" i="5"/>
  <c r="C13" i="5"/>
  <c r="C16" i="5"/>
  <c r="C19" i="5"/>
  <c r="D13" i="5"/>
  <c r="B14" i="5"/>
  <c r="G10" i="4" l="1" a="1"/>
  <c r="G10" i="4" s="1"/>
  <c r="F10" i="4" a="1"/>
  <c r="F10" i="4" s="1"/>
  <c r="G293" i="4" a="1"/>
  <c r="G293" i="4" s="1"/>
  <c r="G654" i="4" a="1"/>
  <c r="G654" i="4" s="1"/>
  <c r="G665" i="4" a="1"/>
  <c r="G665" i="4" s="1"/>
  <c r="G253" i="4" a="1"/>
  <c r="G253" i="4" s="1"/>
  <c r="G639" i="4" a="1"/>
  <c r="G639" i="4" s="1"/>
  <c r="G325" i="4" a="1"/>
  <c r="G325" i="4" s="1"/>
  <c r="G957" i="4" a="1"/>
  <c r="G957" i="4" s="1"/>
  <c r="G871" i="4" a="1"/>
  <c r="G871" i="4" s="1"/>
  <c r="G424" i="4" a="1"/>
  <c r="G424" i="4" s="1"/>
  <c r="G885" i="4" a="1"/>
  <c r="G885" i="4" s="1"/>
  <c r="G761" i="4" a="1"/>
  <c r="G761" i="4" s="1"/>
  <c r="G811" i="4" a="1"/>
  <c r="G811" i="4" s="1"/>
  <c r="G912" i="4" a="1"/>
  <c r="G912" i="4" s="1"/>
  <c r="G647" i="4" a="1"/>
  <c r="G647" i="4" s="1"/>
  <c r="G201" i="4" a="1"/>
  <c r="G201" i="4" s="1"/>
  <c r="G635" i="4" a="1"/>
  <c r="G635" i="4" s="1"/>
  <c r="G748" i="4" a="1"/>
  <c r="G748" i="4" s="1"/>
  <c r="G816" i="4" a="1"/>
  <c r="G816" i="4" s="1"/>
  <c r="G134" i="4" a="1"/>
  <c r="G134" i="4" s="1"/>
  <c r="G835" i="4" a="1"/>
  <c r="G835" i="4" s="1"/>
  <c r="G343" i="4" a="1"/>
  <c r="G343" i="4" s="1"/>
  <c r="G513" i="4" a="1"/>
  <c r="G513" i="4" s="1"/>
  <c r="G362" i="4" a="1"/>
  <c r="G362" i="4" s="1"/>
  <c r="G265" i="4" a="1"/>
  <c r="G265" i="4" s="1"/>
  <c r="G846" i="4" a="1"/>
  <c r="G846" i="4" s="1"/>
  <c r="G405" i="4" a="1"/>
  <c r="G405" i="4" s="1"/>
  <c r="G784" i="4" a="1"/>
  <c r="G784" i="4" s="1"/>
  <c r="G598" i="4" a="1"/>
  <c r="G598" i="4" s="1"/>
  <c r="G969" i="4" a="1"/>
  <c r="G969" i="4" s="1"/>
  <c r="G887" i="4" a="1"/>
  <c r="G887" i="4" s="1"/>
  <c r="G712" i="4" a="1"/>
  <c r="G712" i="4" s="1"/>
  <c r="G649" i="4" a="1"/>
  <c r="G649" i="4" s="1"/>
  <c r="G629" i="4" a="1"/>
  <c r="G629" i="4" s="1"/>
  <c r="G995" i="4" a="1"/>
  <c r="G995" i="4" s="1"/>
  <c r="G81" i="4" a="1"/>
  <c r="G81" i="4" s="1"/>
  <c r="G640" i="4" a="1"/>
  <c r="G640" i="4" s="1"/>
  <c r="G33" i="4" a="1"/>
  <c r="G33" i="4" s="1"/>
  <c r="G305" i="4" a="1"/>
  <c r="G305" i="4" s="1"/>
  <c r="G264" i="4" a="1"/>
  <c r="G264" i="4" s="1"/>
  <c r="G934" i="4" a="1"/>
  <c r="G934" i="4" s="1"/>
  <c r="G880" i="4" a="1"/>
  <c r="G880" i="4" s="1"/>
  <c r="G734" i="4" a="1"/>
  <c r="G734" i="4" s="1"/>
  <c r="G606" i="4" a="1"/>
  <c r="G606" i="4" s="1"/>
  <c r="G22" i="4" a="1"/>
  <c r="G22" i="4" s="1"/>
  <c r="G796" i="4" a="1"/>
  <c r="G796" i="4" s="1"/>
  <c r="G479" i="4" a="1"/>
  <c r="G479" i="4" s="1"/>
  <c r="G409" i="4" a="1"/>
  <c r="G409" i="4" s="1"/>
  <c r="G897" i="4" a="1"/>
  <c r="G897" i="4" s="1"/>
  <c r="E134" i="4" a="1"/>
  <c r="E134" i="4" s="1"/>
  <c r="G614" i="4" a="1"/>
  <c r="G614" i="4" s="1"/>
  <c r="G944" i="4" a="1"/>
  <c r="G944" i="4" s="1"/>
  <c r="G852" i="4" a="1"/>
  <c r="G852" i="4" s="1"/>
  <c r="G854" i="4" a="1"/>
  <c r="G854" i="4" s="1"/>
  <c r="G593" i="4" a="1"/>
  <c r="G593" i="4" s="1"/>
  <c r="G837" i="4" a="1"/>
  <c r="G837" i="4" s="1"/>
  <c r="G524" i="4" a="1"/>
  <c r="G524" i="4" s="1"/>
  <c r="G864" i="4" a="1"/>
  <c r="G864" i="4" s="1"/>
  <c r="G609" i="4" a="1"/>
  <c r="G609" i="4" s="1"/>
  <c r="G909" i="4" a="1"/>
  <c r="G909" i="4" s="1"/>
  <c r="G715" i="4" a="1"/>
  <c r="G715" i="4" s="1"/>
  <c r="G60" i="4" a="1"/>
  <c r="G60" i="4" s="1"/>
  <c r="G813" i="4" a="1"/>
  <c r="G813" i="4" s="1"/>
  <c r="G577" i="4" a="1"/>
  <c r="G577" i="4" s="1"/>
  <c r="G939" i="4" a="1"/>
  <c r="G939" i="4" s="1"/>
  <c r="G672" i="4" a="1"/>
  <c r="G672" i="4" s="1"/>
  <c r="G983" i="4" a="1"/>
  <c r="G983" i="4" s="1"/>
  <c r="G728" i="4" a="1"/>
  <c r="G728" i="4" s="1"/>
  <c r="G935" i="4" a="1"/>
  <c r="G935" i="4" s="1"/>
  <c r="G535" i="4" a="1"/>
  <c r="G535" i="4" s="1"/>
  <c r="G621" i="4" a="1"/>
  <c r="G621" i="4" s="1"/>
  <c r="G705" i="4" a="1"/>
  <c r="G705" i="4" s="1"/>
  <c r="G787" i="4" a="1"/>
  <c r="G787" i="4" s="1"/>
  <c r="G483" i="4" a="1"/>
  <c r="G483" i="4" s="1"/>
  <c r="G379" i="4" a="1"/>
  <c r="G379" i="4" s="1"/>
  <c r="G532" i="4" a="1"/>
  <c r="G532" i="4" s="1"/>
  <c r="G467" i="4" a="1"/>
  <c r="G467" i="4" s="1"/>
  <c r="G573" i="4" a="1"/>
  <c r="G573" i="4" s="1"/>
  <c r="G74" i="4" a="1"/>
  <c r="G74" i="4" s="1"/>
  <c r="G713" i="4" a="1"/>
  <c r="G713" i="4" s="1"/>
  <c r="G321" i="4" a="1"/>
  <c r="G321" i="4" s="1"/>
  <c r="G839" i="4" a="1"/>
  <c r="G839" i="4" s="1"/>
  <c r="G920" i="4" a="1"/>
  <c r="G920" i="4" s="1"/>
  <c r="G278" i="4" a="1"/>
  <c r="G278" i="4" s="1"/>
  <c r="G474" i="4" a="1"/>
  <c r="G474" i="4" s="1"/>
  <c r="G117" i="4" a="1"/>
  <c r="G117" i="4" s="1"/>
  <c r="G17" i="4" a="1"/>
  <c r="G17" i="4" s="1"/>
  <c r="G24" i="4" a="1"/>
  <c r="G24" i="4" s="1"/>
  <c r="G930" i="4" a="1"/>
  <c r="G930" i="4" s="1"/>
  <c r="G365" i="4" a="1"/>
  <c r="G365" i="4" s="1"/>
  <c r="G802" i="4" a="1"/>
  <c r="G802" i="4" s="1"/>
  <c r="G869" i="4" a="1"/>
  <c r="G869" i="4" s="1"/>
  <c r="G754" i="4" a="1"/>
  <c r="G754" i="4" s="1"/>
  <c r="G840" i="4" a="1"/>
  <c r="G840" i="4" s="1"/>
  <c r="G530" i="4" a="1"/>
  <c r="G530" i="4" s="1"/>
  <c r="G822" i="4" a="1"/>
  <c r="G822" i="4" s="1"/>
  <c r="G442" i="4" a="1"/>
  <c r="G442" i="4" s="1"/>
  <c r="G851" i="4" a="1"/>
  <c r="G851" i="4" s="1"/>
  <c r="G585" i="4" a="1"/>
  <c r="G585" i="4" s="1"/>
  <c r="G896" i="4" a="1"/>
  <c r="G896" i="4" s="1"/>
  <c r="G695" i="4" a="1"/>
  <c r="G695" i="4" s="1"/>
  <c r="G998" i="4" a="1"/>
  <c r="G998" i="4" s="1"/>
  <c r="G795" i="4" a="1"/>
  <c r="G795" i="4" s="1"/>
  <c r="G544" i="4" a="1"/>
  <c r="G544" i="4" s="1"/>
  <c r="G907" i="4" a="1"/>
  <c r="G907" i="4" s="1"/>
  <c r="G651" i="4" a="1"/>
  <c r="G651" i="4" s="1"/>
  <c r="G952" i="4" a="1"/>
  <c r="G952" i="4" s="1"/>
  <c r="G708" i="4" a="1"/>
  <c r="G708" i="4" s="1"/>
  <c r="G921" i="4" a="1"/>
  <c r="G921" i="4" s="1"/>
  <c r="G503" i="4" a="1"/>
  <c r="G503" i="4" s="1"/>
  <c r="G597" i="4" a="1"/>
  <c r="G597" i="4" s="1"/>
  <c r="G685" i="4" a="1"/>
  <c r="G685" i="4" s="1"/>
  <c r="G697" i="4" a="1"/>
  <c r="G697" i="4" s="1"/>
  <c r="G459" i="4" a="1"/>
  <c r="G459" i="4" s="1"/>
  <c r="G366" i="4" a="1"/>
  <c r="G366" i="4" s="1"/>
  <c r="G521" i="4" a="1"/>
  <c r="G521" i="4" s="1"/>
  <c r="G441" i="4" a="1"/>
  <c r="G441" i="4" s="1"/>
  <c r="G562" i="4" a="1"/>
  <c r="G562" i="4" s="1"/>
  <c r="G47" i="4" a="1"/>
  <c r="G47" i="4" s="1"/>
  <c r="G702" i="4" a="1"/>
  <c r="G702" i="4" s="1"/>
  <c r="G284" i="4" a="1"/>
  <c r="G284" i="4" s="1"/>
  <c r="G752" i="4" a="1"/>
  <c r="G752" i="4" s="1"/>
  <c r="G911" i="4" a="1"/>
  <c r="G911" i="4" s="1"/>
  <c r="G198" i="4" a="1"/>
  <c r="G198" i="4" s="1"/>
  <c r="G465" i="4" a="1"/>
  <c r="G465" i="4" s="1"/>
  <c r="G11" i="4" a="1"/>
  <c r="G11" i="4" s="1"/>
  <c r="G131" i="4" a="1"/>
  <c r="G131" i="4" s="1"/>
  <c r="G283" i="4" a="1"/>
  <c r="G283" i="4" s="1"/>
  <c r="G138" i="4" a="1"/>
  <c r="G138" i="4" s="1"/>
  <c r="G914" i="4" a="1"/>
  <c r="G914" i="4" s="1"/>
  <c r="G980" i="4" a="1"/>
  <c r="G980" i="4" s="1"/>
  <c r="G698" i="4" a="1"/>
  <c r="G698" i="4" s="1"/>
  <c r="G768" i="4" a="1"/>
  <c r="G768" i="4" s="1"/>
  <c r="G638" i="4" a="1"/>
  <c r="G638" i="4" s="1"/>
  <c r="G823" i="4" a="1"/>
  <c r="G823" i="4" s="1"/>
  <c r="G493" i="4" a="1"/>
  <c r="G493" i="4" s="1"/>
  <c r="G804" i="4" a="1"/>
  <c r="G804" i="4" s="1"/>
  <c r="G369" i="4" a="1"/>
  <c r="G369" i="4" s="1"/>
  <c r="G833" i="4" a="1"/>
  <c r="G833" i="4" s="1"/>
  <c r="G552" i="4" a="1"/>
  <c r="G552" i="4" s="1"/>
  <c r="G879" i="4" a="1"/>
  <c r="G879" i="4" s="1"/>
  <c r="G674" i="4" a="1"/>
  <c r="G674" i="4" s="1"/>
  <c r="G986" i="4" a="1"/>
  <c r="G986" i="4" s="1"/>
  <c r="G781" i="4" a="1"/>
  <c r="G781" i="4" s="1"/>
  <c r="G512" i="4" a="1"/>
  <c r="G512" i="4" s="1"/>
  <c r="G891" i="4" a="1"/>
  <c r="G891" i="4" s="1"/>
  <c r="G604" i="4" a="1"/>
  <c r="G604" i="4" s="1"/>
  <c r="G936" i="4" a="1"/>
  <c r="G936" i="4" s="1"/>
  <c r="G692" i="4" a="1"/>
  <c r="G692" i="4" s="1"/>
  <c r="G889" i="4" a="1"/>
  <c r="G889" i="4" s="1"/>
  <c r="G888" i="4" a="1"/>
  <c r="G888" i="4" s="1"/>
  <c r="G533" i="4" a="1"/>
  <c r="G533" i="4" s="1"/>
  <c r="G664" i="4" a="1"/>
  <c r="G664" i="4" s="1"/>
  <c r="G686" i="4" a="1"/>
  <c r="G686" i="4" s="1"/>
  <c r="G444" i="4" a="1"/>
  <c r="G444" i="4" s="1"/>
  <c r="G354" i="4" a="1"/>
  <c r="G354" i="4" s="1"/>
  <c r="G492" i="4" a="1"/>
  <c r="G492" i="4" s="1"/>
  <c r="G415" i="4" a="1"/>
  <c r="G415" i="4" s="1"/>
  <c r="G540" i="4" a="1"/>
  <c r="G540" i="4" s="1"/>
  <c r="G994" i="4" a="1"/>
  <c r="G994" i="4" s="1"/>
  <c r="G659" i="4" a="1"/>
  <c r="G659" i="4" s="1"/>
  <c r="G205" i="4" a="1"/>
  <c r="G205" i="4" s="1"/>
  <c r="G733" i="4" a="1"/>
  <c r="G733" i="4" s="1"/>
  <c r="G893" i="4" a="1"/>
  <c r="G893" i="4" s="1"/>
  <c r="G910" i="4" a="1"/>
  <c r="G910" i="4" s="1"/>
  <c r="G445" i="4" a="1"/>
  <c r="G445" i="4" s="1"/>
  <c r="G240" i="4" a="1"/>
  <c r="G240" i="4" s="1"/>
  <c r="G114" i="4" a="1"/>
  <c r="G114" i="4" s="1"/>
  <c r="G164" i="4" a="1"/>
  <c r="G164" i="4" s="1"/>
  <c r="G132" i="4" a="1"/>
  <c r="G132" i="4" s="1"/>
  <c r="G975" i="4" a="1"/>
  <c r="G975" i="4" s="1"/>
  <c r="G834" i="4" a="1"/>
  <c r="G834" i="4" s="1"/>
  <c r="G484" i="4" a="1"/>
  <c r="G484" i="4" s="1"/>
  <c r="G756" i="4" a="1"/>
  <c r="G756" i="4" s="1"/>
  <c r="G771" i="4" a="1"/>
  <c r="G771" i="4" s="1"/>
  <c r="G801" i="4" a="1"/>
  <c r="G801" i="4" s="1"/>
  <c r="G849" i="4" a="1"/>
  <c r="G849" i="4" s="1"/>
  <c r="G954" i="4" a="1"/>
  <c r="G954" i="4" s="1"/>
  <c r="G861" i="4" a="1"/>
  <c r="G861" i="4" s="1"/>
  <c r="G906" i="4" a="1"/>
  <c r="G906" i="4" s="1"/>
  <c r="G860" i="4" a="1"/>
  <c r="G860" i="4" s="1"/>
  <c r="G993" i="4" a="1"/>
  <c r="G993" i="4" s="1"/>
  <c r="G653" i="4" a="1"/>
  <c r="G653" i="4" s="1"/>
  <c r="G292" i="4" a="1"/>
  <c r="G292" i="4" s="1"/>
  <c r="G456" i="4" a="1"/>
  <c r="G456" i="4" s="1"/>
  <c r="G351" i="4" a="1"/>
  <c r="G351" i="4" s="1"/>
  <c r="G967" i="4" a="1"/>
  <c r="G967" i="4" s="1"/>
  <c r="G626" i="4" a="1"/>
  <c r="G626" i="4" s="1"/>
  <c r="G527" i="4" a="1"/>
  <c r="G527" i="4" s="1"/>
  <c r="G657" i="4" a="1"/>
  <c r="G657" i="4" s="1"/>
  <c r="G751" i="4" a="1"/>
  <c r="G751" i="4" s="1"/>
  <c r="G874" i="4" a="1"/>
  <c r="G874" i="4" s="1"/>
  <c r="G339" i="4" a="1"/>
  <c r="G339" i="4" s="1"/>
  <c r="G72" i="4" a="1"/>
  <c r="G72" i="4" s="1"/>
  <c r="G304" i="4" a="1"/>
  <c r="G304" i="4" s="1"/>
  <c r="G960" i="4" a="1"/>
  <c r="G960" i="4" s="1"/>
  <c r="G853" i="4" a="1"/>
  <c r="G853" i="4" s="1"/>
  <c r="G925" i="4" a="1"/>
  <c r="G925" i="4" s="1"/>
  <c r="G693" i="4" a="1"/>
  <c r="G693" i="4" s="1"/>
  <c r="G643" i="4" a="1"/>
  <c r="G643" i="4" s="1"/>
  <c r="G100" i="4" a="1"/>
  <c r="G100" i="4" s="1"/>
  <c r="G786" i="4" a="1"/>
  <c r="G786" i="4" s="1"/>
  <c r="G764" i="4" a="1"/>
  <c r="G764" i="4" s="1"/>
  <c r="G575" i="4" a="1"/>
  <c r="G575" i="4" s="1"/>
  <c r="G671" i="4" a="1"/>
  <c r="G671" i="4" s="1"/>
  <c r="G873" i="4" a="1"/>
  <c r="G873" i="4" s="1"/>
  <c r="G872" i="4" a="1"/>
  <c r="G872" i="4" s="1"/>
  <c r="G501" i="4" a="1"/>
  <c r="G501" i="4" s="1"/>
  <c r="G641" i="4" a="1"/>
  <c r="G641" i="4" s="1"/>
  <c r="G675" i="4" a="1"/>
  <c r="G675" i="4" s="1"/>
  <c r="G342" i="4" a="1"/>
  <c r="G342" i="4" s="1"/>
  <c r="G311" i="4" a="1"/>
  <c r="G311" i="4" s="1"/>
  <c r="G469" i="4" a="1"/>
  <c r="G469" i="4" s="1"/>
  <c r="G363" i="4" a="1"/>
  <c r="G363" i="4" s="1"/>
  <c r="G519" i="4" a="1"/>
  <c r="G519" i="4" s="1"/>
  <c r="G976" i="4" a="1"/>
  <c r="G976" i="4" s="1"/>
  <c r="G636" i="4" a="1"/>
  <c r="G636" i="4" s="1"/>
  <c r="G549" i="4" a="1"/>
  <c r="G549" i="4" s="1"/>
  <c r="G723" i="4" a="1"/>
  <c r="G723" i="4" s="1"/>
  <c r="G866" i="4" a="1"/>
  <c r="G866" i="4" s="1"/>
  <c r="G901" i="4" a="1"/>
  <c r="G901" i="4" s="1"/>
  <c r="G368" i="4" a="1"/>
  <c r="G368" i="4" s="1"/>
  <c r="G98" i="4" a="1"/>
  <c r="G98" i="4" s="1"/>
  <c r="G52" i="4" a="1"/>
  <c r="G52" i="4" s="1"/>
  <c r="G120" i="4" a="1"/>
  <c r="G120" i="4" s="1"/>
  <c r="G898" i="4" a="1"/>
  <c r="G898" i="4" s="1"/>
  <c r="G86" i="4" a="1"/>
  <c r="G86" i="4" s="1"/>
  <c r="G992" i="4" a="1"/>
  <c r="G992" i="4" s="1"/>
  <c r="G990" i="4" a="1"/>
  <c r="G990" i="4" s="1"/>
  <c r="G112" i="4" a="1"/>
  <c r="G112" i="4" s="1"/>
  <c r="G480" i="4" a="1"/>
  <c r="G480" i="4" s="1"/>
  <c r="G607" i="4" a="1"/>
  <c r="G607" i="4" s="1"/>
  <c r="G747" i="4" a="1"/>
  <c r="G747" i="4" s="1"/>
  <c r="G416" i="4" a="1"/>
  <c r="G416" i="4" s="1"/>
  <c r="G542" i="4" a="1"/>
  <c r="G542" i="4" s="1"/>
  <c r="G628" i="4" a="1"/>
  <c r="G628" i="4" s="1"/>
  <c r="G858" i="4" a="1"/>
  <c r="G858" i="4" s="1"/>
  <c r="G596" i="4" a="1"/>
  <c r="G596" i="4" s="1"/>
  <c r="G329" i="4" a="1"/>
  <c r="G329" i="4" s="1"/>
  <c r="G509" i="4" a="1"/>
  <c r="G509" i="4" s="1"/>
  <c r="G753" i="4" a="1"/>
  <c r="G753" i="4" s="1"/>
  <c r="G104" i="4" a="1"/>
  <c r="G104" i="4" s="1"/>
  <c r="G356" i="4" a="1"/>
  <c r="G356" i="4" s="1"/>
  <c r="G882" i="4" a="1"/>
  <c r="G882" i="4" s="1"/>
  <c r="G943" i="4" a="1"/>
  <c r="G943" i="4" s="1"/>
  <c r="G978" i="4" a="1"/>
  <c r="G978" i="4" s="1"/>
  <c r="G737" i="4" a="1"/>
  <c r="G737" i="4" s="1"/>
  <c r="G961" i="4" a="1"/>
  <c r="G961" i="4" s="1"/>
  <c r="G755" i="4" a="1"/>
  <c r="G755" i="4" s="1"/>
  <c r="G987" i="4" a="1"/>
  <c r="G987" i="4" s="1"/>
  <c r="G749" i="4" a="1"/>
  <c r="G749" i="4" s="1"/>
  <c r="G430" i="4" a="1"/>
  <c r="G430" i="4" s="1"/>
  <c r="G832" i="4" a="1"/>
  <c r="G832" i="4" s="1"/>
  <c r="G579" i="4" a="1"/>
  <c r="G579" i="4" s="1"/>
  <c r="G941" i="4" a="1"/>
  <c r="G941" i="4" s="1"/>
  <c r="G730" i="4" a="1"/>
  <c r="G730" i="4" s="1"/>
  <c r="G338" i="4" a="1"/>
  <c r="G338" i="4" s="1"/>
  <c r="G830" i="4" a="1"/>
  <c r="G830" i="4" s="1"/>
  <c r="G510" i="4" a="1"/>
  <c r="G510" i="4" s="1"/>
  <c r="G876" i="4" a="1"/>
  <c r="G876" i="4" s="1"/>
  <c r="G600" i="4" a="1"/>
  <c r="G600" i="4" s="1"/>
  <c r="G825" i="4" a="1"/>
  <c r="G825" i="4" s="1"/>
  <c r="G842" i="4" a="1"/>
  <c r="G842" i="4" s="1"/>
  <c r="G979" i="4" a="1"/>
  <c r="G979" i="4" s="1"/>
  <c r="G563" i="4" a="1"/>
  <c r="G563" i="4" s="1"/>
  <c r="G642" i="4" a="1"/>
  <c r="G642" i="4" s="1"/>
  <c r="G312" i="4" a="1"/>
  <c r="G312" i="4" s="1"/>
  <c r="G162" i="4" a="1"/>
  <c r="G162" i="4" s="1"/>
  <c r="G378" i="4" a="1"/>
  <c r="G378" i="4" s="1"/>
  <c r="G235" i="4" a="1"/>
  <c r="G235" i="4" s="1"/>
  <c r="G414" i="4" a="1"/>
  <c r="G414" i="4" s="1"/>
  <c r="G904" i="4" a="1"/>
  <c r="G904" i="4" s="1"/>
  <c r="G561" i="4" a="1"/>
  <c r="G561" i="4" s="1"/>
  <c r="G517" i="4" a="1"/>
  <c r="G517" i="4" s="1"/>
  <c r="G603" i="4" a="1"/>
  <c r="G603" i="4" s="1"/>
  <c r="G741" i="4" a="1"/>
  <c r="G741" i="4" s="1"/>
  <c r="G827" i="4" a="1"/>
  <c r="G827" i="4" s="1"/>
  <c r="G145" i="4" a="1"/>
  <c r="G145" i="4" s="1"/>
  <c r="G54" i="4" a="1"/>
  <c r="G54" i="4" s="1"/>
  <c r="G184" i="4" a="1"/>
  <c r="G184" i="4" s="1"/>
  <c r="G736" i="4" a="1"/>
  <c r="G736" i="4" s="1"/>
  <c r="G617" i="4" a="1"/>
  <c r="G617" i="4" s="1"/>
  <c r="G632" i="4" a="1"/>
  <c r="G632" i="4" s="1"/>
  <c r="G831" i="4" a="1"/>
  <c r="G831" i="4" s="1"/>
  <c r="G745" i="4" a="1"/>
  <c r="G745" i="4" s="1"/>
  <c r="G725" i="4" a="1"/>
  <c r="G725" i="4" s="1"/>
  <c r="G392" i="4" a="1"/>
  <c r="G392" i="4" s="1"/>
  <c r="G584" i="4" a="1"/>
  <c r="G584" i="4" s="1"/>
  <c r="G743" i="4" a="1"/>
  <c r="G743" i="4" s="1"/>
  <c r="G95" i="4" a="1"/>
  <c r="G95" i="4" s="1"/>
  <c r="G447" i="4" a="1"/>
  <c r="G447" i="4" s="1"/>
  <c r="G53" i="4" a="1"/>
  <c r="G53" i="4" s="1"/>
  <c r="G918" i="4" a="1"/>
  <c r="G918" i="4" s="1"/>
  <c r="G434" i="4" a="1"/>
  <c r="G434" i="4" s="1"/>
  <c r="G274" i="4" a="1"/>
  <c r="G274" i="4" s="1"/>
  <c r="G863" i="4" a="1"/>
  <c r="G863" i="4" s="1"/>
  <c r="G470" i="4" a="1"/>
  <c r="G470" i="4" s="1"/>
  <c r="G701" i="4" a="1"/>
  <c r="G701" i="4" s="1"/>
  <c r="G785" i="4" a="1"/>
  <c r="G785" i="4" s="1"/>
  <c r="G724" i="4" a="1"/>
  <c r="G724" i="4" s="1"/>
  <c r="G972" i="4" a="1"/>
  <c r="G972" i="4" s="1"/>
  <c r="G353" i="4" a="1"/>
  <c r="G353" i="4" s="1"/>
  <c r="G924" i="4" a="1"/>
  <c r="G924" i="4" s="1"/>
  <c r="G714" i="4" a="1"/>
  <c r="G714" i="4" s="1"/>
  <c r="G210" i="4" a="1"/>
  <c r="G210" i="4" s="1"/>
  <c r="G777" i="4" a="1"/>
  <c r="G777" i="4" s="1"/>
  <c r="G468" i="4" a="1"/>
  <c r="G468" i="4" s="1"/>
  <c r="G844" i="4" a="1"/>
  <c r="G844" i="4" s="1"/>
  <c r="G574" i="4" a="1"/>
  <c r="G574" i="4" s="1"/>
  <c r="G810" i="4" a="1"/>
  <c r="G810" i="4" s="1"/>
  <c r="G824" i="4" a="1"/>
  <c r="G824" i="4" s="1"/>
  <c r="G963" i="4" a="1"/>
  <c r="G963" i="4" s="1"/>
  <c r="G139" i="4" a="1"/>
  <c r="G139" i="4" s="1"/>
  <c r="G620" i="4" a="1"/>
  <c r="G620" i="4" s="1"/>
  <c r="G294" i="4" a="1"/>
  <c r="G294" i="4" s="1"/>
  <c r="G135" i="4" a="1"/>
  <c r="G135" i="4" s="1"/>
  <c r="G340" i="4" a="1"/>
  <c r="G340" i="4" s="1"/>
  <c r="G128" i="4" a="1"/>
  <c r="G128" i="4" s="1"/>
  <c r="G401" i="4" a="1"/>
  <c r="G401" i="4" s="1"/>
  <c r="G895" i="4" a="1"/>
  <c r="G895" i="4" s="1"/>
  <c r="G550" i="4" a="1"/>
  <c r="G550" i="4" s="1"/>
  <c r="G498" i="4" a="1"/>
  <c r="G498" i="4" s="1"/>
  <c r="G463" i="4" a="1"/>
  <c r="G463" i="4" s="1"/>
  <c r="G732" i="4" a="1"/>
  <c r="G732" i="4" s="1"/>
  <c r="G798" i="4" a="1"/>
  <c r="G798" i="4" s="1"/>
  <c r="G75" i="4" a="1"/>
  <c r="G75" i="4" s="1"/>
  <c r="G402" i="4" a="1"/>
  <c r="G402" i="4" s="1"/>
  <c r="G438" i="4" a="1"/>
  <c r="G438" i="4" s="1"/>
  <c r="G536" i="4" a="1"/>
  <c r="G536" i="4" s="1"/>
  <c r="G870" i="4" a="1"/>
  <c r="G870" i="4" s="1"/>
  <c r="G996" i="4" a="1"/>
  <c r="G996" i="4" s="1"/>
  <c r="G555" i="4" a="1"/>
  <c r="G555" i="4" s="1"/>
  <c r="G553" i="4" a="1"/>
  <c r="G553" i="4" s="1"/>
  <c r="G805" i="4" a="1"/>
  <c r="G805" i="4" s="1"/>
  <c r="G520" i="4" a="1"/>
  <c r="G520" i="4" s="1"/>
  <c r="G970" i="4" a="1"/>
  <c r="G970" i="4" s="1"/>
  <c r="G923" i="4" a="1"/>
  <c r="G923" i="4" s="1"/>
  <c r="G977" i="4" a="1"/>
  <c r="G977" i="4" s="1"/>
  <c r="G962" i="4" a="1"/>
  <c r="G962" i="4" s="1"/>
  <c r="G720" i="4" a="1"/>
  <c r="G720" i="4" s="1"/>
  <c r="G814" i="4" a="1"/>
  <c r="G814" i="4" s="1"/>
  <c r="G586" i="4" a="1"/>
  <c r="G586" i="4" s="1"/>
  <c r="G682" i="4" a="1"/>
  <c r="G682" i="4" s="1"/>
  <c r="G948" i="4" a="1"/>
  <c r="G948" i="4" s="1"/>
  <c r="G932" i="4" a="1"/>
  <c r="G932" i="4" s="1"/>
  <c r="G959" i="4" a="1"/>
  <c r="G959" i="4" s="1"/>
  <c r="G237" i="4" a="1"/>
  <c r="G237" i="4" s="1"/>
  <c r="G514" i="4" a="1"/>
  <c r="G514" i="4" s="1"/>
  <c r="G694" i="4" a="1"/>
  <c r="G694" i="4" s="1"/>
  <c r="G763" i="4" a="1"/>
  <c r="G763" i="4" s="1"/>
  <c r="G541" i="4" a="1"/>
  <c r="G541" i="4" s="1"/>
  <c r="G792" i="4" a="1"/>
  <c r="G792" i="4" s="1"/>
  <c r="G845" i="4" a="1"/>
  <c r="G845" i="4" s="1"/>
  <c r="G272" i="4" a="1"/>
  <c r="G272" i="4" s="1"/>
  <c r="G309" i="4" a="1"/>
  <c r="G309" i="4" s="1"/>
  <c r="G389" i="4" a="1"/>
  <c r="G389" i="4" s="1"/>
  <c r="G518" i="4" a="1"/>
  <c r="G518" i="4" s="1"/>
  <c r="G437" i="4" a="1"/>
  <c r="G437" i="4" s="1"/>
  <c r="G66" i="4" a="1"/>
  <c r="G66" i="4" s="1"/>
  <c r="G408" i="4" a="1"/>
  <c r="G408" i="4" s="1"/>
  <c r="G717" i="4" a="1"/>
  <c r="G717" i="4" s="1"/>
  <c r="G988" i="4" a="1"/>
  <c r="G988" i="4" s="1"/>
  <c r="G718" i="4" a="1"/>
  <c r="G718" i="4" s="1"/>
  <c r="G522" i="4" a="1"/>
  <c r="G522" i="4" s="1"/>
  <c r="G658" i="4" a="1"/>
  <c r="G658" i="4" s="1"/>
  <c r="G916" i="4" a="1"/>
  <c r="G916" i="4" s="1"/>
  <c r="G684" i="4" a="1"/>
  <c r="G684" i="4" s="1"/>
  <c r="G915" i="4" a="1"/>
  <c r="G915" i="4" s="1"/>
  <c r="G683" i="4" a="1"/>
  <c r="G683" i="4" s="1"/>
  <c r="G942" i="4" a="1"/>
  <c r="G942" i="4" s="1"/>
  <c r="G696" i="4" a="1"/>
  <c r="G696" i="4" s="1"/>
  <c r="G78" i="4" a="1"/>
  <c r="G78" i="4" s="1"/>
  <c r="G783" i="4" a="1"/>
  <c r="G783" i="4" s="1"/>
  <c r="G472" i="4" a="1"/>
  <c r="G472" i="4" s="1"/>
  <c r="G894" i="4" a="1"/>
  <c r="G894" i="4" s="1"/>
  <c r="G673" i="4" a="1"/>
  <c r="G673" i="4" s="1"/>
  <c r="G997" i="4" a="1"/>
  <c r="G997" i="4" s="1"/>
  <c r="G746" i="4" a="1"/>
  <c r="G746" i="4" s="1"/>
  <c r="G330" i="4" a="1"/>
  <c r="G330" i="4" s="1"/>
  <c r="G794" i="4" a="1"/>
  <c r="G794" i="4" s="1"/>
  <c r="G504" i="4" a="1"/>
  <c r="G504" i="4" s="1"/>
  <c r="G690" i="4" a="1"/>
  <c r="G690" i="4" s="1"/>
  <c r="G774" i="4" a="1"/>
  <c r="G774" i="4" s="1"/>
  <c r="G933" i="4" a="1"/>
  <c r="G933" i="4" s="1"/>
  <c r="G836" i="4" a="1"/>
  <c r="G836" i="4" s="1"/>
  <c r="G534" i="4" a="1"/>
  <c r="G534" i="4" s="1"/>
  <c r="G217" i="4" a="1"/>
  <c r="G217" i="4" s="1"/>
  <c r="G56" i="4" a="1"/>
  <c r="G56" i="4" s="1"/>
  <c r="G241" i="4" a="1"/>
  <c r="G241" i="4" s="1"/>
  <c r="G20" i="4" a="1"/>
  <c r="G20" i="4" s="1"/>
  <c r="G350" i="4" a="1"/>
  <c r="G350" i="4" s="1"/>
  <c r="G868" i="4" a="1"/>
  <c r="G868" i="4" s="1"/>
  <c r="G499" i="4" a="1"/>
  <c r="G499" i="4" s="1"/>
  <c r="G255" i="4" a="1"/>
  <c r="G255" i="4" s="1"/>
  <c r="G425" i="4" a="1"/>
  <c r="G425" i="4" s="1"/>
  <c r="G612" i="4" a="1"/>
  <c r="G612" i="4" s="1"/>
  <c r="G601" i="4" a="1"/>
  <c r="G601" i="4" s="1"/>
  <c r="G31" i="4" a="1"/>
  <c r="G31" i="4" s="1"/>
  <c r="G168" i="4" a="1"/>
  <c r="G168" i="4" s="1"/>
  <c r="G390" i="4" a="1"/>
  <c r="G390" i="4" s="1"/>
  <c r="G966" i="4" a="1"/>
  <c r="G966" i="4" s="1"/>
  <c r="G679" i="4" a="1"/>
  <c r="G679" i="4" s="1"/>
  <c r="G590" i="4" a="1"/>
  <c r="G590" i="4" s="1"/>
  <c r="G219" i="4" a="1"/>
  <c r="G219" i="4" s="1"/>
  <c r="G953" i="4" a="1"/>
  <c r="G953" i="4" s="1"/>
  <c r="G625" i="4" a="1"/>
  <c r="G625" i="4" s="1"/>
  <c r="G494" i="4" a="1"/>
  <c r="G494" i="4" s="1"/>
  <c r="G543" i="4" a="1"/>
  <c r="G543" i="4" s="1"/>
  <c r="G348" i="4" a="1"/>
  <c r="G348" i="4" s="1"/>
  <c r="G929" i="4" a="1"/>
  <c r="G929" i="4" s="1"/>
  <c r="G126" i="4" a="1"/>
  <c r="G126" i="4" s="1"/>
  <c r="G59" i="4" a="1"/>
  <c r="G59" i="4" s="1"/>
  <c r="G247" i="4" a="1"/>
  <c r="G247" i="4" s="1"/>
  <c r="G661" i="4" a="1"/>
  <c r="G661" i="4" s="1"/>
  <c r="G377" i="4" a="1"/>
  <c r="G377" i="4" s="1"/>
  <c r="G815" i="4" a="1"/>
  <c r="G815" i="4" s="1"/>
  <c r="G630" i="4" a="1"/>
  <c r="G630" i="4" s="1"/>
  <c r="G878" i="4" a="1"/>
  <c r="G878" i="4" s="1"/>
  <c r="G817" i="4" a="1"/>
  <c r="G817" i="4" s="1"/>
  <c r="G867" i="4" a="1"/>
  <c r="G867" i="4" s="1"/>
  <c r="G945" i="4" a="1"/>
  <c r="G945" i="4" s="1"/>
  <c r="G735" i="4" a="1"/>
  <c r="G735" i="4" s="1"/>
  <c r="G545" i="4" a="1"/>
  <c r="G545" i="4" s="1"/>
  <c r="G803" i="4" a="1"/>
  <c r="G803" i="4" s="1"/>
  <c r="G820" i="4" a="1"/>
  <c r="G820" i="4" s="1"/>
  <c r="G766" i="4" a="1"/>
  <c r="G766" i="4" s="1"/>
  <c r="G704" i="4" a="1"/>
  <c r="G704" i="4" s="1"/>
  <c r="G703" i="4" a="1"/>
  <c r="G703" i="4" s="1"/>
  <c r="G716" i="4" a="1"/>
  <c r="G716" i="4" s="1"/>
  <c r="G797" i="4" a="1"/>
  <c r="G797" i="4" s="1"/>
  <c r="G908" i="4" a="1"/>
  <c r="G908" i="4" s="1"/>
  <c r="G51" i="4" a="1"/>
  <c r="G51" i="4" s="1"/>
  <c r="G407" i="4" a="1"/>
  <c r="G407" i="4" s="1"/>
  <c r="G812" i="4" a="1"/>
  <c r="G812" i="4" s="1"/>
  <c r="G727" i="4" a="1"/>
  <c r="G727" i="4" s="1"/>
  <c r="G950" i="4" a="1"/>
  <c r="G950" i="4" s="1"/>
  <c r="G610" i="4" a="1"/>
  <c r="G610" i="4" s="1"/>
  <c r="G109" i="4" a="1"/>
  <c r="G109" i="4" s="1"/>
  <c r="G102" i="4" a="1"/>
  <c r="G102" i="4" s="1"/>
  <c r="G886" i="4" a="1"/>
  <c r="G886" i="4" s="1"/>
  <c r="G476" i="4" a="1"/>
  <c r="G476" i="4" s="1"/>
  <c r="G656" i="4" a="1"/>
  <c r="G656" i="4" s="1"/>
  <c r="G633" i="4" a="1"/>
  <c r="G633" i="4" s="1"/>
  <c r="G373" i="4" a="1"/>
  <c r="G373" i="4" s="1"/>
  <c r="G989" i="4" a="1"/>
  <c r="G989" i="4" s="1"/>
  <c r="G927" i="4" a="1"/>
  <c r="G927" i="4" s="1"/>
  <c r="G588" i="4" a="1"/>
  <c r="G588" i="4" s="1"/>
  <c r="G881" i="4" a="1"/>
  <c r="G881" i="4" s="1"/>
  <c r="G482" i="4" a="1"/>
  <c r="G482" i="4" s="1"/>
  <c r="G900" i="4" a="1"/>
  <c r="G900" i="4" s="1"/>
  <c r="G663" i="4" a="1"/>
  <c r="G663" i="4" s="1"/>
  <c r="G899" i="4" a="1"/>
  <c r="G899" i="4" s="1"/>
  <c r="G662" i="4" a="1"/>
  <c r="G662" i="4" s="1"/>
  <c r="G926" i="4" a="1"/>
  <c r="G926" i="4" s="1"/>
  <c r="G676" i="4" a="1"/>
  <c r="G676" i="4" s="1"/>
  <c r="G971" i="4" a="1"/>
  <c r="G971" i="4" s="1"/>
  <c r="G765" i="4" a="1"/>
  <c r="G765" i="4" s="1"/>
  <c r="G421" i="4" a="1"/>
  <c r="G421" i="4" s="1"/>
  <c r="G862" i="4" a="1"/>
  <c r="G862" i="4" s="1"/>
  <c r="G652" i="4" a="1"/>
  <c r="G652" i="4" s="1"/>
  <c r="G984" i="4" a="1"/>
  <c r="G984" i="4" s="1"/>
  <c r="G729" i="4" a="1"/>
  <c r="G729" i="4" s="1"/>
  <c r="G193" i="4" a="1"/>
  <c r="G193" i="4" s="1"/>
  <c r="G776" i="4" a="1"/>
  <c r="G776" i="4" s="1"/>
  <c r="G403" i="4" a="1"/>
  <c r="G403" i="4" s="1"/>
  <c r="G669" i="4" a="1"/>
  <c r="G669" i="4" s="1"/>
  <c r="G687" i="4" a="1"/>
  <c r="G687" i="4" s="1"/>
  <c r="G903" i="4" a="1"/>
  <c r="G903" i="4" s="1"/>
  <c r="G826" i="4" a="1"/>
  <c r="G826" i="4" s="1"/>
  <c r="G523" i="4" a="1"/>
  <c r="G523" i="4" s="1"/>
  <c r="G136" i="4" a="1"/>
  <c r="G136" i="4" s="1"/>
  <c r="G608" i="4" a="1"/>
  <c r="G608" i="4" s="1"/>
  <c r="G107" i="4" a="1"/>
  <c r="G107" i="4" s="1"/>
  <c r="G660" i="4" a="1"/>
  <c r="G660" i="4" s="1"/>
  <c r="G322" i="4" a="1"/>
  <c r="G322" i="4" s="1"/>
  <c r="G821" i="4" a="1"/>
  <c r="G821" i="4" s="1"/>
  <c r="G464" i="4" a="1"/>
  <c r="G464" i="4" s="1"/>
  <c r="G227" i="4" a="1"/>
  <c r="G227" i="4" s="1"/>
  <c r="G347" i="4" a="1"/>
  <c r="G347" i="4" s="1"/>
  <c r="G435" i="4" a="1"/>
  <c r="G435" i="4" s="1"/>
  <c r="G580" i="4" a="1"/>
  <c r="G580" i="4" s="1"/>
  <c r="G319" i="4" a="1"/>
  <c r="G319" i="4" s="1"/>
  <c r="G141" i="4" a="1"/>
  <c r="G141" i="4" s="1"/>
  <c r="F18" i="4" a="1"/>
  <c r="F18" i="4" s="1"/>
  <c r="F165" i="4" a="1"/>
  <c r="F165" i="4" s="1"/>
  <c r="F297" i="4" a="1"/>
  <c r="F297" i="4" s="1"/>
  <c r="F427" i="4" a="1"/>
  <c r="F427" i="4" s="1"/>
  <c r="F101" i="4" a="1"/>
  <c r="F101" i="4" s="1"/>
  <c r="F256" i="4" a="1"/>
  <c r="F256" i="4" s="1"/>
  <c r="F387" i="4" a="1"/>
  <c r="F387" i="4" s="1"/>
  <c r="F546" i="4" a="1"/>
  <c r="F546" i="4" s="1"/>
  <c r="F61" i="4" a="1"/>
  <c r="F61" i="4" s="1"/>
  <c r="F202" i="4" a="1"/>
  <c r="F202" i="4" s="1"/>
  <c r="F344" i="4" a="1"/>
  <c r="F344" i="4" s="1"/>
  <c r="F93" i="4" a="1"/>
  <c r="F93" i="4" s="1"/>
  <c r="F246" i="4" a="1"/>
  <c r="F246" i="4" s="1"/>
  <c r="F40" i="4" a="1"/>
  <c r="F40" i="4" s="1"/>
  <c r="F181" i="4" a="1"/>
  <c r="F181" i="4" s="1"/>
  <c r="F313" i="4" a="1"/>
  <c r="F313" i="4" s="1"/>
  <c r="F105" i="4" a="1"/>
  <c r="F105" i="4" s="1"/>
  <c r="F260" i="4" a="1"/>
  <c r="F260" i="4" s="1"/>
  <c r="F412" i="4" a="1"/>
  <c r="F412" i="4" s="1"/>
  <c r="F562" i="4" a="1"/>
  <c r="F562" i="4" s="1"/>
  <c r="F64" i="4" a="1"/>
  <c r="F64" i="4" s="1"/>
  <c r="F216" i="4" a="1"/>
  <c r="F216" i="4" s="1"/>
  <c r="F132" i="4" a="1"/>
  <c r="F132" i="4" s="1"/>
  <c r="F263" i="4" a="1"/>
  <c r="F263" i="4" s="1"/>
  <c r="F394" i="4" a="1"/>
  <c r="F394" i="4" s="1"/>
  <c r="F566" i="4" a="1"/>
  <c r="F566" i="4" s="1"/>
  <c r="F78" i="4" a="1"/>
  <c r="F78" i="4" s="1"/>
  <c r="F230" i="4" a="1"/>
  <c r="F230" i="4" s="1"/>
  <c r="F384" i="4" a="1"/>
  <c r="F384" i="4" s="1"/>
  <c r="F519" i="4" a="1"/>
  <c r="F519" i="4" s="1"/>
  <c r="F272" i="4" a="1"/>
  <c r="F272" i="4" s="1"/>
  <c r="F572" i="4" a="1"/>
  <c r="F572" i="4" s="1"/>
  <c r="F733" i="4" a="1"/>
  <c r="F733" i="4" s="1"/>
  <c r="F877" i="4" a="1"/>
  <c r="F877" i="4" s="1"/>
  <c r="F65" i="4" a="1"/>
  <c r="F65" i="4" s="1"/>
  <c r="F483" i="4" a="1"/>
  <c r="F483" i="4" s="1"/>
  <c r="F690" i="4" a="1"/>
  <c r="F690" i="4" s="1"/>
  <c r="F338" i="4" a="1"/>
  <c r="F338" i="4" s="1"/>
  <c r="F575" i="4" a="1"/>
  <c r="F575" i="4" s="1"/>
  <c r="F747" i="4" a="1"/>
  <c r="F747" i="4" s="1"/>
  <c r="F891" i="4" a="1"/>
  <c r="F891" i="4" s="1"/>
  <c r="F112" i="4" a="1"/>
  <c r="F112" i="4" s="1"/>
  <c r="F488" i="4" a="1"/>
  <c r="F488" i="4" s="1"/>
  <c r="F348" i="4" a="1"/>
  <c r="F348" i="4" s="1"/>
  <c r="F577" i="4" a="1"/>
  <c r="F577" i="4" s="1"/>
  <c r="F737" i="4" a="1"/>
  <c r="F737" i="4" s="1"/>
  <c r="F881" i="4" a="1"/>
  <c r="F881" i="4" s="1"/>
  <c r="F120" i="4" a="1"/>
  <c r="F120" i="4" s="1"/>
  <c r="F508" i="4" a="1"/>
  <c r="F508" i="4" s="1"/>
  <c r="F693" i="4" a="1"/>
  <c r="F693" i="4" s="1"/>
  <c r="F837" i="4" a="1"/>
  <c r="F837" i="4" s="1"/>
  <c r="F44" i="4" a="1"/>
  <c r="F44" i="4" s="1"/>
  <c r="F460" i="4" a="1"/>
  <c r="F460" i="4" s="1"/>
  <c r="F662" i="4" a="1"/>
  <c r="F662" i="4" s="1"/>
  <c r="F807" i="4" a="1"/>
  <c r="F807" i="4" s="1"/>
  <c r="F950" i="4" a="1"/>
  <c r="F950" i="4" s="1"/>
  <c r="F389" i="4" a="1"/>
  <c r="F389" i="4" s="1"/>
  <c r="F603" i="4" a="1"/>
  <c r="F603" i="4" s="1"/>
  <c r="F753" i="4" a="1"/>
  <c r="F753" i="4" s="1"/>
  <c r="F897" i="4" a="1"/>
  <c r="F897" i="4" s="1"/>
  <c r="F184" i="4" a="1"/>
  <c r="F184" i="4" s="1"/>
  <c r="F515" i="4" a="1"/>
  <c r="F515" i="4" s="1"/>
  <c r="F698" i="4" a="1"/>
  <c r="F698" i="4" s="1"/>
  <c r="F842" i="4" a="1"/>
  <c r="F842" i="4" s="1"/>
  <c r="F993" i="4" a="1"/>
  <c r="F993" i="4" s="1"/>
  <c r="F828" i="4" a="1"/>
  <c r="F828" i="4" s="1"/>
  <c r="F643" i="4" a="1"/>
  <c r="F643" i="4" s="1"/>
  <c r="F97" i="4" a="1"/>
  <c r="F97" i="4" s="1"/>
  <c r="F857" i="4" a="1"/>
  <c r="F857" i="4" s="1"/>
  <c r="F648" i="4" a="1"/>
  <c r="F648" i="4" s="1"/>
  <c r="F34" i="4" a="1"/>
  <c r="F34" i="4" s="1"/>
  <c r="F176" i="4" a="1"/>
  <c r="F176" i="4" s="1"/>
  <c r="F308" i="4" a="1"/>
  <c r="F308" i="4" s="1"/>
  <c r="F437" i="4" a="1"/>
  <c r="F437" i="4" s="1"/>
  <c r="F113" i="4" a="1"/>
  <c r="F113" i="4" s="1"/>
  <c r="F267" i="4" a="1"/>
  <c r="F267" i="4" s="1"/>
  <c r="F398" i="4" a="1"/>
  <c r="F398" i="4" s="1"/>
  <c r="F558" i="4" a="1"/>
  <c r="F558" i="4" s="1"/>
  <c r="F71" i="4" a="1"/>
  <c r="F71" i="4" s="1"/>
  <c r="F213" i="4" a="1"/>
  <c r="F213" i="4" s="1"/>
  <c r="F355" i="4" a="1"/>
  <c r="F355" i="4" s="1"/>
  <c r="F103" i="4" a="1"/>
  <c r="F103" i="4" s="1"/>
  <c r="F258" i="4" a="1"/>
  <c r="F258" i="4" s="1"/>
  <c r="F52" i="4" a="1"/>
  <c r="F52" i="4" s="1"/>
  <c r="F193" i="4" a="1"/>
  <c r="F193" i="4" s="1"/>
  <c r="F323" i="4" a="1"/>
  <c r="F323" i="4" s="1"/>
  <c r="F117" i="4" a="1"/>
  <c r="F117" i="4" s="1"/>
  <c r="F271" i="4" a="1"/>
  <c r="F271" i="4" s="1"/>
  <c r="F422" i="4" a="1"/>
  <c r="F422" i="4" s="1"/>
  <c r="F574" i="4" a="1"/>
  <c r="F574" i="4" s="1"/>
  <c r="F75" i="4" a="1"/>
  <c r="F75" i="4" s="1"/>
  <c r="F226" i="4" a="1"/>
  <c r="F226" i="4" s="1"/>
  <c r="F142" i="4" a="1"/>
  <c r="F142" i="4" s="1"/>
  <c r="F274" i="4" a="1"/>
  <c r="F274" i="4" s="1"/>
  <c r="F416" i="4" a="1"/>
  <c r="F416" i="4" s="1"/>
  <c r="F578" i="4" a="1"/>
  <c r="F578" i="4" s="1"/>
  <c r="F88" i="4" a="1"/>
  <c r="F88" i="4" s="1"/>
  <c r="F242" i="4" a="1"/>
  <c r="F242" i="4" s="1"/>
  <c r="F395" i="4" a="1"/>
  <c r="F395" i="4" s="1"/>
  <c r="F531" i="4" a="1"/>
  <c r="F531" i="4" s="1"/>
  <c r="F303" i="4" a="1"/>
  <c r="F303" i="4" s="1"/>
  <c r="F589" i="4" a="1"/>
  <c r="F589" i="4" s="1"/>
  <c r="F745" i="4" a="1"/>
  <c r="F745" i="4" s="1"/>
  <c r="F889" i="4" a="1"/>
  <c r="F889" i="4" s="1"/>
  <c r="F107" i="4" a="1"/>
  <c r="F107" i="4" s="1"/>
  <c r="F501" i="4" a="1"/>
  <c r="F501" i="4" s="1"/>
  <c r="F701" i="4" a="1"/>
  <c r="F701" i="4" s="1"/>
  <c r="F370" i="4" a="1"/>
  <c r="F370" i="4" s="1"/>
  <c r="F593" i="4" a="1"/>
  <c r="F593" i="4" s="1"/>
  <c r="F757" i="4" a="1"/>
  <c r="F757" i="4" s="1"/>
  <c r="F901" i="4" a="1"/>
  <c r="F901" i="4" s="1"/>
  <c r="F155" i="4" a="1"/>
  <c r="F155" i="4" s="1"/>
  <c r="F504" i="4" a="1"/>
  <c r="F504" i="4" s="1"/>
  <c r="F380" i="4" a="1"/>
  <c r="F380" i="4" s="1"/>
  <c r="F596" i="4" a="1"/>
  <c r="F596" i="4" s="1"/>
  <c r="F749" i="4" a="1"/>
  <c r="F749" i="4" s="1"/>
  <c r="F893" i="4" a="1"/>
  <c r="F893" i="4" s="1"/>
  <c r="F162" i="4" a="1"/>
  <c r="F162" i="4" s="1"/>
  <c r="F525" i="4" a="1"/>
  <c r="F525" i="4" s="1"/>
  <c r="F704" i="4" a="1"/>
  <c r="F704" i="4" s="1"/>
  <c r="F848" i="4" a="1"/>
  <c r="F848" i="4" s="1"/>
  <c r="F87" i="4" a="1"/>
  <c r="F87" i="4" s="1"/>
  <c r="F477" i="4" a="1"/>
  <c r="F477" i="4" s="1"/>
  <c r="F674" i="4" a="1"/>
  <c r="F674" i="4" s="1"/>
  <c r="F819" i="4" a="1"/>
  <c r="F819" i="4" s="1"/>
  <c r="F960" i="4" a="1"/>
  <c r="F960" i="4" s="1"/>
  <c r="F411" i="4" a="1"/>
  <c r="F411" i="4" s="1"/>
  <c r="F619" i="4" a="1"/>
  <c r="F619" i="4" s="1"/>
  <c r="F763" i="4" a="1"/>
  <c r="F763" i="4" s="1"/>
  <c r="F907" i="4" a="1"/>
  <c r="F907" i="4" s="1"/>
  <c r="F227" i="4" a="1"/>
  <c r="F227" i="4" s="1"/>
  <c r="F533" i="4" a="1"/>
  <c r="F533" i="4" s="1"/>
  <c r="F720" i="4" a="1"/>
  <c r="F720" i="4" s="1"/>
  <c r="F864" i="4" a="1"/>
  <c r="F864" i="4" s="1"/>
  <c r="F80" i="4" a="1"/>
  <c r="F80" i="4" s="1"/>
  <c r="F853" i="4" a="1"/>
  <c r="F853" i="4" s="1"/>
  <c r="F680" i="4" a="1"/>
  <c r="F680" i="4" s="1"/>
  <c r="F266" i="4" a="1"/>
  <c r="F266" i="4" s="1"/>
  <c r="F884" i="4" a="1"/>
  <c r="F884" i="4" s="1"/>
  <c r="F684" i="4" a="1"/>
  <c r="F684" i="4" s="1"/>
  <c r="F287" i="4" a="1"/>
  <c r="F287" i="4" s="1"/>
  <c r="F861" i="4" a="1"/>
  <c r="F861" i="4" s="1"/>
  <c r="F725" i="4" a="1"/>
  <c r="F725" i="4" s="1"/>
  <c r="F316" i="4" a="1"/>
  <c r="F316" i="4" s="1"/>
  <c r="F11" i="4" a="1"/>
  <c r="F11" i="4" s="1"/>
  <c r="F58" i="4" a="1"/>
  <c r="F58" i="4" s="1"/>
  <c r="F200" i="4" a="1"/>
  <c r="F200" i="4" s="1"/>
  <c r="F330" i="4" a="1"/>
  <c r="F330" i="4" s="1"/>
  <c r="F475" i="4" a="1"/>
  <c r="F475" i="4" s="1"/>
  <c r="F146" i="4" a="1"/>
  <c r="F146" i="4" s="1"/>
  <c r="F288" i="4" a="1"/>
  <c r="F288" i="4" s="1"/>
  <c r="F418" i="4" a="1"/>
  <c r="F418" i="4" s="1"/>
  <c r="F582" i="4" a="1"/>
  <c r="F582" i="4" s="1"/>
  <c r="F102" i="4" a="1"/>
  <c r="F102" i="4" s="1"/>
  <c r="F234" i="4" a="1"/>
  <c r="F234" i="4" s="1"/>
  <c r="F376" i="4" a="1"/>
  <c r="F376" i="4" s="1"/>
  <c r="F127" i="4" a="1"/>
  <c r="F127" i="4" s="1"/>
  <c r="F290" i="4" a="1"/>
  <c r="F290" i="4" s="1"/>
  <c r="F73" i="4" a="1"/>
  <c r="F73" i="4" s="1"/>
  <c r="F214" i="4" a="1"/>
  <c r="F214" i="4" s="1"/>
  <c r="F346" i="4" a="1"/>
  <c r="F346" i="4" s="1"/>
  <c r="F139" i="4" a="1"/>
  <c r="F139" i="4" s="1"/>
  <c r="F302" i="4" a="1"/>
  <c r="F302" i="4" s="1"/>
  <c r="F442" i="4" a="1"/>
  <c r="F442" i="4" s="1"/>
  <c r="F598" i="4" a="1"/>
  <c r="F598" i="4" s="1"/>
  <c r="F95" i="4" a="1"/>
  <c r="F95" i="4" s="1"/>
  <c r="F16" i="4" a="1"/>
  <c r="F16" i="4" s="1"/>
  <c r="F163" i="4" a="1"/>
  <c r="F163" i="4" s="1"/>
  <c r="F295" i="4" a="1"/>
  <c r="F295" i="4" s="1"/>
  <c r="F446" i="4" a="1"/>
  <c r="F446" i="4" s="1"/>
  <c r="F602" i="4" a="1"/>
  <c r="F602" i="4" s="1"/>
  <c r="F110" i="4" a="1"/>
  <c r="F110" i="4" s="1"/>
  <c r="F264" i="4" a="1"/>
  <c r="F264" i="4" s="1"/>
  <c r="F426" i="4" a="1"/>
  <c r="F426" i="4" s="1"/>
  <c r="F555" i="4" a="1"/>
  <c r="F555" i="4" s="1"/>
  <c r="F369" i="4" a="1"/>
  <c r="F369" i="4" s="1"/>
  <c r="F623" i="4" a="1"/>
  <c r="F623" i="4" s="1"/>
  <c r="F766" i="4" a="1"/>
  <c r="F766" i="4" s="1"/>
  <c r="F910" i="4" a="1"/>
  <c r="F910" i="4" s="1"/>
  <c r="F196" i="4" a="1"/>
  <c r="F196" i="4" s="1"/>
  <c r="F537" i="4" a="1"/>
  <c r="F537" i="4" s="1"/>
  <c r="F723" i="4" a="1"/>
  <c r="F723" i="4" s="1"/>
  <c r="F419" i="4" a="1"/>
  <c r="F419" i="4" s="1"/>
  <c r="F625" i="4" a="1"/>
  <c r="F625" i="4" s="1"/>
  <c r="F779" i="4" a="1"/>
  <c r="F779" i="4" s="1"/>
  <c r="F923" i="4" a="1"/>
  <c r="F923" i="4" s="1"/>
  <c r="F277" i="4" a="1"/>
  <c r="F277" i="4" s="1"/>
  <c r="F540" i="4" a="1"/>
  <c r="F540" i="4" s="1"/>
  <c r="F421" i="4" a="1"/>
  <c r="F421" i="4" s="1"/>
  <c r="F628" i="4" a="1"/>
  <c r="F628" i="4" s="1"/>
  <c r="F770" i="4" a="1"/>
  <c r="F770" i="4" s="1"/>
  <c r="F914" i="4" a="1"/>
  <c r="F914" i="4" s="1"/>
  <c r="F283" i="4" a="1"/>
  <c r="F283" i="4" s="1"/>
  <c r="F561" i="4" a="1"/>
  <c r="F561" i="4" s="1"/>
  <c r="F738" i="4" a="1"/>
  <c r="F738" i="4" s="1"/>
  <c r="F882" i="4" a="1"/>
  <c r="F882" i="4" s="1"/>
  <c r="F173" i="4" a="1"/>
  <c r="F173" i="4" s="1"/>
  <c r="F512" i="4" a="1"/>
  <c r="F512" i="4" s="1"/>
  <c r="F696" i="4" a="1"/>
  <c r="F696" i="4" s="1"/>
  <c r="F840" i="4" a="1"/>
  <c r="F840" i="4" s="1"/>
  <c r="F991" i="4" a="1"/>
  <c r="F991" i="4" s="1"/>
  <c r="F445" i="4" a="1"/>
  <c r="F445" i="4" s="1"/>
  <c r="F651" i="4" a="1"/>
  <c r="F651" i="4" s="1"/>
  <c r="F797" i="4" a="1"/>
  <c r="F797" i="4" s="1"/>
  <c r="F940" i="4" a="1"/>
  <c r="F940" i="4" s="1"/>
  <c r="F294" i="4" a="1"/>
  <c r="F294" i="4" s="1"/>
  <c r="F569" i="4" a="1"/>
  <c r="F569" i="4" s="1"/>
  <c r="F743" i="4" a="1"/>
  <c r="F743" i="4" s="1"/>
  <c r="F887" i="4" a="1"/>
  <c r="F887" i="4" s="1"/>
  <c r="F382" i="4" a="1"/>
  <c r="F382" i="4" s="1"/>
  <c r="F906" i="4" a="1"/>
  <c r="F906" i="4" s="1"/>
  <c r="F748" i="4" a="1"/>
  <c r="F748" i="4" s="1"/>
  <c r="F463" i="4" a="1"/>
  <c r="F463" i="4" s="1"/>
  <c r="F937" i="4" a="1"/>
  <c r="F937" i="4" s="1"/>
  <c r="F751" i="4" a="1"/>
  <c r="F751" i="4" s="1"/>
  <c r="F476" i="4" a="1"/>
  <c r="F476" i="4" s="1"/>
  <c r="F916" i="4" a="1"/>
  <c r="F916" i="4" s="1"/>
  <c r="F783" i="4" a="1"/>
  <c r="F783" i="4" s="1"/>
  <c r="F13" i="4" a="1"/>
  <c r="F13" i="4" s="1"/>
  <c r="F79" i="4" a="1"/>
  <c r="F79" i="4" s="1"/>
  <c r="F220" i="4" a="1"/>
  <c r="F220" i="4" s="1"/>
  <c r="F352" i="4" a="1"/>
  <c r="F352" i="4" s="1"/>
  <c r="F21" i="4" a="1"/>
  <c r="F21" i="4" s="1"/>
  <c r="F167" i="4" a="1"/>
  <c r="F167" i="4" s="1"/>
  <c r="F310" i="4" a="1"/>
  <c r="F310" i="4" s="1"/>
  <c r="F449" i="4" a="1"/>
  <c r="F449" i="4" s="1"/>
  <c r="F606" i="4" a="1"/>
  <c r="F606" i="4" s="1"/>
  <c r="F126" i="4" a="1"/>
  <c r="F126" i="4" s="1"/>
  <c r="F257" i="4" a="1"/>
  <c r="F257" i="4" s="1"/>
  <c r="F410" i="4" a="1"/>
  <c r="F410" i="4" s="1"/>
  <c r="F158" i="4" a="1"/>
  <c r="F158" i="4" s="1"/>
  <c r="F312" i="4" a="1"/>
  <c r="F312" i="4" s="1"/>
  <c r="F104" i="4" a="1"/>
  <c r="F104" i="4" s="1"/>
  <c r="F236" i="4" a="1"/>
  <c r="F236" i="4" s="1"/>
  <c r="F367" i="4" a="1"/>
  <c r="F367" i="4" s="1"/>
  <c r="F171" i="4" a="1"/>
  <c r="F171" i="4" s="1"/>
  <c r="F324" i="4" a="1"/>
  <c r="F324" i="4" s="1"/>
  <c r="F480" i="4" a="1"/>
  <c r="F480" i="4" s="1"/>
  <c r="F622" i="4" a="1"/>
  <c r="F622" i="4" s="1"/>
  <c r="F118" i="4" a="1"/>
  <c r="F118" i="4" s="1"/>
  <c r="F45" i="4" a="1"/>
  <c r="F45" i="4" s="1"/>
  <c r="F186" i="4" a="1"/>
  <c r="F186" i="4" s="1"/>
  <c r="F317" i="4" a="1"/>
  <c r="F317" i="4" s="1"/>
  <c r="F473" i="4" a="1"/>
  <c r="F473" i="4" s="1"/>
  <c r="F626" i="4" a="1"/>
  <c r="F626" i="4" s="1"/>
  <c r="F133" i="4" a="1"/>
  <c r="F133" i="4" s="1"/>
  <c r="F296" i="4" a="1"/>
  <c r="F296" i="4" s="1"/>
  <c r="F447" i="4" a="1"/>
  <c r="F447" i="4" s="1"/>
  <c r="F579" i="4" a="1"/>
  <c r="F579" i="4" s="1"/>
  <c r="F415" i="4" a="1"/>
  <c r="F415" i="4" s="1"/>
  <c r="F654" i="4" a="1"/>
  <c r="F654" i="4" s="1"/>
  <c r="F788" i="4" a="1"/>
  <c r="F788" i="4" s="1"/>
  <c r="F932" i="4" a="1"/>
  <c r="F932" i="4" s="1"/>
  <c r="F273" i="4" a="1"/>
  <c r="F273" i="4" s="1"/>
  <c r="F573" i="4" a="1"/>
  <c r="F573" i="4" s="1"/>
  <c r="F746" i="4" a="1"/>
  <c r="F746" i="4" s="1"/>
  <c r="F452" i="4" a="1"/>
  <c r="F452" i="4" s="1"/>
  <c r="F656" i="4" a="1"/>
  <c r="F656" i="4" s="1"/>
  <c r="F801" i="4" a="1"/>
  <c r="F801" i="4" s="1"/>
  <c r="F945" i="4" a="1"/>
  <c r="F945" i="4" s="1"/>
  <c r="F342" i="4" a="1"/>
  <c r="F342" i="4" s="1"/>
  <c r="F29" i="4" a="1"/>
  <c r="F29" i="4" s="1"/>
  <c r="F454" i="4" a="1"/>
  <c r="F454" i="4" s="1"/>
  <c r="F658" i="4" a="1"/>
  <c r="F658" i="4" s="1"/>
  <c r="F803" i="4" a="1"/>
  <c r="F803" i="4" s="1"/>
  <c r="F957" i="4" a="1"/>
  <c r="F957" i="4" s="1"/>
  <c r="F381" i="4" a="1"/>
  <c r="F381" i="4" s="1"/>
  <c r="F597" i="4" a="1"/>
  <c r="F597" i="4" s="1"/>
  <c r="F760" i="4" a="1"/>
  <c r="F760" i="4" s="1"/>
  <c r="F904" i="4" a="1"/>
  <c r="F904" i="4" s="1"/>
  <c r="F261" i="4" a="1"/>
  <c r="F261" i="4" s="1"/>
  <c r="F548" i="4" a="1"/>
  <c r="F548" i="4" s="1"/>
  <c r="F718" i="4" a="1"/>
  <c r="F718" i="4" s="1"/>
  <c r="F862" i="4" a="1"/>
  <c r="F862" i="4" s="1"/>
  <c r="F90" i="4" a="1"/>
  <c r="F90" i="4" s="1"/>
  <c r="F478" i="4" a="1"/>
  <c r="F478" i="4" s="1"/>
  <c r="F675" i="4" a="1"/>
  <c r="F675" i="4" s="1"/>
  <c r="F820" i="4" a="1"/>
  <c r="F820" i="4" s="1"/>
  <c r="F961" i="4" a="1"/>
  <c r="F961" i="4" s="1"/>
  <c r="F360" i="4" a="1"/>
  <c r="F360" i="4" s="1"/>
  <c r="F604" i="4" a="1"/>
  <c r="F604" i="4" s="1"/>
  <c r="F764" i="4" a="1"/>
  <c r="F764" i="4" s="1"/>
  <c r="F908" i="4" a="1"/>
  <c r="F908" i="4" s="1"/>
  <c r="F588" i="4" a="1"/>
  <c r="F588" i="4" s="1"/>
  <c r="F983" i="4" a="1"/>
  <c r="F983" i="4" s="1"/>
  <c r="F802" i="4" a="1"/>
  <c r="F802" i="4" s="1"/>
  <c r="F599" i="4" a="1"/>
  <c r="F599" i="4" s="1"/>
  <c r="F987" i="4" a="1"/>
  <c r="F987" i="4" s="1"/>
  <c r="F15" i="4" a="1"/>
  <c r="F15" i="4" s="1"/>
  <c r="F188" i="4" a="1"/>
  <c r="F188" i="4" s="1"/>
  <c r="F385" i="4" a="1"/>
  <c r="F385" i="4" s="1"/>
  <c r="F125" i="4" a="1"/>
  <c r="F125" i="4" s="1"/>
  <c r="F343" i="4" a="1"/>
  <c r="F343" i="4" s="1"/>
  <c r="F570" i="4" a="1"/>
  <c r="F570" i="4" s="1"/>
  <c r="F157" i="4" a="1"/>
  <c r="F157" i="4" s="1"/>
  <c r="F365" i="4" a="1"/>
  <c r="F365" i="4" s="1"/>
  <c r="F192" i="4" a="1"/>
  <c r="F192" i="4" s="1"/>
  <c r="F63" i="4" a="1"/>
  <c r="F63" i="4" s="1"/>
  <c r="F270" i="4" a="1"/>
  <c r="F270" i="4" s="1"/>
  <c r="F129" i="4" a="1"/>
  <c r="F129" i="4" s="1"/>
  <c r="F368" i="4" a="1"/>
  <c r="F368" i="4" s="1"/>
  <c r="F586" i="4" a="1"/>
  <c r="F586" i="4" s="1"/>
  <c r="F160" i="4" a="1"/>
  <c r="F160" i="4" s="1"/>
  <c r="F153" i="4" a="1"/>
  <c r="F153" i="4" s="1"/>
  <c r="F351" i="4" a="1"/>
  <c r="F351" i="4" s="1"/>
  <c r="F590" i="4" a="1"/>
  <c r="F590" i="4" s="1"/>
  <c r="F175" i="4" a="1"/>
  <c r="F175" i="4" s="1"/>
  <c r="F406" i="4" a="1"/>
  <c r="F406" i="4" s="1"/>
  <c r="F100" i="4" a="1"/>
  <c r="F100" i="4" s="1"/>
  <c r="F607" i="4" a="1"/>
  <c r="F607" i="4" s="1"/>
  <c r="F833" i="4" a="1"/>
  <c r="F833" i="4" s="1"/>
  <c r="F151" i="4" a="1"/>
  <c r="F151" i="4" s="1"/>
  <c r="F624" i="4" a="1"/>
  <c r="F624" i="4" s="1"/>
  <c r="F400" i="4" a="1"/>
  <c r="F400" i="4" s="1"/>
  <c r="F702" i="4" a="1"/>
  <c r="F702" i="4" s="1"/>
  <c r="F912" i="4" a="1"/>
  <c r="F912" i="4" s="1"/>
  <c r="F420" i="4" a="1"/>
  <c r="F420" i="4" s="1"/>
  <c r="F403" i="4" a="1"/>
  <c r="F403" i="4" s="1"/>
  <c r="F692" i="4" a="1"/>
  <c r="F692" i="4" s="1"/>
  <c r="F903" i="4" a="1"/>
  <c r="F903" i="4" s="1"/>
  <c r="F441" i="4" a="1"/>
  <c r="F441" i="4" s="1"/>
  <c r="F715" i="4" a="1"/>
  <c r="F715" i="4" s="1"/>
  <c r="F947" i="4" a="1"/>
  <c r="F947" i="4" s="1"/>
  <c r="F494" i="4" a="1"/>
  <c r="F494" i="4" s="1"/>
  <c r="F752" i="4" a="1"/>
  <c r="F752" i="4" s="1"/>
  <c r="F981" i="4" a="1"/>
  <c r="F981" i="4" s="1"/>
  <c r="F532" i="4" a="1"/>
  <c r="F532" i="4" s="1"/>
  <c r="F785" i="4" a="1"/>
  <c r="F785" i="4" s="1"/>
  <c r="F992" i="4" a="1"/>
  <c r="F992" i="4" s="1"/>
  <c r="F551" i="4" a="1"/>
  <c r="F551" i="4" s="1"/>
  <c r="F798" i="4" a="1"/>
  <c r="F798" i="4" s="1"/>
  <c r="F251" i="4" a="1"/>
  <c r="F251" i="4" s="1"/>
  <c r="F386" i="4" a="1"/>
  <c r="F386" i="4" s="1"/>
  <c r="F392" i="4" a="1"/>
  <c r="F392" i="4" s="1"/>
  <c r="F405" i="4" a="1"/>
  <c r="F405" i="4" s="1"/>
  <c r="F989" i="4" a="1"/>
  <c r="F989" i="4" s="1"/>
  <c r="F890" i="4" a="1"/>
  <c r="F890" i="4" s="1"/>
  <c r="F838" i="4" a="1"/>
  <c r="F838" i="4" s="1"/>
  <c r="F694" i="4" a="1"/>
  <c r="F694" i="4" s="1"/>
  <c r="F431" i="4" a="1"/>
  <c r="F431" i="4" s="1"/>
  <c r="F899" i="4" a="1"/>
  <c r="F899" i="4" s="1"/>
  <c r="F705" i="4" a="1"/>
  <c r="F705" i="4" s="1"/>
  <c r="F616" i="4" a="1"/>
  <c r="F616" i="4" s="1"/>
  <c r="F980" i="4" a="1"/>
  <c r="F980" i="4" s="1"/>
  <c r="F450" i="4" a="1"/>
  <c r="F450" i="4" s="1"/>
  <c r="F706" i="4" a="1"/>
  <c r="F706" i="4" s="1"/>
  <c r="F948" i="4" a="1"/>
  <c r="F948" i="4" s="1"/>
  <c r="F26" i="4" a="1"/>
  <c r="F26" i="4" s="1"/>
  <c r="F210" i="4" a="1"/>
  <c r="F210" i="4" s="1"/>
  <c r="F396" i="4" a="1"/>
  <c r="F396" i="4" s="1"/>
  <c r="F156" i="4" a="1"/>
  <c r="F156" i="4" s="1"/>
  <c r="F354" i="4" a="1"/>
  <c r="F354" i="4" s="1"/>
  <c r="F594" i="4" a="1"/>
  <c r="F594" i="4" s="1"/>
  <c r="F168" i="4" a="1"/>
  <c r="F168" i="4" s="1"/>
  <c r="F399" i="4" a="1"/>
  <c r="F399" i="4" s="1"/>
  <c r="F203" i="4" a="1"/>
  <c r="F203" i="4" s="1"/>
  <c r="F83" i="4" a="1"/>
  <c r="F83" i="4" s="1"/>
  <c r="F280" i="4" a="1"/>
  <c r="F280" i="4" s="1"/>
  <c r="F149" i="4" a="1"/>
  <c r="F149" i="4" s="1"/>
  <c r="F379" i="4" a="1"/>
  <c r="F379" i="4" s="1"/>
  <c r="F610" i="4" a="1"/>
  <c r="F610" i="4" s="1"/>
  <c r="F183" i="4" a="1"/>
  <c r="F183" i="4" s="1"/>
  <c r="F174" i="4" a="1"/>
  <c r="F174" i="4" s="1"/>
  <c r="F361" i="4" a="1"/>
  <c r="F361" i="4" s="1"/>
  <c r="F614" i="4" a="1"/>
  <c r="F614" i="4" s="1"/>
  <c r="F187" i="4" a="1"/>
  <c r="F187" i="4" s="1"/>
  <c r="F436" i="4" a="1"/>
  <c r="F436" i="4" s="1"/>
  <c r="F145" i="4" a="1"/>
  <c r="F145" i="4" s="1"/>
  <c r="F639" i="4" a="1"/>
  <c r="F639" i="4" s="1"/>
  <c r="F844" i="4" a="1"/>
  <c r="F844" i="4" s="1"/>
  <c r="F239" i="4" a="1"/>
  <c r="F239" i="4" s="1"/>
  <c r="F640" i="4" a="1"/>
  <c r="F640" i="4" s="1"/>
  <c r="F435" i="4" a="1"/>
  <c r="F435" i="4" s="1"/>
  <c r="F712" i="4" a="1"/>
  <c r="F712" i="4" s="1"/>
  <c r="F934" i="4" a="1"/>
  <c r="F934" i="4" s="1"/>
  <c r="F438" i="4" a="1"/>
  <c r="F438" i="4" s="1"/>
  <c r="F440" i="4" a="1"/>
  <c r="F440" i="4" s="1"/>
  <c r="F703" i="4" a="1"/>
  <c r="F703" i="4" s="1"/>
  <c r="F936" i="4" a="1"/>
  <c r="F936" i="4" s="1"/>
  <c r="F457" i="4" a="1"/>
  <c r="F457" i="4" s="1"/>
  <c r="F750" i="4" a="1"/>
  <c r="F750" i="4" s="1"/>
  <c r="F958" i="4" a="1"/>
  <c r="F958" i="4" s="1"/>
  <c r="F529" i="4" a="1"/>
  <c r="F529" i="4" s="1"/>
  <c r="F774" i="4" a="1"/>
  <c r="F774" i="4" s="1"/>
  <c r="F48" i="4" a="1"/>
  <c r="F48" i="4" s="1"/>
  <c r="F549" i="4" a="1"/>
  <c r="F549" i="4" s="1"/>
  <c r="F808" i="4" a="1"/>
  <c r="F808" i="4" s="1"/>
  <c r="F55" i="4" a="1"/>
  <c r="F55" i="4" s="1"/>
  <c r="F587" i="4" a="1"/>
  <c r="F587" i="4" s="1"/>
  <c r="F809" i="4" a="1"/>
  <c r="F809" i="4" s="1"/>
  <c r="F527" i="4" a="1"/>
  <c r="F527" i="4" s="1"/>
  <c r="F459" i="4" a="1"/>
  <c r="F459" i="4" s="1"/>
  <c r="F535" i="4" a="1"/>
  <c r="F535" i="4" s="1"/>
  <c r="F472" i="4" a="1"/>
  <c r="F472" i="4" s="1"/>
  <c r="F130" i="4" a="1"/>
  <c r="F130" i="4" s="1"/>
  <c r="F942" i="4" a="1"/>
  <c r="F942" i="4" s="1"/>
  <c r="F865" i="4" a="1"/>
  <c r="F865" i="4" s="1"/>
  <c r="F727" i="4" a="1"/>
  <c r="F727" i="4" s="1"/>
  <c r="F499" i="4" a="1"/>
  <c r="F499" i="4" s="1"/>
  <c r="F924" i="4" a="1"/>
  <c r="F924" i="4" s="1"/>
  <c r="F739" i="4" a="1"/>
  <c r="F739" i="4" s="1"/>
  <c r="F762" i="4" a="1"/>
  <c r="F762" i="4" s="1"/>
  <c r="F843" i="4" a="1"/>
  <c r="F843" i="4" s="1"/>
  <c r="F673" i="4" a="1"/>
  <c r="F673" i="4" s="1"/>
  <c r="F825" i="4" a="1"/>
  <c r="F825" i="4" s="1"/>
  <c r="F47" i="4" a="1"/>
  <c r="F47" i="4" s="1"/>
  <c r="F69" i="4" a="1"/>
  <c r="F69" i="4" s="1"/>
  <c r="F265" i="4" a="1"/>
  <c r="F265" i="4" s="1"/>
  <c r="F485" i="4" a="1"/>
  <c r="F485" i="4" s="1"/>
  <c r="F222" i="4" a="1"/>
  <c r="F222" i="4" s="1"/>
  <c r="F439" i="4" a="1"/>
  <c r="F439" i="4" s="1"/>
  <c r="F23" i="4" a="1"/>
  <c r="F23" i="4" s="1"/>
  <c r="F245" i="4" a="1"/>
  <c r="F245" i="4" s="1"/>
  <c r="F62" i="4" a="1"/>
  <c r="F62" i="4" s="1"/>
  <c r="F300" i="4" a="1"/>
  <c r="F300" i="4" s="1"/>
  <c r="F148" i="4" a="1"/>
  <c r="F148" i="4" s="1"/>
  <c r="F357" i="4" a="1"/>
  <c r="F357" i="4" s="1"/>
  <c r="F215" i="4" a="1"/>
  <c r="F215" i="4" s="1"/>
  <c r="F461" i="4" a="1"/>
  <c r="F461" i="4" s="1"/>
  <c r="F28" i="4" a="1"/>
  <c r="F28" i="4" s="1"/>
  <c r="F32" i="4" a="1"/>
  <c r="F32" i="4" s="1"/>
  <c r="F229" i="4" a="1"/>
  <c r="F229" i="4" s="1"/>
  <c r="F455" i="4" a="1"/>
  <c r="F455" i="4" s="1"/>
  <c r="F33" i="4" a="1"/>
  <c r="F33" i="4" s="1"/>
  <c r="F275" i="4" a="1"/>
  <c r="F275" i="4" s="1"/>
  <c r="F484" i="4" a="1"/>
  <c r="F484" i="4" s="1"/>
  <c r="F393" i="4" a="1"/>
  <c r="F393" i="4" s="1"/>
  <c r="F700" i="4" a="1"/>
  <c r="F700" i="4" s="1"/>
  <c r="F921" i="4" a="1"/>
  <c r="F921" i="4" s="1"/>
  <c r="F434" i="4" a="1"/>
  <c r="F434" i="4" s="1"/>
  <c r="F734" i="4" a="1"/>
  <c r="F734" i="4" s="1"/>
  <c r="F521" i="4" a="1"/>
  <c r="F521" i="4" s="1"/>
  <c r="F790" i="4" a="1"/>
  <c r="F790" i="4" s="1"/>
  <c r="F986" i="4" a="1"/>
  <c r="F986" i="4" s="1"/>
  <c r="F559" i="4" a="1"/>
  <c r="F559" i="4" s="1"/>
  <c r="F524" i="4" a="1"/>
  <c r="F524" i="4" s="1"/>
  <c r="F792" i="4" a="1"/>
  <c r="F792" i="4" s="1"/>
  <c r="F998" i="4" a="1"/>
  <c r="F998" i="4" s="1"/>
  <c r="F580" i="4" a="1"/>
  <c r="F580" i="4" s="1"/>
  <c r="F804" i="4" a="1"/>
  <c r="F804" i="4" s="1"/>
  <c r="F218" i="4" a="1"/>
  <c r="F218" i="4" s="1"/>
  <c r="F617" i="4" a="1"/>
  <c r="F617" i="4" s="1"/>
  <c r="F851" i="4" a="1"/>
  <c r="F851" i="4" s="1"/>
  <c r="F293" i="4" a="1"/>
  <c r="F293" i="4" s="1"/>
  <c r="F663" i="4" a="1"/>
  <c r="F663" i="4" s="1"/>
  <c r="F863" i="4" a="1"/>
  <c r="F863" i="4" s="1"/>
  <c r="F327" i="4" a="1"/>
  <c r="F327" i="4" s="1"/>
  <c r="F664" i="4" a="1"/>
  <c r="F664" i="4" s="1"/>
  <c r="F898" i="4" a="1"/>
  <c r="F898" i="4" s="1"/>
  <c r="F744" i="4" a="1"/>
  <c r="F744" i="4" s="1"/>
  <c r="F776" i="4" a="1"/>
  <c r="F776" i="4" s="1"/>
  <c r="F778" i="4" a="1"/>
  <c r="F778" i="4" s="1"/>
  <c r="F780" i="4" a="1"/>
  <c r="F780" i="4" s="1"/>
  <c r="F653" i="4" a="1"/>
  <c r="F653" i="4" s="1"/>
  <c r="F481" i="4" a="1"/>
  <c r="F481" i="4" s="1"/>
  <c r="F969" i="4" a="1"/>
  <c r="F969" i="4" s="1"/>
  <c r="F839" i="4" a="1"/>
  <c r="F839" i="4" s="1"/>
  <c r="F699" i="4" a="1"/>
  <c r="F699" i="4" s="1"/>
  <c r="F217" i="4" a="1"/>
  <c r="F217" i="4" s="1"/>
  <c r="F849" i="4" a="1"/>
  <c r="F849" i="4" s="1"/>
  <c r="F627" i="4" a="1"/>
  <c r="F627" i="4" s="1"/>
  <c r="F895" i="4" a="1"/>
  <c r="F895" i="4" s="1"/>
  <c r="F728" i="4" a="1"/>
  <c r="F728" i="4" s="1"/>
  <c r="F576" i="4" a="1"/>
  <c r="F576" i="4" s="1"/>
  <c r="F89" i="4" a="1"/>
  <c r="F89" i="4" s="1"/>
  <c r="F276" i="4" a="1"/>
  <c r="F276" i="4" s="1"/>
  <c r="F37" i="4" a="1"/>
  <c r="F37" i="4" s="1"/>
  <c r="F233" i="4" a="1"/>
  <c r="F233" i="4" s="1"/>
  <c r="F458" i="4" a="1"/>
  <c r="F458" i="4" s="1"/>
  <c r="F38" i="4" a="1"/>
  <c r="F38" i="4" s="1"/>
  <c r="F268" i="4" a="1"/>
  <c r="F268" i="4" s="1"/>
  <c r="F72" i="4" a="1"/>
  <c r="F72" i="4" s="1"/>
  <c r="F322" i="4" a="1"/>
  <c r="F322" i="4" s="1"/>
  <c r="F159" i="4" a="1"/>
  <c r="F159" i="4" s="1"/>
  <c r="F378" i="4" a="1"/>
  <c r="F378" i="4" s="1"/>
  <c r="F237" i="4" a="1"/>
  <c r="F237" i="4" s="1"/>
  <c r="F491" i="4" a="1"/>
  <c r="F491" i="4" s="1"/>
  <c r="F42" i="4" a="1"/>
  <c r="F42" i="4" s="1"/>
  <c r="F57" i="4" a="1"/>
  <c r="F57" i="4" s="1"/>
  <c r="F241" i="4" a="1"/>
  <c r="F241" i="4" s="1"/>
  <c r="F495" i="4" a="1"/>
  <c r="F495" i="4" s="1"/>
  <c r="F46" i="4" a="1"/>
  <c r="F46" i="4" s="1"/>
  <c r="F307" i="4" a="1"/>
  <c r="F307" i="4" s="1"/>
  <c r="F496" i="4" a="1"/>
  <c r="F496" i="4" s="1"/>
  <c r="F433" i="4" a="1"/>
  <c r="F433" i="4" s="1"/>
  <c r="F710" i="4" a="1"/>
  <c r="F710" i="4" s="1"/>
  <c r="F943" i="4" a="1"/>
  <c r="F943" i="4" s="1"/>
  <c r="F451" i="4" a="1"/>
  <c r="F451" i="4" s="1"/>
  <c r="F66" i="4" a="1"/>
  <c r="F66" i="4" s="1"/>
  <c r="F539" i="4" a="1"/>
  <c r="F539" i="4" s="1"/>
  <c r="F813" i="4" a="1"/>
  <c r="F813" i="4" s="1"/>
  <c r="F996" i="4" a="1"/>
  <c r="F996" i="4" s="1"/>
  <c r="F119" i="4" a="1"/>
  <c r="F119" i="4" s="1"/>
  <c r="F541" i="4" a="1"/>
  <c r="F541" i="4" s="1"/>
  <c r="F815" i="4" a="1"/>
  <c r="F815" i="4" s="1"/>
  <c r="F30" i="4" a="1"/>
  <c r="F30" i="4" s="1"/>
  <c r="F613" i="4" a="1"/>
  <c r="F613" i="4" s="1"/>
  <c r="F816" i="4" a="1"/>
  <c r="F816" i="4" s="1"/>
  <c r="F292" i="4" a="1"/>
  <c r="F292" i="4" s="1"/>
  <c r="F633" i="4" a="1"/>
  <c r="F633" i="4" s="1"/>
  <c r="F873" i="4" a="1"/>
  <c r="F873" i="4" s="1"/>
  <c r="F326" i="4" a="1"/>
  <c r="F326" i="4" s="1"/>
  <c r="F686" i="4" a="1"/>
  <c r="F686" i="4" s="1"/>
  <c r="F874" i="4" a="1"/>
  <c r="F874" i="4" s="1"/>
  <c r="F391" i="4" a="1"/>
  <c r="F391" i="4" s="1"/>
  <c r="F676" i="4" a="1"/>
  <c r="F676" i="4" s="1"/>
  <c r="F919" i="4" a="1"/>
  <c r="F919" i="4" s="1"/>
  <c r="F773" i="4" a="1"/>
  <c r="F773" i="4" s="1"/>
  <c r="F111" i="4" a="1"/>
  <c r="F111" i="4" s="1"/>
  <c r="F286" i="4" a="1"/>
  <c r="F286" i="4" s="1"/>
  <c r="F49" i="4" a="1"/>
  <c r="F49" i="4" s="1"/>
  <c r="F244" i="4" a="1"/>
  <c r="F244" i="4" s="1"/>
  <c r="F466" i="4" a="1"/>
  <c r="F466" i="4" s="1"/>
  <c r="F50" i="4" a="1"/>
  <c r="F50" i="4" s="1"/>
  <c r="F279" i="4" a="1"/>
  <c r="F279" i="4" s="1"/>
  <c r="F82" i="4" a="1"/>
  <c r="F82" i="4" s="1"/>
  <c r="F345" i="4" a="1"/>
  <c r="F345" i="4" s="1"/>
  <c r="F170" i="4" a="1"/>
  <c r="F170" i="4" s="1"/>
  <c r="F41" i="4" a="1"/>
  <c r="F41" i="4" s="1"/>
  <c r="F248" i="4" a="1"/>
  <c r="F248" i="4" s="1"/>
  <c r="F502" i="4" a="1"/>
  <c r="F502" i="4" s="1"/>
  <c r="F54" i="4" a="1"/>
  <c r="F54" i="4" s="1"/>
  <c r="F67" i="4" a="1"/>
  <c r="F67" i="4" s="1"/>
  <c r="F252" i="4" a="1"/>
  <c r="F252" i="4" s="1"/>
  <c r="F506" i="4" a="1"/>
  <c r="F506" i="4" s="1"/>
  <c r="F68" i="4" a="1"/>
  <c r="F68" i="4" s="1"/>
  <c r="F318" i="4" a="1"/>
  <c r="F318" i="4" s="1"/>
  <c r="F507" i="4" a="1"/>
  <c r="F507" i="4" s="1"/>
  <c r="F482" i="4" a="1"/>
  <c r="F482" i="4" s="1"/>
  <c r="F722" i="4" a="1"/>
  <c r="F722" i="4" s="1"/>
  <c r="F953" i="4" a="1"/>
  <c r="F953" i="4" s="1"/>
  <c r="F243" i="4" a="1"/>
  <c r="F243" i="4" s="1"/>
  <c r="F91" i="4" a="1"/>
  <c r="F91" i="4" s="1"/>
  <c r="F510" i="4" a="1"/>
  <c r="F510" i="4" s="1"/>
  <c r="F223" i="4" a="1"/>
  <c r="F223" i="4" s="1"/>
  <c r="F224" i="4" a="1"/>
  <c r="F224" i="4" s="1"/>
  <c r="F247" i="4" a="1"/>
  <c r="F247" i="4" s="1"/>
  <c r="F281" i="4" a="1"/>
  <c r="F281" i="4" s="1"/>
  <c r="F646" i="4" a="1"/>
  <c r="F646" i="4" s="1"/>
  <c r="F121" i="4" a="1"/>
  <c r="F121" i="4" s="1"/>
  <c r="F530" i="4" a="1"/>
  <c r="F530" i="4" s="1"/>
  <c r="F253" i="4" a="1"/>
  <c r="F253" i="4" s="1"/>
  <c r="F189" i="4" a="1"/>
  <c r="F189" i="4" s="1"/>
  <c r="F799" i="4" a="1"/>
  <c r="F799" i="4" s="1"/>
  <c r="F467" i="4" a="1"/>
  <c r="F467" i="4" s="1"/>
  <c r="F305" i="4" a="1"/>
  <c r="F305" i="4" s="1"/>
  <c r="F824" i="4" a="1"/>
  <c r="F824" i="4" s="1"/>
  <c r="F401" i="4" a="1"/>
  <c r="F401" i="4" s="1"/>
  <c r="F560" i="4" a="1"/>
  <c r="F560" i="4" s="1"/>
  <c r="F870" i="4" a="1"/>
  <c r="F870" i="4" s="1"/>
  <c r="F629" i="4" a="1"/>
  <c r="F629" i="4" s="1"/>
  <c r="F925" i="4" a="1"/>
  <c r="F925" i="4" s="1"/>
  <c r="F649" i="4" a="1"/>
  <c r="F649" i="4" s="1"/>
  <c r="F939" i="4" a="1"/>
  <c r="F939" i="4" s="1"/>
  <c r="F697" i="4" a="1"/>
  <c r="F697" i="4" s="1"/>
  <c r="F982" i="4" a="1"/>
  <c r="F982" i="4" s="1"/>
  <c r="F687" i="4" a="1"/>
  <c r="F687" i="4" s="1"/>
  <c r="F972" i="4" a="1"/>
  <c r="F972" i="4" s="1"/>
  <c r="F855" i="4" a="1"/>
  <c r="F855" i="4" s="1"/>
  <c r="F963" i="4" a="1"/>
  <c r="F963" i="4" s="1"/>
  <c r="F408" i="4" a="1"/>
  <c r="F408" i="4" s="1"/>
  <c r="F552" i="4" a="1"/>
  <c r="F552" i="4" s="1"/>
  <c r="F563" i="4" a="1"/>
  <c r="F563" i="4" s="1"/>
  <c r="F571" i="4" a="1"/>
  <c r="F571" i="4" s="1"/>
  <c r="F353" i="4" a="1"/>
  <c r="F353" i="4" s="1"/>
  <c r="F954" i="4" a="1"/>
  <c r="F954" i="4" s="1"/>
  <c r="F424" i="4" a="1"/>
  <c r="F424" i="4" s="1"/>
  <c r="F493" i="4" a="1"/>
  <c r="F493" i="4" s="1"/>
  <c r="F740" i="4" a="1"/>
  <c r="F740" i="4" s="1"/>
  <c r="F254" i="4" a="1"/>
  <c r="F254" i="4" s="1"/>
  <c r="F178" i="4" a="1"/>
  <c r="F178" i="4" s="1"/>
  <c r="F522" i="4" a="1"/>
  <c r="F522" i="4" s="1"/>
  <c r="F289" i="4" a="1"/>
  <c r="F289" i="4" s="1"/>
  <c r="F235" i="4" a="1"/>
  <c r="F235" i="4" s="1"/>
  <c r="F259" i="4" a="1"/>
  <c r="F259" i="4" s="1"/>
  <c r="F314" i="4" a="1"/>
  <c r="F314" i="4" s="1"/>
  <c r="F12" i="4" a="1"/>
  <c r="F12" i="4" s="1"/>
  <c r="F198" i="4" a="1"/>
  <c r="F198" i="4" s="1"/>
  <c r="F542" i="4" a="1"/>
  <c r="F542" i="4" s="1"/>
  <c r="F329" i="4" a="1"/>
  <c r="F329" i="4" s="1"/>
  <c r="F232" i="4" a="1"/>
  <c r="F232" i="4" s="1"/>
  <c r="F811" i="4" a="1"/>
  <c r="F811" i="4" s="1"/>
  <c r="F520" i="4" a="1"/>
  <c r="F520" i="4" s="1"/>
  <c r="F468" i="4" a="1"/>
  <c r="F468" i="4" s="1"/>
  <c r="F846" i="4" a="1"/>
  <c r="F846" i="4" s="1"/>
  <c r="F453" i="4" a="1"/>
  <c r="F453" i="4" s="1"/>
  <c r="F612" i="4" a="1"/>
  <c r="F612" i="4" s="1"/>
  <c r="F967" i="4" a="1"/>
  <c r="F967" i="4" s="1"/>
  <c r="F645" i="4" a="1"/>
  <c r="F645" i="4" s="1"/>
  <c r="F968" i="4" a="1"/>
  <c r="F968" i="4" s="1"/>
  <c r="F685" i="4" a="1"/>
  <c r="F685" i="4" s="1"/>
  <c r="F135" i="4" a="1"/>
  <c r="F135" i="4" s="1"/>
  <c r="F708" i="4" a="1"/>
  <c r="F708" i="4" s="1"/>
  <c r="F96" i="4" a="1"/>
  <c r="F96" i="4" s="1"/>
  <c r="F731" i="4" a="1"/>
  <c r="F731" i="4" s="1"/>
  <c r="F637" i="4" a="1"/>
  <c r="F637" i="4" s="1"/>
  <c r="F883" i="4" a="1"/>
  <c r="F883" i="4" s="1"/>
  <c r="F124" i="4" a="1"/>
  <c r="F124" i="4" s="1"/>
  <c r="F547" i="4" a="1"/>
  <c r="F547" i="4" s="1"/>
  <c r="F611" i="4" a="1"/>
  <c r="F611" i="4" s="1"/>
  <c r="F615" i="4" a="1"/>
  <c r="F615" i="4" s="1"/>
  <c r="F621" i="4" a="1"/>
  <c r="F621" i="4" s="1"/>
  <c r="F443" i="4" a="1"/>
  <c r="F443" i="4" s="1"/>
  <c r="F979" i="4" a="1"/>
  <c r="F979" i="4" s="1"/>
  <c r="F661" i="4" a="1"/>
  <c r="F661" i="4" s="1"/>
  <c r="F695" i="4" a="1"/>
  <c r="F695" i="4" s="1"/>
  <c r="F850" i="4" a="1"/>
  <c r="F850" i="4" s="1"/>
  <c r="F22" i="4" a="1"/>
  <c r="F22" i="4" s="1"/>
  <c r="F319" i="4" a="1"/>
  <c r="F319" i="4" s="1"/>
  <c r="F190" i="4" a="1"/>
  <c r="F190" i="4" s="1"/>
  <c r="F534" i="4" a="1"/>
  <c r="F534" i="4" s="1"/>
  <c r="F299" i="4" a="1"/>
  <c r="F299" i="4" s="1"/>
  <c r="F269" i="4" a="1"/>
  <c r="F269" i="4" s="1"/>
  <c r="F291" i="4" a="1"/>
  <c r="F291" i="4" s="1"/>
  <c r="F335" i="4" a="1"/>
  <c r="F335" i="4" s="1"/>
  <c r="F85" i="4" a="1"/>
  <c r="F85" i="4" s="1"/>
  <c r="F208" i="4" a="1"/>
  <c r="F208" i="4" s="1"/>
  <c r="F554" i="4" a="1"/>
  <c r="F554" i="4" s="1"/>
  <c r="F340" i="4" a="1"/>
  <c r="F340" i="4" s="1"/>
  <c r="F336" i="4" a="1"/>
  <c r="F336" i="4" s="1"/>
  <c r="F854" i="4" a="1"/>
  <c r="F854" i="4" s="1"/>
  <c r="F556" i="4" a="1"/>
  <c r="F556" i="4" s="1"/>
  <c r="F486" i="4" a="1"/>
  <c r="F486" i="4" s="1"/>
  <c r="F856" i="4" a="1"/>
  <c r="F856" i="4" s="1"/>
  <c r="F469" i="4" a="1"/>
  <c r="F469" i="4" s="1"/>
  <c r="F644" i="4" a="1"/>
  <c r="F644" i="4" s="1"/>
  <c r="F977" i="4" a="1"/>
  <c r="F977" i="4" s="1"/>
  <c r="F659" i="4" a="1"/>
  <c r="F659" i="4" s="1"/>
  <c r="F978" i="4" a="1"/>
  <c r="F978" i="4" s="1"/>
  <c r="F707" i="4" a="1"/>
  <c r="F707" i="4" s="1"/>
  <c r="F177" i="4" a="1"/>
  <c r="F177" i="4" s="1"/>
  <c r="F719" i="4" a="1"/>
  <c r="F719" i="4" s="1"/>
  <c r="F141" i="4" a="1"/>
  <c r="F141" i="4" s="1"/>
  <c r="F754" i="4" a="1"/>
  <c r="F754" i="4" s="1"/>
  <c r="F677" i="4" a="1"/>
  <c r="F677" i="4" s="1"/>
  <c r="F909" i="4" a="1"/>
  <c r="F909" i="4" s="1"/>
  <c r="F284" i="4" a="1"/>
  <c r="F284" i="4" s="1"/>
  <c r="F605" i="4" a="1"/>
  <c r="F605" i="4" s="1"/>
  <c r="F657" i="4" a="1"/>
  <c r="F657" i="4" s="1"/>
  <c r="F660" i="4" a="1"/>
  <c r="F660" i="4" s="1"/>
  <c r="F665" i="4" a="1"/>
  <c r="F665" i="4" s="1"/>
  <c r="F511" i="4" a="1"/>
  <c r="F511" i="4" s="1"/>
  <c r="F320" i="4" a="1"/>
  <c r="F320" i="4" s="1"/>
  <c r="F789" i="4" a="1"/>
  <c r="F789" i="4" s="1"/>
  <c r="F817" i="4" a="1"/>
  <c r="F817" i="4" s="1"/>
  <c r="F956" i="4" a="1"/>
  <c r="F956" i="4" s="1"/>
  <c r="F24" i="4" a="1"/>
  <c r="F24" i="4" s="1"/>
  <c r="F341" i="4" a="1"/>
  <c r="F341" i="4" s="1"/>
  <c r="F212" i="4" a="1"/>
  <c r="F212" i="4" s="1"/>
  <c r="F618" i="4" a="1"/>
  <c r="F618" i="4" s="1"/>
  <c r="F311" i="4" a="1"/>
  <c r="F311" i="4" s="1"/>
  <c r="F356" i="4" a="1"/>
  <c r="F356" i="4" s="1"/>
  <c r="F301" i="4" a="1"/>
  <c r="F301" i="4" s="1"/>
  <c r="F347" i="4" a="1"/>
  <c r="F347" i="4" s="1"/>
  <c r="F106" i="4" a="1"/>
  <c r="F106" i="4" s="1"/>
  <c r="F219" i="4" a="1"/>
  <c r="F219" i="4" s="1"/>
  <c r="F638" i="4" a="1"/>
  <c r="F638" i="4" s="1"/>
  <c r="F362" i="4" a="1"/>
  <c r="F362" i="4" s="1"/>
  <c r="F500" i="4" a="1"/>
  <c r="F500" i="4" s="1"/>
  <c r="F866" i="4" a="1"/>
  <c r="F866" i="4" s="1"/>
  <c r="F592" i="4" a="1"/>
  <c r="F592" i="4" s="1"/>
  <c r="F503" i="4" a="1"/>
  <c r="F503" i="4" s="1"/>
  <c r="F868" i="4" a="1"/>
  <c r="F868" i="4" s="1"/>
  <c r="F523" i="4" a="1"/>
  <c r="F523" i="4" s="1"/>
  <c r="F670" i="4" a="1"/>
  <c r="F670" i="4" s="1"/>
  <c r="F988" i="4" a="1"/>
  <c r="F988" i="4" s="1"/>
  <c r="F671" i="4" a="1"/>
  <c r="F671" i="4" s="1"/>
  <c r="F131" i="4" a="1"/>
  <c r="F131" i="4" s="1"/>
  <c r="F729" i="4" a="1"/>
  <c r="F729" i="4" s="1"/>
  <c r="F221" i="4" a="1"/>
  <c r="F221" i="4" s="1"/>
  <c r="F730" i="4" a="1"/>
  <c r="F730" i="4" s="1"/>
  <c r="F262" i="4" a="1"/>
  <c r="F262" i="4" s="1"/>
  <c r="F775" i="4" a="1"/>
  <c r="F775" i="4" s="1"/>
  <c r="F709" i="4" a="1"/>
  <c r="F709" i="4" s="1"/>
  <c r="F935" i="4" a="1"/>
  <c r="F935" i="4" s="1"/>
  <c r="F545" i="4" a="1"/>
  <c r="F545" i="4" s="1"/>
  <c r="F688" i="4" a="1"/>
  <c r="F688" i="4" s="1"/>
  <c r="F691" i="4" a="1"/>
  <c r="F691" i="4" s="1"/>
  <c r="F761" i="4" a="1"/>
  <c r="F761" i="4" s="1"/>
  <c r="F732" i="4" a="1"/>
  <c r="F732" i="4" s="1"/>
  <c r="F581" i="4" a="1"/>
  <c r="F581" i="4" s="1"/>
  <c r="F869" i="4" a="1"/>
  <c r="F869" i="4" s="1"/>
  <c r="F995" i="4" a="1"/>
  <c r="F995" i="4" s="1"/>
  <c r="F922" i="4" a="1"/>
  <c r="F922" i="4" s="1"/>
  <c r="F35" i="4" a="1"/>
  <c r="F35" i="4" s="1"/>
  <c r="F363" i="4" a="1"/>
  <c r="F363" i="4" s="1"/>
  <c r="F278" i="4" a="1"/>
  <c r="F278" i="4" s="1"/>
  <c r="F630" i="4" a="1"/>
  <c r="F630" i="4" s="1"/>
  <c r="F333" i="4" a="1"/>
  <c r="F333" i="4" s="1"/>
  <c r="F366" i="4" a="1"/>
  <c r="F366" i="4" s="1"/>
  <c r="F334" i="4" a="1"/>
  <c r="F334" i="4" s="1"/>
  <c r="F390" i="4" a="1"/>
  <c r="F390" i="4" s="1"/>
  <c r="F140" i="4" a="1"/>
  <c r="F140" i="4" s="1"/>
  <c r="F285" i="4" a="1"/>
  <c r="F285" i="4" s="1"/>
  <c r="F650" i="4" a="1"/>
  <c r="F650" i="4" s="1"/>
  <c r="F372" i="4" a="1"/>
  <c r="F372" i="4" s="1"/>
  <c r="F517" i="4" a="1"/>
  <c r="F517" i="4" s="1"/>
  <c r="F900" i="4" a="1"/>
  <c r="F900" i="4" s="1"/>
  <c r="F608" i="4" a="1"/>
  <c r="F608" i="4" s="1"/>
  <c r="F557" i="4" a="1"/>
  <c r="F557" i="4" s="1"/>
  <c r="F879" i="4" a="1"/>
  <c r="F879" i="4" s="1"/>
  <c r="F161" i="4" a="1"/>
  <c r="F161" i="4" s="1"/>
  <c r="F681" i="4" a="1"/>
  <c r="F681" i="4" s="1"/>
  <c r="F76" i="4" a="1"/>
  <c r="F76" i="4" s="1"/>
  <c r="F682" i="4" a="1"/>
  <c r="F682" i="4" s="1"/>
  <c r="F325" i="4" a="1"/>
  <c r="F325" i="4" s="1"/>
  <c r="F741" i="4" a="1"/>
  <c r="F741" i="4" s="1"/>
  <c r="F359" i="4" a="1"/>
  <c r="F359" i="4" s="1"/>
  <c r="F742" i="4" a="1"/>
  <c r="F742" i="4" s="1"/>
  <c r="F413" i="4" a="1"/>
  <c r="F413" i="4" s="1"/>
  <c r="F786" i="4" a="1"/>
  <c r="F786" i="4" s="1"/>
  <c r="F800" i="4" a="1"/>
  <c r="F800" i="4" s="1"/>
  <c r="F959" i="4" a="1"/>
  <c r="F959" i="4" s="1"/>
  <c r="F600" i="4" a="1"/>
  <c r="F600" i="4" s="1"/>
  <c r="F721" i="4" a="1"/>
  <c r="F721" i="4" s="1"/>
  <c r="F758" i="4" a="1"/>
  <c r="F758" i="4" s="1"/>
  <c r="F787" i="4" a="1"/>
  <c r="F787" i="4" s="1"/>
  <c r="F765" i="4" a="1"/>
  <c r="F765" i="4" s="1"/>
  <c r="F631" i="4" a="1"/>
  <c r="F631" i="4" s="1"/>
  <c r="F973" i="4" a="1"/>
  <c r="F973" i="4" s="1"/>
  <c r="F822" i="4" a="1"/>
  <c r="F822" i="4" s="1"/>
  <c r="F56" i="4" a="1"/>
  <c r="F56" i="4" s="1"/>
  <c r="F31" i="4" a="1"/>
  <c r="F31" i="4" s="1"/>
  <c r="F407" i="4" a="1"/>
  <c r="F407" i="4" s="1"/>
  <c r="F321" i="4" a="1"/>
  <c r="F321" i="4" s="1"/>
  <c r="F92" i="4" a="1"/>
  <c r="F92" i="4" s="1"/>
  <c r="F39" i="4" a="1"/>
  <c r="F39" i="4" s="1"/>
  <c r="F27" i="4" a="1"/>
  <c r="F27" i="4" s="1"/>
  <c r="F74" i="4" a="1"/>
  <c r="F74" i="4" s="1"/>
  <c r="F432" i="4" a="1"/>
  <c r="F432" i="4" s="1"/>
  <c r="F195" i="4" a="1"/>
  <c r="F195" i="4" s="1"/>
  <c r="F328" i="4" a="1"/>
  <c r="F328" i="4" s="1"/>
  <c r="F99" i="4" a="1"/>
  <c r="F99" i="4" s="1"/>
  <c r="F464" i="4" a="1"/>
  <c r="F464" i="4" s="1"/>
  <c r="F553" i="4" a="1"/>
  <c r="F553" i="4" s="1"/>
  <c r="F974" i="4" a="1"/>
  <c r="F974" i="4" s="1"/>
  <c r="F667" i="4" a="1"/>
  <c r="F667" i="4" s="1"/>
  <c r="F641" i="4" a="1"/>
  <c r="F641" i="4" s="1"/>
  <c r="F965" i="4" a="1"/>
  <c r="F965" i="4" s="1"/>
  <c r="F249" i="4" a="1"/>
  <c r="F249" i="4" s="1"/>
  <c r="F726" i="4" a="1"/>
  <c r="F726" i="4" s="1"/>
  <c r="F349" i="4" a="1"/>
  <c r="F349" i="4" s="1"/>
  <c r="F781" i="4" a="1"/>
  <c r="F781" i="4" s="1"/>
  <c r="F388" i="4" a="1"/>
  <c r="F388" i="4" s="1"/>
  <c r="F796" i="4" a="1"/>
  <c r="F796" i="4" s="1"/>
  <c r="F462" i="4" a="1"/>
  <c r="F462" i="4" s="1"/>
  <c r="F841" i="4" a="1"/>
  <c r="F841" i="4" s="1"/>
  <c r="F448" i="4" a="1"/>
  <c r="F448" i="4" s="1"/>
  <c r="F831" i="4" a="1"/>
  <c r="F831" i="4" s="1"/>
  <c r="F933" i="4" a="1"/>
  <c r="F933" i="4" s="1"/>
  <c r="F647" i="4" a="1"/>
  <c r="F647" i="4" s="1"/>
  <c r="F806" i="4" a="1"/>
  <c r="F806" i="4" s="1"/>
  <c r="F782" i="4" a="1"/>
  <c r="F782" i="4" s="1"/>
  <c r="F892" i="4" a="1"/>
  <c r="F892" i="4" s="1"/>
  <c r="F867" i="4" a="1"/>
  <c r="F867" i="4" s="1"/>
  <c r="F818" i="4" a="1"/>
  <c r="F818" i="4" s="1"/>
  <c r="F769" i="4" a="1"/>
  <c r="F769" i="4" s="1"/>
  <c r="F767" i="4" a="1"/>
  <c r="F767" i="4" s="1"/>
  <c r="F794" i="4" a="1"/>
  <c r="F794" i="4" s="1"/>
  <c r="F931" i="4" a="1"/>
  <c r="F931" i="4" s="1"/>
  <c r="F123" i="4" a="1"/>
  <c r="F123" i="4" s="1"/>
  <c r="F417" i="4" a="1"/>
  <c r="F417" i="4" s="1"/>
  <c r="F332" i="4" a="1"/>
  <c r="F332" i="4" s="1"/>
  <c r="F114" i="4" a="1"/>
  <c r="F114" i="4" s="1"/>
  <c r="F51" i="4" a="1"/>
  <c r="F51" i="4" s="1"/>
  <c r="F116" i="4" a="1"/>
  <c r="F116" i="4" s="1"/>
  <c r="F84" i="4" a="1"/>
  <c r="F84" i="4" s="1"/>
  <c r="F514" i="4" a="1"/>
  <c r="F514" i="4" s="1"/>
  <c r="F206" i="4" a="1"/>
  <c r="F206" i="4" s="1"/>
  <c r="F339" i="4" a="1"/>
  <c r="F339" i="4" s="1"/>
  <c r="F122" i="4" a="1"/>
  <c r="F122" i="4" s="1"/>
  <c r="F474" i="4" a="1"/>
  <c r="F474" i="4" s="1"/>
  <c r="F666" i="4" a="1"/>
  <c r="F666" i="4" s="1"/>
  <c r="F984" i="4" a="1"/>
  <c r="F984" i="4" s="1"/>
  <c r="F711" i="4" a="1"/>
  <c r="F711" i="4" s="1"/>
  <c r="F668" i="4" a="1"/>
  <c r="F668" i="4" s="1"/>
  <c r="F976" i="4" a="1"/>
  <c r="F976" i="4" s="1"/>
  <c r="F282" i="4" a="1"/>
  <c r="F282" i="4" s="1"/>
  <c r="F759" i="4" a="1"/>
  <c r="F759" i="4" s="1"/>
  <c r="F134" i="4" a="1"/>
  <c r="F134" i="4" s="1"/>
  <c r="F465" i="4" a="1"/>
  <c r="F465" i="4" s="1"/>
  <c r="F364" i="4" a="1"/>
  <c r="F364" i="4" s="1"/>
  <c r="F136" i="4" a="1"/>
  <c r="F136" i="4" s="1"/>
  <c r="F115" i="4" a="1"/>
  <c r="F115" i="4" s="1"/>
  <c r="F128" i="4" a="1"/>
  <c r="F128" i="4" s="1"/>
  <c r="F94" i="4" a="1"/>
  <c r="F94" i="4" s="1"/>
  <c r="F526" i="4" a="1"/>
  <c r="F526" i="4" s="1"/>
  <c r="F238" i="4" a="1"/>
  <c r="F238" i="4" s="1"/>
  <c r="F371" i="4" a="1"/>
  <c r="F371" i="4" s="1"/>
  <c r="F143" i="4" a="1"/>
  <c r="F143" i="4" s="1"/>
  <c r="F543" i="4" a="1"/>
  <c r="F543" i="4" s="1"/>
  <c r="F678" i="4" a="1"/>
  <c r="F678" i="4" s="1"/>
  <c r="F14" i="4" a="1"/>
  <c r="F14" i="4" s="1"/>
  <c r="F108" i="4" a="1"/>
  <c r="F108" i="4" s="1"/>
  <c r="F679" i="4" a="1"/>
  <c r="F679" i="4" s="1"/>
  <c r="F19" i="4" a="1"/>
  <c r="F19" i="4" s="1"/>
  <c r="F315" i="4" a="1"/>
  <c r="F315" i="4" s="1"/>
  <c r="F826" i="4" a="1"/>
  <c r="F826" i="4" s="1"/>
  <c r="F423" i="4" a="1"/>
  <c r="F423" i="4" s="1"/>
  <c r="F827" i="4" a="1"/>
  <c r="F827" i="4" s="1"/>
  <c r="F444" i="4" a="1"/>
  <c r="F444" i="4" s="1"/>
  <c r="F885" i="4" a="1"/>
  <c r="F885" i="4" s="1"/>
  <c r="F513" i="4" a="1"/>
  <c r="F513" i="4" s="1"/>
  <c r="F886" i="4" a="1"/>
  <c r="F886" i="4" s="1"/>
  <c r="F498" i="4" a="1"/>
  <c r="F498" i="4" s="1"/>
  <c r="F930" i="4" a="1"/>
  <c r="F930" i="4" s="1"/>
  <c r="F255" i="4" a="1"/>
  <c r="F255" i="4" s="1"/>
  <c r="F716" i="4" a="1"/>
  <c r="F716" i="4" s="1"/>
  <c r="F860" i="4" a="1"/>
  <c r="F860" i="4" s="1"/>
  <c r="F835" i="4" a="1"/>
  <c r="F835" i="4" s="1"/>
  <c r="F944" i="4" a="1"/>
  <c r="F944" i="4" s="1"/>
  <c r="F946" i="4" a="1"/>
  <c r="F946" i="4" s="1"/>
  <c r="F871" i="4" a="1"/>
  <c r="F871" i="4" s="1"/>
  <c r="F823" i="4" a="1"/>
  <c r="F823" i="4" s="1"/>
  <c r="F564" i="4" a="1"/>
  <c r="F564" i="4" s="1"/>
  <c r="F509" i="4" a="1"/>
  <c r="F509" i="4" s="1"/>
  <c r="F211" i="4" a="1"/>
  <c r="F211" i="4" s="1"/>
  <c r="F172" i="4" a="1"/>
  <c r="F172" i="4" s="1"/>
  <c r="F927" i="4" a="1"/>
  <c r="F927" i="4" s="1"/>
  <c r="F970" i="4" a="1"/>
  <c r="F970" i="4" s="1"/>
  <c r="F755" i="4" a="1"/>
  <c r="F755" i="4" s="1"/>
  <c r="F595" i="4" a="1"/>
  <c r="F595" i="4" s="1"/>
  <c r="F479" i="4" a="1"/>
  <c r="F479" i="4" s="1"/>
  <c r="F928" i="4" a="1"/>
  <c r="F928" i="4" s="1"/>
  <c r="F859" i="4" a="1"/>
  <c r="F859" i="4" s="1"/>
  <c r="F505" i="4" a="1"/>
  <c r="F505" i="4" s="1"/>
  <c r="F240" i="4" a="1"/>
  <c r="F240" i="4" s="1"/>
  <c r="F59" i="4" a="1"/>
  <c r="F59" i="4" s="1"/>
  <c r="F109" i="4" a="1"/>
  <c r="F109" i="4" s="1"/>
  <c r="F225" i="4" a="1"/>
  <c r="F225" i="4" s="1"/>
  <c r="F487" i="4" a="1"/>
  <c r="F487" i="4" s="1"/>
  <c r="E890" i="4" a="1"/>
  <c r="E890" i="4" s="1"/>
  <c r="E194" i="4" a="1"/>
  <c r="E194" i="4" s="1"/>
  <c r="E508" i="4" a="1"/>
  <c r="E508" i="4" s="1"/>
  <c r="E263" i="4" a="1"/>
  <c r="E263" i="4" s="1"/>
  <c r="E587" i="4" a="1"/>
  <c r="E587" i="4" s="1"/>
  <c r="E254" i="4" a="1"/>
  <c r="E254" i="4" s="1"/>
  <c r="E592" i="4" a="1"/>
  <c r="E592" i="4" s="1"/>
  <c r="E893" i="4" a="1"/>
  <c r="E893" i="4" s="1"/>
  <c r="E560" i="4" a="1"/>
  <c r="E560" i="4" s="1"/>
  <c r="E940" i="4" a="1"/>
  <c r="E940" i="4" s="1"/>
  <c r="E735" i="4" a="1"/>
  <c r="E735" i="4" s="1"/>
  <c r="E850" i="4" a="1"/>
  <c r="E850" i="4" s="1"/>
  <c r="E227" i="4" a="1"/>
  <c r="E227" i="4" s="1"/>
  <c r="E552" i="4" a="1"/>
  <c r="E552" i="4" s="1"/>
  <c r="E304" i="4" a="1"/>
  <c r="E304" i="4" s="1"/>
  <c r="E623" i="4" a="1"/>
  <c r="E623" i="4" s="1"/>
  <c r="E334" i="4" a="1"/>
  <c r="E334" i="4" s="1"/>
  <c r="E628" i="4" a="1"/>
  <c r="E628" i="4" s="1"/>
  <c r="E931" i="4" a="1"/>
  <c r="E931" i="4" s="1"/>
  <c r="E71" i="4" a="1"/>
  <c r="E71" i="4" s="1"/>
  <c r="E993" i="4" a="1"/>
  <c r="E993" i="4" s="1"/>
  <c r="E766" i="4" a="1"/>
  <c r="E766" i="4" s="1"/>
  <c r="E711" i="4" a="1"/>
  <c r="E711" i="4" s="1"/>
  <c r="E88" i="4" a="1"/>
  <c r="E88" i="4" s="1"/>
  <c r="E276" i="4" a="1"/>
  <c r="E276" i="4" s="1"/>
  <c r="E586" i="4" a="1"/>
  <c r="E586" i="4" s="1"/>
  <c r="E174" i="4" a="1"/>
  <c r="E174" i="4" s="1"/>
  <c r="E577" i="4" a="1"/>
  <c r="E577" i="4" s="1"/>
  <c r="E891" i="4" a="1"/>
  <c r="E891" i="4" s="1"/>
  <c r="E777" i="4" a="1"/>
  <c r="E777" i="4" s="1"/>
  <c r="E858" i="4" a="1"/>
  <c r="E858" i="4" s="1"/>
  <c r="E822" i="4" a="1"/>
  <c r="E822" i="4" s="1"/>
  <c r="E287" i="4" a="1"/>
  <c r="E287" i="4" s="1"/>
  <c r="E208" i="4" a="1"/>
  <c r="E208" i="4" s="1"/>
  <c r="E405" i="4" a="1"/>
  <c r="E405" i="4" s="1"/>
  <c r="E702" i="4" a="1"/>
  <c r="E702" i="4" s="1"/>
  <c r="E321" i="4" a="1"/>
  <c r="E321" i="4" s="1"/>
  <c r="E694" i="4" a="1"/>
  <c r="E694" i="4" s="1"/>
  <c r="E40" i="4" a="1"/>
  <c r="E40" i="4" s="1"/>
  <c r="E987" i="4" a="1"/>
  <c r="E987" i="4" s="1"/>
  <c r="E653" i="4" a="1"/>
  <c r="E653" i="4" s="1"/>
  <c r="E273" i="4" a="1"/>
  <c r="E273" i="4" s="1"/>
  <c r="E536" i="4" a="1"/>
  <c r="E536" i="4" s="1"/>
  <c r="E317" i="4" a="1"/>
  <c r="E317" i="4" s="1"/>
  <c r="E690" i="4" a="1"/>
  <c r="E690" i="4" s="1"/>
  <c r="E703" i="4" a="1"/>
  <c r="E703" i="4" s="1"/>
  <c r="E37" i="4" a="1"/>
  <c r="E37" i="4" s="1"/>
  <c r="E336" i="4" a="1"/>
  <c r="E336" i="4" s="1"/>
  <c r="E783" i="4" a="1"/>
  <c r="E783" i="4" s="1"/>
  <c r="E924" i="4" a="1"/>
  <c r="E924" i="4" s="1"/>
  <c r="E132" i="4" a="1"/>
  <c r="E132" i="4" s="1"/>
  <c r="E856" i="4" a="1"/>
  <c r="E856" i="4" s="1"/>
  <c r="E223" i="4" a="1"/>
  <c r="E223" i="4" s="1"/>
  <c r="E283" i="4" a="1"/>
  <c r="E283" i="4" s="1"/>
  <c r="E852" i="4" a="1"/>
  <c r="E852" i="4" s="1"/>
  <c r="E131" i="4" a="1"/>
  <c r="E131" i="4" s="1"/>
  <c r="E329" i="4" a="1"/>
  <c r="E329" i="4" s="1"/>
  <c r="E251" i="4" a="1"/>
  <c r="E251" i="4" s="1"/>
  <c r="E394" i="4" a="1"/>
  <c r="E394" i="4" s="1"/>
  <c r="E612" i="4" a="1"/>
  <c r="E612" i="4" s="1"/>
  <c r="E719" i="4" a="1"/>
  <c r="E719" i="4" s="1"/>
  <c r="E830" i="4" a="1"/>
  <c r="E830" i="4" s="1"/>
  <c r="E364" i="4" a="1"/>
  <c r="E364" i="4" s="1"/>
  <c r="E53" i="4" a="1"/>
  <c r="E53" i="4" s="1"/>
  <c r="E184" i="4" a="1"/>
  <c r="E184" i="4" s="1"/>
  <c r="H184" i="4" s="1"/>
  <c r="E622" i="4" a="1"/>
  <c r="E622" i="4" s="1"/>
  <c r="E775" i="4" a="1"/>
  <c r="E775" i="4" s="1"/>
  <c r="E941" i="4" a="1"/>
  <c r="E941" i="4" s="1"/>
  <c r="E722" i="4" a="1"/>
  <c r="E722" i="4" s="1"/>
  <c r="E906" i="4" a="1"/>
  <c r="E906" i="4" s="1"/>
  <c r="E568" i="4" a="1"/>
  <c r="E568" i="4" s="1"/>
  <c r="E81" i="4" a="1"/>
  <c r="E81" i="4" s="1"/>
  <c r="E234" i="4" a="1"/>
  <c r="E234" i="4" s="1"/>
  <c r="E867" i="4" a="1"/>
  <c r="E867" i="4" s="1"/>
  <c r="E811" i="4" a="1"/>
  <c r="E811" i="4" s="1"/>
  <c r="E299" i="4" a="1"/>
  <c r="E299" i="4" s="1"/>
  <c r="E807" i="4" a="1"/>
  <c r="E807" i="4" s="1"/>
  <c r="E816" i="4" a="1"/>
  <c r="E816" i="4" s="1"/>
  <c r="E662" i="4" a="1"/>
  <c r="E662" i="4" s="1"/>
  <c r="E113" i="4" a="1"/>
  <c r="E113" i="4" s="1"/>
  <c r="E343" i="4" a="1"/>
  <c r="E343" i="4" s="1"/>
  <c r="E915" i="4" a="1"/>
  <c r="E915" i="4" s="1"/>
  <c r="E898" i="4" a="1"/>
  <c r="E898" i="4" s="1"/>
  <c r="E341" i="4" a="1"/>
  <c r="E341" i="4" s="1"/>
  <c r="E990" i="4" a="1"/>
  <c r="E990" i="4" s="1"/>
  <c r="E864" i="4" a="1"/>
  <c r="E864" i="4" s="1"/>
  <c r="E826" i="4" a="1"/>
  <c r="E826" i="4" s="1"/>
  <c r="E167" i="4" a="1"/>
  <c r="E167" i="4" s="1"/>
  <c r="E525" i="4" a="1"/>
  <c r="E525" i="4" s="1"/>
  <c r="E639" i="4" a="1"/>
  <c r="E639" i="4" s="1"/>
  <c r="E948" i="4" a="1"/>
  <c r="E948" i="4" s="1"/>
  <c r="E21" i="4" a="1"/>
  <c r="E21" i="4" s="1"/>
  <c r="E420" i="4" a="1"/>
  <c r="E420" i="4" s="1"/>
  <c r="E387" i="4" a="1"/>
  <c r="E387" i="4" s="1"/>
  <c r="E945" i="4" a="1"/>
  <c r="E945" i="4" s="1"/>
  <c r="E318" i="4" a="1"/>
  <c r="E318" i="4" s="1"/>
  <c r="E613" i="4" a="1"/>
  <c r="E613" i="4" s="1"/>
  <c r="E916" i="4" a="1"/>
  <c r="E916" i="4" s="1"/>
  <c r="E553" i="4" a="1"/>
  <c r="E553" i="4" s="1"/>
  <c r="E879" i="4" a="1"/>
  <c r="E879" i="4" s="1"/>
  <c r="E505" i="4" a="1"/>
  <c r="E505" i="4" s="1"/>
  <c r="E597" i="4" a="1"/>
  <c r="E597" i="4" s="1"/>
  <c r="E927" i="4" a="1"/>
  <c r="E927" i="4" s="1"/>
  <c r="E579" i="4" a="1"/>
  <c r="E579" i="4" s="1"/>
  <c r="E982" i="4" a="1"/>
  <c r="E982" i="4" s="1"/>
  <c r="E423" i="4" a="1"/>
  <c r="E423" i="4" s="1"/>
  <c r="E550" i="4" a="1"/>
  <c r="E550" i="4" s="1"/>
  <c r="E83" i="4" a="1"/>
  <c r="E83" i="4" s="1"/>
  <c r="E26" i="4" a="1"/>
  <c r="E26" i="4" s="1"/>
  <c r="E424" i="4" a="1"/>
  <c r="E424" i="4" s="1"/>
  <c r="E921" i="4" a="1"/>
  <c r="E921" i="4" s="1"/>
  <c r="E244" i="4" a="1"/>
  <c r="E244" i="4" s="1"/>
  <c r="E278" i="4" a="1"/>
  <c r="E278" i="4" s="1"/>
  <c r="E606" i="4" a="1"/>
  <c r="E606" i="4" s="1"/>
  <c r="E868" i="4" a="1"/>
  <c r="E868" i="4" s="1"/>
  <c r="F516" i="4" a="1"/>
  <c r="F516" i="4" s="1"/>
  <c r="F902" i="4" a="1"/>
  <c r="F902" i="4" s="1"/>
  <c r="F920" i="4" a="1"/>
  <c r="F920" i="4" s="1"/>
  <c r="F938" i="4" a="1"/>
  <c r="F938" i="4" s="1"/>
  <c r="F528" i="4" a="1"/>
  <c r="F528" i="4" s="1"/>
  <c r="F430" i="4" a="1"/>
  <c r="F430" i="4" s="1"/>
  <c r="F918" i="4" a="1"/>
  <c r="F918" i="4" s="1"/>
  <c r="F793" i="4" a="1"/>
  <c r="F793" i="4" s="1"/>
  <c r="F489" i="4" a="1"/>
  <c r="F489" i="4" s="1"/>
  <c r="F197" i="4" a="1"/>
  <c r="F197" i="4" s="1"/>
  <c r="F591" i="4" a="1"/>
  <c r="F591" i="4" s="1"/>
  <c r="F98" i="4" a="1"/>
  <c r="F98" i="4" s="1"/>
  <c r="F204" i="4" a="1"/>
  <c r="F204" i="4" s="1"/>
  <c r="F409" i="4" a="1"/>
  <c r="F409" i="4" s="1"/>
  <c r="E324" i="4" a="1"/>
  <c r="E324" i="4" s="1"/>
  <c r="E41" i="4" a="1"/>
  <c r="E41" i="4" s="1"/>
  <c r="F185" i="4" a="1"/>
  <c r="F185" i="4" s="1"/>
  <c r="F713" i="4" a="1"/>
  <c r="F713" i="4" s="1"/>
  <c r="F429" i="4" a="1"/>
  <c r="F429" i="4" s="1"/>
  <c r="F714" i="4" a="1"/>
  <c r="F714" i="4" s="1"/>
  <c r="F536" i="4" a="1"/>
  <c r="F536" i="4" s="1"/>
  <c r="F53" i="4" a="1"/>
  <c r="F53" i="4" s="1"/>
  <c r="F20" i="4" a="1"/>
  <c r="F20" i="4" s="1"/>
  <c r="F926" i="4" a="1"/>
  <c r="F926" i="4" s="1"/>
  <c r="F876" i="4" a="1"/>
  <c r="F876" i="4" s="1"/>
  <c r="F814" i="4" a="1"/>
  <c r="F814" i="4" s="1"/>
  <c r="F913" i="4" a="1"/>
  <c r="F913" i="4" s="1"/>
  <c r="F86" i="4" a="1"/>
  <c r="F86" i="4" s="1"/>
  <c r="F971" i="4" a="1"/>
  <c r="F971" i="4" s="1"/>
  <c r="F896" i="4" a="1"/>
  <c r="F896" i="4" s="1"/>
  <c r="F771" i="4" a="1"/>
  <c r="F771" i="4" s="1"/>
  <c r="F470" i="4" a="1"/>
  <c r="F470" i="4" s="1"/>
  <c r="F152" i="4" a="1"/>
  <c r="F152" i="4" s="1"/>
  <c r="F567" i="4" a="1"/>
  <c r="F567" i="4" s="1"/>
  <c r="F77" i="4" a="1"/>
  <c r="F77" i="4" s="1"/>
  <c r="F138" i="4" a="1"/>
  <c r="F138" i="4" s="1"/>
  <c r="F375" i="4" a="1"/>
  <c r="F375" i="4" s="1"/>
  <c r="E981" i="4" a="1"/>
  <c r="E981" i="4" s="1"/>
  <c r="E294" i="4" a="1"/>
  <c r="E294" i="4" s="1"/>
  <c r="F872" i="4" a="1"/>
  <c r="F872" i="4" s="1"/>
  <c r="F497" i="4" a="1"/>
  <c r="F497" i="4" s="1"/>
  <c r="F724" i="4" a="1"/>
  <c r="F724" i="4" s="1"/>
  <c r="F147" i="4" a="1"/>
  <c r="F147" i="4" s="1"/>
  <c r="F810" i="4" a="1"/>
  <c r="F810" i="4" s="1"/>
  <c r="F620" i="4" a="1"/>
  <c r="F620" i="4" s="1"/>
  <c r="F894" i="4" a="1"/>
  <c r="F894" i="4" s="1"/>
  <c r="F609" i="4" a="1"/>
  <c r="F609" i="4" s="1"/>
  <c r="F306" i="4" a="1"/>
  <c r="F306" i="4" s="1"/>
  <c r="F642" i="4" a="1"/>
  <c r="F642" i="4" s="1"/>
  <c r="E895" i="4" a="1"/>
  <c r="E895" i="4" s="1"/>
  <c r="F36" i="4" a="1"/>
  <c r="F36" i="4" s="1"/>
  <c r="F795" i="4" a="1"/>
  <c r="F795" i="4" s="1"/>
  <c r="F492" i="4" a="1"/>
  <c r="F492" i="4" s="1"/>
  <c r="F888" i="4" a="1"/>
  <c r="F888" i="4" s="1"/>
  <c r="F880" i="4" a="1"/>
  <c r="F880" i="4" s="1"/>
  <c r="F951" i="4" a="1"/>
  <c r="F951" i="4" s="1"/>
  <c r="F829" i="4" a="1"/>
  <c r="F829" i="4" s="1"/>
  <c r="F544" i="4" a="1"/>
  <c r="F544" i="4" s="1"/>
  <c r="F207" i="4" a="1"/>
  <c r="F207" i="4" s="1"/>
  <c r="F655" i="4" a="1"/>
  <c r="F655" i="4" s="1"/>
  <c r="F456" i="4" a="1"/>
  <c r="F456" i="4" s="1"/>
  <c r="F150" i="4" a="1"/>
  <c r="F150" i="4" s="1"/>
  <c r="F377" i="4" a="1"/>
  <c r="F377" i="4" s="1"/>
  <c r="F298" i="4" a="1"/>
  <c r="F298" i="4" s="1"/>
  <c r="E272" i="4" a="1"/>
  <c r="E272" i="4" s="1"/>
  <c r="F966" i="4" a="1"/>
  <c r="F966" i="4" s="1"/>
  <c r="F144" i="4" a="1"/>
  <c r="F144" i="4" s="1"/>
  <c r="F929" i="4" a="1"/>
  <c r="F929" i="4" s="1"/>
  <c r="E542" i="4" a="1"/>
  <c r="E542" i="4" s="1"/>
  <c r="F997" i="4" a="1"/>
  <c r="F997" i="4" s="1"/>
  <c r="F43" i="4" a="1"/>
  <c r="F43" i="4" s="1"/>
  <c r="F994" i="4" a="1"/>
  <c r="F994" i="4" s="1"/>
  <c r="F717" i="4" a="1"/>
  <c r="F717" i="4" s="1"/>
  <c r="F952" i="4" a="1"/>
  <c r="F952" i="4" s="1"/>
  <c r="F852" i="4" a="1"/>
  <c r="F852" i="4" s="1"/>
  <c r="F601" i="4" a="1"/>
  <c r="F601" i="4" s="1"/>
  <c r="F471" i="4" a="1"/>
  <c r="F471" i="4" s="1"/>
  <c r="F309" i="4" a="1"/>
  <c r="F309" i="4" s="1"/>
  <c r="F337" i="4" a="1"/>
  <c r="F337" i="4" s="1"/>
  <c r="F199" i="4" a="1"/>
  <c r="F199" i="4" s="1"/>
  <c r="F550" i="4" a="1"/>
  <c r="F550" i="4" s="1"/>
  <c r="F169" i="4" a="1"/>
  <c r="F169" i="4" s="1"/>
  <c r="F70" i="4" a="1"/>
  <c r="F70" i="4" s="1"/>
  <c r="E733" i="4" a="1"/>
  <c r="E733" i="4" s="1"/>
  <c r="F331" i="4" a="1"/>
  <c r="F331" i="4" s="1"/>
  <c r="F383" i="4" a="1"/>
  <c r="F383" i="4" s="1"/>
  <c r="F736" i="4" a="1"/>
  <c r="F736" i="4" s="1"/>
  <c r="F834" i="4" a="1"/>
  <c r="F834" i="4" s="1"/>
  <c r="F490" i="4" a="1"/>
  <c r="F490" i="4" s="1"/>
  <c r="F209" i="4" a="1"/>
  <c r="F209" i="4" s="1"/>
  <c r="F669" i="4" a="1"/>
  <c r="F669" i="4" s="1"/>
  <c r="F975" i="4" a="1"/>
  <c r="F975" i="4" s="1"/>
  <c r="F917" i="4" a="1"/>
  <c r="F917" i="4" s="1"/>
  <c r="F911" i="4" a="1"/>
  <c r="F911" i="4" s="1"/>
  <c r="F941" i="4" a="1"/>
  <c r="F941" i="4" s="1"/>
  <c r="I941" i="4" s="1"/>
  <c r="J941" i="4" s="1" a="1"/>
  <c r="J941" i="4" s="1"/>
  <c r="F830" i="4" a="1"/>
  <c r="F830" i="4" s="1"/>
  <c r="F584" i="4" a="1"/>
  <c r="F584" i="4" s="1"/>
  <c r="F404" i="4" a="1"/>
  <c r="F404" i="4" s="1"/>
  <c r="F201" i="4" a="1"/>
  <c r="F201" i="4" s="1"/>
  <c r="F304" i="4" a="1"/>
  <c r="F304" i="4" s="1"/>
  <c r="F164" i="4" a="1"/>
  <c r="F164" i="4" s="1"/>
  <c r="F538" i="4" a="1"/>
  <c r="F538" i="4" s="1"/>
  <c r="F137" i="4" a="1"/>
  <c r="F137" i="4" s="1"/>
  <c r="F60" i="4" a="1"/>
  <c r="F60" i="4" s="1"/>
  <c r="E642" i="4" a="1"/>
  <c r="E642" i="4" s="1"/>
  <c r="F228" i="4" a="1"/>
  <c r="F228" i="4" s="1"/>
  <c r="F636" i="4" a="1"/>
  <c r="F636" i="4" s="1"/>
  <c r="F915" i="4" a="1"/>
  <c r="F915" i="4" s="1"/>
  <c r="F689" i="4" a="1"/>
  <c r="F689" i="4" s="1"/>
  <c r="E320" i="4" a="1"/>
  <c r="E320" i="4" s="1"/>
  <c r="F350" i="4" a="1"/>
  <c r="F350" i="4" s="1"/>
  <c r="F166" i="4" a="1"/>
  <c r="F166" i="4" s="1"/>
  <c r="F784" i="4" a="1"/>
  <c r="F784" i="4" s="1"/>
  <c r="F397" i="4" a="1"/>
  <c r="F397" i="4" s="1"/>
  <c r="F180" i="4" a="1"/>
  <c r="F180" i="4" s="1"/>
  <c r="F878" i="4" a="1"/>
  <c r="F878" i="4" s="1"/>
  <c r="F949" i="4" a="1"/>
  <c r="F949" i="4" s="1"/>
  <c r="F812" i="4" a="1"/>
  <c r="F812" i="4" s="1"/>
  <c r="F832" i="4" a="1"/>
  <c r="F832" i="4" s="1"/>
  <c r="F875" i="4" a="1"/>
  <c r="F875" i="4" s="1"/>
  <c r="F635" i="4" a="1"/>
  <c r="F635" i="4" s="1"/>
  <c r="F565" i="4" a="1"/>
  <c r="F565" i="4" s="1"/>
  <c r="F250" i="4" a="1"/>
  <c r="F250" i="4" s="1"/>
  <c r="F955" i="4" a="1"/>
  <c r="F955" i="4" s="1"/>
  <c r="F964" i="4" a="1"/>
  <c r="F964" i="4" s="1"/>
  <c r="F17" i="4" a="1"/>
  <c r="F17" i="4" s="1"/>
  <c r="F402" i="4" a="1"/>
  <c r="F402" i="4" s="1"/>
  <c r="F25" i="4" a="1"/>
  <c r="F25" i="4" s="1"/>
  <c r="F373" i="4" a="1"/>
  <c r="F373" i="4" s="1"/>
  <c r="E338" i="4" a="1"/>
  <c r="E338" i="4" s="1"/>
  <c r="H338" i="4" s="1"/>
  <c r="F985" i="4" a="1"/>
  <c r="F985" i="4" s="1"/>
  <c r="F836" i="4" a="1"/>
  <c r="F836" i="4" s="1"/>
  <c r="F182" i="4" a="1"/>
  <c r="F182" i="4" s="1"/>
  <c r="F905" i="4" a="1"/>
  <c r="F905" i="4" s="1"/>
  <c r="F962" i="4" a="1"/>
  <c r="F962" i="4" s="1"/>
  <c r="F374" i="4" a="1"/>
  <c r="F374" i="4" s="1"/>
  <c r="F634" i="4" a="1"/>
  <c r="F634" i="4" s="1"/>
  <c r="F772" i="4" a="1"/>
  <c r="F772" i="4" s="1"/>
  <c r="F845" i="4" a="1"/>
  <c r="F845" i="4" s="1"/>
  <c r="F414" i="4" a="1"/>
  <c r="F414" i="4" s="1"/>
  <c r="F805" i="4" a="1"/>
  <c r="F805" i="4" s="1"/>
  <c r="F821" i="4" a="1"/>
  <c r="F821" i="4" s="1"/>
  <c r="F585" i="4" a="1"/>
  <c r="F585" i="4" s="1"/>
  <c r="F428" i="4" a="1"/>
  <c r="F428" i="4" s="1"/>
  <c r="F858" i="4" a="1"/>
  <c r="F858" i="4" s="1"/>
  <c r="F768" i="4" a="1"/>
  <c r="F768" i="4" s="1"/>
  <c r="F777" i="4" a="1"/>
  <c r="F777" i="4" s="1"/>
  <c r="F518" i="4" a="1"/>
  <c r="F518" i="4" s="1"/>
  <c r="F205" i="4" a="1"/>
  <c r="F205" i="4" s="1"/>
  <c r="F191" i="4" a="1"/>
  <c r="F191" i="4" s="1"/>
  <c r="F231" i="4" a="1"/>
  <c r="F231" i="4" s="1"/>
  <c r="E495" i="4" a="1"/>
  <c r="E495" i="4" s="1"/>
  <c r="F672" i="4" a="1"/>
  <c r="F672" i="4" s="1"/>
  <c r="F81" i="4" a="1"/>
  <c r="F81" i="4" s="1"/>
  <c r="F583" i="4" a="1"/>
  <c r="F583" i="4" s="1"/>
  <c r="F632" i="4" a="1"/>
  <c r="F632" i="4" s="1"/>
  <c r="F791" i="4" a="1"/>
  <c r="F791" i="4" s="1"/>
  <c r="F990" i="4" a="1"/>
  <c r="F990" i="4" s="1"/>
  <c r="F683" i="4" a="1"/>
  <c r="F683" i="4" s="1"/>
  <c r="F652" i="4" a="1"/>
  <c r="F652" i="4" s="1"/>
  <c r="F568" i="4" a="1"/>
  <c r="F568" i="4" s="1"/>
  <c r="F358" i="4" a="1"/>
  <c r="F358" i="4" s="1"/>
  <c r="F847" i="4" a="1"/>
  <c r="F847" i="4" s="1"/>
  <c r="F735" i="4" a="1"/>
  <c r="F735" i="4" s="1"/>
  <c r="F756" i="4" a="1"/>
  <c r="F756" i="4" s="1"/>
  <c r="F425" i="4" a="1"/>
  <c r="F425" i="4" s="1"/>
  <c r="F194" i="4" a="1"/>
  <c r="F194" i="4" s="1"/>
  <c r="F179" i="4" a="1"/>
  <c r="F179" i="4" s="1"/>
  <c r="F154" i="4" a="1"/>
  <c r="F154" i="4" s="1"/>
  <c r="E406" i="4" a="1"/>
  <c r="E406" i="4" s="1"/>
  <c r="G82" i="4" a="1"/>
  <c r="G82" i="4" s="1"/>
  <c r="G511" i="4" a="1"/>
  <c r="G511" i="4" s="1"/>
  <c r="G269" i="4" a="1"/>
  <c r="G269" i="4" s="1"/>
  <c r="G428" i="4" a="1"/>
  <c r="G428" i="4" s="1"/>
  <c r="G49" i="4" a="1"/>
  <c r="G49" i="4" s="1"/>
  <c r="G551" i="4" a="1"/>
  <c r="G551" i="4" s="1"/>
  <c r="G375" i="4" a="1"/>
  <c r="G375" i="4" s="1"/>
  <c r="G15" i="4" a="1"/>
  <c r="G15" i="4" s="1"/>
  <c r="G877" i="4" a="1"/>
  <c r="G877" i="4" s="1"/>
  <c r="G691" i="4" a="1"/>
  <c r="G691" i="4" s="1"/>
  <c r="G508" i="4" a="1"/>
  <c r="G508" i="4" s="1"/>
  <c r="G303" i="4" a="1"/>
  <c r="G303" i="4" s="1"/>
  <c r="G507" i="4" a="1"/>
  <c r="G507" i="4" s="1"/>
  <c r="G175" i="4" a="1"/>
  <c r="G175" i="4" s="1"/>
  <c r="G668" i="4" a="1"/>
  <c r="G668" i="4" s="1"/>
  <c r="G385" i="4" a="1"/>
  <c r="G385" i="4" s="1"/>
  <c r="G902" i="4" a="1"/>
  <c r="G902" i="4" s="1"/>
  <c r="G710" i="4" a="1"/>
  <c r="G710" i="4" s="1"/>
  <c r="G299" i="4" a="1"/>
  <c r="G299" i="4" s="1"/>
  <c r="G865" i="4" a="1"/>
  <c r="G865" i="4" s="1"/>
  <c r="G546" i="4" a="1"/>
  <c r="G546" i="4" s="1"/>
  <c r="G388" i="4" a="1"/>
  <c r="G388" i="4" s="1"/>
  <c r="G48" i="4" a="1"/>
  <c r="G48" i="4" s="1"/>
  <c r="G29" i="4" a="1"/>
  <c r="G29" i="4" s="1"/>
  <c r="G412" i="4" a="1"/>
  <c r="G412" i="4" s="1"/>
  <c r="G115" i="4" a="1"/>
  <c r="G115" i="4" s="1"/>
  <c r="G16" i="4" a="1"/>
  <c r="G16" i="4" s="1"/>
  <c r="G302" i="4" a="1"/>
  <c r="G302" i="4" s="1"/>
  <c r="G263" i="4" a="1"/>
  <c r="G263" i="4" s="1"/>
  <c r="G460" i="4" a="1"/>
  <c r="G460" i="4" s="1"/>
  <c r="G843" i="4" a="1"/>
  <c r="G843" i="4" s="1"/>
  <c r="G567" i="4" a="1"/>
  <c r="G567" i="4" s="1"/>
  <c r="G807" i="4" a="1"/>
  <c r="G807" i="4" s="1"/>
  <c r="G565" i="4" a="1"/>
  <c r="G565" i="4" s="1"/>
  <c r="G917" i="4" a="1"/>
  <c r="G917" i="4" s="1"/>
  <c r="G619" i="4" a="1"/>
  <c r="G619" i="4" s="1"/>
  <c r="G806" i="4" a="1"/>
  <c r="G806" i="4" s="1"/>
  <c r="G631" i="4" a="1"/>
  <c r="G631" i="4" s="1"/>
  <c r="G471" i="4" a="1"/>
  <c r="G471" i="4" s="1"/>
  <c r="G244" i="4" a="1"/>
  <c r="G244" i="4" s="1"/>
  <c r="G341" i="4" a="1"/>
  <c r="G341" i="4" s="1"/>
  <c r="G618" i="4" a="1"/>
  <c r="G618" i="4" s="1"/>
  <c r="G481" i="4" a="1"/>
  <c r="G481" i="4" s="1"/>
  <c r="G160" i="4" a="1"/>
  <c r="G160" i="4" s="1"/>
  <c r="G376" i="4" a="1"/>
  <c r="G376" i="4" s="1"/>
  <c r="G681" i="4" a="1"/>
  <c r="G681" i="4" s="1"/>
  <c r="G529" i="4" a="1"/>
  <c r="G529" i="4" s="1"/>
  <c r="G336" i="4" a="1"/>
  <c r="G336" i="4" s="1"/>
  <c r="G985" i="4" a="1"/>
  <c r="G985" i="4" s="1"/>
  <c r="G859" i="4" a="1"/>
  <c r="G859" i="4" s="1"/>
  <c r="G648" i="4" a="1"/>
  <c r="G648" i="4" s="1"/>
  <c r="G488" i="4" a="1"/>
  <c r="G488" i="4" s="1"/>
  <c r="G231" i="4" a="1"/>
  <c r="G231" i="4" s="1"/>
  <c r="G487" i="4" a="1"/>
  <c r="G487" i="4" s="1"/>
  <c r="G69" i="4" a="1"/>
  <c r="G69" i="4" s="1"/>
  <c r="G646" i="4" a="1"/>
  <c r="G646" i="4" s="1"/>
  <c r="G280" i="4" a="1"/>
  <c r="G280" i="4" s="1"/>
  <c r="G884" i="4" a="1"/>
  <c r="G884" i="4" s="1"/>
  <c r="G645" i="4" a="1"/>
  <c r="G645" i="4" s="1"/>
  <c r="G224" i="4" a="1"/>
  <c r="G224" i="4" s="1"/>
  <c r="G818" i="4" a="1"/>
  <c r="G818" i="4" s="1"/>
  <c r="G525" i="4" a="1"/>
  <c r="G525" i="4" s="1"/>
  <c r="G359" i="4" a="1"/>
  <c r="G359" i="4" s="1"/>
  <c r="G13" i="4" a="1"/>
  <c r="G13" i="4" s="1"/>
  <c r="G28" i="4" a="1"/>
  <c r="G28" i="4" s="1"/>
  <c r="G393" i="4" a="1"/>
  <c r="G393" i="4" s="1"/>
  <c r="G44" i="4" a="1"/>
  <c r="G44" i="4" s="1"/>
  <c r="G295" i="4" a="1"/>
  <c r="G295" i="4" s="1"/>
  <c r="G273" i="4" a="1"/>
  <c r="G273" i="4" s="1"/>
  <c r="G155" i="4" a="1"/>
  <c r="G155" i="4" s="1"/>
  <c r="G452" i="4" a="1"/>
  <c r="G452" i="4" s="1"/>
  <c r="G178" i="4" a="1"/>
  <c r="G178" i="4" s="1"/>
  <c r="G450" i="4" a="1"/>
  <c r="G450" i="4" s="1"/>
  <c r="G829" i="4" a="1"/>
  <c r="G829" i="4" s="1"/>
  <c r="G581" i="4" a="1"/>
  <c r="G581" i="4" s="1"/>
  <c r="G225" i="4" a="1"/>
  <c r="G225" i="4" s="1"/>
  <c r="G857" i="4" a="1"/>
  <c r="G857" i="4" s="1"/>
  <c r="G569" i="4" a="1"/>
  <c r="G569" i="4" s="1"/>
  <c r="G171" i="4" a="1"/>
  <c r="G171" i="4" s="1"/>
  <c r="G778" i="4" a="1"/>
  <c r="G778" i="4" s="1"/>
  <c r="G383" i="4" a="1"/>
  <c r="G383" i="4" s="1"/>
  <c r="G300" i="4" a="1"/>
  <c r="G300" i="4" s="1"/>
  <c r="G298" i="4" a="1"/>
  <c r="G298" i="4" s="1"/>
  <c r="G230" i="4" a="1"/>
  <c r="G230" i="4" s="1"/>
  <c r="G355" i="4" a="1"/>
  <c r="G355" i="4" s="1"/>
  <c r="G257" i="4" a="1"/>
  <c r="G257" i="4" s="1"/>
  <c r="G130" i="4" a="1"/>
  <c r="G130" i="4" s="1"/>
  <c r="G246" i="4" a="1"/>
  <c r="G246" i="4" s="1"/>
  <c r="G103" i="4" a="1"/>
  <c r="G103" i="4" s="1"/>
  <c r="G793" i="4" a="1"/>
  <c r="G793" i="4" s="1"/>
  <c r="G457" i="4" a="1"/>
  <c r="G457" i="4" s="1"/>
  <c r="G758" i="4" a="1"/>
  <c r="G758" i="4" s="1"/>
  <c r="G455" i="4" a="1"/>
  <c r="G455" i="4" s="1"/>
  <c r="G855" i="4" a="1"/>
  <c r="G855" i="4" s="1"/>
  <c r="G531" i="4" a="1"/>
  <c r="G531" i="4" s="1"/>
  <c r="G767" i="4" a="1"/>
  <c r="G767" i="4" s="1"/>
  <c r="G599" i="4" a="1"/>
  <c r="G599" i="4" s="1"/>
  <c r="G420" i="4" a="1"/>
  <c r="G420" i="4" s="1"/>
  <c r="G110" i="4" a="1"/>
  <c r="G110" i="4" s="1"/>
  <c r="G271" i="4" a="1"/>
  <c r="G271" i="4" s="1"/>
  <c r="G587" i="4" a="1"/>
  <c r="G587" i="4" s="1"/>
  <c r="G443" i="4" a="1"/>
  <c r="G443" i="4" s="1"/>
  <c r="G55" i="4" a="1"/>
  <c r="G55" i="4" s="1"/>
  <c r="G337" i="4" a="1"/>
  <c r="G337" i="4" s="1"/>
  <c r="G637" i="4" a="1"/>
  <c r="G637" i="4" s="1"/>
  <c r="G489" i="4" a="1"/>
  <c r="G489" i="4" s="1"/>
  <c r="G261" i="4" a="1"/>
  <c r="G261" i="4" s="1"/>
  <c r="G940" i="4" a="1"/>
  <c r="G940" i="4" s="1"/>
  <c r="G791" i="4" a="1"/>
  <c r="G791" i="4" s="1"/>
  <c r="G615" i="4" a="1"/>
  <c r="G615" i="4" s="1"/>
  <c r="G439" i="4" a="1"/>
  <c r="G439" i="4" s="1"/>
  <c r="G125" i="4" a="1"/>
  <c r="G125" i="4" s="1"/>
  <c r="G372" i="4" a="1"/>
  <c r="G372" i="4" s="1"/>
  <c r="G800" i="4" a="1"/>
  <c r="G800" i="4" s="1"/>
  <c r="G570" i="4" a="1"/>
  <c r="G570" i="4" s="1"/>
  <c r="G172" i="4" a="1"/>
  <c r="G172" i="4" s="1"/>
  <c r="G848" i="4" a="1"/>
  <c r="G848" i="4" s="1"/>
  <c r="G558" i="4" a="1"/>
  <c r="G558" i="4" s="1"/>
  <c r="G144" i="4" a="1"/>
  <c r="G144" i="4" s="1"/>
  <c r="G740" i="4" a="1"/>
  <c r="G740" i="4" s="1"/>
  <c r="G344" i="4" a="1"/>
  <c r="G344" i="4" s="1"/>
  <c r="G290" i="4" a="1"/>
  <c r="G290" i="4" s="1"/>
  <c r="G270" i="4" a="1"/>
  <c r="G270" i="4" s="1"/>
  <c r="G222" i="4" a="1"/>
  <c r="G222" i="4" s="1"/>
  <c r="G317" i="4" a="1"/>
  <c r="G317" i="4" s="1"/>
  <c r="G238" i="4" a="1"/>
  <c r="G238" i="4" s="1"/>
  <c r="G122" i="4" a="1"/>
  <c r="G122" i="4" s="1"/>
  <c r="G209" i="4" a="1"/>
  <c r="G209" i="4" s="1"/>
  <c r="G58" i="4" a="1"/>
  <c r="G58" i="4" s="1"/>
  <c r="E94" i="4" a="1"/>
  <c r="E94" i="4" s="1"/>
  <c r="G981" i="4" a="1"/>
  <c r="G981" i="4" s="1"/>
  <c r="G775" i="4" a="1"/>
  <c r="G775" i="4" s="1"/>
  <c r="G395" i="4" a="1"/>
  <c r="G395" i="4" s="1"/>
  <c r="G742" i="4" a="1"/>
  <c r="G742" i="4" s="1"/>
  <c r="G391" i="4" a="1"/>
  <c r="G391" i="4" s="1"/>
  <c r="G773" i="4" a="1"/>
  <c r="G773" i="4" s="1"/>
  <c r="G495" i="4" a="1"/>
  <c r="G495" i="4" s="1"/>
  <c r="G738" i="4" a="1"/>
  <c r="G738" i="4" s="1"/>
  <c r="G578" i="4" a="1"/>
  <c r="G578" i="4" s="1"/>
  <c r="G394" i="4" a="1"/>
  <c r="G394" i="4" s="1"/>
  <c r="G84" i="4" a="1"/>
  <c r="G84" i="4" s="1"/>
  <c r="G242" i="4" a="1"/>
  <c r="G242" i="4" s="1"/>
  <c r="G576" i="4" a="1"/>
  <c r="G576" i="4" s="1"/>
  <c r="G431" i="4" a="1"/>
  <c r="G431" i="4" s="1"/>
  <c r="G25" i="4" a="1"/>
  <c r="G25" i="4" s="1"/>
  <c r="G307" i="4" a="1"/>
  <c r="G307" i="4" s="1"/>
  <c r="G627" i="4" a="1"/>
  <c r="G627" i="4" s="1"/>
  <c r="G478" i="4" a="1"/>
  <c r="G478" i="4" s="1"/>
  <c r="G233" i="4" a="1"/>
  <c r="G233" i="4" s="1"/>
  <c r="G931" i="4" a="1"/>
  <c r="G931" i="4" s="1"/>
  <c r="G782" i="4" a="1"/>
  <c r="G782" i="4" s="1"/>
  <c r="G594" i="4" a="1"/>
  <c r="G594" i="4" s="1"/>
  <c r="G426" i="4" a="1"/>
  <c r="G426" i="4" s="1"/>
  <c r="G99" i="4" a="1"/>
  <c r="G99" i="4" s="1"/>
  <c r="G360" i="4" a="1"/>
  <c r="G360" i="4" s="1"/>
  <c r="G790" i="4" a="1"/>
  <c r="G790" i="4" s="1"/>
  <c r="G559" i="4" a="1"/>
  <c r="G559" i="4" s="1"/>
  <c r="G93" i="4" a="1"/>
  <c r="G93" i="4" s="1"/>
  <c r="G789" i="4" a="1"/>
  <c r="G789" i="4" s="1"/>
  <c r="G526" i="4" a="1"/>
  <c r="G526" i="4" s="1"/>
  <c r="G964" i="4" a="1"/>
  <c r="G964" i="4" s="1"/>
  <c r="G699" i="4" a="1"/>
  <c r="G699" i="4" s="1"/>
  <c r="G331" i="4" a="1"/>
  <c r="G331" i="4" s="1"/>
  <c r="G234" i="4" a="1"/>
  <c r="G234" i="4" s="1"/>
  <c r="G188" i="4" a="1"/>
  <c r="G188" i="4" s="1"/>
  <c r="G213" i="4" a="1"/>
  <c r="G213" i="4" s="1"/>
  <c r="G286" i="4" a="1"/>
  <c r="G286" i="4" s="1"/>
  <c r="G158" i="4" a="1"/>
  <c r="G158" i="4" s="1"/>
  <c r="G113" i="4" a="1"/>
  <c r="G113" i="4" s="1"/>
  <c r="G174" i="4" a="1"/>
  <c r="G174" i="4" s="1"/>
  <c r="G968" i="4" a="1"/>
  <c r="G968" i="4" s="1"/>
  <c r="G759" i="4" a="1"/>
  <c r="G759" i="4" s="1"/>
  <c r="G314" i="4" a="1"/>
  <c r="G314" i="4" s="1"/>
  <c r="G726" i="4" a="1"/>
  <c r="G726" i="4" s="1"/>
  <c r="G308" i="4" a="1"/>
  <c r="G308" i="4" s="1"/>
  <c r="G757" i="4" a="1"/>
  <c r="G757" i="4" s="1"/>
  <c r="G446" i="4" a="1"/>
  <c r="G446" i="4" s="1"/>
  <c r="G719" i="4" a="1"/>
  <c r="G719" i="4" s="1"/>
  <c r="G566" i="4" a="1"/>
  <c r="G566" i="4" s="1"/>
  <c r="G381" i="4" a="1"/>
  <c r="G381" i="4" s="1"/>
  <c r="G57" i="4" a="1"/>
  <c r="G57" i="4" s="1"/>
  <c r="G215" i="4" a="1"/>
  <c r="G215" i="4" s="1"/>
  <c r="G564" i="4" a="1"/>
  <c r="G564" i="4" s="1"/>
  <c r="G418" i="4" a="1"/>
  <c r="G418" i="4" s="1"/>
  <c r="G500" i="4" a="1"/>
  <c r="G500" i="4" s="1"/>
  <c r="G288" i="4" a="1"/>
  <c r="G288" i="4" s="1"/>
  <c r="G616" i="4" a="1"/>
  <c r="G616" i="4" s="1"/>
  <c r="G466" i="4" a="1"/>
  <c r="G466" i="4" s="1"/>
  <c r="G180" i="4" a="1"/>
  <c r="G180" i="4" s="1"/>
  <c r="G922" i="4" a="1"/>
  <c r="G922" i="4" s="1"/>
  <c r="G772" i="4" a="1"/>
  <c r="G772" i="4" s="1"/>
  <c r="G583" i="4" a="1"/>
  <c r="G583" i="4" s="1"/>
  <c r="G413" i="4" a="1"/>
  <c r="G413" i="4" s="1"/>
  <c r="G571" i="4" a="1"/>
  <c r="G571" i="4" s="1"/>
  <c r="G334" i="4" a="1"/>
  <c r="G334" i="4" s="1"/>
  <c r="G780" i="4" a="1"/>
  <c r="G780" i="4" s="1"/>
  <c r="G516" i="4" a="1"/>
  <c r="G516" i="4" s="1"/>
  <c r="G67" i="4" a="1"/>
  <c r="G67" i="4" s="1"/>
  <c r="G779" i="4" a="1"/>
  <c r="G779" i="4" s="1"/>
  <c r="G506" i="4" a="1"/>
  <c r="G506" i="4" s="1"/>
  <c r="G955" i="4" a="1"/>
  <c r="G955" i="4" s="1"/>
  <c r="G655" i="4" a="1"/>
  <c r="G655" i="4" s="1"/>
  <c r="G316" i="4" a="1"/>
  <c r="G316" i="4" s="1"/>
  <c r="G207" i="4" a="1"/>
  <c r="G207" i="4" s="1"/>
  <c r="G179" i="4" a="1"/>
  <c r="G179" i="4" s="1"/>
  <c r="G151" i="4" a="1"/>
  <c r="G151" i="4" s="1"/>
  <c r="G258" i="4" a="1"/>
  <c r="G258" i="4" s="1"/>
  <c r="G149" i="4" a="1"/>
  <c r="G149" i="4" s="1"/>
  <c r="G43" i="4" a="1"/>
  <c r="G43" i="4" s="1"/>
  <c r="G147" i="4" a="1"/>
  <c r="G147" i="4" s="1"/>
  <c r="G890" i="4" a="1"/>
  <c r="G890" i="4" s="1"/>
  <c r="G650" i="4" a="1"/>
  <c r="G650" i="4" s="1"/>
  <c r="G951" i="4" a="1"/>
  <c r="G951" i="4" s="1"/>
  <c r="G744" i="4" a="1"/>
  <c r="G744" i="4" s="1"/>
  <c r="G905" i="4" a="1"/>
  <c r="G905" i="4" s="1"/>
  <c r="G706" i="4" a="1"/>
  <c r="G706" i="4" s="1"/>
  <c r="G157" i="4" a="1"/>
  <c r="G157" i="4" s="1"/>
  <c r="G739" i="4" a="1"/>
  <c r="G739" i="4" s="1"/>
  <c r="G382" i="4" a="1"/>
  <c r="G382" i="4" s="1"/>
  <c r="G707" i="4" a="1"/>
  <c r="G707" i="4" s="1"/>
  <c r="G556" i="4" a="1"/>
  <c r="G556" i="4" s="1"/>
  <c r="G367" i="4" a="1"/>
  <c r="G367" i="4" s="1"/>
  <c r="G419" i="4" a="1"/>
  <c r="G419" i="4" s="1"/>
  <c r="G189" i="4" a="1"/>
  <c r="G189" i="4" s="1"/>
  <c r="G554" i="4" a="1"/>
  <c r="G554" i="4" s="1"/>
  <c r="G404" i="4" a="1"/>
  <c r="G404" i="4" s="1"/>
  <c r="G491" i="4" a="1"/>
  <c r="G491" i="4" s="1"/>
  <c r="G262" i="4" a="1"/>
  <c r="G262" i="4" s="1"/>
  <c r="G605" i="4" a="1"/>
  <c r="G605" i="4" s="1"/>
  <c r="G440" i="4" a="1"/>
  <c r="G440" i="4" s="1"/>
  <c r="G127" i="4" a="1"/>
  <c r="G127" i="4" s="1"/>
  <c r="G913" i="4" a="1"/>
  <c r="G913" i="4" s="1"/>
  <c r="G762" i="4" a="1"/>
  <c r="G762" i="4" s="1"/>
  <c r="G572" i="4" a="1"/>
  <c r="G572" i="4" s="1"/>
  <c r="G400" i="4" a="1"/>
  <c r="G400" i="4" s="1"/>
  <c r="G560" i="4" a="1"/>
  <c r="G560" i="4" s="1"/>
  <c r="G282" i="4" a="1"/>
  <c r="G282" i="4" s="1"/>
  <c r="G770" i="4" a="1"/>
  <c r="G770" i="4" s="1"/>
  <c r="G486" i="4" a="1"/>
  <c r="G486" i="4" s="1"/>
  <c r="G974" i="4" a="1"/>
  <c r="G974" i="4" s="1"/>
  <c r="G760" i="4" a="1"/>
  <c r="G760" i="4" s="1"/>
  <c r="G462" i="4" a="1"/>
  <c r="G462" i="4" s="1"/>
  <c r="G946" i="4" a="1"/>
  <c r="G946" i="4" s="1"/>
  <c r="G644" i="4" a="1"/>
  <c r="G644" i="4" s="1"/>
  <c r="G276" i="4" a="1"/>
  <c r="G276" i="4" s="1"/>
  <c r="G181" i="4" a="1"/>
  <c r="G181" i="4" s="1"/>
  <c r="G161" i="4" a="1"/>
  <c r="G161" i="4" s="1"/>
  <c r="G133" i="4" a="1"/>
  <c r="G133" i="4" s="1"/>
  <c r="G239" i="4" a="1"/>
  <c r="G239" i="4" s="1"/>
  <c r="G140" i="4" a="1"/>
  <c r="G140" i="4" s="1"/>
  <c r="G477" i="4" a="1"/>
  <c r="G477" i="4" s="1"/>
  <c r="G208" i="4" a="1"/>
  <c r="G208" i="4" s="1"/>
  <c r="G678" i="4" a="1"/>
  <c r="G678" i="4" s="1"/>
  <c r="G475" i="4" a="1"/>
  <c r="G475" i="4" s="1"/>
  <c r="G119" i="4" a="1"/>
  <c r="G119" i="4" s="1"/>
  <c r="G875" i="4" a="1"/>
  <c r="G875" i="4" s="1"/>
  <c r="G722" i="4" a="1"/>
  <c r="G722" i="4" s="1"/>
  <c r="G449" i="4" a="1"/>
  <c r="G449" i="4" s="1"/>
  <c r="G65" i="4" a="1"/>
  <c r="G65" i="4" s="1"/>
  <c r="G808" i="4" a="1"/>
  <c r="G808" i="4" s="1"/>
  <c r="G557" i="4" a="1"/>
  <c r="G557" i="4" s="1"/>
  <c r="G142" i="4" a="1"/>
  <c r="G142" i="4" s="1"/>
  <c r="G281" i="4" a="1"/>
  <c r="G281" i="4" s="1"/>
  <c r="G328" i="4" a="1"/>
  <c r="G328" i="4" s="1"/>
  <c r="G91" i="4" a="1"/>
  <c r="G91" i="4" s="1"/>
  <c r="G124" i="4" a="1"/>
  <c r="G124" i="4" s="1"/>
  <c r="G306" i="4" a="1"/>
  <c r="G306" i="4" s="1"/>
  <c r="G35" i="4" a="1"/>
  <c r="G35" i="4" s="1"/>
  <c r="G34" i="4" a="1"/>
  <c r="G34" i="4" s="1"/>
  <c r="G458" i="4" a="1"/>
  <c r="G458" i="4" s="1"/>
  <c r="G192" i="4" a="1"/>
  <c r="G192" i="4" s="1"/>
  <c r="G137" i="4" a="1"/>
  <c r="G137" i="4" s="1"/>
  <c r="G809" i="4" a="1"/>
  <c r="G809" i="4" s="1"/>
  <c r="G624" i="4" a="1"/>
  <c r="G624" i="4" s="1"/>
  <c r="G410" i="4" a="1"/>
  <c r="G410" i="4" s="1"/>
  <c r="G965" i="4" a="1"/>
  <c r="G965" i="4" s="1"/>
  <c r="G819" i="4" a="1"/>
  <c r="G819" i="4" s="1"/>
  <c r="G634" i="4" a="1"/>
  <c r="G634" i="4" s="1"/>
  <c r="G346" i="4" a="1"/>
  <c r="G346" i="4" s="1"/>
  <c r="G937" i="4" a="1"/>
  <c r="G937" i="4" s="1"/>
  <c r="G731" i="4" a="1"/>
  <c r="G731" i="4" s="1"/>
  <c r="G473" i="4" a="1"/>
  <c r="G473" i="4" s="1"/>
  <c r="G436" i="4" a="1"/>
  <c r="G436" i="4" s="1"/>
  <c r="G163" i="4" a="1"/>
  <c r="G163" i="4" s="1"/>
  <c r="G214" i="4" a="1"/>
  <c r="G214" i="4" s="1"/>
  <c r="G287" i="4" a="1"/>
  <c r="G287" i="4" s="1"/>
  <c r="G45" i="4" a="1"/>
  <c r="G45" i="4" s="1"/>
  <c r="G221" i="4" a="1"/>
  <c r="G221" i="4" s="1"/>
  <c r="G229" i="4" a="1"/>
  <c r="G229" i="4" s="1"/>
  <c r="G285" i="4" a="1"/>
  <c r="G285" i="4" s="1"/>
  <c r="G380" i="4" a="1"/>
  <c r="G380" i="4" s="1"/>
  <c r="G129" i="4" a="1"/>
  <c r="G129" i="4" s="1"/>
  <c r="G14" i="4" a="1"/>
  <c r="G14" i="4" s="1"/>
  <c r="G613" i="4" a="1"/>
  <c r="G613" i="4" s="1"/>
  <c r="G398" i="4" a="1"/>
  <c r="G398" i="4" s="1"/>
  <c r="G956" i="4" a="1"/>
  <c r="G956" i="4" s="1"/>
  <c r="G799" i="4" a="1"/>
  <c r="G799" i="4" s="1"/>
  <c r="G623" i="4" a="1"/>
  <c r="G623" i="4" s="1"/>
  <c r="G333" i="4" a="1"/>
  <c r="G333" i="4" s="1"/>
  <c r="G919" i="4" a="1"/>
  <c r="G919" i="4" s="1"/>
  <c r="G721" i="4" a="1"/>
  <c r="G721" i="4" s="1"/>
  <c r="G461" i="4" a="1"/>
  <c r="G461" i="4" s="1"/>
  <c r="G417" i="4" a="1"/>
  <c r="G417" i="4" s="1"/>
  <c r="G153" i="4" a="1"/>
  <c r="G153" i="4" s="1"/>
  <c r="G197" i="4" a="1"/>
  <c r="G197" i="4" s="1"/>
  <c r="G259" i="4" a="1"/>
  <c r="G259" i="4" s="1"/>
  <c r="G490" i="4" a="1"/>
  <c r="G490" i="4" s="1"/>
  <c r="G195" i="4" a="1"/>
  <c r="G195" i="4" s="1"/>
  <c r="G194" i="4" a="1"/>
  <c r="G194" i="4" s="1"/>
  <c r="G228" i="4" a="1"/>
  <c r="G228" i="4" s="1"/>
  <c r="G352" i="4" a="1"/>
  <c r="G352" i="4" s="1"/>
  <c r="G77" i="4" a="1"/>
  <c r="G77" i="4" s="1"/>
  <c r="E520" i="4" a="1"/>
  <c r="E520" i="4" s="1"/>
  <c r="E870" i="4" a="1"/>
  <c r="E870" i="4" s="1"/>
  <c r="E200" i="4" a="1"/>
  <c r="E200" i="4" s="1"/>
  <c r="E709" i="4" a="1"/>
  <c r="E709" i="4" s="1"/>
  <c r="E401" i="4" a="1"/>
  <c r="E401" i="4" s="1"/>
  <c r="E732" i="4" a="1"/>
  <c r="E732" i="4" s="1"/>
  <c r="E629" i="4" a="1"/>
  <c r="E629" i="4" s="1"/>
  <c r="H629" i="4" s="1"/>
  <c r="E919" i="4" a="1"/>
  <c r="E919" i="4" s="1"/>
  <c r="E12" i="4" a="1"/>
  <c r="E12" i="4" s="1"/>
  <c r="E422" i="4" a="1"/>
  <c r="E422" i="4" s="1"/>
  <c r="E834" i="4" a="1"/>
  <c r="E834" i="4" s="1"/>
  <c r="E914" i="4" a="1"/>
  <c r="E914" i="4" s="1"/>
  <c r="E696" i="4" a="1"/>
  <c r="E696" i="4" s="1"/>
  <c r="E499" i="4" a="1"/>
  <c r="E499" i="4" s="1"/>
  <c r="E746" i="4" a="1"/>
  <c r="E746" i="4" s="1"/>
  <c r="E883" i="4" a="1"/>
  <c r="E883" i="4" s="1"/>
  <c r="E594" i="4" a="1"/>
  <c r="E594" i="4" s="1"/>
  <c r="E286" i="4" a="1"/>
  <c r="E286" i="4" s="1"/>
  <c r="E872" i="4" a="1"/>
  <c r="E872" i="4" s="1"/>
  <c r="H872" i="4" s="1"/>
  <c r="E580" i="4" a="1"/>
  <c r="E580" i="4" s="1"/>
  <c r="E270" i="4" a="1"/>
  <c r="E270" i="4" s="1"/>
  <c r="E860" i="4" a="1"/>
  <c r="E860" i="4" s="1"/>
  <c r="E567" i="4" a="1"/>
  <c r="E567" i="4" s="1"/>
  <c r="E239" i="4" a="1"/>
  <c r="E239" i="4" s="1"/>
  <c r="E763" i="4" a="1"/>
  <c r="E763" i="4" s="1"/>
  <c r="E488" i="4" a="1"/>
  <c r="E488" i="4" s="1"/>
  <c r="E158" i="4" a="1"/>
  <c r="E158" i="4" s="1"/>
  <c r="E565" i="4" a="1"/>
  <c r="E565" i="4" s="1"/>
  <c r="E265" i="4" a="1"/>
  <c r="E265" i="4" s="1"/>
  <c r="E857" i="4" a="1"/>
  <c r="E857" i="4" s="1"/>
  <c r="E575" i="4" a="1"/>
  <c r="E575" i="4" s="1"/>
  <c r="E250" i="4" a="1"/>
  <c r="E250" i="4" s="1"/>
  <c r="E844" i="4" a="1"/>
  <c r="E844" i="4" s="1"/>
  <c r="E545" i="4" a="1"/>
  <c r="E545" i="4" s="1"/>
  <c r="E262" i="4" a="1"/>
  <c r="E262" i="4" s="1"/>
  <c r="E493" i="4" a="1"/>
  <c r="E493" i="4" s="1"/>
  <c r="E169" i="4" a="1"/>
  <c r="E169" i="4" s="1"/>
  <c r="E123" i="4" a="1"/>
  <c r="E123" i="4" s="1"/>
  <c r="E77" i="4" a="1"/>
  <c r="E77" i="4" s="1"/>
  <c r="E183" i="4" a="1"/>
  <c r="E183" i="4" s="1"/>
  <c r="E236" i="4" a="1"/>
  <c r="E236" i="4" s="1"/>
  <c r="E70" i="4" a="1"/>
  <c r="E70" i="4" s="1"/>
  <c r="E92" i="4" a="1"/>
  <c r="E92" i="4" s="1"/>
  <c r="E367" i="4" a="1"/>
  <c r="E367" i="4" s="1"/>
  <c r="E496" i="4" a="1"/>
  <c r="E496" i="4" s="1"/>
  <c r="E801" i="4" a="1"/>
  <c r="E801" i="4" s="1"/>
  <c r="E42" i="4" a="1"/>
  <c r="E42" i="4" s="1"/>
  <c r="E683" i="4" a="1"/>
  <c r="E683" i="4" s="1"/>
  <c r="E39" i="4" a="1"/>
  <c r="E39" i="4" s="1"/>
  <c r="E706" i="4" a="1"/>
  <c r="E706" i="4" s="1"/>
  <c r="E285" i="4" a="1"/>
  <c r="E285" i="4" s="1"/>
  <c r="E901" i="4" a="1"/>
  <c r="E901" i="4" s="1"/>
  <c r="H901" i="4" s="1"/>
  <c r="E593" i="4" a="1"/>
  <c r="E593" i="4" s="1"/>
  <c r="E310" i="4" a="1"/>
  <c r="E310" i="4" s="1"/>
  <c r="E810" i="4" a="1"/>
  <c r="E810" i="4" s="1"/>
  <c r="E414" i="4" a="1"/>
  <c r="E414" i="4" s="1"/>
  <c r="E666" i="4" a="1"/>
  <c r="E666" i="4" s="1"/>
  <c r="E474" i="4" a="1"/>
  <c r="E474" i="4" s="1"/>
  <c r="E718" i="4" a="1"/>
  <c r="E718" i="4" s="1"/>
  <c r="E874" i="4" a="1"/>
  <c r="E874" i="4" s="1"/>
  <c r="E582" i="4" a="1"/>
  <c r="E582" i="4" s="1"/>
  <c r="E259" i="4" a="1"/>
  <c r="E259" i="4" s="1"/>
  <c r="E863" i="4" a="1"/>
  <c r="E863" i="4" s="1"/>
  <c r="E559" i="4" a="1"/>
  <c r="E559" i="4" s="1"/>
  <c r="E257" i="4" a="1"/>
  <c r="E257" i="4" s="1"/>
  <c r="E848" i="4" a="1"/>
  <c r="E848" i="4" s="1"/>
  <c r="E557" i="4" a="1"/>
  <c r="E557" i="4" s="1"/>
  <c r="E224" i="4" a="1"/>
  <c r="E224" i="4" s="1"/>
  <c r="E751" i="4" a="1"/>
  <c r="E751" i="4" s="1"/>
  <c r="E478" i="4" a="1"/>
  <c r="E478" i="4" s="1"/>
  <c r="E141" i="4" a="1"/>
  <c r="E141" i="4" s="1"/>
  <c r="E555" i="4" a="1"/>
  <c r="E555" i="4" s="1"/>
  <c r="E252" i="4" a="1"/>
  <c r="E252" i="4" s="1"/>
  <c r="E845" i="4" a="1"/>
  <c r="E845" i="4" s="1"/>
  <c r="E564" i="4" a="1"/>
  <c r="E564" i="4" s="1"/>
  <c r="E220" i="4" a="1"/>
  <c r="E220" i="4" s="1"/>
  <c r="E832" i="4" a="1"/>
  <c r="E832" i="4" s="1"/>
  <c r="E537" i="4" a="1"/>
  <c r="E537" i="4" s="1"/>
  <c r="E249" i="4" a="1"/>
  <c r="E249" i="4" s="1"/>
  <c r="E484" i="4" a="1"/>
  <c r="E484" i="4" s="1"/>
  <c r="E152" i="4" a="1"/>
  <c r="E152" i="4" s="1"/>
  <c r="E101" i="4" a="1"/>
  <c r="E101" i="4" s="1"/>
  <c r="E66" i="4" a="1"/>
  <c r="E66" i="4" s="1"/>
  <c r="E172" i="4" a="1"/>
  <c r="E172" i="4" s="1"/>
  <c r="E225" i="4" a="1"/>
  <c r="E225" i="4" s="1"/>
  <c r="E59" i="4" a="1"/>
  <c r="E59" i="4" s="1"/>
  <c r="I59" i="4" s="1"/>
  <c r="J59" i="4" s="1" a="1"/>
  <c r="J59" i="4" s="1"/>
  <c r="G667" i="4" a="1"/>
  <c r="G667" i="4" s="1"/>
  <c r="G497" i="4" a="1"/>
  <c r="G497" i="4" s="1"/>
  <c r="G251" i="4" a="1"/>
  <c r="G251" i="4" s="1"/>
  <c r="G928" i="4" a="1"/>
  <c r="G928" i="4" s="1"/>
  <c r="G788" i="4" a="1"/>
  <c r="G788" i="4" s="1"/>
  <c r="G591" i="4" a="1"/>
  <c r="G591" i="4" s="1"/>
  <c r="G357" i="4" a="1"/>
  <c r="G357" i="4" s="1"/>
  <c r="G427" i="4" a="1"/>
  <c r="G427" i="4" s="1"/>
  <c r="G216" i="4" a="1"/>
  <c r="G216" i="4" s="1"/>
  <c r="G21" i="4" a="1"/>
  <c r="G21" i="4" s="1"/>
  <c r="G170" i="4" a="1"/>
  <c r="G170" i="4" s="1"/>
  <c r="G268" i="4" a="1"/>
  <c r="G268" i="4" s="1"/>
  <c r="G89" i="4" a="1"/>
  <c r="G89" i="4" s="1"/>
  <c r="G364" i="4" a="1"/>
  <c r="G364" i="4" s="1"/>
  <c r="G186" i="4" a="1"/>
  <c r="G186" i="4" s="1"/>
  <c r="G266" i="4" a="1"/>
  <c r="G266" i="4" s="1"/>
  <c r="G123" i="4" a="1"/>
  <c r="G123" i="4" s="1"/>
  <c r="G211" i="4" a="1"/>
  <c r="G211" i="4" s="1"/>
  <c r="G429" i="4" a="1"/>
  <c r="G429" i="4" s="1"/>
  <c r="G254" i="4" a="1"/>
  <c r="G254" i="4" s="1"/>
  <c r="G68" i="4" a="1"/>
  <c r="G68" i="4" s="1"/>
  <c r="G111" i="4" a="1"/>
  <c r="G111" i="4" s="1"/>
  <c r="E985" i="4" a="1"/>
  <c r="E985" i="4" s="1"/>
  <c r="E471" i="4" a="1"/>
  <c r="E471" i="4" s="1"/>
  <c r="E770" i="4" a="1"/>
  <c r="E770" i="4" s="1"/>
  <c r="E964" i="4" a="1"/>
  <c r="E964" i="4" s="1"/>
  <c r="E627" i="4" a="1"/>
  <c r="E627" i="4" s="1"/>
  <c r="E961" i="4" a="1"/>
  <c r="E961" i="4" s="1"/>
  <c r="E619" i="4" a="1"/>
  <c r="E619" i="4" s="1"/>
  <c r="E923" i="4" a="1"/>
  <c r="E923" i="4" s="1"/>
  <c r="E881" i="4" a="1"/>
  <c r="E881" i="4" s="1"/>
  <c r="I881" i="4" s="1"/>
  <c r="J881" i="4" s="1" a="1"/>
  <c r="J881" i="4" s="1"/>
  <c r="E32" i="4" a="1"/>
  <c r="E32" i="4" s="1"/>
  <c r="E269" i="4" a="1"/>
  <c r="E269" i="4" s="1"/>
  <c r="E782" i="4" a="1"/>
  <c r="E782" i="4" s="1"/>
  <c r="E380" i="4" a="1"/>
  <c r="E380" i="4" s="1"/>
  <c r="E641" i="4" a="1"/>
  <c r="E641" i="4" s="1"/>
  <c r="E446" i="4" a="1"/>
  <c r="E446" i="4" s="1"/>
  <c r="E689" i="4" a="1"/>
  <c r="E689" i="4" s="1"/>
  <c r="E865" i="4" a="1"/>
  <c r="E865" i="4" s="1"/>
  <c r="E571" i="4" a="1"/>
  <c r="E571" i="4" s="1"/>
  <c r="E245" i="4" a="1"/>
  <c r="E245" i="4" s="1"/>
  <c r="E851" i="4" a="1"/>
  <c r="E851" i="4" s="1"/>
  <c r="E549" i="4" a="1"/>
  <c r="E549" i="4" s="1"/>
  <c r="E243" i="4" a="1"/>
  <c r="E243" i="4" s="1"/>
  <c r="E836" i="4" a="1"/>
  <c r="E836" i="4" s="1"/>
  <c r="E547" i="4" a="1"/>
  <c r="E547" i="4" s="1"/>
  <c r="E191" i="4" a="1"/>
  <c r="E191" i="4" s="1"/>
  <c r="E739" i="4" a="1"/>
  <c r="E739" i="4" s="1"/>
  <c r="E469" i="4" a="1"/>
  <c r="E469" i="4" s="1"/>
  <c r="E87" i="4" a="1"/>
  <c r="E87" i="4" s="1"/>
  <c r="E546" i="4" a="1"/>
  <c r="E546" i="4" s="1"/>
  <c r="E222" i="4" a="1"/>
  <c r="E222" i="4" s="1"/>
  <c r="E833" i="4" a="1"/>
  <c r="E833" i="4" s="1"/>
  <c r="E554" i="4" a="1"/>
  <c r="E554" i="4" s="1"/>
  <c r="E204" i="4" a="1"/>
  <c r="E204" i="4" s="1"/>
  <c r="E820" i="4" a="1"/>
  <c r="E820" i="4" s="1"/>
  <c r="E530" i="4" a="1"/>
  <c r="E530" i="4" s="1"/>
  <c r="E235" i="4" a="1"/>
  <c r="E235" i="4" s="1"/>
  <c r="E476" i="4" a="1"/>
  <c r="E476" i="4" s="1"/>
  <c r="E118" i="4" a="1"/>
  <c r="E118" i="4" s="1"/>
  <c r="E90" i="4" a="1"/>
  <c r="E90" i="4" s="1"/>
  <c r="E56" i="4" a="1"/>
  <c r="E56" i="4" s="1"/>
  <c r="I56" i="4" s="1"/>
  <c r="J56" i="4" s="1" a="1"/>
  <c r="J56" i="4" s="1"/>
  <c r="E161" i="4" a="1"/>
  <c r="E161" i="4" s="1"/>
  <c r="E214" i="4" a="1"/>
  <c r="E214" i="4" s="1"/>
  <c r="E49" i="4" a="1"/>
  <c r="E49" i="4" s="1"/>
  <c r="E967" i="4" a="1"/>
  <c r="E967" i="4" s="1"/>
  <c r="E409" i="4" a="1"/>
  <c r="E409" i="4" s="1"/>
  <c r="E742" i="4" a="1"/>
  <c r="E742" i="4" s="1"/>
  <c r="E326" i="4" a="1"/>
  <c r="E326" i="4" s="1"/>
  <c r="E534" i="4" a="1"/>
  <c r="E534" i="4" s="1"/>
  <c r="H534" i="4" s="1"/>
  <c r="E903" i="4" a="1"/>
  <c r="E903" i="4" s="1"/>
  <c r="E583" i="4" a="1"/>
  <c r="E583" i="4" s="1"/>
  <c r="E842" i="4" a="1"/>
  <c r="E842" i="4" s="1"/>
  <c r="E838" i="4" a="1"/>
  <c r="E838" i="4" s="1"/>
  <c r="E975" i="4" a="1"/>
  <c r="E975" i="4" s="1"/>
  <c r="E178" i="4" a="1"/>
  <c r="E178" i="4" s="1"/>
  <c r="E723" i="4" a="1"/>
  <c r="E723" i="4" s="1"/>
  <c r="I723" i="4" s="1"/>
  <c r="J723" i="4" s="1" a="1"/>
  <c r="J723" i="4" s="1"/>
  <c r="E300" i="4" a="1"/>
  <c r="E300" i="4" s="1"/>
  <c r="E572" i="4" a="1"/>
  <c r="E572" i="4" s="1"/>
  <c r="E378" i="4" a="1"/>
  <c r="E378" i="4" s="1"/>
  <c r="E638" i="4" a="1"/>
  <c r="E638" i="4" s="1"/>
  <c r="E841" i="4" a="1"/>
  <c r="E841" i="4" s="1"/>
  <c r="E551" i="4" a="1"/>
  <c r="E551" i="4" s="1"/>
  <c r="E198" i="4" a="1"/>
  <c r="E198" i="4" s="1"/>
  <c r="H198" i="4" s="1"/>
  <c r="E827" i="4" a="1"/>
  <c r="E827" i="4" s="1"/>
  <c r="E506" i="4" a="1"/>
  <c r="E506" i="4" s="1"/>
  <c r="E212" i="4" a="1"/>
  <c r="E212" i="4" s="1"/>
  <c r="E812" i="4" a="1"/>
  <c r="E812" i="4" s="1"/>
  <c r="E533" i="4" a="1"/>
  <c r="E533" i="4" s="1"/>
  <c r="I533" i="4" s="1"/>
  <c r="J533" i="4" s="1" a="1"/>
  <c r="J533" i="4" s="1"/>
  <c r="E159" i="4" a="1"/>
  <c r="E159" i="4" s="1"/>
  <c r="E716" i="4" a="1"/>
  <c r="E716" i="4" s="1"/>
  <c r="E452" i="4" a="1"/>
  <c r="E452" i="4" s="1"/>
  <c r="E50" i="4" a="1"/>
  <c r="E50" i="4" s="1"/>
  <c r="E531" i="4" a="1"/>
  <c r="E531" i="4" s="1"/>
  <c r="E189" i="4" a="1"/>
  <c r="E189" i="4" s="1"/>
  <c r="E809" i="4" a="1"/>
  <c r="E809" i="4" s="1"/>
  <c r="E524" i="4" a="1"/>
  <c r="E524" i="4" s="1"/>
  <c r="E155" i="4" a="1"/>
  <c r="E155" i="4" s="1"/>
  <c r="E796" i="4" a="1"/>
  <c r="E796" i="4" s="1"/>
  <c r="E509" i="4" a="1"/>
  <c r="E509" i="4" s="1"/>
  <c r="E202" i="4" a="1"/>
  <c r="E202" i="4" s="1"/>
  <c r="E457" i="4" a="1"/>
  <c r="E457" i="4" s="1"/>
  <c r="E80" i="4" a="1"/>
  <c r="E80" i="4" s="1"/>
  <c r="E68" i="4" a="1"/>
  <c r="E68" i="4" s="1"/>
  <c r="E34" i="4" a="1"/>
  <c r="E34" i="4" s="1"/>
  <c r="E139" i="4" a="1"/>
  <c r="E139" i="4" s="1"/>
  <c r="E192" i="4" a="1"/>
  <c r="E192" i="4" s="1"/>
  <c r="E27" i="4" a="1"/>
  <c r="E27" i="4" s="1"/>
  <c r="G63" i="4" a="1"/>
  <c r="G63" i="4" s="1"/>
  <c r="G326" i="4" a="1"/>
  <c r="G326" i="4" s="1"/>
  <c r="G150" i="4" a="1"/>
  <c r="G150" i="4" s="1"/>
  <c r="G248" i="4" a="1"/>
  <c r="G248" i="4" s="1"/>
  <c r="G70" i="4" a="1"/>
  <c r="G70" i="4" s="1"/>
  <c r="G148" i="4" a="1"/>
  <c r="G148" i="4" s="1"/>
  <c r="G399" i="4" a="1"/>
  <c r="G399" i="4" s="1"/>
  <c r="G218" i="4" a="1"/>
  <c r="G218" i="4" s="1"/>
  <c r="G41" i="4" a="1"/>
  <c r="G41" i="4" s="1"/>
  <c r="G85" i="4" a="1"/>
  <c r="G85" i="4" s="1"/>
  <c r="E910" i="4" a="1"/>
  <c r="E910" i="4" s="1"/>
  <c r="E295" i="4" a="1"/>
  <c r="E295" i="4" s="1"/>
  <c r="E712" i="4" a="1"/>
  <c r="E712" i="4" s="1"/>
  <c r="E997" i="4" a="1"/>
  <c r="E997" i="4" s="1"/>
  <c r="E513" i="4" a="1"/>
  <c r="E513" i="4" s="1"/>
  <c r="E707" i="4" a="1"/>
  <c r="E707" i="4" s="1"/>
  <c r="E529" i="4" a="1"/>
  <c r="E529" i="4" s="1"/>
  <c r="H529" i="4" s="1"/>
  <c r="E626" i="4" a="1"/>
  <c r="E626" i="4" s="1"/>
  <c r="E730" i="4" a="1"/>
  <c r="E730" i="4" s="1"/>
  <c r="E900" i="4" a="1"/>
  <c r="E900" i="4" s="1"/>
  <c r="E996" i="4" a="1"/>
  <c r="E996" i="4" s="1"/>
  <c r="E614" i="4" a="1"/>
  <c r="E614" i="4" s="1"/>
  <c r="E116" i="4" a="1"/>
  <c r="E116" i="4" s="1"/>
  <c r="E969" i="4" a="1"/>
  <c r="E969" i="4" s="1"/>
  <c r="E213" i="4" a="1"/>
  <c r="E213" i="4" s="1"/>
  <c r="E497" i="4" a="1"/>
  <c r="E497" i="4" s="1"/>
  <c r="E793" i="4" a="1"/>
  <c r="E793" i="4" s="1"/>
  <c r="E492" i="4" a="1"/>
  <c r="E492" i="4" s="1"/>
  <c r="E133" i="4" a="1"/>
  <c r="E133" i="4" s="1"/>
  <c r="E779" i="4" a="1"/>
  <c r="E779" i="4" s="1"/>
  <c r="E473" i="4" a="1"/>
  <c r="E473" i="4" s="1"/>
  <c r="E130" i="4" a="1"/>
  <c r="E130" i="4" s="1"/>
  <c r="E764" i="4" a="1"/>
  <c r="E764" i="4" s="1"/>
  <c r="E479" i="4" a="1"/>
  <c r="E479" i="4" s="1"/>
  <c r="E69" i="4" a="1"/>
  <c r="E69" i="4" s="1"/>
  <c r="E670" i="4" a="1"/>
  <c r="E670" i="4" s="1"/>
  <c r="E396" i="4" a="1"/>
  <c r="E396" i="4" s="1"/>
  <c r="E762" i="4" a="1"/>
  <c r="E762" i="4" s="1"/>
  <c r="E459" i="4" a="1"/>
  <c r="E459" i="4" s="1"/>
  <c r="E122" i="4" a="1"/>
  <c r="E122" i="4" s="1"/>
  <c r="E761" i="4" a="1"/>
  <c r="E761" i="4" s="1"/>
  <c r="E477" i="4" a="1"/>
  <c r="E477" i="4" s="1"/>
  <c r="E84" i="4" a="1"/>
  <c r="E84" i="4" s="1"/>
  <c r="E748" i="4" a="1"/>
  <c r="E748" i="4" s="1"/>
  <c r="E458" i="4" a="1"/>
  <c r="E458" i="4" s="1"/>
  <c r="E136" i="4" a="1"/>
  <c r="E136" i="4" s="1"/>
  <c r="E415" i="4" a="1"/>
  <c r="E415" i="4" s="1"/>
  <c r="E312" i="4" a="1"/>
  <c r="E312" i="4" s="1"/>
  <c r="E14" i="4" a="1"/>
  <c r="E14" i="4" s="1"/>
  <c r="E20" i="4" a="1"/>
  <c r="E20" i="4" s="1"/>
  <c r="E96" i="4" a="1"/>
  <c r="E96" i="4" s="1"/>
  <c r="E137" i="4" a="1"/>
  <c r="E137" i="4" s="1"/>
  <c r="E871" i="4" a="1"/>
  <c r="E871" i="4" s="1"/>
  <c r="E255" i="4" a="1"/>
  <c r="E255" i="4" s="1"/>
  <c r="E661" i="4" a="1"/>
  <c r="E661" i="4" s="1"/>
  <c r="E980" i="4" a="1"/>
  <c r="E980" i="4" s="1"/>
  <c r="E399" i="4" a="1"/>
  <c r="E399" i="4" s="1"/>
  <c r="E241" i="4" a="1"/>
  <c r="E241" i="4" s="1"/>
  <c r="E483" i="4" a="1"/>
  <c r="E483" i="4" s="1"/>
  <c r="E489" i="4" a="1"/>
  <c r="E489" i="4" s="1"/>
  <c r="E617" i="4" a="1"/>
  <c r="E617" i="4" s="1"/>
  <c r="E837" i="4" a="1"/>
  <c r="E837" i="4" s="1"/>
  <c r="H837" i="4" s="1"/>
  <c r="E818" i="4" a="1"/>
  <c r="E818" i="4" s="1"/>
  <c r="E453" i="4" a="1"/>
  <c r="E453" i="4" s="1"/>
  <c r="E684" i="4" a="1"/>
  <c r="E684" i="4" s="1"/>
  <c r="E875" i="4" a="1"/>
  <c r="E875" i="4" s="1"/>
  <c r="E57" i="4" a="1"/>
  <c r="E57" i="4" s="1"/>
  <c r="E410" i="4" a="1"/>
  <c r="E410" i="4" s="1"/>
  <c r="I410" i="4" s="1"/>
  <c r="J410" i="4" s="1" a="1"/>
  <c r="J410" i="4" s="1"/>
  <c r="E757" i="4" a="1"/>
  <c r="E757" i="4" s="1"/>
  <c r="E447" i="4" a="1"/>
  <c r="E447" i="4" s="1"/>
  <c r="E76" i="4" a="1"/>
  <c r="E76" i="4" s="1"/>
  <c r="E743" i="4" a="1"/>
  <c r="E743" i="4" s="1"/>
  <c r="E445" i="4" a="1"/>
  <c r="E445" i="4" s="1"/>
  <c r="E75" i="4" a="1"/>
  <c r="E75" i="4" s="1"/>
  <c r="E728" i="4" a="1"/>
  <c r="E728" i="4" s="1"/>
  <c r="E442" i="4" a="1"/>
  <c r="E442" i="4" s="1"/>
  <c r="E917" i="4" a="1"/>
  <c r="E917" i="4" s="1"/>
  <c r="E636" i="4" a="1"/>
  <c r="E636" i="4" s="1"/>
  <c r="E361" i="4" a="1"/>
  <c r="E361" i="4" s="1"/>
  <c r="E726" i="4" a="1"/>
  <c r="E726" i="4" s="1"/>
  <c r="E429" i="4" a="1"/>
  <c r="E429" i="4" s="1"/>
  <c r="E65" i="4" a="1"/>
  <c r="E65" i="4" s="1"/>
  <c r="E725" i="4" a="1"/>
  <c r="E725" i="4" s="1"/>
  <c r="E428" i="4" a="1"/>
  <c r="E428" i="4" s="1"/>
  <c r="E22" i="4" a="1"/>
  <c r="E22" i="4" s="1"/>
  <c r="E713" i="4" a="1"/>
  <c r="E713" i="4" s="1"/>
  <c r="E427" i="4" a="1"/>
  <c r="E427" i="4" s="1"/>
  <c r="E82" i="4" a="1"/>
  <c r="E82" i="4" s="1"/>
  <c r="E381" i="4" a="1"/>
  <c r="E381" i="4" s="1"/>
  <c r="H381" i="4" s="1"/>
  <c r="E271" i="4" a="1"/>
  <c r="E271" i="4" s="1"/>
  <c r="E240" i="4" a="1"/>
  <c r="E240" i="4" s="1"/>
  <c r="E339" i="4" a="1"/>
  <c r="E339" i="4" s="1"/>
  <c r="E63" i="4" a="1"/>
  <c r="E63" i="4" s="1"/>
  <c r="E105" i="4" a="1"/>
  <c r="E105" i="4" s="1"/>
  <c r="E108" i="4" a="1"/>
  <c r="E108" i="4" s="1"/>
  <c r="E562" i="4" a="1"/>
  <c r="E562" i="4" s="1"/>
  <c r="E963" i="4" a="1"/>
  <c r="E963" i="4" s="1"/>
  <c r="E365" i="4" a="1"/>
  <c r="E365" i="4" s="1"/>
  <c r="E978" i="4" a="1"/>
  <c r="E978" i="4" s="1"/>
  <c r="E391" i="4" a="1"/>
  <c r="E391" i="4" s="1"/>
  <c r="E432" i="4" a="1"/>
  <c r="E432" i="4" s="1"/>
  <c r="E581" i="4" a="1"/>
  <c r="E581" i="4" s="1"/>
  <c r="E813" i="4" a="1"/>
  <c r="E813" i="4" s="1"/>
  <c r="H813" i="4" s="1"/>
  <c r="E734" i="4" a="1"/>
  <c r="E734" i="4" s="1"/>
  <c r="E421" i="4" a="1"/>
  <c r="E421" i="4" s="1"/>
  <c r="E435" i="4" a="1"/>
  <c r="E435" i="4" s="1"/>
  <c r="E854" i="4" a="1"/>
  <c r="E854" i="4" s="1"/>
  <c r="E500" i="4" a="1"/>
  <c r="E500" i="4" s="1"/>
  <c r="E376" i="4" a="1"/>
  <c r="E376" i="4" s="1"/>
  <c r="E745" i="4" a="1"/>
  <c r="E745" i="4" s="1"/>
  <c r="E436" i="4" a="1"/>
  <c r="E436" i="4" s="1"/>
  <c r="E58" i="4" a="1"/>
  <c r="E58" i="4" s="1"/>
  <c r="E731" i="4" a="1"/>
  <c r="E731" i="4" s="1"/>
  <c r="E434" i="4" a="1"/>
  <c r="E434" i="4" s="1"/>
  <c r="E55" i="4" a="1"/>
  <c r="E55" i="4" s="1"/>
  <c r="E705" i="4" a="1"/>
  <c r="E705" i="4" s="1"/>
  <c r="E431" i="4" a="1"/>
  <c r="E431" i="4" s="1"/>
  <c r="E907" i="4" a="1"/>
  <c r="E907" i="4" s="1"/>
  <c r="E624" i="4" a="1"/>
  <c r="E624" i="4" s="1"/>
  <c r="E347" i="4" a="1"/>
  <c r="E347" i="4" s="1"/>
  <c r="E715" i="4" a="1"/>
  <c r="E715" i="4" s="1"/>
  <c r="E418" i="4" a="1"/>
  <c r="E418" i="4" s="1"/>
  <c r="E48" i="4" a="1"/>
  <c r="E48" i="4" s="1"/>
  <c r="I48" i="4" s="1"/>
  <c r="J48" i="4" s="1" a="1"/>
  <c r="J48" i="4" s="1"/>
  <c r="E714" i="4" a="1"/>
  <c r="E714" i="4" s="1"/>
  <c r="I714" i="4" s="1"/>
  <c r="J714" i="4" s="1" a="1"/>
  <c r="J714" i="4" s="1"/>
  <c r="E417" i="4" a="1"/>
  <c r="E417" i="4" s="1"/>
  <c r="E994" i="4" a="1"/>
  <c r="E994" i="4" s="1"/>
  <c r="E701" i="4" a="1"/>
  <c r="E701" i="4" s="1"/>
  <c r="E416" i="4" a="1"/>
  <c r="E416" i="4" s="1"/>
  <c r="E44" i="4" a="1"/>
  <c r="E44" i="4" s="1"/>
  <c r="E356" i="4" a="1"/>
  <c r="E356" i="4" s="1"/>
  <c r="E261" i="4" a="1"/>
  <c r="E261" i="4" s="1"/>
  <c r="E231" i="4" a="1"/>
  <c r="E231" i="4" s="1"/>
  <c r="E328" i="4" a="1"/>
  <c r="E328" i="4" s="1"/>
  <c r="E52" i="4" a="1"/>
  <c r="E52" i="4" s="1"/>
  <c r="G602" i="4" a="1"/>
  <c r="G602" i="4" s="1"/>
  <c r="G396" i="4" a="1"/>
  <c r="G396" i="4" s="1"/>
  <c r="G982" i="4" a="1"/>
  <c r="G982" i="4" s="1"/>
  <c r="G856" i="4" a="1"/>
  <c r="G856" i="4" s="1"/>
  <c r="G688" i="4" a="1"/>
  <c r="G688" i="4" s="1"/>
  <c r="G515" i="4" a="1"/>
  <c r="G515" i="4" s="1"/>
  <c r="G116" i="4" a="1"/>
  <c r="G116" i="4" s="1"/>
  <c r="G320" i="4" a="1"/>
  <c r="G320" i="4" s="1"/>
  <c r="G118" i="4" a="1"/>
  <c r="G118" i="4" s="1"/>
  <c r="G260" i="4" a="1"/>
  <c r="G260" i="4" s="1"/>
  <c r="G64" i="4" a="1"/>
  <c r="G64" i="4" s="1"/>
  <c r="G204" i="4" a="1"/>
  <c r="G204" i="4" s="1"/>
  <c r="G451" i="4" a="1"/>
  <c r="G451" i="4" s="1"/>
  <c r="G277" i="4" a="1"/>
  <c r="G277" i="4" s="1"/>
  <c r="G88" i="4" a="1"/>
  <c r="G88" i="4" s="1"/>
  <c r="G185" i="4" a="1"/>
  <c r="G185" i="4" s="1"/>
  <c r="G324" i="4" a="1"/>
  <c r="G324" i="4" s="1"/>
  <c r="G96" i="4" a="1"/>
  <c r="G96" i="4" s="1"/>
  <c r="G332" i="4" a="1"/>
  <c r="G332" i="4" s="1"/>
  <c r="G165" i="4" a="1"/>
  <c r="G165" i="4" s="1"/>
  <c r="G245" i="4" a="1"/>
  <c r="G245" i="4" s="1"/>
  <c r="E771" i="4" a="1"/>
  <c r="E771" i="4" s="1"/>
  <c r="E795" i="4" a="1"/>
  <c r="E795" i="4" s="1"/>
  <c r="E403" i="4" a="1"/>
  <c r="E403" i="4" s="1"/>
  <c r="E866" i="4" a="1"/>
  <c r="E866" i="4" s="1"/>
  <c r="E282" i="4" a="1"/>
  <c r="E282" i="4" s="1"/>
  <c r="E902" i="4" a="1"/>
  <c r="E902" i="4" s="1"/>
  <c r="E233" i="4" a="1"/>
  <c r="E233" i="4" s="1"/>
  <c r="E281" i="4" a="1"/>
  <c r="E281" i="4" s="1"/>
  <c r="E528" i="4" a="1"/>
  <c r="E528" i="4" s="1"/>
  <c r="E756" i="4" a="1"/>
  <c r="E756" i="4" s="1"/>
  <c r="E512" i="4" a="1"/>
  <c r="E512" i="4" s="1"/>
  <c r="E350" i="4" a="1"/>
  <c r="E350" i="4" s="1"/>
  <c r="E954" i="4" a="1"/>
  <c r="E954" i="4" s="1"/>
  <c r="E806" i="4" a="1"/>
  <c r="E806" i="4" s="1"/>
  <c r="E968" i="4" a="1"/>
  <c r="E968" i="4" s="1"/>
  <c r="E297" i="4" a="1"/>
  <c r="E297" i="4" s="1"/>
  <c r="E721" i="4" a="1"/>
  <c r="E721" i="4" s="1"/>
  <c r="E413" i="4" a="1"/>
  <c r="E413" i="4" s="1"/>
  <c r="H413" i="4" s="1"/>
  <c r="E15" i="4" a="1"/>
  <c r="E15" i="4" s="1"/>
  <c r="E708" i="4" a="1"/>
  <c r="E708" i="4" s="1"/>
  <c r="E411" i="4" a="1"/>
  <c r="E411" i="4" s="1"/>
  <c r="E11" i="4" a="1"/>
  <c r="E11" i="4" s="1"/>
  <c r="E682" i="4" a="1"/>
  <c r="E682" i="4" s="1"/>
  <c r="E408" i="4" a="1"/>
  <c r="E408" i="4" s="1"/>
  <c r="E889" i="4" a="1"/>
  <c r="E889" i="4" s="1"/>
  <c r="E600" i="4" a="1"/>
  <c r="E600" i="4" s="1"/>
  <c r="E308" i="4" a="1"/>
  <c r="E308" i="4" s="1"/>
  <c r="E692" i="4" a="1"/>
  <c r="E692" i="4" s="1"/>
  <c r="E395" i="4" a="1"/>
  <c r="E395" i="4" s="1"/>
  <c r="E995" i="4" a="1"/>
  <c r="E995" i="4" s="1"/>
  <c r="E691" i="4" a="1"/>
  <c r="E691" i="4" s="1"/>
  <c r="E383" i="4" a="1"/>
  <c r="E383" i="4" s="1"/>
  <c r="E970" i="4" a="1"/>
  <c r="E970" i="4" s="1"/>
  <c r="E678" i="4" a="1"/>
  <c r="E678" i="4" s="1"/>
  <c r="E393" i="4" a="1"/>
  <c r="E393" i="4" s="1"/>
  <c r="E620" i="4" a="1"/>
  <c r="E620" i="4" s="1"/>
  <c r="E330" i="4" a="1"/>
  <c r="E330" i="4" s="1"/>
  <c r="E242" i="4" a="1"/>
  <c r="E242" i="4" s="1"/>
  <c r="E197" i="4" a="1"/>
  <c r="E197" i="4" s="1"/>
  <c r="E307" i="4" a="1"/>
  <c r="E307" i="4" s="1"/>
  <c r="E30" i="4" a="1"/>
  <c r="E30" i="4" s="1"/>
  <c r="E72" i="4" a="1"/>
  <c r="E72" i="4" s="1"/>
  <c r="G592" i="4" a="1"/>
  <c r="G592" i="4" s="1"/>
  <c r="G384" i="4" a="1"/>
  <c r="G384" i="4" s="1"/>
  <c r="G973" i="4" a="1"/>
  <c r="G973" i="4" s="1"/>
  <c r="G847" i="4" a="1"/>
  <c r="G847" i="4" s="1"/>
  <c r="G666" i="4" a="1"/>
  <c r="G666" i="4" s="1"/>
  <c r="G505" i="4" a="1"/>
  <c r="G505" i="4" s="1"/>
  <c r="G90" i="4" a="1"/>
  <c r="G90" i="4" s="1"/>
  <c r="G310" i="4" a="1"/>
  <c r="G310" i="4" s="1"/>
  <c r="G101" i="4" a="1"/>
  <c r="G101" i="4" s="1"/>
  <c r="G250" i="4" a="1"/>
  <c r="G250" i="4" s="1"/>
  <c r="G46" i="4" a="1"/>
  <c r="G46" i="4" s="1"/>
  <c r="G187" i="4" a="1"/>
  <c r="G187" i="4" s="1"/>
  <c r="G432" i="4" a="1"/>
  <c r="G432" i="4" s="1"/>
  <c r="G267" i="4" a="1"/>
  <c r="G267" i="4" s="1"/>
  <c r="G80" i="4" a="1"/>
  <c r="G80" i="4" s="1"/>
  <c r="G176" i="4" a="1"/>
  <c r="G176" i="4" s="1"/>
  <c r="G315" i="4" a="1"/>
  <c r="G315" i="4" s="1"/>
  <c r="G87" i="4" a="1"/>
  <c r="G87" i="4" s="1"/>
  <c r="G323" i="4" a="1"/>
  <c r="G323" i="4" s="1"/>
  <c r="G156" i="4" a="1"/>
  <c r="G156" i="4" s="1"/>
  <c r="E688" i="4" a="1"/>
  <c r="E688" i="4" s="1"/>
  <c r="E984" i="4" a="1"/>
  <c r="E984" i="4" s="1"/>
  <c r="E369" i="4" a="1"/>
  <c r="E369" i="4" s="1"/>
  <c r="E843" i="4" a="1"/>
  <c r="E843" i="4" s="1"/>
  <c r="E146" i="4" a="1"/>
  <c r="E146" i="4" s="1"/>
  <c r="E882" i="4" a="1"/>
  <c r="E882" i="4" s="1"/>
  <c r="E16" i="4" a="1"/>
  <c r="E16" i="4" s="1"/>
  <c r="E89" i="4" a="1"/>
  <c r="E89" i="4" s="1"/>
  <c r="E455" i="4" a="1"/>
  <c r="E455" i="4" s="1"/>
  <c r="E699" i="4" a="1"/>
  <c r="E699" i="4" s="1"/>
  <c r="E991" i="4" a="1"/>
  <c r="E991" i="4" s="1"/>
  <c r="E268" i="4" a="1"/>
  <c r="E268" i="4" s="1"/>
  <c r="E894" i="4" a="1"/>
  <c r="E894" i="4" s="1"/>
  <c r="E747" i="4" a="1"/>
  <c r="E747" i="4" s="1"/>
  <c r="E930" i="4" a="1"/>
  <c r="E930" i="4" s="1"/>
  <c r="H930" i="4" s="1"/>
  <c r="E211" i="4" a="1"/>
  <c r="E211" i="4" s="1"/>
  <c r="E687" i="4" a="1"/>
  <c r="E687" i="4" s="1"/>
  <c r="E390" i="4" a="1"/>
  <c r="E390" i="4" s="1"/>
  <c r="E989" i="4" a="1"/>
  <c r="E989" i="4" s="1"/>
  <c r="E685" i="4" a="1"/>
  <c r="E685" i="4" s="1"/>
  <c r="E388" i="4" a="1"/>
  <c r="E388" i="4" s="1"/>
  <c r="E974" i="4" a="1"/>
  <c r="E974" i="4" s="1"/>
  <c r="E660" i="4" a="1"/>
  <c r="E660" i="4" s="1"/>
  <c r="E386" i="4" a="1"/>
  <c r="E386" i="4" s="1"/>
  <c r="E859" i="4" a="1"/>
  <c r="E859" i="4" s="1"/>
  <c r="E576" i="4" a="1"/>
  <c r="E576" i="4" s="1"/>
  <c r="E279" i="4" a="1"/>
  <c r="E279" i="4" s="1"/>
  <c r="E669" i="4" a="1"/>
  <c r="E669" i="4" s="1"/>
  <c r="E372" i="4" a="1"/>
  <c r="E372" i="4" s="1"/>
  <c r="E971" i="4" a="1"/>
  <c r="E971" i="4" s="1"/>
  <c r="E668" i="4" a="1"/>
  <c r="E668" i="4" s="1"/>
  <c r="E358" i="4" a="1"/>
  <c r="E358" i="4" s="1"/>
  <c r="E946" i="4" a="1"/>
  <c r="E946" i="4" s="1"/>
  <c r="E645" i="4" a="1"/>
  <c r="E645" i="4" s="1"/>
  <c r="I645" i="4" s="1"/>
  <c r="J645" i="4" s="1" a="1"/>
  <c r="J645" i="4" s="1"/>
  <c r="E370" i="4" a="1"/>
  <c r="E370" i="4" s="1"/>
  <c r="E596" i="4" a="1"/>
  <c r="E596" i="4" s="1"/>
  <c r="E302" i="4" a="1"/>
  <c r="E302" i="4" s="1"/>
  <c r="E221" i="4" a="1"/>
  <c r="E221" i="4" s="1"/>
  <c r="E176" i="4" a="1"/>
  <c r="E176" i="4" s="1"/>
  <c r="E275" i="4" a="1"/>
  <c r="E275" i="4" s="1"/>
  <c r="E360" i="4" a="1"/>
  <c r="E360" i="4" s="1"/>
  <c r="E51" i="4" a="1"/>
  <c r="E51" i="4" s="1"/>
  <c r="G76" i="4" a="1"/>
  <c r="G76" i="4" s="1"/>
  <c r="G200" i="4" a="1"/>
  <c r="G200" i="4" s="1"/>
  <c r="G958" i="4" a="1"/>
  <c r="G958" i="4" s="1"/>
  <c r="G850" i="4" a="1"/>
  <c r="G850" i="4" s="1"/>
  <c r="G680" i="4" a="1"/>
  <c r="G680" i="4" s="1"/>
  <c r="G539" i="4" a="1"/>
  <c r="G539" i="4" s="1"/>
  <c r="G387" i="4" a="1"/>
  <c r="G387" i="4" s="1"/>
  <c r="G73" i="4" a="1"/>
  <c r="G73" i="4" s="1"/>
  <c r="G411" i="4" a="1"/>
  <c r="G411" i="4" s="1"/>
  <c r="G42" i="4" a="1"/>
  <c r="G42" i="4" s="1"/>
  <c r="G711" i="4" a="1"/>
  <c r="G711" i="4" s="1"/>
  <c r="G548" i="4" a="1"/>
  <c r="G548" i="4" s="1"/>
  <c r="G318" i="4" a="1"/>
  <c r="G318" i="4" s="1"/>
  <c r="G947" i="4" a="1"/>
  <c r="G947" i="4" s="1"/>
  <c r="G838" i="4" a="1"/>
  <c r="G838" i="4" s="1"/>
  <c r="G700" i="4" a="1"/>
  <c r="G700" i="4" s="1"/>
  <c r="G547" i="4" a="1"/>
  <c r="G547" i="4" s="1"/>
  <c r="G371" i="4" a="1"/>
  <c r="G371" i="4" s="1"/>
  <c r="G38" i="4" a="1"/>
  <c r="G38" i="4" s="1"/>
  <c r="G892" i="4" a="1"/>
  <c r="G892" i="4" s="1"/>
  <c r="G769" i="4" a="1"/>
  <c r="G769" i="4" s="1"/>
  <c r="G622" i="4" a="1"/>
  <c r="G622" i="4" s="1"/>
  <c r="H622" i="4" s="1"/>
  <c r="G496" i="4" a="1"/>
  <c r="G496" i="4" s="1"/>
  <c r="G223" i="4" a="1"/>
  <c r="G223" i="4" s="1"/>
  <c r="G406" i="4" a="1"/>
  <c r="G406" i="4" s="1"/>
  <c r="G252" i="4" a="1"/>
  <c r="G252" i="4" s="1"/>
  <c r="G92" i="4" a="1"/>
  <c r="G92" i="4" s="1"/>
  <c r="G289" i="4" a="1"/>
  <c r="G289" i="4" s="1"/>
  <c r="G152" i="4" a="1"/>
  <c r="G152" i="4" s="1"/>
  <c r="G19" i="4" a="1"/>
  <c r="G19" i="4" s="1"/>
  <c r="G177" i="4" a="1"/>
  <c r="G177" i="4" s="1"/>
  <c r="G36" i="4" a="1"/>
  <c r="G36" i="4" s="1"/>
  <c r="G345" i="4" a="1"/>
  <c r="G345" i="4" s="1"/>
  <c r="G212" i="4" a="1"/>
  <c r="G212" i="4" s="1"/>
  <c r="G71" i="4" a="1"/>
  <c r="G71" i="4" s="1"/>
  <c r="G220" i="4" a="1"/>
  <c r="G220" i="4" s="1"/>
  <c r="G105" i="4" a="1"/>
  <c r="G105" i="4" s="1"/>
  <c r="G275" i="4" a="1"/>
  <c r="G275" i="4" s="1"/>
  <c r="G79" i="4" a="1"/>
  <c r="G79" i="4" s="1"/>
  <c r="G370" i="4" a="1"/>
  <c r="G370" i="4" s="1"/>
  <c r="G236" i="4" a="1"/>
  <c r="G236" i="4" s="1"/>
  <c r="G121" i="4" a="1"/>
  <c r="G121" i="4" s="1"/>
  <c r="G191" i="4" a="1"/>
  <c r="G191" i="4" s="1"/>
  <c r="G40" i="4" a="1"/>
  <c r="G40" i="4" s="1"/>
  <c r="G589" i="4" a="1"/>
  <c r="G589" i="4" s="1"/>
  <c r="G433" i="4" a="1"/>
  <c r="G433" i="4" s="1"/>
  <c r="G190" i="4" a="1"/>
  <c r="G190" i="4" s="1"/>
  <c r="G327" i="4" a="1"/>
  <c r="G327" i="4" s="1"/>
  <c r="G30" i="4" a="1"/>
  <c r="G30" i="4" s="1"/>
  <c r="G502" i="4" a="1"/>
  <c r="G502" i="4" s="1"/>
  <c r="G291" i="4" a="1"/>
  <c r="G291" i="4" s="1"/>
  <c r="G454" i="4" a="1"/>
  <c r="G454" i="4" s="1"/>
  <c r="G154" i="4" a="1"/>
  <c r="G154" i="4" s="1"/>
  <c r="G595" i="4" a="1"/>
  <c r="G595" i="4" s="1"/>
  <c r="G453" i="4" a="1"/>
  <c r="G453" i="4" s="1"/>
  <c r="G206" i="4" a="1"/>
  <c r="G206" i="4" s="1"/>
  <c r="G949" i="4" a="1"/>
  <c r="G949" i="4" s="1"/>
  <c r="G841" i="4" a="1"/>
  <c r="G841" i="4" s="1"/>
  <c r="H841" i="4" s="1"/>
  <c r="G670" i="4" a="1"/>
  <c r="G670" i="4" s="1"/>
  <c r="G528" i="4" a="1"/>
  <c r="G528" i="4" s="1"/>
  <c r="G374" i="4" a="1"/>
  <c r="G374" i="4" s="1"/>
  <c r="G582" i="4" a="1"/>
  <c r="G582" i="4" s="1"/>
  <c r="G386" i="4" a="1"/>
  <c r="G386" i="4" s="1"/>
  <c r="G12" i="4" a="1"/>
  <c r="G12" i="4" s="1"/>
  <c r="G689" i="4" a="1"/>
  <c r="G689" i="4" s="1"/>
  <c r="G538" i="4" a="1"/>
  <c r="G538" i="4" s="1"/>
  <c r="G301" i="4" a="1"/>
  <c r="G301" i="4" s="1"/>
  <c r="G938" i="4" a="1"/>
  <c r="G938" i="4" s="1"/>
  <c r="G828" i="4" a="1"/>
  <c r="G828" i="4" s="1"/>
  <c r="G677" i="4" a="1"/>
  <c r="G677" i="4" s="1"/>
  <c r="G537" i="4" a="1"/>
  <c r="G537" i="4" s="1"/>
  <c r="G358" i="4" a="1"/>
  <c r="G358" i="4" s="1"/>
  <c r="G991" i="4" a="1"/>
  <c r="G991" i="4" s="1"/>
  <c r="G883" i="4" a="1"/>
  <c r="G883" i="4" s="1"/>
  <c r="G750" i="4" a="1"/>
  <c r="G750" i="4" s="1"/>
  <c r="G611" i="4" a="1"/>
  <c r="G611" i="4" s="1"/>
  <c r="G485" i="4" a="1"/>
  <c r="G485" i="4" s="1"/>
  <c r="G196" i="4" a="1"/>
  <c r="G196" i="4" s="1"/>
  <c r="G397" i="4" a="1"/>
  <c r="G397" i="4" s="1"/>
  <c r="G243" i="4" a="1"/>
  <c r="G243" i="4" s="1"/>
  <c r="G83" i="4" a="1"/>
  <c r="G83" i="4" s="1"/>
  <c r="G279" i="4" a="1"/>
  <c r="G279" i="4" s="1"/>
  <c r="G143" i="4" a="1"/>
  <c r="G143" i="4" s="1"/>
  <c r="G297" i="4" a="1"/>
  <c r="G297" i="4" s="1"/>
  <c r="G169" i="4" a="1"/>
  <c r="G169" i="4" s="1"/>
  <c r="G18" i="4" a="1"/>
  <c r="G18" i="4" s="1"/>
  <c r="G335" i="4" a="1"/>
  <c r="G335" i="4" s="1"/>
  <c r="G203" i="4" a="1"/>
  <c r="G203" i="4" s="1"/>
  <c r="G62" i="4" a="1"/>
  <c r="G62" i="4" s="1"/>
  <c r="G202" i="4" a="1"/>
  <c r="G202" i="4" s="1"/>
  <c r="G97" i="4" a="1"/>
  <c r="G97" i="4" s="1"/>
  <c r="G256" i="4" a="1"/>
  <c r="G256" i="4" s="1"/>
  <c r="G61" i="4" a="1"/>
  <c r="G61" i="4" s="1"/>
  <c r="G361" i="4" a="1"/>
  <c r="G361" i="4" s="1"/>
  <c r="G226" i="4" a="1"/>
  <c r="G226" i="4" s="1"/>
  <c r="G94" i="4" a="1"/>
  <c r="G94" i="4" s="1"/>
  <c r="G182" i="4" a="1"/>
  <c r="G182" i="4" s="1"/>
  <c r="G32" i="4" a="1"/>
  <c r="G32" i="4" s="1"/>
  <c r="G173" i="4" a="1"/>
  <c r="G173" i="4" s="1"/>
  <c r="G23" i="4" a="1"/>
  <c r="G23" i="4" s="1"/>
  <c r="G709" i="4" a="1"/>
  <c r="G709" i="4" s="1"/>
  <c r="G568" i="4" a="1"/>
  <c r="G568" i="4" s="1"/>
  <c r="G422" i="4" a="1"/>
  <c r="G422" i="4" s="1"/>
  <c r="G37" i="4" a="1"/>
  <c r="G37" i="4" s="1"/>
  <c r="I37" i="4" s="1"/>
  <c r="J37" i="4" s="1" a="1"/>
  <c r="J37" i="4" s="1"/>
  <c r="G349" i="4" a="1"/>
  <c r="G349" i="4" s="1"/>
  <c r="G199" i="4" a="1"/>
  <c r="G199" i="4" s="1"/>
  <c r="G39" i="4" a="1"/>
  <c r="G39" i="4" s="1"/>
  <c r="G232" i="4" a="1"/>
  <c r="G232" i="4" s="1"/>
  <c r="G108" i="4" a="1"/>
  <c r="G108" i="4" s="1"/>
  <c r="G249" i="4" a="1"/>
  <c r="G249" i="4" s="1"/>
  <c r="G106" i="4" a="1"/>
  <c r="G106" i="4" s="1"/>
  <c r="G423" i="4" a="1"/>
  <c r="G423" i="4" s="1"/>
  <c r="G296" i="4" a="1"/>
  <c r="G296" i="4" s="1"/>
  <c r="G159" i="4" a="1"/>
  <c r="G159" i="4" s="1"/>
  <c r="G27" i="4" a="1"/>
  <c r="G27" i="4" s="1"/>
  <c r="G167" i="4" a="1"/>
  <c r="G167" i="4" s="1"/>
  <c r="G26" i="4" a="1"/>
  <c r="G26" i="4" s="1"/>
  <c r="G166" i="4" a="1"/>
  <c r="G166" i="4" s="1"/>
  <c r="G448" i="4" a="1"/>
  <c r="G448" i="4" s="1"/>
  <c r="G313" i="4" a="1"/>
  <c r="G313" i="4" s="1"/>
  <c r="G183" i="4" a="1"/>
  <c r="G183" i="4" s="1"/>
  <c r="G50" i="4" a="1"/>
  <c r="G50" i="4" s="1"/>
  <c r="G146" i="4" a="1"/>
  <c r="G146" i="4" s="1"/>
  <c r="E514" i="4" a="1"/>
  <c r="E514" i="4" s="1"/>
  <c r="E802" i="4" a="1"/>
  <c r="E802" i="4" s="1"/>
  <c r="E443" i="4" a="1"/>
  <c r="E443" i="4" s="1"/>
  <c r="E966" i="4" a="1"/>
  <c r="E966" i="4" s="1"/>
  <c r="E686" i="4" a="1"/>
  <c r="E686" i="4" s="1"/>
  <c r="E247" i="4" a="1"/>
  <c r="E247" i="4" s="1"/>
  <c r="E944" i="4" a="1"/>
  <c r="E944" i="4" s="1"/>
  <c r="E655" i="4" a="1"/>
  <c r="E655" i="4" s="1"/>
  <c r="E195" i="4" a="1"/>
  <c r="E195" i="4" s="1"/>
  <c r="E792" i="4" a="1"/>
  <c r="E792" i="4" s="1"/>
  <c r="E840" i="4" a="1"/>
  <c r="E840" i="4" s="1"/>
  <c r="E425" i="4" a="1"/>
  <c r="E425" i="4" s="1"/>
  <c r="E491" i="4" a="1"/>
  <c r="E491" i="4" s="1"/>
  <c r="E323" i="4" a="1"/>
  <c r="E323" i="4" s="1"/>
  <c r="H323" i="4" s="1"/>
  <c r="E862" i="4" a="1"/>
  <c r="E862" i="4" s="1"/>
  <c r="E482" i="4" a="1"/>
  <c r="E482" i="4" s="1"/>
  <c r="I482" i="4" s="1"/>
  <c r="J482" i="4" s="1" a="1"/>
  <c r="J482" i="4" s="1"/>
  <c r="E992" i="4" a="1"/>
  <c r="E992" i="4" s="1"/>
  <c r="E729" i="4" a="1"/>
  <c r="E729" i="4" s="1"/>
  <c r="E228" i="4" a="1"/>
  <c r="E228" i="4" s="1"/>
  <c r="E462" i="4" a="1"/>
  <c r="E462" i="4" s="1"/>
  <c r="H462" i="4" s="1"/>
  <c r="E754" i="4" a="1"/>
  <c r="E754" i="4" s="1"/>
  <c r="E309" i="4" a="1"/>
  <c r="E309" i="4" s="1"/>
  <c r="E342" i="4" a="1"/>
  <c r="E342" i="4" s="1"/>
  <c r="E933" i="4" a="1"/>
  <c r="E933" i="4" s="1"/>
  <c r="E607" i="4" a="1"/>
  <c r="E607" i="4" s="1"/>
  <c r="E778" i="4" a="1"/>
  <c r="E778" i="4" s="1"/>
  <c r="E412" i="4" a="1"/>
  <c r="E412" i="4" s="1"/>
  <c r="E951" i="4" a="1"/>
  <c r="E951" i="4" s="1"/>
  <c r="E663" i="4" a="1"/>
  <c r="E663" i="4" s="1"/>
  <c r="E256" i="4" a="1"/>
  <c r="E256" i="4" s="1"/>
  <c r="E853" i="4" a="1"/>
  <c r="E853" i="4" s="1"/>
  <c r="E710" i="4" a="1"/>
  <c r="E710" i="4" s="1"/>
  <c r="E561" i="4" a="1"/>
  <c r="E561" i="4" s="1"/>
  <c r="E402" i="4" a="1"/>
  <c r="E402" i="4" s="1"/>
  <c r="E215" i="4" a="1"/>
  <c r="E215" i="4" s="1"/>
  <c r="E998" i="4" a="1"/>
  <c r="E998" i="4" s="1"/>
  <c r="E839" i="4" a="1"/>
  <c r="E839" i="4" s="1"/>
  <c r="E697" i="4" a="1"/>
  <c r="E697" i="4" s="1"/>
  <c r="E521" i="4" a="1"/>
  <c r="E521" i="4" s="1"/>
  <c r="E400" i="4" a="1"/>
  <c r="E400" i="4" s="1"/>
  <c r="E229" i="4" a="1"/>
  <c r="E229" i="4" s="1"/>
  <c r="E986" i="4" a="1"/>
  <c r="E986" i="4" s="1"/>
  <c r="E824" i="4" a="1"/>
  <c r="E824" i="4" s="1"/>
  <c r="E671" i="4" a="1"/>
  <c r="E671" i="4" s="1"/>
  <c r="E540" i="4" a="1"/>
  <c r="E540" i="4" s="1"/>
  <c r="E397" i="4" a="1"/>
  <c r="E397" i="4" s="1"/>
  <c r="E175" i="4" a="1"/>
  <c r="E175" i="4" s="1"/>
  <c r="E869" i="4" a="1"/>
  <c r="E869" i="4" s="1"/>
  <c r="E727" i="4" a="1"/>
  <c r="E727" i="4" s="1"/>
  <c r="I727" i="4" s="1"/>
  <c r="J727" i="4" s="1" a="1"/>
  <c r="J727" i="4" s="1"/>
  <c r="E588" i="4" a="1"/>
  <c r="E588" i="4" s="1"/>
  <c r="E460" i="4" a="1"/>
  <c r="E460" i="4" s="1"/>
  <c r="E292" i="4" a="1"/>
  <c r="E292" i="4" s="1"/>
  <c r="E67" i="4" a="1"/>
  <c r="E67" i="4" s="1"/>
  <c r="E680" i="4" a="1"/>
  <c r="E680" i="4" s="1"/>
  <c r="E539" i="4" a="1"/>
  <c r="E539" i="4" s="1"/>
  <c r="E384" i="4" a="1"/>
  <c r="E384" i="4" s="1"/>
  <c r="E206" i="4" a="1"/>
  <c r="E206" i="4" s="1"/>
  <c r="E983" i="4" a="1"/>
  <c r="E983" i="4" s="1"/>
  <c r="E821" i="4" a="1"/>
  <c r="E821" i="4" s="1"/>
  <c r="E679" i="4" a="1"/>
  <c r="E679" i="4" s="1"/>
  <c r="E538" i="4" a="1"/>
  <c r="E538" i="4" s="1"/>
  <c r="E371" i="4" a="1"/>
  <c r="E371" i="4" s="1"/>
  <c r="E187" i="4" a="1"/>
  <c r="E187" i="4" s="1"/>
  <c r="E958" i="4" a="1"/>
  <c r="E958" i="4" s="1"/>
  <c r="E808" i="4" a="1"/>
  <c r="E808" i="4" s="1"/>
  <c r="E667" i="4" a="1"/>
  <c r="E667" i="4" s="1"/>
  <c r="E517" i="4" a="1"/>
  <c r="E517" i="4" s="1"/>
  <c r="H517" i="4" s="1"/>
  <c r="E382" i="4" a="1"/>
  <c r="E382" i="4" s="1"/>
  <c r="E219" i="4" a="1"/>
  <c r="E219" i="4" s="1"/>
  <c r="E608" i="4" a="1"/>
  <c r="E608" i="4" s="1"/>
  <c r="E466" i="4" a="1"/>
  <c r="E466" i="4" s="1"/>
  <c r="E316" i="4" a="1"/>
  <c r="E316" i="4" s="1"/>
  <c r="E99" i="4" a="1"/>
  <c r="E99" i="4" s="1"/>
  <c r="E232" i="4" a="1"/>
  <c r="E232" i="4" s="1"/>
  <c r="E79" i="4" a="1"/>
  <c r="E79" i="4" s="1"/>
  <c r="E186" i="4" a="1"/>
  <c r="E186" i="4" s="1"/>
  <c r="E45" i="4" a="1"/>
  <c r="E45" i="4" s="1"/>
  <c r="H45" i="4" s="1"/>
  <c r="E296" i="4" a="1"/>
  <c r="E296" i="4" s="1"/>
  <c r="E150" i="4" a="1"/>
  <c r="E150" i="4" s="1"/>
  <c r="E19" i="4" a="1"/>
  <c r="E19" i="4" s="1"/>
  <c r="E203" i="4" a="1"/>
  <c r="E203" i="4" s="1"/>
  <c r="E61" i="4" a="1"/>
  <c r="E61" i="4" s="1"/>
  <c r="E38" i="4" a="1"/>
  <c r="E38" i="4" s="1"/>
  <c r="E972" i="4" a="1"/>
  <c r="E972" i="4" s="1"/>
  <c r="E744" i="4" a="1"/>
  <c r="E744" i="4" s="1"/>
  <c r="E375" i="4" a="1"/>
  <c r="E375" i="4" s="1"/>
  <c r="E928" i="4" a="1"/>
  <c r="E928" i="4" s="1"/>
  <c r="E631" i="4" a="1"/>
  <c r="E631" i="4" s="1"/>
  <c r="E151" i="4" a="1"/>
  <c r="E151" i="4" s="1"/>
  <c r="E904" i="4" a="1"/>
  <c r="E904" i="4" s="1"/>
  <c r="E591" i="4" a="1"/>
  <c r="E591" i="4" s="1"/>
  <c r="E91" i="4" a="1"/>
  <c r="E91" i="4" s="1"/>
  <c r="E590" i="4" a="1"/>
  <c r="E590" i="4" s="1"/>
  <c r="E790" i="4" a="1"/>
  <c r="E790" i="4" s="1"/>
  <c r="E355" i="4" a="1"/>
  <c r="E355" i="4" s="1"/>
  <c r="E196" i="4" a="1"/>
  <c r="E196" i="4" s="1"/>
  <c r="E193" i="4" a="1"/>
  <c r="E193" i="4" s="1"/>
  <c r="E814" i="4" a="1"/>
  <c r="E814" i="4" s="1"/>
  <c r="I814" i="4" s="1"/>
  <c r="J814" i="4" s="1" a="1"/>
  <c r="J814" i="4" s="1"/>
  <c r="E389" i="4" a="1"/>
  <c r="E389" i="4" s="1"/>
  <c r="E956" i="4" a="1"/>
  <c r="E956" i="4" s="1"/>
  <c r="E673" i="4" a="1"/>
  <c r="E673" i="4" s="1"/>
  <c r="E129" i="4" a="1"/>
  <c r="E129" i="4" s="1"/>
  <c r="E973" i="4" a="1"/>
  <c r="E973" i="4" s="1"/>
  <c r="E698" i="4" a="1"/>
  <c r="E698" i="4" s="1"/>
  <c r="E226" i="4" a="1"/>
  <c r="E226" i="4" s="1"/>
  <c r="E260" i="4" a="1"/>
  <c r="E260" i="4" s="1"/>
  <c r="E876" i="4" a="1"/>
  <c r="E876" i="4" s="1"/>
  <c r="I876" i="4" s="1"/>
  <c r="J876" i="4" s="1" a="1"/>
  <c r="J876" i="4" s="1"/>
  <c r="E543" i="4" a="1"/>
  <c r="E543" i="4" s="1"/>
  <c r="E720" i="4" a="1"/>
  <c r="E720" i="4" s="1"/>
  <c r="H720" i="4" s="1"/>
  <c r="E340" i="4" a="1"/>
  <c r="E340" i="4" s="1"/>
  <c r="E912" i="4" a="1"/>
  <c r="E912" i="4" s="1"/>
  <c r="E603" i="4" a="1"/>
  <c r="E603" i="4" s="1"/>
  <c r="E162" i="4" a="1"/>
  <c r="E162" i="4" s="1"/>
  <c r="E829" i="4" a="1"/>
  <c r="E829" i="4" s="1"/>
  <c r="E675" i="4" a="1"/>
  <c r="E675" i="4" s="1"/>
  <c r="H675" i="4" s="1"/>
  <c r="E522" i="4" a="1"/>
  <c r="E522" i="4" s="1"/>
  <c r="E379" i="4" a="1"/>
  <c r="E379" i="4" s="1"/>
  <c r="E182" i="4" a="1"/>
  <c r="E182" i="4" s="1"/>
  <c r="I182" i="4" s="1"/>
  <c r="J182" i="4" s="1" a="1"/>
  <c r="J182" i="4" s="1"/>
  <c r="E977" i="4" a="1"/>
  <c r="E977" i="4" s="1"/>
  <c r="E815" i="4" a="1"/>
  <c r="E815" i="4" s="1"/>
  <c r="E674" i="4" a="1"/>
  <c r="E674" i="4" s="1"/>
  <c r="E498" i="4" a="1"/>
  <c r="E498" i="4" s="1"/>
  <c r="E377" i="4" a="1"/>
  <c r="E377" i="4" s="1"/>
  <c r="E179" i="4" a="1"/>
  <c r="E179" i="4" s="1"/>
  <c r="E962" i="4" a="1"/>
  <c r="E962" i="4" s="1"/>
  <c r="I962" i="4" s="1"/>
  <c r="J962" i="4" s="1" a="1"/>
  <c r="J962" i="4" s="1"/>
  <c r="E800" i="4" a="1"/>
  <c r="E800" i="4" s="1"/>
  <c r="E649" i="4" a="1"/>
  <c r="E649" i="4" s="1"/>
  <c r="E526" i="4" a="1"/>
  <c r="E526" i="4" s="1"/>
  <c r="E374" i="4" a="1"/>
  <c r="E374" i="4" s="1"/>
  <c r="E142" i="4" a="1"/>
  <c r="E142" i="4" s="1"/>
  <c r="E847" i="4" a="1"/>
  <c r="E847" i="4" s="1"/>
  <c r="E704" i="4" a="1"/>
  <c r="E704" i="4" s="1"/>
  <c r="E566" i="4" a="1"/>
  <c r="E566" i="4" s="1"/>
  <c r="I566" i="4" s="1"/>
  <c r="J566" i="4" s="1" a="1"/>
  <c r="J566" i="4" s="1"/>
  <c r="E430" i="4" a="1"/>
  <c r="E430" i="4" s="1"/>
  <c r="E267" i="4" a="1"/>
  <c r="E267" i="4" s="1"/>
  <c r="E798" i="4" a="1"/>
  <c r="E798" i="4" s="1"/>
  <c r="E658" i="4" a="1"/>
  <c r="E658" i="4" s="1"/>
  <c r="E518" i="4" a="1"/>
  <c r="E518" i="4" s="1"/>
  <c r="E359" i="4" a="1"/>
  <c r="E359" i="4" s="1"/>
  <c r="E173" i="4" a="1"/>
  <c r="E173" i="4" s="1"/>
  <c r="E959" i="4" a="1"/>
  <c r="E959" i="4" s="1"/>
  <c r="E797" i="4" a="1"/>
  <c r="E797" i="4" s="1"/>
  <c r="E657" i="4" a="1"/>
  <c r="E657" i="4" s="1"/>
  <c r="E510" i="4" a="1"/>
  <c r="E510" i="4" s="1"/>
  <c r="E345" i="4" a="1"/>
  <c r="E345" i="4" s="1"/>
  <c r="E138" i="4" a="1"/>
  <c r="E138" i="4" s="1"/>
  <c r="E934" i="4" a="1"/>
  <c r="E934" i="4" s="1"/>
  <c r="E784" i="4" a="1"/>
  <c r="E784" i="4" s="1"/>
  <c r="E633" i="4" a="1"/>
  <c r="E633" i="4" s="1"/>
  <c r="E501" i="4" a="1"/>
  <c r="E501" i="4" s="1"/>
  <c r="E357" i="4" a="1"/>
  <c r="E357" i="4" s="1"/>
  <c r="E185" i="4" a="1"/>
  <c r="E185" i="4" s="1"/>
  <c r="E584" i="4" a="1"/>
  <c r="E584" i="4" s="1"/>
  <c r="E449" i="4" a="1"/>
  <c r="E449" i="4" s="1"/>
  <c r="E288" i="4" a="1"/>
  <c r="E288" i="4" s="1"/>
  <c r="E62" i="4" a="1"/>
  <c r="E62" i="4" s="1"/>
  <c r="E210" i="4" a="1"/>
  <c r="E210" i="4" s="1"/>
  <c r="I210" i="4" s="1"/>
  <c r="J210" i="4" s="1" a="1"/>
  <c r="J210" i="4" s="1"/>
  <c r="E47" i="4" a="1"/>
  <c r="E47" i="4" s="1"/>
  <c r="E165" i="4" a="1"/>
  <c r="E165" i="4" s="1"/>
  <c r="E23" i="4" a="1"/>
  <c r="E23" i="4" s="1"/>
  <c r="E266" i="4" a="1"/>
  <c r="E266" i="4" s="1"/>
  <c r="E128" i="4" a="1"/>
  <c r="E128" i="4" s="1"/>
  <c r="E349" i="4" a="1"/>
  <c r="E349" i="4" s="1"/>
  <c r="E181" i="4" a="1"/>
  <c r="E181" i="4" s="1"/>
  <c r="E28" i="4" a="1"/>
  <c r="E28" i="4" s="1"/>
  <c r="E475" i="4" a="1"/>
  <c r="E475" i="4" s="1"/>
  <c r="E717" i="4" a="1"/>
  <c r="E717" i="4" s="1"/>
  <c r="E335" i="4" a="1"/>
  <c r="E335" i="4" s="1"/>
  <c r="E909" i="4" a="1"/>
  <c r="E909" i="4" s="1"/>
  <c r="E595" i="4" a="1"/>
  <c r="E595" i="4" s="1"/>
  <c r="E98" i="4" a="1"/>
  <c r="E98" i="4" s="1"/>
  <c r="E885" i="4" a="1"/>
  <c r="E885" i="4" s="1"/>
  <c r="E558" i="4" a="1"/>
  <c r="E558" i="4" s="1"/>
  <c r="E33" i="4" a="1"/>
  <c r="E33" i="4" s="1"/>
  <c r="E398" i="4" a="1"/>
  <c r="E398" i="4" s="1"/>
  <c r="E759" i="4" a="1"/>
  <c r="E759" i="4" s="1"/>
  <c r="E315" i="4" a="1"/>
  <c r="E315" i="4" s="1"/>
  <c r="E979" i="4" a="1"/>
  <c r="E979" i="4" s="1"/>
  <c r="E144" i="4" a="1"/>
  <c r="E144" i="4" s="1"/>
  <c r="E789" i="4" a="1"/>
  <c r="E789" i="4" s="1"/>
  <c r="E353" i="4" a="1"/>
  <c r="E353" i="4" s="1"/>
  <c r="I353" i="4" s="1"/>
  <c r="J353" i="4" s="1" a="1"/>
  <c r="J353" i="4" s="1"/>
  <c r="E939" i="4" a="1"/>
  <c r="E939" i="4" s="1"/>
  <c r="I939" i="4" s="1"/>
  <c r="J939" i="4" s="1" a="1"/>
  <c r="J939" i="4" s="1"/>
  <c r="E644" i="4" a="1"/>
  <c r="E644" i="4" s="1"/>
  <c r="E73" i="4" a="1"/>
  <c r="E73" i="4" s="1"/>
  <c r="E955" i="4" a="1"/>
  <c r="E955" i="4" s="1"/>
  <c r="E672" i="4" a="1"/>
  <c r="E672" i="4" s="1"/>
  <c r="E177" i="4" a="1"/>
  <c r="E177" i="4" s="1"/>
  <c r="E217" i="4" a="1"/>
  <c r="E217" i="4" s="1"/>
  <c r="E855" i="4" a="1"/>
  <c r="E855" i="4" s="1"/>
  <c r="E448" i="4" a="1"/>
  <c r="E448" i="4" s="1"/>
  <c r="E695" i="4" a="1"/>
  <c r="E695" i="4" s="1"/>
  <c r="E298" i="4" a="1"/>
  <c r="E298" i="4" s="1"/>
  <c r="I298" i="4" s="1"/>
  <c r="J298" i="4" s="1" a="1"/>
  <c r="J298" i="4" s="1"/>
  <c r="E892" i="4" a="1"/>
  <c r="E892" i="4" s="1"/>
  <c r="E569" i="4" a="1"/>
  <c r="E569" i="4" s="1"/>
  <c r="E109" i="4" a="1"/>
  <c r="E109" i="4" s="1"/>
  <c r="H109" i="4" s="1"/>
  <c r="E817" i="4" a="1"/>
  <c r="E817" i="4" s="1"/>
  <c r="E664" i="4" a="1"/>
  <c r="E664" i="4" s="1"/>
  <c r="E515" i="4" a="1"/>
  <c r="E515" i="4" s="1"/>
  <c r="E368" i="4" a="1"/>
  <c r="E368" i="4" s="1"/>
  <c r="H368" i="4" s="1"/>
  <c r="E166" i="4" a="1"/>
  <c r="E166" i="4" s="1"/>
  <c r="E965" i="4" a="1"/>
  <c r="E965" i="4" s="1"/>
  <c r="E803" i="4" a="1"/>
  <c r="E803" i="4" s="1"/>
  <c r="I803" i="4" s="1"/>
  <c r="J803" i="4" s="1" a="1"/>
  <c r="J803" i="4" s="1"/>
  <c r="E652" i="4" a="1"/>
  <c r="E652" i="4" s="1"/>
  <c r="E490" i="4" a="1"/>
  <c r="E490" i="4" s="1"/>
  <c r="E366" i="4" a="1"/>
  <c r="E366" i="4" s="1"/>
  <c r="E163" i="4" a="1"/>
  <c r="E163" i="4" s="1"/>
  <c r="E950" i="4" a="1"/>
  <c r="E950" i="4" s="1"/>
  <c r="E788" i="4" a="1"/>
  <c r="E788" i="4" s="1"/>
  <c r="E637" i="4" a="1"/>
  <c r="E637" i="4" s="1"/>
  <c r="E519" i="4" a="1"/>
  <c r="E519" i="4" s="1"/>
  <c r="E363" i="4" a="1"/>
  <c r="E363" i="4" s="1"/>
  <c r="I363" i="4" s="1"/>
  <c r="J363" i="4" s="1" a="1"/>
  <c r="J363" i="4" s="1"/>
  <c r="E125" i="4" a="1"/>
  <c r="E125" i="4" s="1"/>
  <c r="E835" i="4" a="1"/>
  <c r="E835" i="4" s="1"/>
  <c r="E693" i="4" a="1"/>
  <c r="E693" i="4" s="1"/>
  <c r="E556" i="4" a="1"/>
  <c r="E556" i="4" s="1"/>
  <c r="E419" i="4" a="1"/>
  <c r="E419" i="4" s="1"/>
  <c r="E253" i="4" a="1"/>
  <c r="E253" i="4" s="1"/>
  <c r="I253" i="4" s="1"/>
  <c r="J253" i="4" s="1" a="1"/>
  <c r="J253" i="4" s="1"/>
  <c r="E786" i="4" a="1"/>
  <c r="E786" i="4" s="1"/>
  <c r="E647" i="4" a="1"/>
  <c r="E647" i="4" s="1"/>
  <c r="E502" i="4" a="1"/>
  <c r="E502" i="4" s="1"/>
  <c r="E346" i="4" a="1"/>
  <c r="E346" i="4" s="1"/>
  <c r="E157" i="4" a="1"/>
  <c r="E157" i="4" s="1"/>
  <c r="E947" i="4" a="1"/>
  <c r="E947" i="4" s="1"/>
  <c r="E785" i="4" a="1"/>
  <c r="E785" i="4" s="1"/>
  <c r="E646" i="4" a="1"/>
  <c r="E646" i="4" s="1"/>
  <c r="E494" i="4" a="1"/>
  <c r="E494" i="4" s="1"/>
  <c r="E332" i="4" a="1"/>
  <c r="E332" i="4" s="1"/>
  <c r="E120" i="4" a="1"/>
  <c r="E120" i="4" s="1"/>
  <c r="E925" i="4" a="1"/>
  <c r="E925" i="4" s="1"/>
  <c r="E772" i="4" a="1"/>
  <c r="E772" i="4" s="1"/>
  <c r="E621" i="4" a="1"/>
  <c r="E621" i="4" s="1"/>
  <c r="E485" i="4" a="1"/>
  <c r="E485" i="4" s="1"/>
  <c r="E344" i="4" a="1"/>
  <c r="E344" i="4" s="1"/>
  <c r="E170" i="4" a="1"/>
  <c r="E170" i="4" s="1"/>
  <c r="H170" i="4" s="1"/>
  <c r="E573" i="4" a="1"/>
  <c r="E573" i="4" s="1"/>
  <c r="I573" i="4" s="1"/>
  <c r="J573" i="4" s="1" a="1"/>
  <c r="J573" i="4" s="1"/>
  <c r="E438" i="4" a="1"/>
  <c r="E438" i="4" s="1"/>
  <c r="E274" i="4" a="1"/>
  <c r="E274" i="4" s="1"/>
  <c r="E43" i="4" a="1"/>
  <c r="E43" i="4" s="1"/>
  <c r="E199" i="4" a="1"/>
  <c r="E199" i="4" s="1"/>
  <c r="E36" i="4" a="1"/>
  <c r="E36" i="4" s="1"/>
  <c r="E154" i="4" a="1"/>
  <c r="E154" i="4" s="1"/>
  <c r="E13" i="4" a="1"/>
  <c r="E13" i="4" s="1"/>
  <c r="E246" i="4" a="1"/>
  <c r="E246" i="4" s="1"/>
  <c r="E117" i="4" a="1"/>
  <c r="E117" i="4" s="1"/>
  <c r="E337" i="4" a="1"/>
  <c r="E337" i="4" s="1"/>
  <c r="E171" i="4" a="1"/>
  <c r="E171" i="4" s="1"/>
  <c r="E17" i="4" a="1"/>
  <c r="E17" i="4" s="1"/>
  <c r="E758" i="4" a="1"/>
  <c r="E758" i="4" s="1"/>
  <c r="E313" i="4" a="1"/>
  <c r="E313" i="4" s="1"/>
  <c r="E918" i="4" a="1"/>
  <c r="E918" i="4" s="1"/>
  <c r="E615" i="4" a="1"/>
  <c r="E615" i="4" s="1"/>
  <c r="E95" i="4" a="1"/>
  <c r="E95" i="4" s="1"/>
  <c r="E936" i="4" a="1"/>
  <c r="E936" i="4" s="1"/>
  <c r="E643" i="4" a="1"/>
  <c r="E643" i="4" s="1"/>
  <c r="E127" i="4" a="1"/>
  <c r="E127" i="4" s="1"/>
  <c r="E168" i="4" a="1"/>
  <c r="E168" i="4" s="1"/>
  <c r="E831" i="4" a="1"/>
  <c r="E831" i="4" s="1"/>
  <c r="E988" i="4" a="1"/>
  <c r="E988" i="4" s="1"/>
  <c r="E665" i="4" a="1"/>
  <c r="E665" i="4" s="1"/>
  <c r="E258" i="4" a="1"/>
  <c r="E258" i="4" s="1"/>
  <c r="E873" i="4" a="1"/>
  <c r="E873" i="4" s="1"/>
  <c r="E541" i="4" a="1"/>
  <c r="E541" i="4" s="1"/>
  <c r="H541" i="4" s="1"/>
  <c r="E54" i="4" a="1"/>
  <c r="E54" i="4" s="1"/>
  <c r="E805" i="4" a="1"/>
  <c r="E805" i="4" s="1"/>
  <c r="E654" i="4" a="1"/>
  <c r="E654" i="4" s="1"/>
  <c r="I654" i="4" s="1"/>
  <c r="J654" i="4" s="1" a="1"/>
  <c r="J654" i="4" s="1"/>
  <c r="E507" i="4" a="1"/>
  <c r="E507" i="4" s="1"/>
  <c r="E354" i="4" a="1"/>
  <c r="E354" i="4" s="1"/>
  <c r="E149" i="4" a="1"/>
  <c r="E149" i="4" s="1"/>
  <c r="H149" i="4" s="1"/>
  <c r="E953" i="4" a="1"/>
  <c r="E953" i="4" s="1"/>
  <c r="E791" i="4" a="1"/>
  <c r="E791" i="4" s="1"/>
  <c r="E640" i="4" a="1"/>
  <c r="E640" i="4" s="1"/>
  <c r="E481" i="4" a="1"/>
  <c r="E481" i="4" s="1"/>
  <c r="E352" i="4" a="1"/>
  <c r="E352" i="4" s="1"/>
  <c r="E147" i="4" a="1"/>
  <c r="E147" i="4" s="1"/>
  <c r="E938" i="4" a="1"/>
  <c r="E938" i="4" s="1"/>
  <c r="E776" i="4" a="1"/>
  <c r="E776" i="4" s="1"/>
  <c r="E625" i="4" a="1"/>
  <c r="E625" i="4" s="1"/>
  <c r="E504" i="4" a="1"/>
  <c r="E504" i="4" s="1"/>
  <c r="E348" i="4" a="1"/>
  <c r="E348" i="4" s="1"/>
  <c r="E107" i="4" a="1"/>
  <c r="E107" i="4" s="1"/>
  <c r="E823" i="4" a="1"/>
  <c r="E823" i="4" s="1"/>
  <c r="E681" i="4" a="1"/>
  <c r="E681" i="4" s="1"/>
  <c r="E532" i="4" a="1"/>
  <c r="E532" i="4" s="1"/>
  <c r="H532" i="4" s="1"/>
  <c r="E407" i="4" a="1"/>
  <c r="E407" i="4" s="1"/>
  <c r="E238" i="4" a="1"/>
  <c r="E238" i="4" s="1"/>
  <c r="E774" i="4" a="1"/>
  <c r="E774" i="4" s="1"/>
  <c r="E635" i="4" a="1"/>
  <c r="E635" i="4" s="1"/>
  <c r="E487" i="4" a="1"/>
  <c r="E487" i="4" s="1"/>
  <c r="E333" i="4" a="1"/>
  <c r="E333" i="4" s="1"/>
  <c r="E140" i="4" a="1"/>
  <c r="E140" i="4" s="1"/>
  <c r="E935" i="4" a="1"/>
  <c r="E935" i="4" s="1"/>
  <c r="E773" i="4" a="1"/>
  <c r="E773" i="4" s="1"/>
  <c r="I773" i="4" s="1"/>
  <c r="J773" i="4" s="1" a="1"/>
  <c r="J773" i="4" s="1"/>
  <c r="E634" i="4" a="1"/>
  <c r="E634" i="4" s="1"/>
  <c r="E486" i="4" a="1"/>
  <c r="E486" i="4" s="1"/>
  <c r="H486" i="4" s="1"/>
  <c r="E319" i="4" a="1"/>
  <c r="E319" i="4" s="1"/>
  <c r="E102" i="4" a="1"/>
  <c r="E102" i="4" s="1"/>
  <c r="E905" i="4" a="1"/>
  <c r="E905" i="4" s="1"/>
  <c r="I905" i="4" s="1"/>
  <c r="J905" i="4" s="1" a="1"/>
  <c r="J905" i="4" s="1"/>
  <c r="E760" i="4" a="1"/>
  <c r="E760" i="4" s="1"/>
  <c r="E609" i="4" a="1"/>
  <c r="E609" i="4" s="1"/>
  <c r="E467" i="4" a="1"/>
  <c r="E467" i="4" s="1"/>
  <c r="E331" i="4" a="1"/>
  <c r="E331" i="4" s="1"/>
  <c r="E153" i="4" a="1"/>
  <c r="E153" i="4" s="1"/>
  <c r="E563" i="4" a="1"/>
  <c r="E563" i="4" s="1"/>
  <c r="E426" i="4" a="1"/>
  <c r="E426" i="4" s="1"/>
  <c r="E248" i="4" a="1"/>
  <c r="E248" i="4" s="1"/>
  <c r="E18" i="4" a="1"/>
  <c r="E18" i="4" s="1"/>
  <c r="E188" i="4" a="1"/>
  <c r="E188" i="4" s="1"/>
  <c r="E25" i="4" a="1"/>
  <c r="E25" i="4" s="1"/>
  <c r="E143" i="4" a="1"/>
  <c r="E143" i="4" s="1"/>
  <c r="E31" i="4" a="1"/>
  <c r="E31" i="4" s="1"/>
  <c r="E237" i="4" a="1"/>
  <c r="E237" i="4" s="1"/>
  <c r="E106" i="4" a="1"/>
  <c r="E106" i="4" s="1"/>
  <c r="E305" i="4" a="1"/>
  <c r="E305" i="4" s="1"/>
  <c r="E148" i="4" a="1"/>
  <c r="E148" i="4" s="1"/>
  <c r="E124" i="4" a="1"/>
  <c r="E124" i="4" s="1"/>
  <c r="E949" i="4" a="1"/>
  <c r="E949" i="4" s="1"/>
  <c r="E632" i="4" a="1"/>
  <c r="E632" i="4" s="1"/>
  <c r="E209" i="4" a="1"/>
  <c r="E209" i="4" s="1"/>
  <c r="E849" i="4" a="1"/>
  <c r="E849" i="4" s="1"/>
  <c r="E516" i="4" a="1"/>
  <c r="E516" i="4" s="1"/>
  <c r="E846" i="4" a="1"/>
  <c r="E846" i="4" s="1"/>
  <c r="E819" i="4" a="1"/>
  <c r="E819" i="4" s="1"/>
  <c r="E463" i="4" a="1"/>
  <c r="E463" i="4" s="1"/>
  <c r="E741" i="4" a="1"/>
  <c r="E741" i="4" s="1"/>
  <c r="E960" i="4" a="1"/>
  <c r="E960" i="4" s="1"/>
  <c r="E676" i="4" a="1"/>
  <c r="E676" i="4" s="1"/>
  <c r="E135" i="4" a="1"/>
  <c r="E135" i="4" s="1"/>
  <c r="E765" i="4" a="1"/>
  <c r="E765" i="4" s="1"/>
  <c r="E976" i="4" a="1"/>
  <c r="E976" i="4" s="1"/>
  <c r="E700" i="4" a="1"/>
  <c r="E700" i="4" s="1"/>
  <c r="E230" i="4" a="1"/>
  <c r="E230" i="4" s="1"/>
  <c r="I230" i="4" s="1"/>
  <c r="J230" i="4" s="1" a="1"/>
  <c r="J230" i="4" s="1"/>
  <c r="E880" i="4" a="1"/>
  <c r="E880" i="4" s="1"/>
  <c r="E548" i="4" a="1"/>
  <c r="E548" i="4" s="1"/>
  <c r="E943" i="4" a="1"/>
  <c r="E943" i="4" s="1"/>
  <c r="E897" i="4" a="1"/>
  <c r="E897" i="4" s="1"/>
  <c r="E578" i="4" a="1"/>
  <c r="E578" i="4" s="1"/>
  <c r="E888" i="4" a="1"/>
  <c r="E888" i="4" s="1"/>
  <c r="E60" i="4" a="1"/>
  <c r="E60" i="4" s="1"/>
  <c r="E780" i="4" a="1"/>
  <c r="E780" i="4" s="1"/>
  <c r="E952" i="4" a="1"/>
  <c r="E952" i="4" s="1"/>
  <c r="E605" i="4" a="1"/>
  <c r="E605" i="4" s="1"/>
  <c r="E164" i="4" a="1"/>
  <c r="E164" i="4" s="1"/>
  <c r="E828" i="4" a="1"/>
  <c r="E828" i="4" s="1"/>
  <c r="E472" i="4" a="1"/>
  <c r="E472" i="4" s="1"/>
  <c r="E922" i="4" a="1"/>
  <c r="E922" i="4" s="1"/>
  <c r="E781" i="4" a="1"/>
  <c r="E781" i="4" s="1"/>
  <c r="E630" i="4" a="1"/>
  <c r="E630" i="4" s="1"/>
  <c r="E465" i="4" a="1"/>
  <c r="E465" i="4" s="1"/>
  <c r="I465" i="4" s="1"/>
  <c r="J465" i="4" s="1" a="1"/>
  <c r="J465" i="4" s="1"/>
  <c r="E327" i="4" a="1"/>
  <c r="E327" i="4" s="1"/>
  <c r="E114" i="4" a="1"/>
  <c r="E114" i="4" s="1"/>
  <c r="E920" i="4" a="1"/>
  <c r="E920" i="4" s="1"/>
  <c r="E767" i="4" a="1"/>
  <c r="E767" i="4" s="1"/>
  <c r="H767" i="4" s="1"/>
  <c r="E616" i="4" a="1"/>
  <c r="E616" i="4" s="1"/>
  <c r="E464" i="4" a="1"/>
  <c r="E464" i="4" s="1"/>
  <c r="H464" i="4" s="1"/>
  <c r="E325" i="4" a="1"/>
  <c r="E325" i="4" s="1"/>
  <c r="I325" i="4" s="1"/>
  <c r="J325" i="4" s="1" a="1"/>
  <c r="J325" i="4" s="1"/>
  <c r="E111" i="4" a="1"/>
  <c r="E111" i="4" s="1"/>
  <c r="E908" i="4" a="1"/>
  <c r="E908" i="4" s="1"/>
  <c r="E752" i="4" a="1"/>
  <c r="E752" i="4" s="1"/>
  <c r="E601" i="4" a="1"/>
  <c r="E601" i="4" s="1"/>
  <c r="E470" i="4" a="1"/>
  <c r="E470" i="4" s="1"/>
  <c r="E322" i="4" a="1"/>
  <c r="E322" i="4" s="1"/>
  <c r="E29" i="4" a="1"/>
  <c r="E29" i="4" s="1"/>
  <c r="E799" i="4" a="1"/>
  <c r="E799" i="4" s="1"/>
  <c r="E659" i="4" a="1"/>
  <c r="E659" i="4" s="1"/>
  <c r="I659" i="4" s="1"/>
  <c r="J659" i="4" s="1" a="1"/>
  <c r="J659" i="4" s="1"/>
  <c r="E511" i="4" a="1"/>
  <c r="E511" i="4" s="1"/>
  <c r="E385" i="4" a="1"/>
  <c r="E385" i="4" s="1"/>
  <c r="E207" i="4" a="1"/>
  <c r="E207" i="4" s="1"/>
  <c r="E750" i="4" a="1"/>
  <c r="E750" i="4" s="1"/>
  <c r="E611" i="4" a="1"/>
  <c r="E611" i="4" s="1"/>
  <c r="E451" i="4" a="1"/>
  <c r="E451" i="4" s="1"/>
  <c r="E306" i="4" a="1"/>
  <c r="E306" i="4" s="1"/>
  <c r="E104" i="4" a="1"/>
  <c r="E104" i="4" s="1"/>
  <c r="E896" i="4" a="1"/>
  <c r="E896" i="4" s="1"/>
  <c r="E749" i="4" a="1"/>
  <c r="E749" i="4" s="1"/>
  <c r="E610" i="4" a="1"/>
  <c r="E610" i="4" s="1"/>
  <c r="H610" i="4" s="1"/>
  <c r="E468" i="4" a="1"/>
  <c r="E468" i="4" s="1"/>
  <c r="E290" i="4" a="1"/>
  <c r="E290" i="4" s="1"/>
  <c r="I290" i="4" s="1"/>
  <c r="J290" i="4" s="1" a="1"/>
  <c r="J290" i="4" s="1"/>
  <c r="E64" i="4" a="1"/>
  <c r="E64" i="4" s="1"/>
  <c r="E886" i="4" a="1"/>
  <c r="E886" i="4" s="1"/>
  <c r="E736" i="4" a="1"/>
  <c r="E736" i="4" s="1"/>
  <c r="H736" i="4" s="1"/>
  <c r="E585" i="4" a="1"/>
  <c r="E585" i="4" s="1"/>
  <c r="E450" i="4" a="1"/>
  <c r="E450" i="4" s="1"/>
  <c r="E303" i="4" a="1"/>
  <c r="E303" i="4" s="1"/>
  <c r="E119" i="4" a="1"/>
  <c r="E119" i="4" s="1"/>
  <c r="E544" i="4" a="1"/>
  <c r="E544" i="4" s="1"/>
  <c r="E404" i="4" a="1"/>
  <c r="E404" i="4" s="1"/>
  <c r="E218" i="4" a="1"/>
  <c r="E218" i="4" s="1"/>
  <c r="E301" i="4" a="1"/>
  <c r="E301" i="4" s="1"/>
  <c r="E156" i="4" a="1"/>
  <c r="E156" i="4" s="1"/>
  <c r="E35" i="4" a="1"/>
  <c r="E35" i="4" s="1"/>
  <c r="E121" i="4" a="1"/>
  <c r="E121" i="4" s="1"/>
  <c r="E362" i="4" a="1"/>
  <c r="E362" i="4" s="1"/>
  <c r="E216" i="4" a="1"/>
  <c r="E216" i="4" s="1"/>
  <c r="E85" i="4" a="1"/>
  <c r="E85" i="4" s="1"/>
  <c r="E284" i="4" a="1"/>
  <c r="E284" i="4" s="1"/>
  <c r="E126" i="4" a="1"/>
  <c r="E126" i="4" s="1"/>
  <c r="E103" i="4" a="1"/>
  <c r="E103" i="4" s="1"/>
  <c r="E929" i="4" a="1"/>
  <c r="E929" i="4" s="1"/>
  <c r="E602" i="4" a="1"/>
  <c r="E602" i="4" s="1"/>
  <c r="E160" i="4" a="1"/>
  <c r="E160" i="4" s="1"/>
  <c r="E825" i="4" a="1"/>
  <c r="E825" i="4" s="1"/>
  <c r="E437" i="4" a="1"/>
  <c r="E437" i="4" s="1"/>
  <c r="E656" i="4" a="1"/>
  <c r="E656" i="4" s="1"/>
  <c r="E794" i="4" a="1"/>
  <c r="E794" i="4" s="1"/>
  <c r="E433" i="4" a="1"/>
  <c r="E433" i="4" s="1"/>
  <c r="E535" i="4" a="1"/>
  <c r="E535" i="4" s="1"/>
  <c r="E942" i="4" a="1"/>
  <c r="E942" i="4" s="1"/>
  <c r="E651" i="4" a="1"/>
  <c r="E651" i="4" s="1"/>
  <c r="E78" i="4" a="1"/>
  <c r="E78" i="4" s="1"/>
  <c r="E677" i="4" a="1"/>
  <c r="E677" i="4" s="1"/>
  <c r="E957" i="4" a="1"/>
  <c r="E957" i="4" s="1"/>
  <c r="I957" i="4" s="1"/>
  <c r="J957" i="4" s="1" a="1"/>
  <c r="J957" i="4" s="1"/>
  <c r="E650" i="4" a="1"/>
  <c r="E650" i="4" s="1"/>
  <c r="E180" i="4" a="1"/>
  <c r="E180" i="4" s="1"/>
  <c r="E861" i="4" a="1"/>
  <c r="E861" i="4" s="1"/>
  <c r="E527" i="4" a="1"/>
  <c r="E527" i="4" s="1"/>
  <c r="E884" i="4" a="1"/>
  <c r="E884" i="4" s="1"/>
  <c r="E878" i="4" a="1"/>
  <c r="E878" i="4" s="1"/>
  <c r="E480" i="4" a="1"/>
  <c r="E480" i="4" s="1"/>
  <c r="E768" i="4" a="1"/>
  <c r="E768" i="4" s="1"/>
  <c r="E926" i="4" a="1"/>
  <c r="E926" i="4" s="1"/>
  <c r="E753" i="4" a="1"/>
  <c r="E753" i="4" s="1"/>
  <c r="E932" i="4" a="1"/>
  <c r="E932" i="4" s="1"/>
  <c r="E570" i="4" a="1"/>
  <c r="E570" i="4" s="1"/>
  <c r="E112" i="4" a="1"/>
  <c r="E112" i="4" s="1"/>
  <c r="E804" i="4" a="1"/>
  <c r="E804" i="4" s="1"/>
  <c r="E444" i="4" a="1"/>
  <c r="E444" i="4" s="1"/>
  <c r="E913" i="4" a="1"/>
  <c r="E913" i="4" s="1"/>
  <c r="I913" i="4" s="1"/>
  <c r="J913" i="4" s="1" a="1"/>
  <c r="J913" i="4" s="1"/>
  <c r="E769" i="4" a="1"/>
  <c r="E769" i="4" s="1"/>
  <c r="E618" i="4" a="1"/>
  <c r="E618" i="4" s="1"/>
  <c r="E456" i="4" a="1"/>
  <c r="E456" i="4" s="1"/>
  <c r="H456" i="4" s="1"/>
  <c r="E314" i="4" a="1"/>
  <c r="E314" i="4" s="1"/>
  <c r="E97" i="4" a="1"/>
  <c r="E97" i="4" s="1"/>
  <c r="E911" i="4" a="1"/>
  <c r="E911" i="4" s="1"/>
  <c r="E755" i="4" a="1"/>
  <c r="E755" i="4" s="1"/>
  <c r="E604" i="4" a="1"/>
  <c r="E604" i="4" s="1"/>
  <c r="E454" i="4" a="1"/>
  <c r="E454" i="4" s="1"/>
  <c r="E311" i="4" a="1"/>
  <c r="E311" i="4" s="1"/>
  <c r="E93" i="4" a="1"/>
  <c r="E93" i="4" s="1"/>
  <c r="E899" i="4" a="1"/>
  <c r="E899" i="4" s="1"/>
  <c r="E740" i="4" a="1"/>
  <c r="E740" i="4" s="1"/>
  <c r="E589" i="4" a="1"/>
  <c r="E589" i="4" s="1"/>
  <c r="E461" i="4" a="1"/>
  <c r="E461" i="4" s="1"/>
  <c r="E293" i="4" a="1"/>
  <c r="E293" i="4" s="1"/>
  <c r="E937" i="4" a="1"/>
  <c r="E937" i="4" s="1"/>
  <c r="E787" i="4" a="1"/>
  <c r="E787" i="4" s="1"/>
  <c r="E648" i="4" a="1"/>
  <c r="E648" i="4" s="1"/>
  <c r="E503" i="4" a="1"/>
  <c r="E503" i="4" s="1"/>
  <c r="E373" i="4" a="1"/>
  <c r="E373" i="4" s="1"/>
  <c r="E190" i="4" a="1"/>
  <c r="E190" i="4" s="1"/>
  <c r="E738" i="4" a="1"/>
  <c r="E738" i="4" s="1"/>
  <c r="E599" i="4" a="1"/>
  <c r="E599" i="4" s="1"/>
  <c r="I599" i="4" s="1"/>
  <c r="J599" i="4" s="1" a="1"/>
  <c r="J599" i="4" s="1"/>
  <c r="E441" i="4" a="1"/>
  <c r="E441" i="4" s="1"/>
  <c r="E291" i="4" a="1"/>
  <c r="E291" i="4" s="1"/>
  <c r="E86" i="4" a="1"/>
  <c r="E86" i="4" s="1"/>
  <c r="E887" i="4" a="1"/>
  <c r="E887" i="4" s="1"/>
  <c r="E737" i="4" a="1"/>
  <c r="E737" i="4" s="1"/>
  <c r="E598" i="4" a="1"/>
  <c r="E598" i="4" s="1"/>
  <c r="E440" i="4" a="1"/>
  <c r="E440" i="4" s="1"/>
  <c r="E277" i="4" a="1"/>
  <c r="E277" i="4" s="1"/>
  <c r="E46" i="4" a="1"/>
  <c r="E46" i="4" s="1"/>
  <c r="E877" i="4" a="1"/>
  <c r="E877" i="4" s="1"/>
  <c r="E724" i="4" a="1"/>
  <c r="E724" i="4" s="1"/>
  <c r="E574" i="4" a="1"/>
  <c r="E574" i="4" s="1"/>
  <c r="E439" i="4" a="1"/>
  <c r="E439" i="4" s="1"/>
  <c r="E289" i="4" a="1"/>
  <c r="E289" i="4" s="1"/>
  <c r="E100" i="4" a="1"/>
  <c r="E100" i="4" s="1"/>
  <c r="E523" i="4" a="1"/>
  <c r="E523" i="4" s="1"/>
  <c r="E392" i="4" a="1"/>
  <c r="E392" i="4" s="1"/>
  <c r="E201" i="4" a="1"/>
  <c r="E201" i="4" s="1"/>
  <c r="H201" i="4" s="1"/>
  <c r="E280" i="4" a="1"/>
  <c r="E280" i="4" s="1"/>
  <c r="E145" i="4" a="1"/>
  <c r="E145" i="4" s="1"/>
  <c r="E24" i="4" a="1"/>
  <c r="E24" i="4" s="1"/>
  <c r="H24" i="4" s="1"/>
  <c r="E110" i="4" a="1"/>
  <c r="E110" i="4" s="1"/>
  <c r="E351" i="4" a="1"/>
  <c r="E351" i="4" s="1"/>
  <c r="E205" i="4" a="1"/>
  <c r="E205" i="4" s="1"/>
  <c r="H205" i="4" s="1"/>
  <c r="E74" i="4" a="1"/>
  <c r="E74" i="4" s="1"/>
  <c r="E264" i="4" a="1"/>
  <c r="E264" i="4" s="1"/>
  <c r="E115" i="4" a="1"/>
  <c r="E115" i="4" s="1"/>
  <c r="H405" i="4"/>
  <c r="H730" i="4"/>
  <c r="H940" i="4"/>
  <c r="H981" i="4"/>
  <c r="H294" i="4"/>
  <c r="H905" i="4"/>
  <c r="I534" i="4"/>
  <c r="J534" i="4" s="1" a="1"/>
  <c r="J534" i="4" s="1"/>
  <c r="I981" i="4"/>
  <c r="J981" i="4" s="1" a="1"/>
  <c r="J981" i="4" s="1"/>
  <c r="H410" i="4"/>
  <c r="I730" i="4"/>
  <c r="J730" i="4" s="1" a="1"/>
  <c r="J730" i="4" s="1"/>
  <c r="I294" i="4"/>
  <c r="J294" i="4" s="1" a="1"/>
  <c r="J294" i="4" s="1"/>
  <c r="I405" i="4"/>
  <c r="J405" i="4" s="1" a="1"/>
  <c r="J405" i="4" s="1"/>
  <c r="I547" i="4"/>
  <c r="J547" i="4" s="1" a="1"/>
  <c r="J547" i="4" s="1"/>
  <c r="I820" i="4"/>
  <c r="J820" i="4" s="1" a="1"/>
  <c r="J820" i="4" s="1"/>
  <c r="H820" i="4"/>
  <c r="I813" i="4"/>
  <c r="J813" i="4" s="1" a="1"/>
  <c r="J813" i="4" s="1"/>
  <c r="H291" i="4"/>
  <c r="I545" i="4"/>
  <c r="J545" i="4" s="1" a="1"/>
  <c r="J545" i="4" s="1"/>
  <c r="I940" i="4"/>
  <c r="J940" i="4" s="1" a="1"/>
  <c r="J940" i="4" s="1"/>
  <c r="I716" i="4" l="1"/>
  <c r="J716" i="4" s="1" a="1"/>
  <c r="J716" i="4" s="1"/>
  <c r="H545" i="4"/>
  <c r="H356" i="4"/>
  <c r="I493" i="4"/>
  <c r="J493" i="4" s="1" a="1"/>
  <c r="J493" i="4" s="1"/>
  <c r="H431" i="4"/>
  <c r="I882" i="4"/>
  <c r="J882" i="4" s="1" a="1"/>
  <c r="J882" i="4" s="1"/>
  <c r="I531" i="4"/>
  <c r="J531" i="4" s="1" a="1"/>
  <c r="J531" i="4" s="1"/>
  <c r="I41" i="4"/>
  <c r="J41" i="4" s="1" a="1"/>
  <c r="J41" i="4" s="1"/>
  <c r="H900" i="4"/>
  <c r="I35" i="4"/>
  <c r="J35" i="4" s="1" a="1"/>
  <c r="J35" i="4" s="1"/>
  <c r="H129" i="4"/>
  <c r="H304" i="4"/>
  <c r="H508" i="4"/>
  <c r="I632" i="4"/>
  <c r="J632" i="4" s="1" a="1"/>
  <c r="J632" i="4" s="1"/>
  <c r="I663" i="4"/>
  <c r="J663" i="4" s="1" a="1"/>
  <c r="J663" i="4" s="1"/>
  <c r="H747" i="4"/>
  <c r="H257" i="4"/>
  <c r="H593" i="4"/>
  <c r="I916" i="4"/>
  <c r="J916" i="4" s="1" a="1"/>
  <c r="J916" i="4" s="1"/>
  <c r="I924" i="4"/>
  <c r="J924" i="4" s="1" a="1"/>
  <c r="J924" i="4" s="1"/>
  <c r="H586" i="4"/>
  <c r="H925" i="4"/>
  <c r="H113" i="4"/>
  <c r="I154" i="4"/>
  <c r="J154" i="4" s="1" a="1"/>
  <c r="J154" i="4" s="1"/>
  <c r="I11" i="4"/>
  <c r="J11" i="4" s="1" a="1"/>
  <c r="J11" i="4" s="1"/>
  <c r="I416" i="4"/>
  <c r="J416" i="4" s="1" a="1"/>
  <c r="J416" i="4" s="1"/>
  <c r="I900" i="4"/>
  <c r="J900" i="4" s="1" a="1"/>
  <c r="J900" i="4" s="1"/>
  <c r="H742" i="4"/>
  <c r="H639" i="4"/>
  <c r="I304" i="4"/>
  <c r="J304" i="4" s="1" a="1"/>
  <c r="J304" i="4" s="1"/>
  <c r="I438" i="4"/>
  <c r="J438" i="4" s="1" a="1"/>
  <c r="J438" i="4" s="1"/>
  <c r="I125" i="4"/>
  <c r="J125" i="4" s="1" a="1"/>
  <c r="J125" i="4" s="1"/>
  <c r="I759" i="4"/>
  <c r="J759" i="4" s="1" a="1"/>
  <c r="J759" i="4" s="1"/>
  <c r="H360" i="4"/>
  <c r="H271" i="4"/>
  <c r="I484" i="4"/>
  <c r="J484" i="4" s="1" a="1"/>
  <c r="J484" i="4" s="1"/>
  <c r="H40" i="4"/>
  <c r="H17" i="4"/>
  <c r="H853" i="4"/>
  <c r="H361" i="4"/>
  <c r="I72" i="4"/>
  <c r="J72" i="4" s="1" a="1"/>
  <c r="J72" i="4" s="1"/>
  <c r="I833" i="4"/>
  <c r="J833" i="4" s="1" a="1"/>
  <c r="J833" i="4" s="1"/>
  <c r="I914" i="4"/>
  <c r="J914" i="4" s="1" a="1"/>
  <c r="J914" i="4" s="1"/>
  <c r="I508" i="4"/>
  <c r="J508" i="4" s="1" a="1"/>
  <c r="J508" i="4" s="1"/>
  <c r="I135" i="4"/>
  <c r="J135" i="4" s="1" a="1"/>
  <c r="J135" i="4" s="1"/>
  <c r="I246" i="4"/>
  <c r="J246" i="4" s="1" a="1"/>
  <c r="J246" i="4" s="1"/>
  <c r="I644" i="4"/>
  <c r="J644" i="4" s="1" a="1"/>
  <c r="J644" i="4" s="1"/>
  <c r="H377" i="4"/>
  <c r="I795" i="4"/>
  <c r="J795" i="4" s="1" a="1"/>
  <c r="J795" i="4" s="1"/>
  <c r="H712" i="4"/>
  <c r="I524" i="4"/>
  <c r="J524" i="4" s="1" a="1"/>
  <c r="J524" i="4" s="1"/>
  <c r="I863" i="4"/>
  <c r="J863" i="4" s="1" a="1"/>
  <c r="J863" i="4" s="1"/>
  <c r="H746" i="4"/>
  <c r="I932" i="4"/>
  <c r="J932" i="4" s="1" a="1"/>
  <c r="J932" i="4" s="1"/>
  <c r="I929" i="4"/>
  <c r="J929" i="4" s="1" a="1"/>
  <c r="J929" i="4" s="1"/>
  <c r="H153" i="4"/>
  <c r="H330" i="4"/>
  <c r="H312" i="4"/>
  <c r="H641" i="4"/>
  <c r="H56" i="4"/>
  <c r="H193" i="4"/>
  <c r="I974" i="4"/>
  <c r="J974" i="4" s="1" a="1"/>
  <c r="J974" i="4" s="1"/>
  <c r="H350" i="4"/>
  <c r="I225" i="4"/>
  <c r="J225" i="4" s="1" a="1"/>
  <c r="J225" i="4" s="1"/>
  <c r="H975" i="4"/>
  <c r="I896" i="4"/>
  <c r="J896" i="4" s="1" a="1"/>
  <c r="J896" i="4" s="1"/>
  <c r="I305" i="4"/>
  <c r="J305" i="4" s="1" a="1"/>
  <c r="J305" i="4" s="1"/>
  <c r="I470" i="4"/>
  <c r="J470" i="4" s="1" a="1"/>
  <c r="J470" i="4" s="1"/>
  <c r="H510" i="4"/>
  <c r="I998" i="4"/>
  <c r="J998" i="4" s="1" a="1"/>
  <c r="J998" i="4" s="1"/>
  <c r="H531" i="4"/>
  <c r="H403" i="4"/>
  <c r="H960" i="4"/>
  <c r="H716" i="4"/>
  <c r="I630" i="4"/>
  <c r="J630" i="4" s="1" a="1"/>
  <c r="J630" i="4" s="1"/>
  <c r="I695" i="4"/>
  <c r="J695" i="4" s="1" a="1"/>
  <c r="J695" i="4" s="1"/>
  <c r="I431" i="4"/>
  <c r="J431" i="4" s="1" a="1"/>
  <c r="J431" i="4" s="1"/>
  <c r="I364" i="4"/>
  <c r="J364" i="4" s="1" a="1"/>
  <c r="J364" i="4" s="1"/>
  <c r="H888" i="4"/>
  <c r="H366" i="4"/>
  <c r="H693" i="4"/>
  <c r="H309" i="4"/>
  <c r="I183" i="4"/>
  <c r="J183" i="4" s="1" a="1"/>
  <c r="J183" i="4" s="1"/>
  <c r="I734" i="4"/>
  <c r="J734" i="4" s="1" a="1"/>
  <c r="J734" i="4" s="1"/>
  <c r="I168" i="4"/>
  <c r="J168" i="4" s="1" a="1"/>
  <c r="J168" i="4" s="1"/>
  <c r="I352" i="4"/>
  <c r="J352" i="4" s="1" a="1"/>
  <c r="J352" i="4" s="1"/>
  <c r="H313" i="4"/>
  <c r="H358" i="4"/>
  <c r="H882" i="4"/>
  <c r="I606" i="4"/>
  <c r="J606" i="4" s="1" a="1"/>
  <c r="J606" i="4" s="1"/>
  <c r="H597" i="4"/>
  <c r="I816" i="4"/>
  <c r="J816" i="4" s="1" a="1"/>
  <c r="J816" i="4" s="1"/>
  <c r="H283" i="4"/>
  <c r="I686" i="4"/>
  <c r="J686" i="4" s="1" a="1"/>
  <c r="J686" i="4" s="1"/>
  <c r="H796" i="4"/>
  <c r="H954" i="4"/>
  <c r="H674" i="4"/>
  <c r="H839" i="4"/>
  <c r="I725" i="4"/>
  <c r="J725" i="4" s="1" a="1"/>
  <c r="J725" i="4" s="1"/>
  <c r="I651" i="4"/>
  <c r="J651" i="4" s="1" a="1"/>
  <c r="J651" i="4" s="1"/>
  <c r="I462" i="4"/>
  <c r="J462" i="4" s="1" a="1"/>
  <c r="J462" i="4" s="1"/>
  <c r="I374" i="4"/>
  <c r="J374" i="4" s="1" a="1"/>
  <c r="J374" i="4" s="1"/>
  <c r="H565" i="4"/>
  <c r="I736" i="4"/>
  <c r="J736" i="4" s="1" a="1"/>
  <c r="J736" i="4" s="1"/>
  <c r="H759" i="4"/>
  <c r="I313" i="4"/>
  <c r="J313" i="4" s="1" a="1"/>
  <c r="J313" i="4" s="1"/>
  <c r="H94" i="4"/>
  <c r="H84" i="4"/>
  <c r="I271" i="4"/>
  <c r="J271" i="4" s="1" a="1"/>
  <c r="J271" i="4" s="1"/>
  <c r="I360" i="4"/>
  <c r="J360" i="4" s="1" a="1"/>
  <c r="J360" i="4" s="1"/>
  <c r="I692" i="4"/>
  <c r="J692" i="4" s="1" a="1"/>
  <c r="J692" i="4" s="1"/>
  <c r="I728" i="4"/>
  <c r="J728" i="4" s="1" a="1"/>
  <c r="J728" i="4" s="1"/>
  <c r="H513" i="4"/>
  <c r="I864" i="4"/>
  <c r="J864" i="4" s="1" a="1"/>
  <c r="J864" i="4" s="1"/>
  <c r="H416" i="4"/>
  <c r="H133" i="4"/>
  <c r="H438" i="4"/>
  <c r="H125" i="4"/>
  <c r="I920" i="4"/>
  <c r="J920" i="4" s="1" a="1"/>
  <c r="J920" i="4" s="1"/>
  <c r="H734" i="4"/>
  <c r="H32" i="4"/>
  <c r="I565" i="4"/>
  <c r="J565" i="4" s="1" a="1"/>
  <c r="J565" i="4" s="1"/>
  <c r="I358" i="4"/>
  <c r="J358" i="4" s="1" a="1"/>
  <c r="J358" i="4" s="1"/>
  <c r="H640" i="4"/>
  <c r="I558" i="4"/>
  <c r="J558" i="4" s="1" a="1"/>
  <c r="J558" i="4" s="1"/>
  <c r="I426" i="4"/>
  <c r="J426" i="4" s="1" a="1"/>
  <c r="J426" i="4" s="1"/>
  <c r="I951" i="4"/>
  <c r="J951" i="4" s="1" a="1"/>
  <c r="J951" i="4" s="1"/>
  <c r="I155" i="4"/>
  <c r="J155" i="4" s="1" a="1"/>
  <c r="J155" i="4" s="1"/>
  <c r="I267" i="4"/>
  <c r="J267" i="4" s="1" a="1"/>
  <c r="J267" i="4" s="1"/>
  <c r="H242" i="4"/>
  <c r="H404" i="4"/>
  <c r="I809" i="4"/>
  <c r="J809" i="4" s="1" a="1"/>
  <c r="J809" i="4" s="1"/>
  <c r="I99" i="4"/>
  <c r="J99" i="4" s="1" a="1"/>
  <c r="J99" i="4" s="1"/>
  <c r="I624" i="4"/>
  <c r="J624" i="4" s="1" a="1"/>
  <c r="J624" i="4" s="1"/>
  <c r="I214" i="4"/>
  <c r="J214" i="4" s="1" a="1"/>
  <c r="J214" i="4" s="1"/>
  <c r="H207" i="4"/>
  <c r="H319" i="4"/>
  <c r="I357" i="4"/>
  <c r="J357" i="4" s="1" a="1"/>
  <c r="J357" i="4" s="1"/>
  <c r="I591" i="4"/>
  <c r="J591" i="4" s="1" a="1"/>
  <c r="J591" i="4" s="1"/>
  <c r="H88" i="4"/>
  <c r="I198" i="4"/>
  <c r="J198" i="4" s="1" a="1"/>
  <c r="J198" i="4" s="1"/>
  <c r="H87" i="4"/>
  <c r="H554" i="4"/>
  <c r="H394" i="4"/>
  <c r="H374" i="4"/>
  <c r="I693" i="4"/>
  <c r="J693" i="4" s="1" a="1"/>
  <c r="J693" i="4" s="1"/>
  <c r="H515" i="4"/>
  <c r="I243" i="4"/>
  <c r="J243" i="4" s="1" a="1"/>
  <c r="J243" i="4" s="1"/>
  <c r="H427" i="4"/>
  <c r="H550" i="4"/>
  <c r="H770" i="4"/>
  <c r="I842" i="4"/>
  <c r="J842" i="4" s="1" a="1"/>
  <c r="J842" i="4" s="1"/>
  <c r="H57" i="4"/>
  <c r="I497" i="4"/>
  <c r="J497" i="4" s="1" a="1"/>
  <c r="J497" i="4" s="1"/>
  <c r="H185" i="4"/>
  <c r="I136" i="4"/>
  <c r="J136" i="4" s="1" a="1"/>
  <c r="J136" i="4" s="1"/>
  <c r="I794" i="4"/>
  <c r="J794" i="4" s="1" a="1"/>
  <c r="J794" i="4" s="1"/>
  <c r="H977" i="4"/>
  <c r="H217" i="4"/>
  <c r="H455" i="4"/>
  <c r="H673" i="4"/>
  <c r="I576" i="4"/>
  <c r="J576" i="4" s="1" a="1"/>
  <c r="J576" i="4" s="1"/>
  <c r="I459" i="4"/>
  <c r="J459" i="4" s="1" a="1"/>
  <c r="J459" i="4" s="1"/>
  <c r="H793" i="4"/>
  <c r="H847" i="4"/>
  <c r="H526" i="4"/>
  <c r="H711" i="4"/>
  <c r="I965" i="4"/>
  <c r="J965" i="4" s="1" a="1"/>
  <c r="J965" i="4" s="1"/>
  <c r="I39" i="4"/>
  <c r="J39" i="4" s="1" a="1"/>
  <c r="J39" i="4" s="1"/>
  <c r="H855" i="4"/>
  <c r="I801" i="4"/>
  <c r="J801" i="4" s="1" a="1"/>
  <c r="J801" i="4" s="1"/>
  <c r="I21" i="4"/>
  <c r="J21" i="4" s="1" a="1"/>
  <c r="J21" i="4" s="1"/>
  <c r="I701" i="4"/>
  <c r="J701" i="4" s="1" a="1"/>
  <c r="J701" i="4" s="1"/>
  <c r="I240" i="4"/>
  <c r="J240" i="4" s="1" a="1"/>
  <c r="J240" i="4" s="1"/>
  <c r="I530" i="4"/>
  <c r="J530" i="4" s="1" a="1"/>
  <c r="J530" i="4" s="1"/>
  <c r="I90" i="4"/>
  <c r="J90" i="4" s="1" a="1"/>
  <c r="J90" i="4" s="1"/>
  <c r="I424" i="4"/>
  <c r="J424" i="4" s="1" a="1"/>
  <c r="J424" i="4" s="1"/>
  <c r="I91" i="4"/>
  <c r="J91" i="4" s="1" a="1"/>
  <c r="J91" i="4" s="1"/>
  <c r="H626" i="4"/>
  <c r="H819" i="4"/>
  <c r="I105" i="4"/>
  <c r="J105" i="4" s="1" a="1"/>
  <c r="J105" i="4" s="1"/>
  <c r="I703" i="4"/>
  <c r="J703" i="4" s="1" a="1"/>
  <c r="J703" i="4" s="1"/>
  <c r="H561" i="4"/>
  <c r="H727" i="4"/>
  <c r="H974" i="4"/>
  <c r="H225" i="4"/>
  <c r="H13" i="4"/>
  <c r="H786" i="4"/>
  <c r="H697" i="4"/>
  <c r="I335" i="4"/>
  <c r="J335" i="4" s="1" a="1"/>
  <c r="J335" i="4" s="1"/>
  <c r="H679" i="4"/>
  <c r="H136" i="4"/>
  <c r="H683" i="4"/>
  <c r="I839" i="4"/>
  <c r="J839" i="4" s="1" a="1"/>
  <c r="J839" i="4" s="1"/>
  <c r="H654" i="4"/>
  <c r="I927" i="4"/>
  <c r="J927" i="4" s="1" a="1"/>
  <c r="J927" i="4" s="1"/>
  <c r="H899" i="4"/>
  <c r="I527" i="4"/>
  <c r="J527" i="4" s="1" a="1"/>
  <c r="J527" i="4" s="1"/>
  <c r="I849" i="4"/>
  <c r="J849" i="4" s="1" a="1"/>
  <c r="J849" i="4" s="1"/>
  <c r="H665" i="4"/>
  <c r="H398" i="4"/>
  <c r="I359" i="4"/>
  <c r="J359" i="4" s="1" a="1"/>
  <c r="J359" i="4" s="1"/>
  <c r="H649" i="4"/>
  <c r="I944" i="4"/>
  <c r="J944" i="4" s="1" a="1"/>
  <c r="J944" i="4" s="1"/>
  <c r="I166" i="4"/>
  <c r="J166" i="4" s="1" a="1"/>
  <c r="J166" i="4" s="1"/>
  <c r="I199" i="4"/>
  <c r="J199" i="4" s="1" a="1"/>
  <c r="J199" i="4" s="1"/>
  <c r="H433" i="4"/>
  <c r="H275" i="4"/>
  <c r="I669" i="4"/>
  <c r="J669" i="4" s="1" a="1"/>
  <c r="J669" i="4" s="1"/>
  <c r="I995" i="4"/>
  <c r="J995" i="4" s="1" a="1"/>
  <c r="J995" i="4" s="1"/>
  <c r="H417" i="4"/>
  <c r="H871" i="4"/>
  <c r="H254" i="4"/>
  <c r="H952" i="4"/>
  <c r="I292" i="4"/>
  <c r="J292" i="4" s="1" a="1"/>
  <c r="J292" i="4" s="1"/>
  <c r="H387" i="4"/>
  <c r="I302" i="4"/>
  <c r="J302" i="4" s="1" a="1"/>
  <c r="J302" i="4" s="1"/>
  <c r="I101" i="4"/>
  <c r="J101" i="4" s="1" a="1"/>
  <c r="J101" i="4" s="1"/>
  <c r="H75" i="4"/>
  <c r="H964" i="4"/>
  <c r="I755" i="4"/>
  <c r="J755" i="4" s="1" a="1"/>
  <c r="J755" i="4" s="1"/>
  <c r="H504" i="4"/>
  <c r="I772" i="4"/>
  <c r="J772" i="4" s="1" a="1"/>
  <c r="J772" i="4" s="1"/>
  <c r="H771" i="4"/>
  <c r="I471" i="4"/>
  <c r="J471" i="4" s="1" a="1"/>
  <c r="J471" i="4" s="1"/>
  <c r="I234" i="4"/>
  <c r="J234" i="4" s="1" a="1"/>
  <c r="J234" i="4" s="1"/>
  <c r="I467" i="4"/>
  <c r="J467" i="4" s="1" a="1"/>
  <c r="J467" i="4" s="1"/>
  <c r="H120" i="4"/>
  <c r="H815" i="4"/>
  <c r="I614" i="4"/>
  <c r="J614" i="4" s="1" a="1"/>
  <c r="J614" i="4" s="1"/>
  <c r="I550" i="4"/>
  <c r="J550" i="4" s="1" a="1"/>
  <c r="J550" i="4" s="1"/>
  <c r="I878" i="4"/>
  <c r="J878" i="4" s="1" a="1"/>
  <c r="J878" i="4" s="1"/>
  <c r="H740" i="4"/>
  <c r="I919" i="4"/>
  <c r="J919" i="4" s="1" a="1"/>
  <c r="J919" i="4" s="1"/>
  <c r="H915" i="4"/>
  <c r="I868" i="4"/>
  <c r="J868" i="4" s="1" a="1"/>
  <c r="J868" i="4" s="1"/>
  <c r="I948" i="4"/>
  <c r="J948" i="4" s="1" a="1"/>
  <c r="J948" i="4" s="1"/>
  <c r="I770" i="4"/>
  <c r="J770" i="4" s="1" a="1"/>
  <c r="J770" i="4" s="1"/>
  <c r="I746" i="4"/>
  <c r="J746" i="4" s="1" a="1"/>
  <c r="J746" i="4" s="1"/>
  <c r="I146" i="4"/>
  <c r="J146" i="4" s="1" a="1"/>
  <c r="J146" i="4" s="1"/>
  <c r="H524" i="4"/>
  <c r="H924" i="4"/>
  <c r="I830" i="4"/>
  <c r="J830" i="4" s="1" a="1"/>
  <c r="J830" i="4" s="1"/>
  <c r="H724" i="4"/>
  <c r="H729" i="4"/>
  <c r="H247" i="4"/>
  <c r="I742" i="4"/>
  <c r="J742" i="4" s="1" a="1"/>
  <c r="J742" i="4" s="1"/>
  <c r="H448" i="4"/>
  <c r="H493" i="4"/>
  <c r="H108" i="4"/>
  <c r="H733" i="4"/>
  <c r="I123" i="4"/>
  <c r="J123" i="4" s="1" a="1"/>
  <c r="J123" i="4" s="1"/>
  <c r="H234" i="4"/>
  <c r="I10" i="4"/>
  <c r="J10" i="4" s="1" a="1"/>
  <c r="J10" i="4" s="1"/>
  <c r="H890" i="4"/>
  <c r="H454" i="4"/>
  <c r="I631" i="4"/>
  <c r="J631" i="4" s="1" a="1"/>
  <c r="J631" i="4" s="1"/>
  <c r="H966" i="4"/>
  <c r="I713" i="4"/>
  <c r="J713" i="4" s="1" a="1"/>
  <c r="J713" i="4" s="1"/>
  <c r="I87" i="4"/>
  <c r="J87" i="4" s="1" a="1"/>
  <c r="J87" i="4" s="1"/>
  <c r="I193" i="4"/>
  <c r="J193" i="4" s="1" a="1"/>
  <c r="J193" i="4" s="1"/>
  <c r="I440" i="4"/>
  <c r="J440" i="4" s="1" a="1"/>
  <c r="J440" i="4" s="1"/>
  <c r="I370" i="4"/>
  <c r="J370" i="4" s="1" a="1"/>
  <c r="J370" i="4" s="1"/>
  <c r="H660" i="4"/>
  <c r="I739" i="4"/>
  <c r="J739" i="4" s="1" a="1"/>
  <c r="J739" i="4" s="1"/>
  <c r="I356" i="4"/>
  <c r="J356" i="4" s="1" a="1"/>
  <c r="J356" i="4" s="1"/>
  <c r="I615" i="4"/>
  <c r="J615" i="4" s="1" a="1"/>
  <c r="J615" i="4" s="1"/>
  <c r="H652" i="4"/>
  <c r="H630" i="4"/>
  <c r="I720" i="4"/>
  <c r="J720" i="4" s="1" a="1"/>
  <c r="J720" i="4" s="1"/>
  <c r="I350" i="4"/>
  <c r="J350" i="4" s="1" a="1"/>
  <c r="J350" i="4" s="1"/>
  <c r="I115" i="4"/>
  <c r="J115" i="4" s="1" a="1"/>
  <c r="J115" i="4" s="1"/>
  <c r="I461" i="4"/>
  <c r="J461" i="4" s="1" a="1"/>
  <c r="J461" i="4" s="1"/>
  <c r="I448" i="4"/>
  <c r="J448" i="4" s="1" a="1"/>
  <c r="J448" i="4" s="1"/>
  <c r="I309" i="4"/>
  <c r="J309" i="4" s="1" a="1"/>
  <c r="J309" i="4" s="1"/>
  <c r="H523" i="4"/>
  <c r="H99" i="4"/>
  <c r="I674" i="4"/>
  <c r="J674" i="4" s="1" a="1"/>
  <c r="J674" i="4" s="1"/>
  <c r="H566" i="4"/>
  <c r="H65" i="4"/>
  <c r="I481" i="4"/>
  <c r="J481" i="4" s="1" a="1"/>
  <c r="J481" i="4" s="1"/>
  <c r="I74" i="4"/>
  <c r="J74" i="4" s="1" a="1"/>
  <c r="J74" i="4" s="1"/>
  <c r="H192" i="4"/>
  <c r="I342" i="4"/>
  <c r="J342" i="4" s="1" a="1"/>
  <c r="J342" i="4" s="1"/>
  <c r="I421" i="4"/>
  <c r="J421" i="4" s="1" a="1"/>
  <c r="J421" i="4" s="1"/>
  <c r="I893" i="4"/>
  <c r="J893" i="4" s="1" a="1"/>
  <c r="J893" i="4" s="1"/>
  <c r="I474" i="4"/>
  <c r="J474" i="4" s="1" a="1"/>
  <c r="J474" i="4" s="1"/>
  <c r="H713" i="4"/>
  <c r="H470" i="4"/>
  <c r="H206" i="4"/>
  <c r="I53" i="4"/>
  <c r="J53" i="4" s="1" a="1"/>
  <c r="J53" i="4" s="1"/>
  <c r="I409" i="4"/>
  <c r="J409" i="4" s="1" a="1"/>
  <c r="J409" i="4" s="1"/>
  <c r="I14" i="4"/>
  <c r="J14" i="4" s="1" a="1"/>
  <c r="J14" i="4" s="1"/>
  <c r="I231" i="4"/>
  <c r="J231" i="4" s="1" a="1"/>
  <c r="J231" i="4" s="1"/>
  <c r="H495" i="4"/>
  <c r="I577" i="4"/>
  <c r="J577" i="4" s="1" a="1"/>
  <c r="J577" i="4" s="1"/>
  <c r="I479" i="4"/>
  <c r="J479" i="4" s="1" a="1"/>
  <c r="J479" i="4" s="1"/>
  <c r="H423" i="4"/>
  <c r="I526" i="4"/>
  <c r="J526" i="4" s="1" a="1"/>
  <c r="J526" i="4" s="1"/>
  <c r="I332" i="4"/>
  <c r="J332" i="4" s="1" a="1"/>
  <c r="J332" i="4" s="1"/>
  <c r="H965" i="4"/>
  <c r="H39" i="4"/>
  <c r="I671" i="4"/>
  <c r="J671" i="4" s="1" a="1"/>
  <c r="J671" i="4" s="1"/>
  <c r="I855" i="4"/>
  <c r="J855" i="4" s="1" a="1"/>
  <c r="J855" i="4" s="1"/>
  <c r="I378" i="4"/>
  <c r="J378" i="4" s="1" a="1"/>
  <c r="J378" i="4" s="1"/>
  <c r="H776" i="4"/>
  <c r="H261" i="4"/>
  <c r="H801" i="4"/>
  <c r="H884" i="4"/>
  <c r="H488" i="4"/>
  <c r="I227" i="4"/>
  <c r="J227" i="4" s="1" a="1"/>
  <c r="J227" i="4" s="1"/>
  <c r="H878" i="4"/>
  <c r="H625" i="4"/>
  <c r="H701" i="4"/>
  <c r="H842" i="4"/>
  <c r="H240" i="4"/>
  <c r="I845" i="4"/>
  <c r="J845" i="4" s="1" a="1"/>
  <c r="J845" i="4" s="1"/>
  <c r="I682" i="4"/>
  <c r="J682" i="4" s="1" a="1"/>
  <c r="J682" i="4" s="1"/>
  <c r="I435" i="4"/>
  <c r="J435" i="4" s="1" a="1"/>
  <c r="J435" i="4" s="1"/>
  <c r="I763" i="4"/>
  <c r="J763" i="4" s="1" a="1"/>
  <c r="J763" i="4" s="1"/>
  <c r="H941" i="4"/>
  <c r="I712" i="4"/>
  <c r="J712" i="4" s="1" a="1"/>
  <c r="J712" i="4" s="1"/>
  <c r="H843" i="4"/>
  <c r="I902" i="4"/>
  <c r="J902" i="4" s="1" a="1"/>
  <c r="J902" i="4" s="1"/>
  <c r="I49" i="4"/>
  <c r="J49" i="4" s="1" a="1"/>
  <c r="J49" i="4" s="1"/>
  <c r="H810" i="4"/>
  <c r="H580" i="4"/>
  <c r="I917" i="4"/>
  <c r="J917" i="4" s="1" a="1"/>
  <c r="J917" i="4" s="1"/>
  <c r="I495" i="4"/>
  <c r="J495" i="4" s="1" a="1"/>
  <c r="J495" i="4" s="1"/>
  <c r="I488" i="4"/>
  <c r="J488" i="4" s="1" a="1"/>
  <c r="J488" i="4" s="1"/>
  <c r="I444" i="4"/>
  <c r="J444" i="4" s="1" a="1"/>
  <c r="J444" i="4" s="1"/>
  <c r="I437" i="4"/>
  <c r="J437" i="4" s="1" a="1"/>
  <c r="J437" i="4" s="1"/>
  <c r="I681" i="4"/>
  <c r="J681" i="4" s="1" a="1"/>
  <c r="J681" i="4" s="1"/>
  <c r="I829" i="4"/>
  <c r="J829" i="4" s="1" a="1"/>
  <c r="J829" i="4" s="1"/>
  <c r="H986" i="4"/>
  <c r="H411" i="4"/>
  <c r="H178" i="4"/>
  <c r="I299" i="4"/>
  <c r="J299" i="4" s="1" a="1"/>
  <c r="J299" i="4" s="1"/>
  <c r="I621" i="4"/>
  <c r="J621" i="4" s="1" a="1"/>
  <c r="J621" i="4" s="1"/>
  <c r="I647" i="4"/>
  <c r="J647" i="4" s="1" a="1"/>
  <c r="J647" i="4" s="1"/>
  <c r="H596" i="4"/>
  <c r="I643" i="4"/>
  <c r="J643" i="4" s="1" a="1"/>
  <c r="J643" i="4" s="1"/>
  <c r="I498" i="4"/>
  <c r="J498" i="4" s="1" a="1"/>
  <c r="J498" i="4" s="1"/>
  <c r="I340" i="4"/>
  <c r="J340" i="4" s="1" a="1"/>
  <c r="J340" i="4" s="1"/>
  <c r="H236" i="4"/>
  <c r="H231" i="4"/>
  <c r="I500" i="4"/>
  <c r="J500" i="4" s="1" a="1"/>
  <c r="J500" i="4" s="1"/>
  <c r="H489" i="4"/>
  <c r="H118" i="4"/>
  <c r="I321" i="4"/>
  <c r="J321" i="4" s="1" a="1"/>
  <c r="J321" i="4" s="1"/>
  <c r="I625" i="4"/>
  <c r="J625" i="4" s="1" a="1"/>
  <c r="J625" i="4" s="1"/>
  <c r="I936" i="4"/>
  <c r="J936" i="4" s="1" a="1"/>
  <c r="J936" i="4" s="1"/>
  <c r="I620" i="4"/>
  <c r="J620" i="4" s="1" a="1"/>
  <c r="J620" i="4" s="1"/>
  <c r="I261" i="4"/>
  <c r="J261" i="4" s="1" a="1"/>
  <c r="J261" i="4" s="1"/>
  <c r="H155" i="4"/>
  <c r="H378" i="4"/>
  <c r="I106" i="4"/>
  <c r="J106" i="4" s="1" a="1"/>
  <c r="J106" i="4" s="1"/>
  <c r="I776" i="4"/>
  <c r="J776" i="4" s="1" a="1"/>
  <c r="J776" i="4" s="1"/>
  <c r="I838" i="4"/>
  <c r="J838" i="4" s="1" a="1"/>
  <c r="J838" i="4" s="1"/>
  <c r="H320" i="4"/>
  <c r="H479" i="4"/>
  <c r="H21" i="4"/>
  <c r="H555" i="4"/>
  <c r="H696" i="4"/>
  <c r="H272" i="4"/>
  <c r="H671" i="4"/>
  <c r="H302" i="4"/>
  <c r="I884" i="4"/>
  <c r="J884" i="4" s="1" a="1"/>
  <c r="J884" i="4" s="1"/>
  <c r="I423" i="4"/>
  <c r="J423" i="4" s="1" a="1"/>
  <c r="J423" i="4" s="1"/>
  <c r="H332" i="4"/>
  <c r="I847" i="4"/>
  <c r="J847" i="4" s="1" a="1"/>
  <c r="J847" i="4" s="1"/>
  <c r="I175" i="4"/>
  <c r="J175" i="4" s="1" a="1"/>
  <c r="J175" i="4" s="1"/>
  <c r="H530" i="4"/>
  <c r="I943" i="4"/>
  <c r="J943" i="4" s="1" a="1"/>
  <c r="J943" i="4" s="1"/>
  <c r="I797" i="4"/>
  <c r="J797" i="4" s="1" a="1"/>
  <c r="J797" i="4" s="1"/>
  <c r="I75" i="4"/>
  <c r="J75" i="4" s="1" a="1"/>
  <c r="J75" i="4" s="1"/>
  <c r="H227" i="4"/>
  <c r="I751" i="4"/>
  <c r="J751" i="4" s="1" a="1"/>
  <c r="J751" i="4" s="1"/>
  <c r="H329" i="4"/>
  <c r="I690" i="4"/>
  <c r="J690" i="4" s="1" a="1"/>
  <c r="J690" i="4" s="1"/>
  <c r="H86" i="4"/>
  <c r="I403" i="4"/>
  <c r="J403" i="4" s="1" a="1"/>
  <c r="J403" i="4" s="1"/>
  <c r="I71" i="4"/>
  <c r="J71" i="4" s="1" a="1"/>
  <c r="J71" i="4" s="1"/>
  <c r="H154" i="4"/>
  <c r="I260" i="4"/>
  <c r="J260" i="4" s="1" a="1"/>
  <c r="J260" i="4" s="1"/>
  <c r="H968" i="4"/>
  <c r="I130" i="4"/>
  <c r="J130" i="4" s="1" a="1"/>
  <c r="J130" i="4" s="1"/>
  <c r="H880" i="4"/>
  <c r="I315" i="4"/>
  <c r="J315" i="4" s="1" a="1"/>
  <c r="J315" i="4" s="1"/>
  <c r="H959" i="4"/>
  <c r="H879" i="4"/>
  <c r="I208" i="4"/>
  <c r="J208" i="4" s="1" a="1"/>
  <c r="J208" i="4" s="1"/>
  <c r="I661" i="4"/>
  <c r="J661" i="4" s="1" a="1"/>
  <c r="J661" i="4" s="1"/>
  <c r="I740" i="4"/>
  <c r="J740" i="4" s="1" a="1"/>
  <c r="J740" i="4" s="1"/>
  <c r="H91" i="4"/>
  <c r="H111" i="4"/>
  <c r="I898" i="4"/>
  <c r="J898" i="4" s="1" a="1"/>
  <c r="J898" i="4" s="1"/>
  <c r="I792" i="4"/>
  <c r="J792" i="4" s="1" a="1"/>
  <c r="J792" i="4" s="1"/>
  <c r="I343" i="4"/>
  <c r="J343" i="4" s="1" a="1"/>
  <c r="J343" i="4" s="1"/>
  <c r="I452" i="4"/>
  <c r="J452" i="4" s="1" a="1"/>
  <c r="J452" i="4" s="1"/>
  <c r="I626" i="4"/>
  <c r="J626" i="4" s="1" a="1"/>
  <c r="J626" i="4" s="1"/>
  <c r="I220" i="4"/>
  <c r="J220" i="4" s="1" a="1"/>
  <c r="J220" i="4" s="1"/>
  <c r="H887" i="4"/>
  <c r="H173" i="4"/>
  <c r="I384" i="4"/>
  <c r="J384" i="4" s="1" a="1"/>
  <c r="J384" i="4" s="1"/>
  <c r="H703" i="4"/>
  <c r="I895" i="4"/>
  <c r="J895" i="4" s="1" a="1"/>
  <c r="J895" i="4" s="1"/>
  <c r="H863" i="4"/>
  <c r="H745" i="4"/>
  <c r="I561" i="4"/>
  <c r="J561" i="4" s="1" a="1"/>
  <c r="J561" i="4" s="1"/>
  <c r="I600" i="4"/>
  <c r="J600" i="4" s="1" a="1"/>
  <c r="J600" i="4" s="1"/>
  <c r="I469" i="4"/>
  <c r="J469" i="4" s="1" a="1"/>
  <c r="J469" i="4" s="1"/>
  <c r="H910" i="4"/>
  <c r="H175" i="4"/>
  <c r="H105" i="4"/>
  <c r="H547" i="4"/>
  <c r="I57" i="4"/>
  <c r="J57" i="4" s="1" a="1"/>
  <c r="J57" i="4" s="1"/>
  <c r="I25" i="4"/>
  <c r="J25" i="4" s="1" a="1"/>
  <c r="J25" i="4" s="1"/>
  <c r="H985" i="4"/>
  <c r="I964" i="4"/>
  <c r="J964" i="4" s="1" a="1"/>
  <c r="J964" i="4" s="1"/>
  <c r="H497" i="4"/>
  <c r="H971" i="4"/>
  <c r="I185" i="4"/>
  <c r="J185" i="4" s="1" a="1"/>
  <c r="J185" i="4" s="1"/>
  <c r="H528" i="4"/>
  <c r="H318" i="4"/>
  <c r="I850" i="4"/>
  <c r="J850" i="4" s="1" a="1"/>
  <c r="J850" i="4" s="1"/>
  <c r="H255" i="4"/>
  <c r="H794" i="4"/>
  <c r="I553" i="4"/>
  <c r="J553" i="4" s="1" a="1"/>
  <c r="J553" i="4" s="1"/>
  <c r="I657" i="4"/>
  <c r="J657" i="4" s="1" a="1"/>
  <c r="J657" i="4" s="1"/>
  <c r="I685" i="4"/>
  <c r="J685" i="4" s="1" a="1"/>
  <c r="J685" i="4" s="1"/>
  <c r="H542" i="4"/>
  <c r="I268" i="4"/>
  <c r="J268" i="4" s="1" a="1"/>
  <c r="J268" i="4" s="1"/>
  <c r="I217" i="4"/>
  <c r="J217" i="4" s="1" a="1"/>
  <c r="J217" i="4" s="1"/>
  <c r="I559" i="4"/>
  <c r="J559" i="4" s="1" a="1"/>
  <c r="J559" i="4" s="1"/>
  <c r="H499" i="4"/>
  <c r="H961" i="4"/>
  <c r="I317" i="4"/>
  <c r="J317" i="4" s="1" a="1"/>
  <c r="J317" i="4" s="1"/>
  <c r="I80" i="4"/>
  <c r="J80" i="4" s="1" a="1"/>
  <c r="J80" i="4" s="1"/>
  <c r="I477" i="4"/>
  <c r="J477" i="4" s="1" a="1"/>
  <c r="J477" i="4" s="1"/>
  <c r="I901" i="4"/>
  <c r="J901" i="4" s="1" a="1"/>
  <c r="J901" i="4" s="1"/>
  <c r="I837" i="4"/>
  <c r="J837" i="4" s="1" a="1"/>
  <c r="J837" i="4" s="1"/>
  <c r="I652" i="4"/>
  <c r="J652" i="4" s="1" a="1"/>
  <c r="J652" i="4" s="1"/>
  <c r="I320" i="4"/>
  <c r="J320" i="4" s="1" a="1"/>
  <c r="J320" i="4" s="1"/>
  <c r="H469" i="4"/>
  <c r="I555" i="4"/>
  <c r="J555" i="4" s="1" a="1"/>
  <c r="J555" i="4" s="1"/>
  <c r="I815" i="4"/>
  <c r="J815" i="4" s="1" a="1"/>
  <c r="J815" i="4" s="1"/>
  <c r="H471" i="4"/>
  <c r="H384" i="4"/>
  <c r="H351" i="4"/>
  <c r="I385" i="4"/>
  <c r="J385" i="4" s="1" a="1"/>
  <c r="J385" i="4" s="1"/>
  <c r="I164" i="4"/>
  <c r="J164" i="4" s="1" a="1"/>
  <c r="J164" i="4" s="1"/>
  <c r="H791" i="4"/>
  <c r="H157" i="4"/>
  <c r="H128" i="4"/>
  <c r="I518" i="4"/>
  <c r="J518" i="4" s="1" a="1"/>
  <c r="J518" i="4" s="1"/>
  <c r="I83" i="4"/>
  <c r="J83" i="4" s="1" a="1"/>
  <c r="J83" i="4" s="1"/>
  <c r="H395" i="4"/>
  <c r="I721" i="4"/>
  <c r="J721" i="4" s="1" a="1"/>
  <c r="J721" i="4" s="1"/>
  <c r="H122" i="4"/>
  <c r="I492" i="4"/>
  <c r="J492" i="4" s="1" a="1"/>
  <c r="J492" i="4" s="1"/>
  <c r="I961" i="4"/>
  <c r="J961" i="4" s="1" a="1"/>
  <c r="J961" i="4" s="1"/>
  <c r="I318" i="4"/>
  <c r="J318" i="4" s="1" a="1"/>
  <c r="J318" i="4" s="1"/>
  <c r="I113" i="4"/>
  <c r="J113" i="4" s="1" a="1"/>
  <c r="J113" i="4" s="1"/>
  <c r="I879" i="4"/>
  <c r="J879" i="4" s="1" a="1"/>
  <c r="J879" i="4" s="1"/>
  <c r="H311" i="4"/>
  <c r="H634" i="4"/>
  <c r="H953" i="4"/>
  <c r="I831" i="4"/>
  <c r="J831" i="4" s="1" a="1"/>
  <c r="J831" i="4" s="1"/>
  <c r="H344" i="4"/>
  <c r="H664" i="4"/>
  <c r="I229" i="4"/>
  <c r="J229" i="4" s="1" a="1"/>
  <c r="J229" i="4" s="1"/>
  <c r="H307" i="4"/>
  <c r="I978" i="4"/>
  <c r="J978" i="4" s="1" a="1"/>
  <c r="J978" i="4" s="1"/>
  <c r="H613" i="4"/>
  <c r="I278" i="4"/>
  <c r="J278" i="4" s="1" a="1"/>
  <c r="J278" i="4" s="1"/>
  <c r="H898" i="4"/>
  <c r="H424" i="4"/>
  <c r="H25" i="4"/>
  <c r="H156" i="4"/>
  <c r="H605" i="4"/>
  <c r="H651" i="4"/>
  <c r="I173" i="4"/>
  <c r="J173" i="4" s="1" a="1"/>
  <c r="J173" i="4" s="1"/>
  <c r="I542" i="4"/>
  <c r="J542" i="4" s="1" a="1"/>
  <c r="J542" i="4" s="1"/>
  <c r="H559" i="4"/>
  <c r="H317" i="4"/>
  <c r="H465" i="4"/>
  <c r="I586" i="4"/>
  <c r="J586" i="4" s="1" a="1"/>
  <c r="J586" i="4" s="1"/>
  <c r="I528" i="4"/>
  <c r="J528" i="4" s="1" a="1"/>
  <c r="J528" i="4" s="1"/>
  <c r="I272" i="4"/>
  <c r="J272" i="4" s="1" a="1"/>
  <c r="J272" i="4" s="1"/>
  <c r="H784" i="4"/>
  <c r="I179" i="4"/>
  <c r="J179" i="4" s="1" a="1"/>
  <c r="J179" i="4" s="1"/>
  <c r="I688" i="4"/>
  <c r="J688" i="4" s="1" a="1"/>
  <c r="J688" i="4" s="1"/>
  <c r="H101" i="4"/>
  <c r="I745" i="4"/>
  <c r="J745" i="4" s="1" a="1"/>
  <c r="J745" i="4" s="1"/>
  <c r="I510" i="4"/>
  <c r="J510" i="4" s="1" a="1"/>
  <c r="J510" i="4" s="1"/>
  <c r="H916" i="4"/>
  <c r="H335" i="4"/>
  <c r="H838" i="4"/>
  <c r="I489" i="4"/>
  <c r="J489" i="4" s="1" a="1"/>
  <c r="J489" i="4" s="1"/>
  <c r="H315" i="4"/>
  <c r="I985" i="4"/>
  <c r="J985" i="4" s="1" a="1"/>
  <c r="J985" i="4" s="1"/>
  <c r="I499" i="4"/>
  <c r="J499" i="4" s="1" a="1"/>
  <c r="J499" i="4" s="1"/>
  <c r="I255" i="4"/>
  <c r="J255" i="4" s="1" a="1"/>
  <c r="J255" i="4" s="1"/>
  <c r="H321" i="4"/>
  <c r="H604" i="4"/>
  <c r="H935" i="4"/>
  <c r="H165" i="4"/>
  <c r="H934" i="4"/>
  <c r="H412" i="4"/>
  <c r="I19" i="4"/>
  <c r="J19" i="4" s="1" a="1"/>
  <c r="J19" i="4" s="1"/>
  <c r="H600" i="4"/>
  <c r="H553" i="4"/>
  <c r="I330" i="4"/>
  <c r="J330" i="4" s="1" a="1"/>
  <c r="J330" i="4" s="1"/>
  <c r="H106" i="4"/>
  <c r="H452" i="4"/>
  <c r="H477" i="4"/>
  <c r="H322" i="4"/>
  <c r="H327" i="4"/>
  <c r="H333" i="4"/>
  <c r="H850" i="4"/>
  <c r="I910" i="4"/>
  <c r="J910" i="4" s="1" a="1"/>
  <c r="J910" i="4" s="1"/>
  <c r="I111" i="4"/>
  <c r="J111" i="4" s="1" a="1"/>
  <c r="J111" i="4" s="1"/>
  <c r="H119" i="4"/>
  <c r="I954" i="4"/>
  <c r="J954" i="4" s="1" a="1"/>
  <c r="J954" i="4" s="1"/>
  <c r="H220" i="4"/>
  <c r="I312" i="4"/>
  <c r="J312" i="4" s="1" a="1"/>
  <c r="J312" i="4" s="1"/>
  <c r="I641" i="4"/>
  <c r="J641" i="4" s="1" a="1"/>
  <c r="J641" i="4" s="1"/>
  <c r="I679" i="4"/>
  <c r="J679" i="4" s="1" a="1"/>
  <c r="J679" i="4" s="1"/>
  <c r="I660" i="4"/>
  <c r="J660" i="4" s="1" a="1"/>
  <c r="J660" i="4" s="1"/>
  <c r="I683" i="4"/>
  <c r="J683" i="4" s="1" a="1"/>
  <c r="J683" i="4" s="1"/>
  <c r="H864" i="4"/>
  <c r="H500" i="4"/>
  <c r="I887" i="4"/>
  <c r="J887" i="4" s="1" a="1"/>
  <c r="J887" i="4" s="1"/>
  <c r="H303" i="4"/>
  <c r="H657" i="4"/>
  <c r="I977" i="4"/>
  <c r="J977" i="4" s="1" a="1"/>
  <c r="J977" i="4" s="1"/>
  <c r="H685" i="4"/>
  <c r="H41" i="4"/>
  <c r="H208" i="4"/>
  <c r="H467" i="4"/>
  <c r="H80" i="4"/>
  <c r="H614" i="4"/>
  <c r="I959" i="4"/>
  <c r="J959" i="4" s="1" a="1"/>
  <c r="J959" i="4" s="1"/>
  <c r="H661" i="4"/>
  <c r="I85" i="4"/>
  <c r="J85" i="4" s="1" a="1"/>
  <c r="J85" i="4" s="1"/>
  <c r="I819" i="4"/>
  <c r="J819" i="4" s="1" a="1"/>
  <c r="J819" i="4" s="1"/>
  <c r="I31" i="4"/>
  <c r="J31" i="4" s="1" a="1"/>
  <c r="J31" i="4" s="1"/>
  <c r="H760" i="4"/>
  <c r="I918" i="4"/>
  <c r="J918" i="4" s="1" a="1"/>
  <c r="J918" i="4" s="1"/>
  <c r="I475" i="4"/>
  <c r="J475" i="4" s="1" a="1"/>
  <c r="J475" i="4" s="1"/>
  <c r="H608" i="4"/>
  <c r="H402" i="4"/>
  <c r="H792" i="4"/>
  <c r="I968" i="4"/>
  <c r="J968" i="4" s="1" a="1"/>
  <c r="J968" i="4" s="1"/>
  <c r="I264" i="4"/>
  <c r="J264" i="4" s="1" a="1"/>
  <c r="J264" i="4" s="1"/>
  <c r="H343" i="4"/>
  <c r="H962" i="4"/>
  <c r="H739" i="4"/>
  <c r="H852" i="4"/>
  <c r="H894" i="4"/>
  <c r="H223" i="4"/>
  <c r="I719" i="4"/>
  <c r="J719" i="4" s="1" a="1"/>
  <c r="J719" i="4" s="1"/>
  <c r="H244" i="4"/>
  <c r="H251" i="4"/>
  <c r="I540" i="4"/>
  <c r="J540" i="4" s="1" a="1"/>
  <c r="J540" i="4" s="1"/>
  <c r="I702" i="4"/>
  <c r="J702" i="4" s="1" a="1"/>
  <c r="J702" i="4" s="1"/>
  <c r="I708" i="4"/>
  <c r="J708" i="4" s="1" a="1"/>
  <c r="J708" i="4" s="1"/>
  <c r="H943" i="4"/>
  <c r="H37" i="4"/>
  <c r="I202" i="4"/>
  <c r="J202" i="4" s="1" a="1"/>
  <c r="J202" i="4" s="1"/>
  <c r="I506" i="4"/>
  <c r="J506" i="4" s="1" a="1"/>
  <c r="J506" i="4" s="1"/>
  <c r="H594" i="4"/>
  <c r="H172" i="4"/>
  <c r="H536" i="4"/>
  <c r="I552" i="4"/>
  <c r="J552" i="4" s="1" a="1"/>
  <c r="J552" i="4" s="1"/>
  <c r="I605" i="4"/>
  <c r="J605" i="4" s="1" a="1"/>
  <c r="J605" i="4" s="1"/>
  <c r="H229" i="4"/>
  <c r="I667" i="4"/>
  <c r="J667" i="4" s="1" a="1"/>
  <c r="J667" i="4" s="1"/>
  <c r="I769" i="4"/>
  <c r="J769" i="4" s="1" a="1"/>
  <c r="J769" i="4" s="1"/>
  <c r="H222" i="4"/>
  <c r="H92" i="4"/>
  <c r="I65" i="4"/>
  <c r="J65" i="4" s="1" a="1"/>
  <c r="J65" i="4" s="1"/>
  <c r="I779" i="4"/>
  <c r="J779" i="4" s="1" a="1"/>
  <c r="J779" i="4" s="1"/>
  <c r="I344" i="4"/>
  <c r="J344" i="4" s="1" a="1"/>
  <c r="J344" i="4" s="1"/>
  <c r="I468" i="4"/>
  <c r="J468" i="4" s="1" a="1"/>
  <c r="J468" i="4" s="1"/>
  <c r="H686" i="4"/>
  <c r="I242" i="4"/>
  <c r="J242" i="4" s="1" a="1"/>
  <c r="J242" i="4" s="1"/>
  <c r="H795" i="4"/>
  <c r="I596" i="4"/>
  <c r="J596" i="4" s="1" a="1"/>
  <c r="J596" i="4" s="1"/>
  <c r="I593" i="4"/>
  <c r="J593" i="4" s="1" a="1"/>
  <c r="J593" i="4" s="1"/>
  <c r="H728" i="4"/>
  <c r="H278" i="4"/>
  <c r="H461" i="4"/>
  <c r="I249" i="4"/>
  <c r="J249" i="4" s="1" a="1"/>
  <c r="J249" i="4" s="1"/>
  <c r="H195" i="4"/>
  <c r="I808" i="4"/>
  <c r="J808" i="4" s="1" a="1"/>
  <c r="J808" i="4" s="1"/>
  <c r="H466" i="4"/>
  <c r="H757" i="4"/>
  <c r="I295" i="4"/>
  <c r="J295" i="4" s="1" a="1"/>
  <c r="J295" i="4" s="1"/>
  <c r="I646" i="4"/>
  <c r="J646" i="4" s="1" a="1"/>
  <c r="J646" i="4" s="1"/>
  <c r="H15" i="4"/>
  <c r="I836" i="4"/>
  <c r="J836" i="4" s="1" a="1"/>
  <c r="J836" i="4" s="1"/>
  <c r="H875" i="4"/>
  <c r="H994" i="4"/>
  <c r="H655" i="4"/>
  <c r="I926" i="4"/>
  <c r="J926" i="4" s="1" a="1"/>
  <c r="J926" i="4" s="1"/>
  <c r="H775" i="4"/>
  <c r="I858" i="4"/>
  <c r="J858" i="4" s="1" a="1"/>
  <c r="J858" i="4" s="1"/>
  <c r="I592" i="4"/>
  <c r="J592" i="4" s="1" a="1"/>
  <c r="J592" i="4" s="1"/>
  <c r="I285" i="4"/>
  <c r="J285" i="4" s="1" a="1"/>
  <c r="J285" i="4" s="1"/>
  <c r="I869" i="4"/>
  <c r="J869" i="4" s="1" a="1"/>
  <c r="J869" i="4" s="1"/>
  <c r="H754" i="4"/>
  <c r="H556" i="4"/>
  <c r="I453" i="4"/>
  <c r="J453" i="4" s="1" a="1"/>
  <c r="J453" i="4" s="1"/>
  <c r="I235" i="4"/>
  <c r="J235" i="4" s="1" a="1"/>
  <c r="J235" i="4" s="1"/>
  <c r="I870" i="4"/>
  <c r="J870" i="4" s="1" a="1"/>
  <c r="J870" i="4" s="1"/>
  <c r="H281" i="4"/>
  <c r="I68" i="4"/>
  <c r="J68" i="4" s="1" a="1"/>
  <c r="J68" i="4" s="1"/>
  <c r="H326" i="4"/>
  <c r="I276" i="4"/>
  <c r="J276" i="4" s="1" a="1"/>
  <c r="J276" i="4" s="1"/>
  <c r="H617" i="4"/>
  <c r="I434" i="4"/>
  <c r="J434" i="4" s="1" a="1"/>
  <c r="J434" i="4" s="1"/>
  <c r="I215" i="4"/>
  <c r="J215" i="4" s="1" a="1"/>
  <c r="J215" i="4" s="1"/>
  <c r="H472" i="4"/>
  <c r="H715" i="4"/>
  <c r="H607" i="4"/>
  <c r="H63" i="4"/>
  <c r="I802" i="4"/>
  <c r="J802" i="4" s="1" a="1"/>
  <c r="J802" i="4" s="1"/>
  <c r="H937" i="4"/>
  <c r="I445" i="4"/>
  <c r="J445" i="4" s="1" a="1"/>
  <c r="J445" i="4" s="1"/>
  <c r="I628" i="4"/>
  <c r="J628" i="4" s="1" a="1"/>
  <c r="J628" i="4" s="1"/>
  <c r="H766" i="4"/>
  <c r="H95" i="4"/>
  <c r="I102" i="4"/>
  <c r="J102" i="4" s="1" a="1"/>
  <c r="J102" i="4" s="1"/>
  <c r="I907" i="4"/>
  <c r="J907" i="4" s="1" a="1"/>
  <c r="J907" i="4" s="1"/>
  <c r="H162" i="4"/>
  <c r="H274" i="4"/>
  <c r="H216" i="4"/>
  <c r="H989" i="4"/>
  <c r="I407" i="4"/>
  <c r="J407" i="4" s="1" a="1"/>
  <c r="J407" i="4" s="1"/>
  <c r="I783" i="4"/>
  <c r="J783" i="4" s="1" a="1"/>
  <c r="J783" i="4" s="1"/>
  <c r="H694" i="4"/>
  <c r="I972" i="4"/>
  <c r="J972" i="4" s="1" a="1"/>
  <c r="J972" i="4" s="1"/>
  <c r="H642" i="4"/>
  <c r="I579" i="4"/>
  <c r="J579" i="4" s="1" a="1"/>
  <c r="J579" i="4" s="1"/>
  <c r="H873" i="4"/>
  <c r="H132" i="4"/>
  <c r="H638" i="4"/>
  <c r="I752" i="4"/>
  <c r="J752" i="4" s="1" a="1"/>
  <c r="J752" i="4" s="1"/>
  <c r="H846" i="4"/>
  <c r="I310" i="4"/>
  <c r="J310" i="4" s="1" a="1"/>
  <c r="J310" i="4" s="1"/>
  <c r="H490" i="4"/>
  <c r="H419" i="4"/>
  <c r="I308" i="4"/>
  <c r="J308" i="4" s="1" a="1"/>
  <c r="J308" i="4" s="1"/>
  <c r="I55" i="4"/>
  <c r="J55" i="4" s="1" a="1"/>
  <c r="J55" i="4" s="1"/>
  <c r="I44" i="4"/>
  <c r="J44" i="4" s="1" a="1"/>
  <c r="J44" i="4" s="1"/>
  <c r="H481" i="4"/>
  <c r="I756" i="4"/>
  <c r="J756" i="4" s="1" a="1"/>
  <c r="J756" i="4" s="1"/>
  <c r="I821" i="4"/>
  <c r="J821" i="4" s="1" a="1"/>
  <c r="J821" i="4" s="1"/>
  <c r="H636" i="4"/>
  <c r="I609" i="4"/>
  <c r="J609" i="4" s="1" a="1"/>
  <c r="J609" i="4" s="1"/>
  <c r="H20" i="4"/>
  <c r="H777" i="4"/>
  <c r="I254" i="4"/>
  <c r="J254" i="4" s="1" a="1"/>
  <c r="J254" i="4" s="1"/>
  <c r="H859" i="4"/>
  <c r="I51" i="4"/>
  <c r="J51" i="4" s="1" a="1"/>
  <c r="J51" i="4" s="1"/>
  <c r="I782" i="4"/>
  <c r="J782" i="4" s="1" a="1"/>
  <c r="J782" i="4" s="1"/>
  <c r="H74" i="4"/>
  <c r="H682" i="4"/>
  <c r="H581" i="4"/>
  <c r="H141" i="4"/>
  <c r="H854" i="4"/>
  <c r="H289" i="4"/>
  <c r="H491" i="4"/>
  <c r="I921" i="4"/>
  <c r="J921" i="4" s="1" a="1"/>
  <c r="J921" i="4" s="1"/>
  <c r="H750" i="4"/>
  <c r="I386" i="4"/>
  <c r="J386" i="4" s="1" a="1"/>
  <c r="J386" i="4" s="1"/>
  <c r="H441" i="4"/>
  <c r="H718" i="4"/>
  <c r="H342" i="4"/>
  <c r="H324" i="4"/>
  <c r="I991" i="4"/>
  <c r="J991" i="4" s="1" a="1"/>
  <c r="J991" i="4" s="1"/>
  <c r="I623" i="4"/>
  <c r="J623" i="4" s="1" a="1"/>
  <c r="J623" i="4" s="1"/>
  <c r="I598" i="4"/>
  <c r="J598" i="4" s="1" a="1"/>
  <c r="J598" i="4" s="1"/>
  <c r="H763" i="4"/>
  <c r="H893" i="4"/>
  <c r="I142" i="4"/>
  <c r="J142" i="4" s="1" a="1"/>
  <c r="J142" i="4" s="1"/>
  <c r="H355" i="4"/>
  <c r="H577" i="4"/>
  <c r="H435" i="4"/>
  <c r="I971" i="4"/>
  <c r="J971" i="4" s="1" a="1"/>
  <c r="J971" i="4" s="1"/>
  <c r="H867" i="4"/>
  <c r="I543" i="4"/>
  <c r="J543" i="4" s="1" a="1"/>
  <c r="J543" i="4" s="1"/>
  <c r="I612" i="4"/>
  <c r="J612" i="4" s="1" a="1"/>
  <c r="J612" i="4" s="1"/>
  <c r="I933" i="4"/>
  <c r="J933" i="4" s="1" a="1"/>
  <c r="J933" i="4" s="1"/>
  <c r="H970" i="4"/>
  <c r="I963" i="4"/>
  <c r="J963" i="4" s="1" a="1"/>
  <c r="J963" i="4" s="1"/>
  <c r="H743" i="4"/>
  <c r="I990" i="4"/>
  <c r="J990" i="4" s="1" a="1"/>
  <c r="J990" i="4" s="1"/>
  <c r="H339" i="4"/>
  <c r="H768" i="4"/>
  <c r="I284" i="4"/>
  <c r="J284" i="4" s="1" a="1"/>
  <c r="J284" i="4" s="1"/>
  <c r="H474" i="4"/>
  <c r="I811" i="4"/>
  <c r="J811" i="4" s="1" a="1"/>
  <c r="J811" i="4" s="1"/>
  <c r="H115" i="4"/>
  <c r="H918" i="4"/>
  <c r="I890" i="4"/>
  <c r="J890" i="4" s="1" a="1"/>
  <c r="J890" i="4" s="1"/>
  <c r="I141" i="4"/>
  <c r="J141" i="4" s="1" a="1"/>
  <c r="J141" i="4" s="1"/>
  <c r="H825" i="4"/>
  <c r="H616" i="4"/>
  <c r="I732" i="4"/>
  <c r="J732" i="4" s="1" a="1"/>
  <c r="J732" i="4" s="1"/>
  <c r="I970" i="4"/>
  <c r="J970" i="4" s="1" a="1"/>
  <c r="J970" i="4" s="1"/>
  <c r="H821" i="4"/>
  <c r="H623" i="4"/>
  <c r="I20" i="4"/>
  <c r="J20" i="4" s="1" a="1"/>
  <c r="J20" i="4" s="1"/>
  <c r="H933" i="4"/>
  <c r="H543" i="4"/>
  <c r="H612" i="4"/>
  <c r="I373" i="4"/>
  <c r="J373" i="4" s="1" a="1"/>
  <c r="J373" i="4" s="1"/>
  <c r="H949" i="4"/>
  <c r="I107" i="4"/>
  <c r="J107" i="4" s="1" a="1"/>
  <c r="J107" i="4" s="1"/>
  <c r="I817" i="4"/>
  <c r="J817" i="4" s="1" a="1"/>
  <c r="J817" i="4" s="1"/>
  <c r="H400" i="4"/>
  <c r="I859" i="4"/>
  <c r="J859" i="4" s="1" a="1"/>
  <c r="J859" i="4" s="1"/>
  <c r="I122" i="4"/>
  <c r="J122" i="4" s="1" a="1"/>
  <c r="J122" i="4" s="1"/>
  <c r="I218" i="4"/>
  <c r="J218" i="4" s="1" a="1"/>
  <c r="J218" i="4" s="1"/>
  <c r="I780" i="4"/>
  <c r="J780" i="4" s="1" a="1"/>
  <c r="J780" i="4" s="1"/>
  <c r="I563" i="4"/>
  <c r="J563" i="4" s="1" a="1"/>
  <c r="J563" i="4" s="1"/>
  <c r="I389" i="4"/>
  <c r="J389" i="4" s="1" a="1"/>
  <c r="J389" i="4" s="1"/>
  <c r="H811" i="4"/>
  <c r="I289" i="4"/>
  <c r="J289" i="4" s="1" a="1"/>
  <c r="J289" i="4" s="1"/>
  <c r="H609" i="4"/>
  <c r="I140" i="4"/>
  <c r="J140" i="4" s="1" a="1"/>
  <c r="J140" i="4" s="1"/>
  <c r="I490" i="4"/>
  <c r="J490" i="4" s="1" a="1"/>
  <c r="J490" i="4" s="1"/>
  <c r="H308" i="4"/>
  <c r="I629" i="4"/>
  <c r="J629" i="4" s="1" a="1"/>
  <c r="J629" i="4" s="1"/>
  <c r="I675" i="4"/>
  <c r="J675" i="4" s="1" a="1"/>
  <c r="J675" i="4" s="1"/>
  <c r="I750" i="4"/>
  <c r="J750" i="4" s="1" a="1"/>
  <c r="J750" i="4" s="1"/>
  <c r="I441" i="4"/>
  <c r="J441" i="4" s="1" a="1"/>
  <c r="J441" i="4" s="1"/>
  <c r="H598" i="4"/>
  <c r="H787" i="4"/>
  <c r="I753" i="4"/>
  <c r="J753" i="4" s="1" a="1"/>
  <c r="J753" i="4" s="1"/>
  <c r="H78" i="4"/>
  <c r="H331" i="4"/>
  <c r="I491" i="4"/>
  <c r="J491" i="4" s="1" a="1"/>
  <c r="J491" i="4" s="1"/>
  <c r="H408" i="4"/>
  <c r="I854" i="4"/>
  <c r="J854" i="4" s="1" a="1"/>
  <c r="J854" i="4" s="1"/>
  <c r="I339" i="4"/>
  <c r="J339" i="4" s="1" a="1"/>
  <c r="J339" i="4" s="1"/>
  <c r="I872" i="4"/>
  <c r="J872" i="4" s="1" a="1"/>
  <c r="J872" i="4" s="1"/>
  <c r="I222" i="4"/>
  <c r="J222" i="4" s="1" a="1"/>
  <c r="J222" i="4" s="1"/>
  <c r="I777" i="4"/>
  <c r="J777" i="4" s="1" a="1"/>
  <c r="J777" i="4" s="1"/>
  <c r="I636" i="4"/>
  <c r="J636" i="4" s="1" a="1"/>
  <c r="J636" i="4" s="1"/>
  <c r="I743" i="4"/>
  <c r="J743" i="4" s="1" a="1"/>
  <c r="J743" i="4" s="1"/>
  <c r="H386" i="4"/>
  <c r="I639" i="4"/>
  <c r="J639" i="4" s="1" a="1"/>
  <c r="J639" i="4" s="1"/>
  <c r="H990" i="4"/>
  <c r="I867" i="4"/>
  <c r="J867" i="4" s="1" a="1"/>
  <c r="J867" i="4" s="1"/>
  <c r="H277" i="4"/>
  <c r="H779" i="4"/>
  <c r="H991" i="4"/>
  <c r="I597" i="4"/>
  <c r="J597" i="4" s="1" a="1"/>
  <c r="J597" i="4" s="1"/>
  <c r="H921" i="4"/>
  <c r="H606" i="4"/>
  <c r="I768" i="4"/>
  <c r="J768" i="4" s="1" a="1"/>
  <c r="J768" i="4" s="1"/>
  <c r="H284" i="4"/>
  <c r="I355" i="4"/>
  <c r="J355" i="4" s="1" a="1"/>
  <c r="J355" i="4" s="1"/>
  <c r="I582" i="4"/>
  <c r="J582" i="4" s="1" a="1"/>
  <c r="J582" i="4" s="1"/>
  <c r="H421" i="4"/>
  <c r="H816" i="4"/>
  <c r="H100" i="4"/>
  <c r="I535" i="4"/>
  <c r="J535" i="4" s="1" a="1"/>
  <c r="J535" i="4" s="1"/>
  <c r="H450" i="4"/>
  <c r="I43" i="4"/>
  <c r="J43" i="4" s="1" a="1"/>
  <c r="J43" i="4" s="1"/>
  <c r="H142" i="4"/>
  <c r="H983" i="4"/>
  <c r="H782" i="4"/>
  <c r="I178" i="4"/>
  <c r="J178" i="4" s="1" a="1"/>
  <c r="J178" i="4" s="1"/>
  <c r="H721" i="4"/>
  <c r="I45" i="4"/>
  <c r="J45" i="4" s="1" a="1"/>
  <c r="J45" i="4" s="1"/>
  <c r="H51" i="4"/>
  <c r="I324" i="4"/>
  <c r="J324" i="4" s="1" a="1"/>
  <c r="J324" i="4" s="1"/>
  <c r="I860" i="4"/>
  <c r="J860" i="4" s="1" a="1"/>
  <c r="J860" i="4" s="1"/>
  <c r="I283" i="4"/>
  <c r="J283" i="4" s="1" a="1"/>
  <c r="J283" i="4" s="1"/>
  <c r="H44" i="4"/>
  <c r="I930" i="4"/>
  <c r="J930" i="4" s="1" a="1"/>
  <c r="J930" i="4" s="1"/>
  <c r="H310" i="4"/>
  <c r="H290" i="4"/>
  <c r="I42" i="4"/>
  <c r="J42" i="4" s="1" a="1"/>
  <c r="J42" i="4" s="1"/>
  <c r="I594" i="4"/>
  <c r="J594" i="4" s="1" a="1"/>
  <c r="J594" i="4" s="1"/>
  <c r="H877" i="4"/>
  <c r="I337" i="4"/>
  <c r="J337" i="4" s="1" a="1"/>
  <c r="J337" i="4" s="1"/>
  <c r="I162" i="4"/>
  <c r="J162" i="4" s="1" a="1"/>
  <c r="J162" i="4" s="1"/>
  <c r="H808" i="4"/>
  <c r="H436" i="4"/>
  <c r="I161" i="4"/>
  <c r="J161" i="4" s="1" a="1"/>
  <c r="J161" i="4" s="1"/>
  <c r="H832" i="4"/>
  <c r="H857" i="4"/>
  <c r="I473" i="4"/>
  <c r="J473" i="4" s="1" a="1"/>
  <c r="J473" i="4" s="1"/>
  <c r="I181" i="4"/>
  <c r="J181" i="4" s="1" a="1"/>
  <c r="J181" i="4" s="1"/>
  <c r="H726" i="4"/>
  <c r="H699" i="4"/>
  <c r="I393" i="4"/>
  <c r="J393" i="4" s="1" a="1"/>
  <c r="J393" i="4" s="1"/>
  <c r="I487" i="4"/>
  <c r="J487" i="4" s="1" a="1"/>
  <c r="J487" i="4" s="1"/>
  <c r="I710" i="4"/>
  <c r="J710" i="4" s="1" a="1"/>
  <c r="J710" i="4" s="1"/>
  <c r="H551" i="4"/>
  <c r="H169" i="4"/>
  <c r="H997" i="4"/>
  <c r="H53" i="4"/>
  <c r="I525" i="4"/>
  <c r="J525" i="4" s="1" a="1"/>
  <c r="J525" i="4" s="1"/>
  <c r="I587" i="4"/>
  <c r="J587" i="4" s="1" a="1"/>
  <c r="J587" i="4" s="1"/>
  <c r="I668" i="4"/>
  <c r="J668" i="4" s="1" a="1"/>
  <c r="J668" i="4" s="1"/>
  <c r="I76" i="4"/>
  <c r="J76" i="4" s="1" a="1"/>
  <c r="J76" i="4" s="1"/>
  <c r="H131" i="4"/>
  <c r="I622" i="4"/>
  <c r="J622" i="4" s="1" a="1"/>
  <c r="J622" i="4" s="1"/>
  <c r="H434" i="4"/>
  <c r="I986" i="4"/>
  <c r="J986" i="4" s="1" a="1"/>
  <c r="J986" i="4" s="1"/>
  <c r="I95" i="4"/>
  <c r="J95" i="4" s="1" a="1"/>
  <c r="J95" i="4" s="1"/>
  <c r="H573" i="4"/>
  <c r="I578" i="4"/>
  <c r="J578" i="4" s="1" a="1"/>
  <c r="J578" i="4" s="1"/>
  <c r="I419" i="4"/>
  <c r="J419" i="4" s="1" a="1"/>
  <c r="J419" i="4" s="1"/>
  <c r="I694" i="4"/>
  <c r="J694" i="4" s="1" a="1"/>
  <c r="J694" i="4" s="1"/>
  <c r="I810" i="4"/>
  <c r="J810" i="4" s="1" a="1"/>
  <c r="J810" i="4" s="1"/>
  <c r="H592" i="4"/>
  <c r="H869" i="4"/>
  <c r="H276" i="4"/>
  <c r="I306" i="4"/>
  <c r="J306" i="4" s="1" a="1"/>
  <c r="J306" i="4" s="1"/>
  <c r="H601" i="4"/>
  <c r="H199" i="4"/>
  <c r="I556" i="4"/>
  <c r="J556" i="4" s="1" a="1"/>
  <c r="J556" i="4" s="1"/>
  <c r="H215" i="4"/>
  <c r="I89" i="4"/>
  <c r="J89" i="4" s="1" a="1"/>
  <c r="J89" i="4" s="1"/>
  <c r="H756" i="4"/>
  <c r="I63" i="4"/>
  <c r="J63" i="4" s="1" a="1"/>
  <c r="J63" i="4" s="1"/>
  <c r="H399" i="4"/>
  <c r="H34" i="4"/>
  <c r="H50" i="4"/>
  <c r="I638" i="4"/>
  <c r="J638" i="4" s="1" a="1"/>
  <c r="J638" i="4" s="1"/>
  <c r="I718" i="4"/>
  <c r="J718" i="4" s="1" a="1"/>
  <c r="J718" i="4" s="1"/>
  <c r="H328" i="4"/>
  <c r="I733" i="4"/>
  <c r="J733" i="4" s="1" a="1"/>
  <c r="J733" i="4" s="1"/>
  <c r="I207" i="4"/>
  <c r="J207" i="4" s="1" a="1"/>
  <c r="J207" i="4" s="1"/>
  <c r="H68" i="4"/>
  <c r="I216" i="4"/>
  <c r="J216" i="4" s="1" a="1"/>
  <c r="J216" i="4" s="1"/>
  <c r="H585" i="4"/>
  <c r="I195" i="4"/>
  <c r="J195" i="4" s="1" a="1"/>
  <c r="J195" i="4" s="1"/>
  <c r="H55" i="4"/>
  <c r="I846" i="4"/>
  <c r="J846" i="4" s="1" a="1"/>
  <c r="J846" i="4" s="1"/>
  <c r="H913" i="4"/>
  <c r="H579" i="4"/>
  <c r="I523" i="4"/>
  <c r="J523" i="4" s="1" a="1"/>
  <c r="J523" i="4" s="1"/>
  <c r="H948" i="4"/>
  <c r="H31" i="4"/>
  <c r="H210" i="4"/>
  <c r="H669" i="4"/>
  <c r="I634" i="4"/>
  <c r="J634" i="4" s="1" a="1"/>
  <c r="J634" i="4" s="1"/>
  <c r="I205" i="4"/>
  <c r="J205" i="4" s="1" a="1"/>
  <c r="J205" i="4" s="1"/>
  <c r="H10" i="4"/>
  <c r="H833" i="4"/>
  <c r="H615" i="4"/>
  <c r="H868" i="4"/>
  <c r="I617" i="4"/>
  <c r="J617" i="4" s="1" a="1"/>
  <c r="J617" i="4" s="1"/>
  <c r="H325" i="4"/>
  <c r="H783" i="4"/>
  <c r="H230" i="4"/>
  <c r="I754" i="4"/>
  <c r="J754" i="4" s="1" a="1"/>
  <c r="J754" i="4" s="1"/>
  <c r="H527" i="4"/>
  <c r="I861" i="4"/>
  <c r="J861" i="4" s="1" a="1"/>
  <c r="J861" i="4" s="1"/>
  <c r="H209" i="4"/>
  <c r="I33" i="4"/>
  <c r="J33" i="4" s="1" a="1"/>
  <c r="J33" i="4" s="1"/>
  <c r="H501" i="4"/>
  <c r="I536" i="4"/>
  <c r="J536" i="4" s="1" a="1"/>
  <c r="J536" i="4" s="1"/>
  <c r="H823" i="4"/>
  <c r="H221" i="4"/>
  <c r="H250" i="4"/>
  <c r="H150" i="4"/>
  <c r="H212" i="4"/>
  <c r="I865" i="4"/>
  <c r="J865" i="4" s="1" a="1"/>
  <c r="J865" i="4" s="1"/>
  <c r="I458" i="4"/>
  <c r="J458" i="4" s="1" a="1"/>
  <c r="J458" i="4" s="1"/>
  <c r="I449" i="4"/>
  <c r="J449" i="4" s="1" a="1"/>
  <c r="J449" i="4" s="1"/>
  <c r="I67" i="4"/>
  <c r="J67" i="4" s="1" a="1"/>
  <c r="J67" i="4" s="1"/>
  <c r="I288" i="4"/>
  <c r="J288" i="4" s="1" a="1"/>
  <c r="J288" i="4" s="1"/>
  <c r="I931" i="4"/>
  <c r="J931" i="4" s="1" a="1"/>
  <c r="J931" i="4" s="1"/>
  <c r="H618" i="4"/>
  <c r="H735" i="4"/>
  <c r="H812" i="4"/>
  <c r="H228" i="4"/>
  <c r="H544" i="4"/>
  <c r="H197" i="4"/>
  <c r="H505" i="4"/>
  <c r="I223" i="4"/>
  <c r="J223" i="4" s="1" a="1"/>
  <c r="J223" i="4" s="1"/>
  <c r="I653" i="4"/>
  <c r="J653" i="4" s="1" a="1"/>
  <c r="J653" i="4" s="1"/>
  <c r="I891" i="4"/>
  <c r="J891" i="4" s="1" a="1"/>
  <c r="J891" i="4" s="1"/>
  <c r="I827" i="4"/>
  <c r="J827" i="4" s="1" a="1"/>
  <c r="J827" i="4" s="1"/>
  <c r="H238" i="4"/>
  <c r="H806" i="4"/>
  <c r="H249" i="4"/>
  <c r="H758" i="4"/>
  <c r="I390" i="4"/>
  <c r="J390" i="4" s="1" a="1"/>
  <c r="J390" i="4" s="1"/>
  <c r="I219" i="4"/>
  <c r="J219" i="4" s="1" a="1"/>
  <c r="J219" i="4" s="1"/>
  <c r="H719" i="4"/>
  <c r="H336" i="4"/>
  <c r="H22" i="4"/>
  <c r="I522" i="4"/>
  <c r="J522" i="4" s="1" a="1"/>
  <c r="J522" i="4" s="1"/>
  <c r="H963" i="4"/>
  <c r="I401" i="4"/>
  <c r="J401" i="4" s="1" a="1"/>
  <c r="J401" i="4" s="1"/>
  <c r="H252" i="4"/>
  <c r="I244" i="4"/>
  <c r="J244" i="4" s="1" a="1"/>
  <c r="J244" i="4" s="1"/>
  <c r="I633" i="4"/>
  <c r="J633" i="4" s="1" a="1"/>
  <c r="J633" i="4" s="1"/>
  <c r="H237" i="4"/>
  <c r="I804" i="4"/>
  <c r="J804" i="4" s="1" a="1"/>
  <c r="J804" i="4" s="1"/>
  <c r="I673" i="4"/>
  <c r="J673" i="4" s="1" a="1"/>
  <c r="J673" i="4" s="1"/>
  <c r="H203" i="4"/>
  <c r="H980" i="4"/>
  <c r="I251" i="4"/>
  <c r="J251" i="4" s="1" a="1"/>
  <c r="J251" i="4" s="1"/>
  <c r="H903" i="4"/>
  <c r="I406" i="4"/>
  <c r="J406" i="4" s="1" a="1"/>
  <c r="J406" i="4" s="1"/>
  <c r="H365" i="4"/>
  <c r="H548" i="4"/>
  <c r="I945" i="4"/>
  <c r="J945" i="4" s="1" a="1"/>
  <c r="J945" i="4" s="1"/>
  <c r="H447" i="4"/>
  <c r="H167" i="4"/>
  <c r="I748" i="4"/>
  <c r="J748" i="4" s="1" a="1"/>
  <c r="J748" i="4" s="1"/>
  <c r="H840" i="4"/>
  <c r="H540" i="4"/>
  <c r="I418" i="4"/>
  <c r="J418" i="4" s="1" a="1"/>
  <c r="J418" i="4" s="1"/>
  <c r="I619" i="4"/>
  <c r="J619" i="4" s="1" a="1"/>
  <c r="J619" i="4" s="1"/>
  <c r="H749" i="4"/>
  <c r="H889" i="4"/>
  <c r="I213" i="4"/>
  <c r="J213" i="4" s="1" a="1"/>
  <c r="J213" i="4" s="1"/>
  <c r="H572" i="4"/>
  <c r="I562" i="4"/>
  <c r="J562" i="4" s="1" a="1"/>
  <c r="J562" i="4" s="1"/>
  <c r="I687" i="4"/>
  <c r="J687" i="4" s="1" a="1"/>
  <c r="J687" i="4" s="1"/>
  <c r="H908" i="4"/>
  <c r="H425" i="4"/>
  <c r="I696" i="4"/>
  <c r="J696" i="4" s="1" a="1"/>
  <c r="J696" i="4" s="1"/>
  <c r="I66" i="4"/>
  <c r="J66" i="4" s="1" a="1"/>
  <c r="J66" i="4" s="1"/>
  <c r="H520" i="4"/>
  <c r="H463" i="4"/>
  <c r="H824" i="4"/>
  <c r="I785" i="4"/>
  <c r="J785" i="4" s="1" a="1"/>
  <c r="J785" i="4" s="1"/>
  <c r="I741" i="4"/>
  <c r="J741" i="4" s="1" a="1"/>
  <c r="J741" i="4" s="1"/>
  <c r="H992" i="4"/>
  <c r="H976" i="4"/>
  <c r="I575" i="4"/>
  <c r="J575" i="4" s="1" a="1"/>
  <c r="J575" i="4" s="1"/>
  <c r="I874" i="4"/>
  <c r="J874" i="4" s="1" a="1"/>
  <c r="J874" i="4" s="1"/>
  <c r="I906" i="4"/>
  <c r="J906" i="4" s="1" a="1"/>
  <c r="J906" i="4" s="1"/>
  <c r="I698" i="4"/>
  <c r="J698" i="4" s="1" a="1"/>
  <c r="J698" i="4" s="1"/>
  <c r="H702" i="4"/>
  <c r="H708" i="4"/>
  <c r="H822" i="4"/>
  <c r="H409" i="4"/>
  <c r="H81" i="4"/>
  <c r="I362" i="4"/>
  <c r="J362" i="4" s="1" a="1"/>
  <c r="J362" i="4" s="1"/>
  <c r="H285" i="4"/>
  <c r="H849" i="4"/>
  <c r="H166" i="4"/>
  <c r="I937" i="4"/>
  <c r="J937" i="4" s="1" a="1"/>
  <c r="J937" i="4" s="1"/>
  <c r="H102" i="4"/>
  <c r="H112" i="4"/>
  <c r="I650" i="4"/>
  <c r="J650" i="4" s="1" a="1"/>
  <c r="J650" i="4" s="1"/>
  <c r="I160" i="4"/>
  <c r="J160" i="4" s="1" a="1"/>
  <c r="J160" i="4" s="1"/>
  <c r="H765" i="4"/>
  <c r="I117" i="4"/>
  <c r="J117" i="4" s="1" a="1"/>
  <c r="J117" i="4" s="1"/>
  <c r="I502" i="4"/>
  <c r="J502" i="4" s="1" a="1"/>
  <c r="J502" i="4" s="1"/>
  <c r="I788" i="4"/>
  <c r="J788" i="4" s="1" a="1"/>
  <c r="J788" i="4" s="1"/>
  <c r="I73" i="4"/>
  <c r="J73" i="4" s="1" a="1"/>
  <c r="J73" i="4" s="1"/>
  <c r="I885" i="4"/>
  <c r="J885" i="4" s="1" a="1"/>
  <c r="J885" i="4" s="1"/>
  <c r="I798" i="4"/>
  <c r="J798" i="4" s="1" a="1"/>
  <c r="J798" i="4" s="1"/>
  <c r="H603" i="4"/>
  <c r="I956" i="4"/>
  <c r="J956" i="4" s="1" a="1"/>
  <c r="J956" i="4" s="1"/>
  <c r="I958" i="4"/>
  <c r="J958" i="4" s="1" a="1"/>
  <c r="J958" i="4" s="1"/>
  <c r="I38" i="4"/>
  <c r="J38" i="4" s="1" a="1"/>
  <c r="J38" i="4" s="1"/>
  <c r="H407" i="4"/>
  <c r="I915" i="4"/>
  <c r="J915" i="4" s="1" a="1"/>
  <c r="J915" i="4" s="1"/>
  <c r="I715" i="4"/>
  <c r="J715" i="4" s="1" a="1"/>
  <c r="J715" i="4" s="1"/>
  <c r="I766" i="4"/>
  <c r="J766" i="4" s="1" a="1"/>
  <c r="J766" i="4" s="1"/>
  <c r="I172" i="4"/>
  <c r="J172" i="4" s="1" a="1"/>
  <c r="J172" i="4" s="1"/>
  <c r="I124" i="4"/>
  <c r="J124" i="4" s="1" a="1"/>
  <c r="J124" i="4" s="1"/>
  <c r="H98" i="4"/>
  <c r="I912" i="4"/>
  <c r="J912" i="4" s="1" a="1"/>
  <c r="J912" i="4" s="1"/>
  <c r="I862" i="4"/>
  <c r="J862" i="4" s="1" a="1"/>
  <c r="J862" i="4" s="1"/>
  <c r="I539" i="4"/>
  <c r="J539" i="4" s="1" a="1"/>
  <c r="J539" i="4" s="1"/>
  <c r="I532" i="4"/>
  <c r="J532" i="4" s="1" a="1"/>
  <c r="J532" i="4" s="1"/>
  <c r="H902" i="4"/>
  <c r="I274" i="4"/>
  <c r="J274" i="4" s="1" a="1"/>
  <c r="J274" i="4" s="1"/>
  <c r="I394" i="4"/>
  <c r="J394" i="4" s="1" a="1"/>
  <c r="J394" i="4" s="1"/>
  <c r="H42" i="4"/>
  <c r="I517" i="4"/>
  <c r="J517" i="4" s="1" a="1"/>
  <c r="J517" i="4" s="1"/>
  <c r="H552" i="4"/>
  <c r="H599" i="4"/>
  <c r="I664" i="4"/>
  <c r="J664" i="4" s="1" a="1"/>
  <c r="J664" i="4" s="1"/>
  <c r="H264" i="4"/>
  <c r="H632" i="4"/>
  <c r="H663" i="4"/>
  <c r="I648" i="4"/>
  <c r="J648" i="4" s="1" a="1"/>
  <c r="J648" i="4" s="1"/>
  <c r="I677" i="4"/>
  <c r="J677" i="4" s="1" a="1"/>
  <c r="J677" i="4" s="1"/>
  <c r="I29" i="4"/>
  <c r="J29" i="4" s="1" a="1"/>
  <c r="J29" i="4" s="1"/>
  <c r="H60" i="4"/>
  <c r="I595" i="4"/>
  <c r="J595" i="4" s="1" a="1"/>
  <c r="J595" i="4" s="1"/>
  <c r="H47" i="4"/>
  <c r="I138" i="4"/>
  <c r="J138" i="4" s="1" a="1"/>
  <c r="J138" i="4" s="1"/>
  <c r="H232" i="4"/>
  <c r="I371" i="4"/>
  <c r="J371" i="4" s="1" a="1"/>
  <c r="J371" i="4" s="1"/>
  <c r="H802" i="4"/>
  <c r="H709" i="4"/>
  <c r="H90" i="4"/>
  <c r="H845" i="4"/>
  <c r="H77" i="4"/>
  <c r="H158" i="4"/>
  <c r="I466" i="4"/>
  <c r="J466" i="4" s="1" a="1"/>
  <c r="J466" i="4" s="1"/>
  <c r="I852" i="4"/>
  <c r="J852" i="4" s="1" a="1"/>
  <c r="J852" i="4" s="1"/>
  <c r="I503" i="4"/>
  <c r="J503" i="4" s="1" a="1"/>
  <c r="J503" i="4" s="1"/>
  <c r="I472" i="4"/>
  <c r="J472" i="4" s="1" a="1"/>
  <c r="J472" i="4" s="1"/>
  <c r="I319" i="4"/>
  <c r="J319" i="4" s="1" a="1"/>
  <c r="J319" i="4" s="1"/>
  <c r="I15" i="4"/>
  <c r="J15" i="4" s="1" a="1"/>
  <c r="J15" i="4" s="1"/>
  <c r="I649" i="4"/>
  <c r="J649" i="4" s="1" a="1"/>
  <c r="J649" i="4" s="1"/>
  <c r="I825" i="4"/>
  <c r="J825" i="4" s="1" a="1"/>
  <c r="J825" i="4" s="1"/>
  <c r="I398" i="4"/>
  <c r="J398" i="4" s="1" a="1"/>
  <c r="J398" i="4" s="1"/>
  <c r="I994" i="4"/>
  <c r="J994" i="4" s="1" a="1"/>
  <c r="J994" i="4" s="1"/>
  <c r="H123" i="4"/>
  <c r="I775" i="4"/>
  <c r="J775" i="4" s="1" a="1"/>
  <c r="J775" i="4" s="1"/>
  <c r="H628" i="4"/>
  <c r="I399" i="4"/>
  <c r="J399" i="4" s="1" a="1"/>
  <c r="J399" i="4" s="1"/>
  <c r="H11" i="4"/>
  <c r="H103" i="4"/>
  <c r="I607" i="4"/>
  <c r="J607" i="4" s="1" a="1"/>
  <c r="J607" i="4" s="1"/>
  <c r="I483" i="4"/>
  <c r="J483" i="4" s="1" a="1"/>
  <c r="J483" i="4" s="1"/>
  <c r="H69" i="4"/>
  <c r="I192" i="4"/>
  <c r="J192" i="4" s="1" a="1"/>
  <c r="J192" i="4" s="1"/>
  <c r="I853" i="4"/>
  <c r="J853" i="4" s="1" a="1"/>
  <c r="J853" i="4" s="1"/>
  <c r="H836" i="4"/>
  <c r="H363" i="4"/>
  <c r="H830" i="4"/>
  <c r="H646" i="4"/>
  <c r="H927" i="4"/>
  <c r="I585" i="4"/>
  <c r="J585" i="4" s="1" a="1"/>
  <c r="J585" i="4" s="1"/>
  <c r="I601" i="4"/>
  <c r="J601" i="4" s="1" a="1"/>
  <c r="J601" i="4" s="1"/>
  <c r="H295" i="4"/>
  <c r="H944" i="4"/>
  <c r="I392" i="4"/>
  <c r="J392" i="4" s="1" a="1"/>
  <c r="J392" i="4" s="1"/>
  <c r="I737" i="4"/>
  <c r="J737" i="4" s="1" a="1"/>
  <c r="J737" i="4" s="1"/>
  <c r="H104" i="4"/>
  <c r="H298" i="4"/>
  <c r="H907" i="4"/>
  <c r="H926" i="4"/>
  <c r="I757" i="4"/>
  <c r="J757" i="4" s="1" a="1"/>
  <c r="J757" i="4" s="1"/>
  <c r="I873" i="4"/>
  <c r="J873" i="4" s="1" a="1"/>
  <c r="J873" i="4" s="1"/>
  <c r="I616" i="4"/>
  <c r="J616" i="4" s="1" a="1"/>
  <c r="J616" i="4" s="1"/>
  <c r="H870" i="4"/>
  <c r="H445" i="4"/>
  <c r="H831" i="4"/>
  <c r="I580" i="4"/>
  <c r="J580" i="4" s="1" a="1"/>
  <c r="J580" i="4" s="1"/>
  <c r="H919" i="4"/>
  <c r="H858" i="4"/>
  <c r="I875" i="4"/>
  <c r="J875" i="4" s="1" a="1"/>
  <c r="J875" i="4" s="1"/>
  <c r="I823" i="4"/>
  <c r="J823" i="4" s="1" a="1"/>
  <c r="J823" i="4" s="1"/>
  <c r="I480" i="4"/>
  <c r="J480" i="4" s="1" a="1"/>
  <c r="J480" i="4" s="1"/>
  <c r="H752" i="4"/>
  <c r="H790" i="4"/>
  <c r="H834" i="4"/>
  <c r="I899" i="4"/>
  <c r="J899" i="4" s="1" a="1"/>
  <c r="J899" i="4" s="1"/>
  <c r="I841" i="4"/>
  <c r="J841" i="4" s="1" a="1"/>
  <c r="J841" i="4" s="1"/>
  <c r="H49" i="4"/>
  <c r="H89" i="4"/>
  <c r="I655" i="4"/>
  <c r="J655" i="4" s="1" a="1"/>
  <c r="J655" i="4" s="1"/>
  <c r="I281" i="4"/>
  <c r="J281" i="4" s="1" a="1"/>
  <c r="J281" i="4" s="1"/>
  <c r="I549" i="4"/>
  <c r="J549" i="4" s="1" a="1"/>
  <c r="J549" i="4" s="1"/>
  <c r="I303" i="4"/>
  <c r="J303" i="4" s="1" a="1"/>
  <c r="J303" i="4" s="1"/>
  <c r="I368" i="4"/>
  <c r="J368" i="4" s="1" a="1"/>
  <c r="J368" i="4" s="1"/>
  <c r="I17" i="4"/>
  <c r="J17" i="4" s="1" a="1"/>
  <c r="J17" i="4" s="1"/>
  <c r="I665" i="4"/>
  <c r="J665" i="4" s="1" a="1"/>
  <c r="J665" i="4" s="1"/>
  <c r="I953" i="4"/>
  <c r="J953" i="4" s="1" a="1"/>
  <c r="J953" i="4" s="1"/>
  <c r="I311" i="4"/>
  <c r="J311" i="4" s="1" a="1"/>
  <c r="J311" i="4" s="1"/>
  <c r="H732" i="4"/>
  <c r="I760" i="4"/>
  <c r="J760" i="4" s="1" a="1"/>
  <c r="J760" i="4" s="1"/>
  <c r="H537" i="4"/>
  <c r="I711" i="4"/>
  <c r="J711" i="4" s="1" a="1"/>
  <c r="J711" i="4" s="1"/>
  <c r="H300" i="4"/>
  <c r="I851" i="4"/>
  <c r="J851" i="4" s="1" a="1"/>
  <c r="J851" i="4" s="1"/>
  <c r="H923" i="4"/>
  <c r="I273" i="4"/>
  <c r="J273" i="4" s="1" a="1"/>
  <c r="J273" i="4" s="1"/>
  <c r="H288" i="4"/>
  <c r="I832" i="4"/>
  <c r="J832" i="4" s="1" a="1"/>
  <c r="J832" i="4" s="1"/>
  <c r="I447" i="4"/>
  <c r="J447" i="4" s="1" a="1"/>
  <c r="J447" i="4" s="1"/>
  <c r="I425" i="4"/>
  <c r="J425" i="4" s="1" a="1"/>
  <c r="J425" i="4" s="1"/>
  <c r="I131" i="4"/>
  <c r="J131" i="4" s="1" a="1"/>
  <c r="J131" i="4" s="1"/>
  <c r="I513" i="4"/>
  <c r="J513" i="4" s="1" a="1"/>
  <c r="J513" i="4" s="1"/>
  <c r="H219" i="4"/>
  <c r="I150" i="4"/>
  <c r="J150" i="4" s="1" a="1"/>
  <c r="J150" i="4" s="1"/>
  <c r="H738" i="4"/>
  <c r="I800" i="4"/>
  <c r="J800" i="4" s="1" a="1"/>
  <c r="J800" i="4" s="1"/>
  <c r="I684" i="4"/>
  <c r="J684" i="4" s="1" a="1"/>
  <c r="J684" i="4" s="1"/>
  <c r="H761" i="4"/>
  <c r="I857" i="4"/>
  <c r="J857" i="4" s="1" a="1"/>
  <c r="J857" i="4" s="1"/>
  <c r="H945" i="4"/>
  <c r="I365" i="4"/>
  <c r="J365" i="4" s="1" a="1"/>
  <c r="J365" i="4" s="1"/>
  <c r="I840" i="4"/>
  <c r="J840" i="4" s="1" a="1"/>
  <c r="J840" i="4" s="1"/>
  <c r="I613" i="4"/>
  <c r="J613" i="4" s="1" a="1"/>
  <c r="J613" i="4" s="1"/>
  <c r="H587" i="4"/>
  <c r="H171" i="4"/>
  <c r="I672" i="4"/>
  <c r="J672" i="4" s="1" a="1"/>
  <c r="J672" i="4" s="1"/>
  <c r="I812" i="4"/>
  <c r="J812" i="4" s="1" a="1"/>
  <c r="J812" i="4" s="1"/>
  <c r="H66" i="4"/>
  <c r="I796" i="4"/>
  <c r="J796" i="4" s="1" a="1"/>
  <c r="J796" i="4" s="1"/>
  <c r="I726" i="4"/>
  <c r="J726" i="4" s="1" a="1"/>
  <c r="J726" i="4" s="1"/>
  <c r="H698" i="4"/>
  <c r="I228" i="4"/>
  <c r="J228" i="4" s="1" a="1"/>
  <c r="J228" i="4" s="1"/>
  <c r="I463" i="4"/>
  <c r="J463" i="4" s="1" a="1"/>
  <c r="J463" i="4" s="1"/>
  <c r="I548" i="4"/>
  <c r="J548" i="4" s="1" a="1"/>
  <c r="J548" i="4" s="1"/>
  <c r="I238" i="4"/>
  <c r="J238" i="4" s="1" a="1"/>
  <c r="J238" i="4" s="1"/>
  <c r="I824" i="4"/>
  <c r="J824" i="4" s="1" a="1"/>
  <c r="J824" i="4" s="1"/>
  <c r="H804" i="4"/>
  <c r="H369" i="4"/>
  <c r="I30" i="4"/>
  <c r="J30" i="4" s="1" a="1"/>
  <c r="J30" i="4" s="1"/>
  <c r="I442" i="4"/>
  <c r="J442" i="4" s="1" a="1"/>
  <c r="J442" i="4" s="1"/>
  <c r="H473" i="4"/>
  <c r="I793" i="4"/>
  <c r="J793" i="4" s="1" a="1"/>
  <c r="J793" i="4" s="1"/>
  <c r="I427" i="4"/>
  <c r="J427" i="4" s="1" a="1"/>
  <c r="J427" i="4" s="1"/>
  <c r="H348" i="4"/>
  <c r="H354" i="4"/>
  <c r="I950" i="4"/>
  <c r="J950" i="4" s="1" a="1"/>
  <c r="J950" i="4" s="1"/>
  <c r="H928" i="4"/>
  <c r="H460" i="4"/>
  <c r="H443" i="4"/>
  <c r="I894" i="4"/>
  <c r="J894" i="4" s="1" a="1"/>
  <c r="J894" i="4" s="1"/>
  <c r="H418" i="4"/>
  <c r="H506" i="4"/>
  <c r="I221" i="4"/>
  <c r="J221" i="4" s="1" a="1"/>
  <c r="J221" i="4" s="1"/>
  <c r="I992" i="4"/>
  <c r="J992" i="4" s="1" a="1"/>
  <c r="J992" i="4" s="1"/>
  <c r="I822" i="4"/>
  <c r="J822" i="4" s="1" a="1"/>
  <c r="J822" i="4" s="1"/>
  <c r="I749" i="4"/>
  <c r="J749" i="4" s="1" a="1"/>
  <c r="J749" i="4" s="1"/>
  <c r="I114" i="4"/>
  <c r="J114" i="4" s="1" a="1"/>
  <c r="J114" i="4" s="1"/>
  <c r="I676" i="4"/>
  <c r="J676" i="4" s="1" a="1"/>
  <c r="J676" i="4" s="1"/>
  <c r="I148" i="4"/>
  <c r="J148" i="4" s="1" a="1"/>
  <c r="J148" i="4" s="1"/>
  <c r="I569" i="4"/>
  <c r="J569" i="4" s="1" a="1"/>
  <c r="J569" i="4" s="1"/>
  <c r="H430" i="4"/>
  <c r="H588" i="4"/>
  <c r="I778" i="4"/>
  <c r="J778" i="4" s="1" a="1"/>
  <c r="J778" i="4" s="1"/>
  <c r="I806" i="4"/>
  <c r="J806" i="4" s="1" a="1"/>
  <c r="J806" i="4" s="1"/>
  <c r="H14" i="4"/>
  <c r="I826" i="4"/>
  <c r="J826" i="4" s="1" a="1"/>
  <c r="J826" i="4" s="1"/>
  <c r="I132" i="4"/>
  <c r="J132" i="4" s="1" a="1"/>
  <c r="J132" i="4" s="1"/>
  <c r="I997" i="4"/>
  <c r="J997" i="4" s="1" a="1"/>
  <c r="J997" i="4" s="1"/>
  <c r="I980" i="4"/>
  <c r="J980" i="4" s="1" a="1"/>
  <c r="J980" i="4" s="1"/>
  <c r="H653" i="4"/>
  <c r="I889" i="4"/>
  <c r="J889" i="4" s="1" a="1"/>
  <c r="J889" i="4" s="1"/>
  <c r="H213" i="4"/>
  <c r="H741" i="4"/>
  <c r="H575" i="4"/>
  <c r="H906" i="4"/>
  <c r="H687" i="4"/>
  <c r="I908" i="4"/>
  <c r="J908" i="4" s="1" a="1"/>
  <c r="J908" i="4" s="1"/>
  <c r="I361" i="4"/>
  <c r="J361" i="4" s="1" a="1"/>
  <c r="J361" i="4" s="1"/>
  <c r="I758" i="4"/>
  <c r="J758" i="4" s="1" a="1"/>
  <c r="J758" i="4" s="1"/>
  <c r="H525" i="4"/>
  <c r="H619" i="4"/>
  <c r="H911" i="4"/>
  <c r="I544" i="4"/>
  <c r="J544" i="4" s="1" a="1"/>
  <c r="J544" i="4" s="1"/>
  <c r="H909" i="4"/>
  <c r="I735" i="4"/>
  <c r="J735" i="4" s="1" a="1"/>
  <c r="J735" i="4" s="1"/>
  <c r="I236" i="4"/>
  <c r="J236" i="4" s="1" a="1"/>
  <c r="J236" i="4" s="1"/>
  <c r="H260" i="4"/>
  <c r="H562" i="4"/>
  <c r="I259" i="4"/>
  <c r="J259" i="4" s="1" a="1"/>
  <c r="J259" i="4" s="1"/>
  <c r="I706" i="4"/>
  <c r="J706" i="4" s="1" a="1"/>
  <c r="J706" i="4" s="1"/>
  <c r="H145" i="4"/>
  <c r="I618" i="4"/>
  <c r="J618" i="4" s="1" a="1"/>
  <c r="J618" i="4" s="1"/>
  <c r="I336" i="4"/>
  <c r="J336" i="4" s="1" a="1"/>
  <c r="J336" i="4" s="1"/>
  <c r="H865" i="4"/>
  <c r="H487" i="4"/>
  <c r="I805" i="4"/>
  <c r="J805" i="4" s="1" a="1"/>
  <c r="J805" i="4" s="1"/>
  <c r="I203" i="4"/>
  <c r="J203" i="4" s="1" a="1"/>
  <c r="J203" i="4" s="1"/>
  <c r="I699" i="4"/>
  <c r="J699" i="4" s="1" a="1"/>
  <c r="J699" i="4" s="1"/>
  <c r="H245" i="4"/>
  <c r="I108" i="4"/>
  <c r="J108" i="4" s="1" a="1"/>
  <c r="J108" i="4" s="1"/>
  <c r="H76" i="4"/>
  <c r="H415" i="4"/>
  <c r="I116" i="4"/>
  <c r="J116" i="4" s="1" a="1"/>
  <c r="J116" i="4" s="1"/>
  <c r="I189" i="4"/>
  <c r="J189" i="4" s="1" a="1"/>
  <c r="J189" i="4" s="1"/>
  <c r="I903" i="4"/>
  <c r="J903" i="4" s="1" a="1"/>
  <c r="J903" i="4" s="1"/>
  <c r="H602" i="4"/>
  <c r="H891" i="4"/>
  <c r="I505" i="4"/>
  <c r="J505" i="4" s="1" a="1"/>
  <c r="J505" i="4" s="1"/>
  <c r="I975" i="4"/>
  <c r="J975" i="4" s="1" a="1"/>
  <c r="J975" i="4" s="1"/>
  <c r="H160" i="4"/>
  <c r="I338" i="4"/>
  <c r="J338" i="4" s="1" a="1"/>
  <c r="J338" i="4" s="1"/>
  <c r="I212" i="4"/>
  <c r="J212" i="4" s="1" a="1"/>
  <c r="J212" i="4" s="1"/>
  <c r="H401" i="4"/>
  <c r="H393" i="4"/>
  <c r="H688" i="4"/>
  <c r="H633" i="4"/>
  <c r="I237" i="4"/>
  <c r="J237" i="4" s="1" a="1"/>
  <c r="J237" i="4" s="1"/>
  <c r="H235" i="4"/>
  <c r="I520" i="4"/>
  <c r="J520" i="4" s="1" a="1"/>
  <c r="J520" i="4" s="1"/>
  <c r="I22" i="4"/>
  <c r="J22" i="4" s="1" a="1"/>
  <c r="J22" i="4" s="1"/>
  <c r="H181" i="4"/>
  <c r="H406" i="4"/>
  <c r="I81" i="4"/>
  <c r="J81" i="4" s="1" a="1"/>
  <c r="J81" i="4" s="1"/>
  <c r="I184" i="4"/>
  <c r="J184" i="4" s="1" a="1"/>
  <c r="J184" i="4" s="1"/>
  <c r="H931" i="4"/>
  <c r="I781" i="4"/>
  <c r="J781" i="4" s="1" a="1"/>
  <c r="J781" i="4" s="1"/>
  <c r="H774" i="4"/>
  <c r="I494" i="4"/>
  <c r="J494" i="4" s="1" a="1"/>
  <c r="J494" i="4" s="1"/>
  <c r="H979" i="4"/>
  <c r="I252" i="4"/>
  <c r="J252" i="4" s="1" a="1"/>
  <c r="J252" i="4" s="1"/>
  <c r="H827" i="4"/>
  <c r="I197" i="4"/>
  <c r="J197" i="4" s="1" a="1"/>
  <c r="J197" i="4" s="1"/>
  <c r="H458" i="4"/>
  <c r="I257" i="4"/>
  <c r="J257" i="4" s="1" a="1"/>
  <c r="J257" i="4" s="1"/>
  <c r="I433" i="4"/>
  <c r="J433" i="4" s="1" a="1"/>
  <c r="J433" i="4" s="1"/>
  <c r="I169" i="4"/>
  <c r="J169" i="4" s="1" a="1"/>
  <c r="J169" i="4" s="1"/>
  <c r="I128" i="4"/>
  <c r="J128" i="4" s="1" a="1"/>
  <c r="J128" i="4" s="1"/>
  <c r="H522" i="4"/>
  <c r="I40" i="4"/>
  <c r="J40" i="4" s="1" a="1"/>
  <c r="J40" i="4" s="1"/>
  <c r="H748" i="4"/>
  <c r="I572" i="4"/>
  <c r="J572" i="4" s="1" a="1"/>
  <c r="J572" i="4" s="1"/>
  <c r="H362" i="4"/>
  <c r="H67" i="4"/>
  <c r="H459" i="4"/>
  <c r="I976" i="4"/>
  <c r="J976" i="4" s="1" a="1"/>
  <c r="J976" i="4" s="1"/>
  <c r="H785" i="4"/>
  <c r="H390" i="4"/>
  <c r="H993" i="4"/>
  <c r="H134" i="4"/>
  <c r="I486" i="4"/>
  <c r="J486" i="4" s="1" a="1"/>
  <c r="J486" i="4" s="1"/>
  <c r="I250" i="4"/>
  <c r="J250" i="4" s="1" a="1"/>
  <c r="J250" i="4" s="1"/>
  <c r="H692" i="4"/>
  <c r="I167" i="4"/>
  <c r="J167" i="4" s="1" a="1"/>
  <c r="J167" i="4" s="1"/>
  <c r="I417" i="4"/>
  <c r="J417" i="4" s="1" a="1"/>
  <c r="J417" i="4" s="1"/>
  <c r="I457" i="4"/>
  <c r="J457" i="4" s="1" a="1"/>
  <c r="J457" i="4" s="1"/>
  <c r="H844" i="4"/>
  <c r="H677" i="4"/>
  <c r="I145" i="4"/>
  <c r="J145" i="4" s="1" a="1"/>
  <c r="J145" i="4" s="1"/>
  <c r="I156" i="4"/>
  <c r="J156" i="4" s="1" a="1"/>
  <c r="J156" i="4" s="1"/>
  <c r="I279" i="4"/>
  <c r="J279" i="4" s="1" a="1"/>
  <c r="J279" i="4" s="1"/>
  <c r="I23" i="4"/>
  <c r="J23" i="4" s="1" a="1"/>
  <c r="J23" i="4" s="1"/>
  <c r="I186" i="4"/>
  <c r="J186" i="4" s="1" a="1"/>
  <c r="J186" i="4" s="1"/>
  <c r="H27" i="4"/>
  <c r="I297" i="4"/>
  <c r="J297" i="4" s="1" a="1"/>
  <c r="J297" i="4" s="1"/>
  <c r="I551" i="4"/>
  <c r="J551" i="4" s="1" a="1"/>
  <c r="J551" i="4" s="1"/>
  <c r="I334" i="4"/>
  <c r="J334" i="4" s="1" a="1"/>
  <c r="J334" i="4" s="1"/>
  <c r="I327" i="4"/>
  <c r="J327" i="4" s="1" a="1"/>
  <c r="J327" i="4" s="1"/>
  <c r="I165" i="4"/>
  <c r="J165" i="4" s="1" a="1"/>
  <c r="J165" i="4" s="1"/>
  <c r="H805" i="4"/>
  <c r="H253" i="4"/>
  <c r="H753" i="4"/>
  <c r="I888" i="4"/>
  <c r="J888" i="4" s="1" a="1"/>
  <c r="J888" i="4" s="1"/>
  <c r="I147" i="4"/>
  <c r="J147" i="4" s="1" a="1"/>
  <c r="J147" i="4" s="1"/>
  <c r="H449" i="4"/>
  <c r="H183" i="4"/>
  <c r="I883" i="4"/>
  <c r="J883" i="4" s="1" a="1"/>
  <c r="J883" i="4" s="1"/>
  <c r="H114" i="4"/>
  <c r="I322" i="4"/>
  <c r="J322" i="4" s="1" a="1"/>
  <c r="J322" i="4" s="1"/>
  <c r="H502" i="4"/>
  <c r="I787" i="4"/>
  <c r="J787" i="4" s="1" a="1"/>
  <c r="J787" i="4" s="1"/>
  <c r="I670" i="4"/>
  <c r="J670" i="4" s="1" a="1"/>
  <c r="J670" i="4" s="1"/>
  <c r="H957" i="4"/>
  <c r="I201" i="4"/>
  <c r="J201" i="4" s="1" a="1"/>
  <c r="J201" i="4" s="1"/>
  <c r="H140" i="4"/>
  <c r="H124" i="4"/>
  <c r="I412" i="4"/>
  <c r="J412" i="4" s="1" a="1"/>
  <c r="J412" i="4" s="1"/>
  <c r="I731" i="4"/>
  <c r="J731" i="4" s="1" a="1"/>
  <c r="J731" i="4" s="1"/>
  <c r="H432" i="4"/>
  <c r="H70" i="4"/>
  <c r="H224" i="4"/>
  <c r="H367" i="4"/>
  <c r="I270" i="4"/>
  <c r="J270" i="4" s="1" a="1"/>
  <c r="J270" i="4" s="1"/>
  <c r="H214" i="4"/>
  <c r="I239" i="4"/>
  <c r="J239" i="4" s="1" a="1"/>
  <c r="J239" i="4" s="1"/>
  <c r="I807" i="4"/>
  <c r="J807" i="4" s="1" a="1"/>
  <c r="J807" i="4" s="1"/>
  <c r="H202" i="4"/>
  <c r="H591" i="4"/>
  <c r="H414" i="4"/>
  <c r="H12" i="4"/>
  <c r="H809" i="4"/>
  <c r="I557" i="4"/>
  <c r="J557" i="4" s="1" a="1"/>
  <c r="J557" i="4" s="1"/>
  <c r="H955" i="4"/>
  <c r="H446" i="4"/>
  <c r="H188" i="4"/>
  <c r="I84" i="4"/>
  <c r="J84" i="4" s="1" a="1"/>
  <c r="J84" i="4" s="1"/>
  <c r="I848" i="4"/>
  <c r="J848" i="4" s="1" a="1"/>
  <c r="J848" i="4" s="1"/>
  <c r="I637" i="4"/>
  <c r="J637" i="4" s="1" a="1"/>
  <c r="J637" i="4" s="1"/>
  <c r="I455" i="4"/>
  <c r="J455" i="4" s="1" a="1"/>
  <c r="J455" i="4" s="1"/>
  <c r="I383" i="4"/>
  <c r="J383" i="4" s="1" a="1"/>
  <c r="J383" i="4" s="1"/>
  <c r="I546" i="4"/>
  <c r="J546" i="4" s="1" a="1"/>
  <c r="J546" i="4" s="1"/>
  <c r="I877" i="4"/>
  <c r="J877" i="4" s="1" a="1"/>
  <c r="J877" i="4" s="1"/>
  <c r="H194" i="4"/>
  <c r="H583" i="4"/>
  <c r="I428" i="4"/>
  <c r="J428" i="4" s="1" a="1"/>
  <c r="J428" i="4" s="1"/>
  <c r="I635" i="4"/>
  <c r="J635" i="4" s="1" a="1"/>
  <c r="J635" i="4" s="1"/>
  <c r="H689" i="4"/>
  <c r="I584" i="4"/>
  <c r="J584" i="4" s="1" a="1"/>
  <c r="J584" i="4" s="1"/>
  <c r="I331" i="4"/>
  <c r="J331" i="4" s="1" a="1"/>
  <c r="J331" i="4" s="1"/>
  <c r="H717" i="4"/>
  <c r="I642" i="4"/>
  <c r="J642" i="4" s="1" a="1"/>
  <c r="J642" i="4" s="1"/>
  <c r="H876" i="4"/>
  <c r="I204" i="4"/>
  <c r="J204" i="4" s="1" a="1"/>
  <c r="J204" i="4" s="1"/>
  <c r="I516" i="4"/>
  <c r="J516" i="4" s="1" a="1"/>
  <c r="J516" i="4" s="1"/>
  <c r="H485" i="4"/>
  <c r="H938" i="4"/>
  <c r="H36" i="4"/>
  <c r="I892" i="4"/>
  <c r="J892" i="4" s="1" a="1"/>
  <c r="J892" i="4" s="1"/>
  <c r="H79" i="4"/>
  <c r="H364" i="4"/>
  <c r="H174" i="4"/>
  <c r="H835" i="4"/>
  <c r="I94" i="4"/>
  <c r="J94" i="4" s="1" a="1"/>
  <c r="J94" i="4" s="1"/>
  <c r="I92" i="4"/>
  <c r="J92" i="4" s="1" a="1"/>
  <c r="J92" i="4" s="1"/>
  <c r="H161" i="4"/>
  <c r="I366" i="4"/>
  <c r="J366" i="4" s="1" a="1"/>
  <c r="J366" i="4" s="1"/>
  <c r="H691" i="4"/>
  <c r="I347" i="4"/>
  <c r="J347" i="4" s="1" a="1"/>
  <c r="J347" i="4" s="1"/>
  <c r="H511" i="4"/>
  <c r="H695" i="4"/>
  <c r="I96" i="4"/>
  <c r="J96" i="4" s="1" a="1"/>
  <c r="J96" i="4" s="1"/>
  <c r="H972" i="4"/>
  <c r="H305" i="4"/>
  <c r="H54" i="4"/>
  <c r="I286" i="4"/>
  <c r="J286" i="4" s="1" a="1"/>
  <c r="J286" i="4" s="1"/>
  <c r="H710" i="4"/>
  <c r="H895" i="4"/>
  <c r="H744" i="4"/>
  <c r="H998" i="4"/>
  <c r="I62" i="4"/>
  <c r="J62" i="4" s="1" a="1"/>
  <c r="J62" i="4" s="1"/>
  <c r="H762" i="4"/>
  <c r="I705" i="4"/>
  <c r="J705" i="4" s="1" a="1"/>
  <c r="J705" i="4" s="1"/>
  <c r="I590" i="4"/>
  <c r="J590" i="4" s="1" a="1"/>
  <c r="J590" i="4" s="1"/>
  <c r="H764" i="4"/>
  <c r="H656" i="4"/>
  <c r="H352" i="4"/>
  <c r="H382" i="4"/>
  <c r="H512" i="4"/>
  <c r="H139" i="4"/>
  <c r="H146" i="4"/>
  <c r="I266" i="4"/>
  <c r="J266" i="4" s="1" a="1"/>
  <c r="J266" i="4" s="1"/>
  <c r="I960" i="4"/>
  <c r="J960" i="4" s="1" a="1"/>
  <c r="J960" i="4" s="1"/>
  <c r="H380" i="4"/>
  <c r="I574" i="4"/>
  <c r="J574" i="4" s="1" a="1"/>
  <c r="J574" i="4" s="1"/>
  <c r="H558" i="4"/>
  <c r="I828" i="4"/>
  <c r="J828" i="4" s="1" a="1"/>
  <c r="J828" i="4" s="1"/>
  <c r="H662" i="4"/>
  <c r="I911" i="4"/>
  <c r="J911" i="4" s="1" a="1"/>
  <c r="J911" i="4" s="1"/>
  <c r="I78" i="4"/>
  <c r="J78" i="4" s="1" a="1"/>
  <c r="J78" i="4" s="1"/>
  <c r="H268" i="4"/>
  <c r="H259" i="4"/>
  <c r="I200" i="4"/>
  <c r="J200" i="4" s="1" a="1"/>
  <c r="J200" i="4" s="1"/>
  <c r="I346" i="4"/>
  <c r="J346" i="4" s="1" a="1"/>
  <c r="J346" i="4" s="1"/>
  <c r="H306" i="4"/>
  <c r="I119" i="4"/>
  <c r="J119" i="4" s="1" a="1"/>
  <c r="J119" i="4" s="1"/>
  <c r="H946" i="4"/>
  <c r="H258" i="4"/>
  <c r="I564" i="4"/>
  <c r="J564" i="4" s="1" a="1"/>
  <c r="J564" i="4" s="1"/>
  <c r="I789" i="4"/>
  <c r="J789" i="4" s="1" a="1"/>
  <c r="J789" i="4" s="1"/>
  <c r="I627" i="4"/>
  <c r="J627" i="4" s="1" a="1"/>
  <c r="J627" i="4" s="1"/>
  <c r="I439" i="4"/>
  <c r="J439" i="4" s="1" a="1"/>
  <c r="J439" i="4" s="1"/>
  <c r="I110" i="4"/>
  <c r="J110" i="4" s="1" a="1"/>
  <c r="J110" i="4" s="1"/>
  <c r="H130" i="4"/>
  <c r="I581" i="4"/>
  <c r="J581" i="4" s="1" a="1"/>
  <c r="J581" i="4" s="1"/>
  <c r="H16" i="4"/>
  <c r="H668" i="4"/>
  <c r="H269" i="4"/>
  <c r="H180" i="4"/>
  <c r="H337" i="4"/>
  <c r="I144" i="4"/>
  <c r="J144" i="4" s="1" a="1"/>
  <c r="J144" i="4" s="1"/>
  <c r="I880" i="4"/>
  <c r="J880" i="4" s="1" a="1"/>
  <c r="J880" i="4" s="1"/>
  <c r="I771" i="4"/>
  <c r="J771" i="4" s="1" a="1"/>
  <c r="J771" i="4" s="1"/>
  <c r="H353" i="4"/>
  <c r="I61" i="4"/>
  <c r="J61" i="4" s="1" a="1"/>
  <c r="J61" i="4" s="1"/>
  <c r="I947" i="4"/>
  <c r="J947" i="4" s="1" a="1"/>
  <c r="J947" i="4" s="1"/>
  <c r="I103" i="4"/>
  <c r="J103" i="4" s="1" a="1"/>
  <c r="J103" i="4" s="1"/>
  <c r="I291" i="4"/>
  <c r="J291" i="4" s="1" a="1"/>
  <c r="J291" i="4" s="1"/>
  <c r="H936" i="4"/>
  <c r="I333" i="4"/>
  <c r="J333" i="4" s="1" a="1"/>
  <c r="J333" i="4" s="1"/>
  <c r="H475" i="4"/>
  <c r="H64" i="4"/>
  <c r="I982" i="4"/>
  <c r="J982" i="4" s="1" a="1"/>
  <c r="J982" i="4" s="1"/>
  <c r="I420" i="4"/>
  <c r="J420" i="4" s="1" a="1"/>
  <c r="J420" i="4" s="1"/>
  <c r="H722" i="4"/>
  <c r="H287" i="4"/>
  <c r="H560" i="4"/>
  <c r="H59" i="4"/>
  <c r="I509" i="4"/>
  <c r="J509" i="4" s="1" a="1"/>
  <c r="J509" i="4" s="1"/>
  <c r="I886" i="4"/>
  <c r="J886" i="4" s="1" a="1"/>
  <c r="J886" i="4" s="1"/>
  <c r="H678" i="4"/>
  <c r="H514" i="4"/>
  <c r="H818" i="4"/>
  <c r="H388" i="4"/>
  <c r="I328" i="4"/>
  <c r="J328" i="4" s="1" a="1"/>
  <c r="J328" i="4" s="1"/>
  <c r="I973" i="4"/>
  <c r="J973" i="4" s="1" a="1"/>
  <c r="J973" i="4" s="1"/>
  <c r="H359" i="4"/>
  <c r="I372" i="4"/>
  <c r="J372" i="4" s="1" a="1"/>
  <c r="J372" i="4" s="1"/>
  <c r="H922" i="4"/>
  <c r="I341" i="4"/>
  <c r="J341" i="4" s="1" a="1"/>
  <c r="J341" i="4" s="1"/>
  <c r="I909" i="4"/>
  <c r="J909" i="4" s="1" a="1"/>
  <c r="J909" i="4" s="1"/>
  <c r="I856" i="4"/>
  <c r="J856" i="4" s="1" a="1"/>
  <c r="J856" i="4" s="1"/>
  <c r="H299" i="4"/>
  <c r="H611" i="4"/>
  <c r="H314" i="4"/>
  <c r="H571" i="4"/>
  <c r="I925" i="4"/>
  <c r="J925" i="4" s="1" a="1"/>
  <c r="J925" i="4" s="1"/>
  <c r="H82" i="4"/>
  <c r="H874" i="4"/>
  <c r="H996" i="4"/>
  <c r="I241" i="4"/>
  <c r="J241" i="4" s="1" a="1"/>
  <c r="J241" i="4" s="1"/>
  <c r="I233" i="4"/>
  <c r="J233" i="4" s="1" a="1"/>
  <c r="J233" i="4" s="1"/>
  <c r="H969" i="4"/>
  <c r="H293" i="4"/>
  <c r="H28" i="4"/>
  <c r="I265" i="4"/>
  <c r="J265" i="4" s="1" a="1"/>
  <c r="J265" i="4" s="1"/>
  <c r="I942" i="4"/>
  <c r="J942" i="4" s="1" a="1"/>
  <c r="J942" i="4" s="1"/>
  <c r="I640" i="4"/>
  <c r="J640" i="4" s="1" a="1"/>
  <c r="J640" i="4" s="1"/>
  <c r="H379" i="4"/>
  <c r="I989" i="4"/>
  <c r="J989" i="4" s="1" a="1"/>
  <c r="J989" i="4" s="1"/>
  <c r="I151" i="4"/>
  <c r="J151" i="4" s="1" a="1"/>
  <c r="J151" i="4" s="1"/>
  <c r="H987" i="4"/>
  <c r="I478" i="4"/>
  <c r="J478" i="4" s="1" a="1"/>
  <c r="J478" i="4" s="1"/>
  <c r="I658" i="4"/>
  <c r="J658" i="4" s="1" a="1"/>
  <c r="J658" i="4" s="1"/>
  <c r="I118" i="4"/>
  <c r="J118" i="4" s="1" a="1"/>
  <c r="J118" i="4" s="1"/>
  <c r="I126" i="4"/>
  <c r="J126" i="4" s="1" a="1"/>
  <c r="J126" i="4" s="1"/>
  <c r="H476" i="4"/>
  <c r="H914" i="4"/>
  <c r="I376" i="4"/>
  <c r="J376" i="4" s="1" a="1"/>
  <c r="J376" i="4" s="1"/>
  <c r="I316" i="4"/>
  <c r="J316" i="4" s="1" a="1"/>
  <c r="J316" i="4" s="1"/>
  <c r="I704" i="4"/>
  <c r="J704" i="4" s="1" a="1"/>
  <c r="J704" i="4" s="1"/>
  <c r="H578" i="4"/>
  <c r="I52" i="4"/>
  <c r="J52" i="4" s="1" a="1"/>
  <c r="J52" i="4" s="1"/>
  <c r="H176" i="4"/>
  <c r="I897" i="4"/>
  <c r="J897" i="4" s="1" a="1"/>
  <c r="J897" i="4" s="1"/>
  <c r="I120" i="4"/>
  <c r="J120" i="4" s="1" a="1"/>
  <c r="J120" i="4" s="1"/>
  <c r="I263" i="4"/>
  <c r="J263" i="4" s="1" a="1"/>
  <c r="J263" i="4" s="1"/>
  <c r="I603" i="4"/>
  <c r="J603" i="4" s="1" a="1"/>
  <c r="J603" i="4" s="1"/>
  <c r="H731" i="4"/>
  <c r="H982" i="4"/>
  <c r="I955" i="4"/>
  <c r="J955" i="4" s="1" a="1"/>
  <c r="J955" i="4" s="1"/>
  <c r="I329" i="4"/>
  <c r="J329" i="4" s="1" a="1"/>
  <c r="J329" i="4" s="1"/>
  <c r="H270" i="4"/>
  <c r="H376" i="4"/>
  <c r="H803" i="4"/>
  <c r="H725" i="4"/>
  <c r="I382" i="4"/>
  <c r="J382" i="4" s="1" a="1"/>
  <c r="J382" i="4" s="1"/>
  <c r="I938" i="4"/>
  <c r="J938" i="4" s="1" a="1"/>
  <c r="J938" i="4" s="1"/>
  <c r="H483" i="4"/>
  <c r="I269" i="4"/>
  <c r="J269" i="4" s="1" a="1"/>
  <c r="J269" i="4" s="1"/>
  <c r="I922" i="4"/>
  <c r="J922" i="4" s="1" a="1"/>
  <c r="J922" i="4" s="1"/>
  <c r="H144" i="4"/>
  <c r="H848" i="4"/>
  <c r="H704" i="4"/>
  <c r="H797" i="4"/>
  <c r="I691" i="4"/>
  <c r="J691" i="4" s="1" a="1"/>
  <c r="J691" i="4" s="1"/>
  <c r="I86" i="4"/>
  <c r="J86" i="4" s="1" a="1"/>
  <c r="J86" i="4" s="1"/>
  <c r="I987" i="4"/>
  <c r="J987" i="4" s="1" a="1"/>
  <c r="J987" i="4" s="1"/>
  <c r="I245" i="4"/>
  <c r="J245" i="4" s="1" a="1"/>
  <c r="J245" i="4" s="1"/>
  <c r="H658" i="4"/>
  <c r="I570" i="4"/>
  <c r="J570" i="4" s="1" a="1"/>
  <c r="J570" i="4" s="1"/>
  <c r="I799" i="4"/>
  <c r="J799" i="4" s="1" a="1"/>
  <c r="J799" i="4" s="1"/>
  <c r="H127" i="4"/>
  <c r="I187" i="4"/>
  <c r="J187" i="4" s="1" a="1"/>
  <c r="J187" i="4" s="1"/>
  <c r="I521" i="4"/>
  <c r="J521" i="4" s="1" a="1"/>
  <c r="J521" i="4" s="1"/>
  <c r="I568" i="4"/>
  <c r="J568" i="4" s="1" a="1"/>
  <c r="J568" i="4" s="1"/>
  <c r="H97" i="4"/>
  <c r="H397" i="4"/>
  <c r="H191" i="4"/>
  <c r="I177" i="4"/>
  <c r="J177" i="4" s="1" a="1"/>
  <c r="J177" i="4" s="1"/>
  <c r="H38" i="4"/>
  <c r="I176" i="4"/>
  <c r="J176" i="4" s="1" a="1"/>
  <c r="J176" i="4" s="1"/>
  <c r="I282" i="4"/>
  <c r="J282" i="4" s="1" a="1"/>
  <c r="J282" i="4" s="1"/>
  <c r="H396" i="4"/>
  <c r="I58" i="4"/>
  <c r="J58" i="4" s="1" a="1"/>
  <c r="J58" i="4" s="1"/>
  <c r="H391" i="4"/>
  <c r="I82" i="4"/>
  <c r="J82" i="4" s="1" a="1"/>
  <c r="J82" i="4" s="1"/>
  <c r="H453" i="4"/>
  <c r="I137" i="4"/>
  <c r="J137" i="4" s="1" a="1"/>
  <c r="J137" i="4" s="1"/>
  <c r="I707" i="4"/>
  <c r="J707" i="4" s="1" a="1"/>
  <c r="J707" i="4" s="1"/>
  <c r="H248" i="4"/>
  <c r="H690" i="4"/>
  <c r="H196" i="4"/>
  <c r="I538" i="4"/>
  <c r="J538" i="4" s="1" a="1"/>
  <c r="J538" i="4" s="1"/>
  <c r="I121" i="4"/>
  <c r="J121" i="4" s="1" a="1"/>
  <c r="J121" i="4" s="1"/>
  <c r="I984" i="4"/>
  <c r="J984" i="4" s="1" a="1"/>
  <c r="J984" i="4" s="1"/>
  <c r="H866" i="4"/>
  <c r="H451" i="4"/>
  <c r="I689" i="4"/>
  <c r="J689" i="4" s="1" a="1"/>
  <c r="J689" i="4" s="1"/>
  <c r="H507" i="4"/>
  <c r="I163" i="4"/>
  <c r="J163" i="4" s="1" a="1"/>
  <c r="J163" i="4" s="1"/>
  <c r="H892" i="4"/>
  <c r="H107" i="4"/>
  <c r="H478" i="4"/>
  <c r="I388" i="4"/>
  <c r="J388" i="4" s="1" a="1"/>
  <c r="J388" i="4" s="1"/>
  <c r="H627" i="4"/>
  <c r="H241" i="4"/>
  <c r="I843" i="4"/>
  <c r="J843" i="4" s="1" a="1"/>
  <c r="J843" i="4" s="1"/>
  <c r="I32" i="4"/>
  <c r="J32" i="4" s="1" a="1"/>
  <c r="J32" i="4" s="1"/>
  <c r="H883" i="4"/>
  <c r="I430" i="4"/>
  <c r="J430" i="4" s="1" a="1"/>
  <c r="J430" i="4" s="1"/>
  <c r="I678" i="4"/>
  <c r="J678" i="4" s="1" a="1"/>
  <c r="J678" i="4" s="1"/>
  <c r="H96" i="4"/>
  <c r="I408" i="4"/>
  <c r="J408" i="4" s="1" a="1"/>
  <c r="J408" i="4" s="1"/>
  <c r="H807" i="4"/>
  <c r="H110" i="4"/>
  <c r="H789" i="4"/>
  <c r="I158" i="4"/>
  <c r="J158" i="4" s="1" a="1"/>
  <c r="J158" i="4" s="1"/>
  <c r="I258" i="4"/>
  <c r="J258" i="4" s="1" a="1"/>
  <c r="J258" i="4" s="1"/>
  <c r="I744" i="4"/>
  <c r="J744" i="4" s="1" a="1"/>
  <c r="J744" i="4" s="1"/>
  <c r="H856" i="4"/>
  <c r="I541" i="4"/>
  <c r="J541" i="4" s="1" a="1"/>
  <c r="J541" i="4" s="1"/>
  <c r="H266" i="4"/>
  <c r="I77" i="4"/>
  <c r="J77" i="4" s="1" a="1"/>
  <c r="J77" i="4" s="1"/>
  <c r="I54" i="4"/>
  <c r="J54" i="4" s="1" a="1"/>
  <c r="J54" i="4" s="1"/>
  <c r="H62" i="4"/>
  <c r="I432" i="4"/>
  <c r="J432" i="4" s="1" a="1"/>
  <c r="J432" i="4" s="1"/>
  <c r="H584" i="4"/>
  <c r="H637" i="4"/>
  <c r="H569" i="4"/>
  <c r="H772" i="4"/>
  <c r="H233" i="4"/>
  <c r="I280" i="4"/>
  <c r="J280" i="4" s="1" a="1"/>
  <c r="J280" i="4" s="1"/>
  <c r="H956" i="4"/>
  <c r="H52" i="4"/>
  <c r="I983" i="4"/>
  <c r="J983" i="4" s="1" a="1"/>
  <c r="J983" i="4" s="1"/>
  <c r="H781" i="4"/>
  <c r="H973" i="4"/>
  <c r="H263" i="4"/>
  <c r="I979" i="4"/>
  <c r="J979" i="4" s="1" a="1"/>
  <c r="J979" i="4" s="1"/>
  <c r="I946" i="4"/>
  <c r="J946" i="4" s="1" a="1"/>
  <c r="J946" i="4" s="1"/>
  <c r="I952" i="4"/>
  <c r="J952" i="4" s="1" a="1"/>
  <c r="J952" i="4" s="1"/>
  <c r="I88" i="4"/>
  <c r="J88" i="4" s="1" a="1"/>
  <c r="J88" i="4" s="1"/>
  <c r="I454" i="4"/>
  <c r="J454" i="4" s="1" a="1"/>
  <c r="J454" i="4" s="1"/>
  <c r="H72" i="4"/>
  <c r="I774" i="4"/>
  <c r="J774" i="4" s="1" a="1"/>
  <c r="J774" i="4" s="1"/>
  <c r="I413" i="4"/>
  <c r="J413" i="4" s="1" a="1"/>
  <c r="J413" i="4" s="1"/>
  <c r="H316" i="4"/>
  <c r="H439" i="4"/>
  <c r="H286" i="4"/>
  <c r="I762" i="4"/>
  <c r="J762" i="4" s="1" a="1"/>
  <c r="J762" i="4" s="1"/>
  <c r="I47" i="4"/>
  <c r="J47" i="4" s="1" a="1"/>
  <c r="J47" i="4" s="1"/>
  <c r="H370" i="4"/>
  <c r="H375" i="4"/>
  <c r="H182" i="4"/>
  <c r="H886" i="4"/>
  <c r="H126" i="4"/>
  <c r="H645" i="4"/>
  <c r="I511" i="4"/>
  <c r="J511" i="4" s="1" a="1"/>
  <c r="J511" i="4" s="1"/>
  <c r="I36" i="4"/>
  <c r="J36" i="4" s="1" a="1"/>
  <c r="J36" i="4" s="1"/>
  <c r="H334" i="4"/>
  <c r="I28" i="4"/>
  <c r="J28" i="4" s="1" a="1"/>
  <c r="J28" i="4" s="1"/>
  <c r="H624" i="4"/>
  <c r="H574" i="4"/>
  <c r="H189" i="4"/>
  <c r="H420" i="4"/>
  <c r="I134" i="4"/>
  <c r="J134" i="4" s="1" a="1"/>
  <c r="J134" i="4" s="1"/>
  <c r="H239" i="4"/>
  <c r="I512" i="4"/>
  <c r="J512" i="4" s="1" a="1"/>
  <c r="J512" i="4" s="1"/>
  <c r="I818" i="4"/>
  <c r="J818" i="4" s="1" a="1"/>
  <c r="J818" i="4" s="1"/>
  <c r="H826" i="4"/>
  <c r="I717" i="4"/>
  <c r="J717" i="4" s="1" a="1"/>
  <c r="J717" i="4" s="1"/>
  <c r="I415" i="4"/>
  <c r="J415" i="4" s="1" a="1"/>
  <c r="J415" i="4" s="1"/>
  <c r="I380" i="4"/>
  <c r="J380" i="4" s="1" a="1"/>
  <c r="J380" i="4" s="1"/>
  <c r="H383" i="4"/>
  <c r="H243" i="4"/>
  <c r="H929" i="4"/>
  <c r="H85" i="4"/>
  <c r="H947" i="4"/>
  <c r="I514" i="4"/>
  <c r="J514" i="4" s="1" a="1"/>
  <c r="J514" i="4" s="1"/>
  <c r="I835" i="4"/>
  <c r="J835" i="4" s="1" a="1"/>
  <c r="J835" i="4" s="1"/>
  <c r="H564" i="4"/>
  <c r="H995" i="4"/>
  <c r="I993" i="4"/>
  <c r="J993" i="4" s="1" a="1"/>
  <c r="J993" i="4" s="1"/>
  <c r="H546" i="4"/>
  <c r="H200" i="4"/>
  <c r="I367" i="4"/>
  <c r="J367" i="4" s="1" a="1"/>
  <c r="J367" i="4" s="1"/>
  <c r="H557" i="4"/>
  <c r="I100" i="4"/>
  <c r="J100" i="4" s="1" a="1"/>
  <c r="J100" i="4" s="1"/>
  <c r="H372" i="4"/>
  <c r="I571" i="4"/>
  <c r="J571" i="4" s="1" a="1"/>
  <c r="J571" i="4" s="1"/>
  <c r="H582" i="4"/>
  <c r="I996" i="4"/>
  <c r="J996" i="4" s="1" a="1"/>
  <c r="J996" i="4" s="1"/>
  <c r="I456" i="4"/>
  <c r="J456" i="4" s="1" a="1"/>
  <c r="J456" i="4" s="1"/>
  <c r="H116" i="4"/>
  <c r="H392" i="4"/>
  <c r="I314" i="4"/>
  <c r="J314" i="4" s="1" a="1"/>
  <c r="J314" i="4" s="1"/>
  <c r="I188" i="4"/>
  <c r="J188" i="4" s="1" a="1"/>
  <c r="J188" i="4" s="1"/>
  <c r="H516" i="4"/>
  <c r="H897" i="4"/>
  <c r="H942" i="4"/>
  <c r="I608" i="4"/>
  <c r="J608" i="4" s="1" a="1"/>
  <c r="J608" i="4" s="1"/>
  <c r="H705" i="4"/>
  <c r="I662" i="4"/>
  <c r="J662" i="4" s="1" a="1"/>
  <c r="J662" i="4" s="1"/>
  <c r="I12" i="4"/>
  <c r="J12" i="4" s="1" a="1"/>
  <c r="J12" i="4" s="1"/>
  <c r="I560" i="4"/>
  <c r="J560" i="4" s="1" a="1"/>
  <c r="J560" i="4" s="1"/>
  <c r="H265" i="4"/>
  <c r="I656" i="4"/>
  <c r="J656" i="4" s="1" a="1"/>
  <c r="J656" i="4" s="1"/>
  <c r="H346" i="4"/>
  <c r="I611" i="4"/>
  <c r="J611" i="4" s="1" a="1"/>
  <c r="J611" i="4" s="1"/>
  <c r="H428" i="4"/>
  <c r="H147" i="4"/>
  <c r="H706" i="4"/>
  <c r="I174" i="4"/>
  <c r="J174" i="4" s="1" a="1"/>
  <c r="J174" i="4" s="1"/>
  <c r="I275" i="4"/>
  <c r="J275" i="4" s="1" a="1"/>
  <c r="J275" i="4" s="1"/>
  <c r="I446" i="4"/>
  <c r="J446" i="4" s="1" a="1"/>
  <c r="J446" i="4" s="1"/>
  <c r="H494" i="4"/>
  <c r="I764" i="4"/>
  <c r="J764" i="4" s="1" a="1"/>
  <c r="J764" i="4" s="1"/>
  <c r="H347" i="4"/>
  <c r="H509" i="4"/>
  <c r="H737" i="4"/>
  <c r="I69" i="4"/>
  <c r="J69" i="4" s="1" a="1"/>
  <c r="J69" i="4" s="1"/>
  <c r="I34" i="4"/>
  <c r="J34" i="4" s="1" a="1"/>
  <c r="J34" i="4" s="1"/>
  <c r="I50" i="4"/>
  <c r="J50" i="4" s="1" a="1"/>
  <c r="J50" i="4" s="1"/>
  <c r="I326" i="4"/>
  <c r="J326" i="4" s="1" a="1"/>
  <c r="J326" i="4" s="1"/>
  <c r="H211" i="4"/>
  <c r="I27" i="4"/>
  <c r="J27" i="4" s="1" a="1"/>
  <c r="J27" i="4" s="1"/>
  <c r="H773" i="4"/>
  <c r="I293" i="4"/>
  <c r="J293" i="4" s="1" a="1"/>
  <c r="J293" i="4" s="1"/>
  <c r="I379" i="4"/>
  <c r="J379" i="4" s="1" a="1"/>
  <c r="J379" i="4" s="1"/>
  <c r="H371" i="4"/>
  <c r="H480" i="4"/>
  <c r="H620" i="4"/>
  <c r="I194" i="4"/>
  <c r="J194" i="4" s="1" a="1"/>
  <c r="J194" i="4" s="1"/>
  <c r="I402" i="4"/>
  <c r="J402" i="4" s="1" a="1"/>
  <c r="J402" i="4" s="1"/>
  <c r="I790" i="4"/>
  <c r="J790" i="4" s="1" a="1"/>
  <c r="J790" i="4" s="1"/>
  <c r="H590" i="4"/>
  <c r="I400" i="4"/>
  <c r="J400" i="4" s="1" a="1"/>
  <c r="J400" i="4" s="1"/>
  <c r="I844" i="4"/>
  <c r="J844" i="4" s="1" a="1"/>
  <c r="J844" i="4" s="1"/>
  <c r="H535" i="4"/>
  <c r="H373" i="4"/>
  <c r="H43" i="4"/>
  <c r="H896" i="4"/>
  <c r="I206" i="4"/>
  <c r="J206" i="4" s="1" a="1"/>
  <c r="J206" i="4" s="1"/>
  <c r="I969" i="4"/>
  <c r="J969" i="4" s="1" a="1"/>
  <c r="J969" i="4" s="1"/>
  <c r="H151" i="4"/>
  <c r="H121" i="4"/>
  <c r="I139" i="4"/>
  <c r="J139" i="4" s="1" a="1"/>
  <c r="J139" i="4" s="1"/>
  <c r="I287" i="4"/>
  <c r="J287" i="4" s="1" a="1"/>
  <c r="J287" i="4" s="1"/>
  <c r="H273" i="4"/>
  <c r="H341" i="4"/>
  <c r="I722" i="4"/>
  <c r="J722" i="4" s="1" a="1"/>
  <c r="J722" i="4" s="1"/>
  <c r="H817" i="4"/>
  <c r="I476" i="4"/>
  <c r="J476" i="4" s="1" a="1"/>
  <c r="J476" i="4" s="1"/>
  <c r="I104" i="4"/>
  <c r="J104" i="4" s="1" a="1"/>
  <c r="J104" i="4" s="1"/>
  <c r="I16" i="4"/>
  <c r="J16" i="4" s="1" a="1"/>
  <c r="J16" i="4" s="1"/>
  <c r="I450" i="4"/>
  <c r="J450" i="4" s="1" a="1"/>
  <c r="J450" i="4" s="1"/>
  <c r="I381" i="4"/>
  <c r="J381" i="4" s="1" a="1"/>
  <c r="J381" i="4" s="1"/>
  <c r="H426" i="4"/>
  <c r="I583" i="4"/>
  <c r="J583" i="4" s="1" a="1"/>
  <c r="J583" i="4" s="1"/>
  <c r="I93" i="4"/>
  <c r="J93" i="4" s="1" a="1"/>
  <c r="J93" i="4" s="1"/>
  <c r="H700" i="4"/>
  <c r="H18" i="4"/>
  <c r="I988" i="4"/>
  <c r="J988" i="4" s="1" a="1"/>
  <c r="J988" i="4" s="1"/>
  <c r="I519" i="4"/>
  <c r="J519" i="4" s="1" a="1"/>
  <c r="J519" i="4" s="1"/>
  <c r="I129" i="4"/>
  <c r="J129" i="4" s="1" a="1"/>
  <c r="J129" i="4" s="1"/>
  <c r="I904" i="4"/>
  <c r="J904" i="4" s="1" a="1"/>
  <c r="J904" i="4" s="1"/>
  <c r="I680" i="4"/>
  <c r="J680" i="4" s="1" a="1"/>
  <c r="J680" i="4" s="1"/>
  <c r="H256" i="4"/>
  <c r="H26" i="4"/>
  <c r="I349" i="4"/>
  <c r="J349" i="4" s="1" a="1"/>
  <c r="J349" i="4" s="1"/>
  <c r="I262" i="4"/>
  <c r="J262" i="4" s="1" a="1"/>
  <c r="J262" i="4" s="1"/>
  <c r="H567" i="4"/>
  <c r="H958" i="4"/>
  <c r="H635" i="4"/>
  <c r="I765" i="4"/>
  <c r="J765" i="4" s="1" a="1"/>
  <c r="J765" i="4" s="1"/>
  <c r="H484" i="4"/>
  <c r="I180" i="4"/>
  <c r="J180" i="4" s="1" a="1"/>
  <c r="J180" i="4" s="1"/>
  <c r="I159" i="4"/>
  <c r="J159" i="4" s="1" a="1"/>
  <c r="J159" i="4" s="1"/>
  <c r="H967" i="4"/>
  <c r="H204" i="4"/>
  <c r="H429" i="4"/>
  <c r="H357" i="4"/>
  <c r="H152" i="4"/>
  <c r="I666" i="4"/>
  <c r="J666" i="4" s="1" a="1"/>
  <c r="J666" i="4" s="1"/>
  <c r="I300" i="4"/>
  <c r="J300" i="4" s="1" a="1"/>
  <c r="J300" i="4" s="1"/>
  <c r="H917" i="4"/>
  <c r="H751" i="4"/>
  <c r="H30" i="4"/>
  <c r="I928" i="4"/>
  <c r="J928" i="4" s="1" a="1"/>
  <c r="J928" i="4" s="1"/>
  <c r="I307" i="4"/>
  <c r="J307" i="4" s="1" a="1"/>
  <c r="J307" i="4" s="1"/>
  <c r="I354" i="4"/>
  <c r="J354" i="4" s="1" a="1"/>
  <c r="J354" i="4" s="1"/>
  <c r="I79" i="4"/>
  <c r="J79" i="4" s="1" a="1"/>
  <c r="J79" i="4" s="1"/>
  <c r="H533" i="4"/>
  <c r="H723" i="4"/>
  <c r="I834" i="4"/>
  <c r="J834" i="4" s="1" a="1"/>
  <c r="J834" i="4" s="1"/>
  <c r="I554" i="4"/>
  <c r="J554" i="4" s="1" a="1"/>
  <c r="J554" i="4" s="1"/>
  <c r="H714" i="4"/>
  <c r="H138" i="4"/>
  <c r="H442" i="4"/>
  <c r="H492" i="4"/>
  <c r="I414" i="4"/>
  <c r="J414" i="4" s="1" a="1"/>
  <c r="J414" i="4" s="1"/>
  <c r="I191" i="4"/>
  <c r="J191" i="4" s="1" a="1"/>
  <c r="J191" i="4" s="1"/>
  <c r="I109" i="4"/>
  <c r="J109" i="4" s="1" a="1"/>
  <c r="J109" i="4" s="1"/>
  <c r="H647" i="4"/>
  <c r="I277" i="4"/>
  <c r="J277" i="4" s="1" a="1"/>
  <c r="J277" i="4" s="1"/>
  <c r="H912" i="4"/>
  <c r="I391" i="4"/>
  <c r="J391" i="4" s="1" a="1"/>
  <c r="J391" i="4" s="1"/>
  <c r="H267" i="4"/>
  <c r="I871" i="4"/>
  <c r="J871" i="4" s="1" a="1"/>
  <c r="J871" i="4" s="1"/>
  <c r="I460" i="4"/>
  <c r="J460" i="4" s="1" a="1"/>
  <c r="J460" i="4" s="1"/>
  <c r="H563" i="4"/>
  <c r="H676" i="4"/>
  <c r="I436" i="4"/>
  <c r="J436" i="4" s="1" a="1"/>
  <c r="J436" i="4" s="1"/>
  <c r="H666" i="4"/>
  <c r="H503" i="4"/>
  <c r="H58" i="4"/>
  <c r="I507" i="4"/>
  <c r="J507" i="4" s="1" a="1"/>
  <c r="J507" i="4" s="1"/>
  <c r="H498" i="4"/>
  <c r="I602" i="4"/>
  <c r="J602" i="4" s="1" a="1"/>
  <c r="J602" i="4" s="1"/>
  <c r="H860" i="4"/>
  <c r="I451" i="4"/>
  <c r="J451" i="4" s="1" a="1"/>
  <c r="J451" i="4" s="1"/>
  <c r="H246" i="4"/>
  <c r="H444" i="4"/>
  <c r="H389" i="4"/>
  <c r="I13" i="4"/>
  <c r="J13" i="4" s="1" a="1"/>
  <c r="J13" i="4" s="1"/>
  <c r="H648" i="4"/>
  <c r="I604" i="4"/>
  <c r="J604" i="4" s="1" a="1"/>
  <c r="J604" i="4" s="1"/>
  <c r="H137" i="4"/>
  <c r="I224" i="4"/>
  <c r="J224" i="4" s="1" a="1"/>
  <c r="J224" i="4" s="1"/>
  <c r="H163" i="4"/>
  <c r="H280" i="4"/>
  <c r="H950" i="4"/>
  <c r="I387" i="4"/>
  <c r="J387" i="4" s="1" a="1"/>
  <c r="J387" i="4" s="1"/>
  <c r="H978" i="4"/>
  <c r="H570" i="4"/>
  <c r="H643" i="4"/>
  <c r="I323" i="4"/>
  <c r="J323" i="4" s="1" a="1"/>
  <c r="J323" i="4" s="1"/>
  <c r="I369" i="4"/>
  <c r="J369" i="4" s="1" a="1"/>
  <c r="J369" i="4" s="1"/>
  <c r="H707" i="4"/>
  <c r="I396" i="4"/>
  <c r="J396" i="4" s="1" a="1"/>
  <c r="J396" i="4" s="1"/>
  <c r="H279" i="4"/>
  <c r="I232" i="4"/>
  <c r="J232" i="4" s="1" a="1"/>
  <c r="J232" i="4" s="1"/>
  <c r="H218" i="4"/>
  <c r="H780" i="4"/>
  <c r="I133" i="4"/>
  <c r="J133" i="4" s="1" a="1"/>
  <c r="J133" i="4" s="1"/>
  <c r="I395" i="4"/>
  <c r="J395" i="4" s="1" a="1"/>
  <c r="J395" i="4" s="1"/>
  <c r="H684" i="4"/>
  <c r="I375" i="4"/>
  <c r="J375" i="4" s="1" a="1"/>
  <c r="J375" i="4" s="1"/>
  <c r="H340" i="4"/>
  <c r="I429" i="4"/>
  <c r="J429" i="4" s="1" a="1"/>
  <c r="J429" i="4" s="1"/>
  <c r="H576" i="4"/>
  <c r="I397" i="4"/>
  <c r="J397" i="4" s="1" a="1"/>
  <c r="J397" i="4" s="1"/>
  <c r="I935" i="4"/>
  <c r="J935" i="4" s="1" a="1"/>
  <c r="J935" i="4" s="1"/>
  <c r="H851" i="4"/>
  <c r="I761" i="4"/>
  <c r="J761" i="4" s="1" a="1"/>
  <c r="J761" i="4" s="1"/>
  <c r="H19" i="4"/>
  <c r="H932" i="4"/>
  <c r="H988" i="4"/>
  <c r="I866" i="4"/>
  <c r="J866" i="4" s="1" a="1"/>
  <c r="J866" i="4" s="1"/>
  <c r="I60" i="4"/>
  <c r="J60" i="4" s="1" a="1"/>
  <c r="J60" i="4" s="1"/>
  <c r="H538" i="4"/>
  <c r="I709" i="4"/>
  <c r="J709" i="4" s="1" a="1"/>
  <c r="J709" i="4" s="1"/>
  <c r="H984" i="4"/>
  <c r="H159" i="4"/>
  <c r="I529" i="4"/>
  <c r="J529" i="4" s="1" a="1"/>
  <c r="J529" i="4" s="1"/>
  <c r="H799" i="4"/>
  <c r="I923" i="4"/>
  <c r="J923" i="4" s="1" a="1"/>
  <c r="J923" i="4" s="1"/>
  <c r="I567" i="4"/>
  <c r="J567" i="4" s="1" a="1"/>
  <c r="J567" i="4" s="1"/>
  <c r="H549" i="4"/>
  <c r="I588" i="4"/>
  <c r="J588" i="4" s="1" a="1"/>
  <c r="J588" i="4" s="1"/>
  <c r="H881" i="4"/>
  <c r="I697" i="4"/>
  <c r="J697" i="4" s="1" a="1"/>
  <c r="J697" i="4" s="1"/>
  <c r="I504" i="4"/>
  <c r="J504" i="4" s="1" a="1"/>
  <c r="J504" i="4" s="1"/>
  <c r="H187" i="4"/>
  <c r="H521" i="4"/>
  <c r="I443" i="4"/>
  <c r="J443" i="4" s="1" a="1"/>
  <c r="J443" i="4" s="1"/>
  <c r="I348" i="4"/>
  <c r="J348" i="4" s="1" a="1"/>
  <c r="J348" i="4" s="1"/>
  <c r="I248" i="4"/>
  <c r="J248" i="4" s="1" a="1"/>
  <c r="J248" i="4" s="1"/>
  <c r="H539" i="4"/>
  <c r="I211" i="4"/>
  <c r="J211" i="4" s="1" a="1"/>
  <c r="J211" i="4" s="1"/>
  <c r="I97" i="4"/>
  <c r="J97" i="4" s="1" a="1"/>
  <c r="J97" i="4" s="1"/>
  <c r="H440" i="4"/>
  <c r="H297" i="4"/>
  <c r="H644" i="4"/>
  <c r="I152" i="4"/>
  <c r="J152" i="4" s="1" a="1"/>
  <c r="J152" i="4" s="1"/>
  <c r="I610" i="4"/>
  <c r="J610" i="4" s="1" a="1"/>
  <c r="J610" i="4" s="1"/>
  <c r="H814" i="4"/>
  <c r="H862" i="4"/>
  <c r="I127" i="4"/>
  <c r="J127" i="4" s="1" a="1"/>
  <c r="J127" i="4" s="1"/>
  <c r="I786" i="4"/>
  <c r="J786" i="4" s="1" a="1"/>
  <c r="J786" i="4" s="1"/>
  <c r="I404" i="4"/>
  <c r="J404" i="4" s="1" a="1"/>
  <c r="J404" i="4" s="1"/>
  <c r="H457" i="4"/>
  <c r="H568" i="4"/>
  <c r="I226" i="4"/>
  <c r="J226" i="4" s="1" a="1"/>
  <c r="J226" i="4" s="1"/>
  <c r="I143" i="4"/>
  <c r="J143" i="4" s="1" a="1"/>
  <c r="J143" i="4" s="1"/>
  <c r="I190" i="4"/>
  <c r="J190" i="4" s="1" a="1"/>
  <c r="J190" i="4" s="1"/>
  <c r="H496" i="4"/>
  <c r="H621" i="4"/>
  <c r="H282" i="4"/>
  <c r="H48" i="4"/>
  <c r="H755" i="4"/>
  <c r="H296" i="4"/>
  <c r="I377" i="4"/>
  <c r="J377" i="4" s="1" a="1"/>
  <c r="J377" i="4" s="1"/>
  <c r="H778" i="4"/>
  <c r="I747" i="4"/>
  <c r="J747" i="4" s="1" a="1"/>
  <c r="J747" i="4" s="1"/>
  <c r="H939" i="4"/>
  <c r="I196" i="4"/>
  <c r="J196" i="4" s="1" a="1"/>
  <c r="J196" i="4" s="1"/>
  <c r="H29" i="4"/>
  <c r="I98" i="4"/>
  <c r="J98" i="4" s="1" a="1"/>
  <c r="J98" i="4" s="1"/>
  <c r="H920" i="4"/>
  <c r="H262" i="4"/>
  <c r="H595" i="4"/>
  <c r="H177" i="4"/>
  <c r="I153" i="4"/>
  <c r="J153" i="4" s="1" a="1"/>
  <c r="J153" i="4" s="1"/>
  <c r="I70" i="4"/>
  <c r="J70" i="4" s="1" a="1"/>
  <c r="J70" i="4" s="1"/>
  <c r="H135" i="4"/>
  <c r="I934" i="4"/>
  <c r="J934" i="4" s="1" a="1"/>
  <c r="J934" i="4" s="1"/>
  <c r="H148" i="4"/>
  <c r="I967" i="4"/>
  <c r="J967" i="4" s="1" a="1"/>
  <c r="J967" i="4" s="1"/>
  <c r="H61" i="4"/>
  <c r="H828" i="4"/>
  <c r="I589" i="4"/>
  <c r="J589" i="4" s="1" a="1"/>
  <c r="J589" i="4" s="1"/>
  <c r="H345" i="4"/>
  <c r="H769" i="4"/>
  <c r="I46" i="4"/>
  <c r="J46" i="4" s="1" a="1"/>
  <c r="J46" i="4" s="1"/>
  <c r="I301" i="4"/>
  <c r="J301" i="4" s="1" a="1"/>
  <c r="J301" i="4" s="1"/>
  <c r="I422" i="4"/>
  <c r="J422" i="4" s="1" a="1"/>
  <c r="J422" i="4" s="1"/>
  <c r="I501" i="4"/>
  <c r="J501" i="4" s="1" a="1"/>
  <c r="J501" i="4" s="1"/>
  <c r="H885" i="4"/>
  <c r="I26" i="4"/>
  <c r="J26" i="4" s="1" a="1"/>
  <c r="J26" i="4" s="1"/>
  <c r="I724" i="4"/>
  <c r="J724" i="4" s="1" a="1"/>
  <c r="J724" i="4" s="1"/>
  <c r="I738" i="4"/>
  <c r="J738" i="4" s="1" a="1"/>
  <c r="J738" i="4" s="1"/>
  <c r="H659" i="4"/>
  <c r="I64" i="4"/>
  <c r="J64" i="4" s="1" a="1"/>
  <c r="J64" i="4" s="1"/>
  <c r="H861" i="4"/>
  <c r="H190" i="4"/>
  <c r="I791" i="4"/>
  <c r="J791" i="4" s="1" a="1"/>
  <c r="J791" i="4" s="1"/>
  <c r="I157" i="4"/>
  <c r="J157" i="4" s="1" a="1"/>
  <c r="J157" i="4" s="1"/>
  <c r="H798" i="4"/>
  <c r="H23" i="4"/>
  <c r="I515" i="4"/>
  <c r="J515" i="4" s="1" a="1"/>
  <c r="J515" i="4" s="1"/>
  <c r="I170" i="4"/>
  <c r="J170" i="4" s="1" a="1"/>
  <c r="J170" i="4" s="1"/>
  <c r="H33" i="4"/>
  <c r="H672" i="4"/>
  <c r="H482" i="4"/>
  <c r="H168" i="4"/>
  <c r="H829" i="4"/>
  <c r="H680" i="4"/>
  <c r="I24" i="4"/>
  <c r="J24" i="4" s="1" a="1"/>
  <c r="J24" i="4" s="1"/>
  <c r="H301" i="4"/>
  <c r="I537" i="4"/>
  <c r="J537" i="4" s="1" a="1"/>
  <c r="J537" i="4" s="1"/>
  <c r="I729" i="4"/>
  <c r="J729" i="4" s="1" a="1"/>
  <c r="J729" i="4" s="1"/>
  <c r="H35" i="4"/>
  <c r="H117" i="4"/>
  <c r="H519" i="4"/>
  <c r="I767" i="4"/>
  <c r="J767" i="4" s="1" a="1"/>
  <c r="J767" i="4" s="1"/>
  <c r="H46" i="4"/>
  <c r="I296" i="4"/>
  <c r="J296" i="4" s="1" a="1"/>
  <c r="J296" i="4" s="1"/>
  <c r="I18" i="4"/>
  <c r="J18" i="4" s="1" a="1"/>
  <c r="J18" i="4" s="1"/>
  <c r="H186" i="4"/>
  <c r="H93" i="4"/>
  <c r="I171" i="4"/>
  <c r="J171" i="4" s="1" a="1"/>
  <c r="J171" i="4" s="1"/>
  <c r="I256" i="4"/>
  <c r="J256" i="4" s="1" a="1"/>
  <c r="J256" i="4" s="1"/>
  <c r="I966" i="4"/>
  <c r="J966" i="4" s="1" a="1"/>
  <c r="J966" i="4" s="1"/>
  <c r="I496" i="4"/>
  <c r="J496" i="4" s="1" a="1"/>
  <c r="J496" i="4" s="1"/>
  <c r="H179" i="4"/>
  <c r="I112" i="4"/>
  <c r="J112" i="4" s="1" a="1"/>
  <c r="J112" i="4" s="1"/>
  <c r="H422" i="4"/>
  <c r="H904" i="4"/>
  <c r="H951" i="4"/>
  <c r="I485" i="4"/>
  <c r="J485" i="4" s="1" a="1"/>
  <c r="J485" i="4" s="1"/>
  <c r="H788" i="4"/>
  <c r="H667" i="4"/>
  <c r="H164" i="4"/>
  <c r="H650" i="4"/>
  <c r="H631" i="4"/>
  <c r="H670" i="4"/>
  <c r="I411" i="4"/>
  <c r="J411" i="4" s="1" a="1"/>
  <c r="J411" i="4" s="1"/>
  <c r="H349" i="4"/>
  <c r="H143" i="4"/>
  <c r="H800" i="4"/>
  <c r="H437" i="4"/>
  <c r="I149" i="4"/>
  <c r="J149" i="4" s="1" a="1"/>
  <c r="J149" i="4" s="1"/>
  <c r="H73" i="4"/>
  <c r="I209" i="4"/>
  <c r="J209" i="4" s="1" a="1"/>
  <c r="J209" i="4" s="1"/>
  <c r="I345" i="4"/>
  <c r="J345" i="4" s="1" a="1"/>
  <c r="J345" i="4" s="1"/>
  <c r="H681" i="4"/>
  <c r="I700" i="4"/>
  <c r="J700" i="4" s="1" a="1"/>
  <c r="J700" i="4" s="1"/>
  <c r="H292" i="4"/>
  <c r="H226" i="4"/>
  <c r="I949" i="4"/>
  <c r="J949" i="4" s="1" a="1"/>
  <c r="J949" i="4" s="1"/>
  <c r="I351" i="4"/>
  <c r="J351" i="4" s="1" a="1"/>
  <c r="J351" i="4" s="1"/>
  <c r="I464" i="4"/>
  <c r="J464" i="4" s="1" a="1"/>
  <c r="J464" i="4" s="1"/>
  <c r="H83" i="4"/>
  <c r="H71" i="4"/>
  <c r="H385" i="4"/>
  <c r="I247" i="4"/>
  <c r="J247" i="4" s="1" a="1"/>
  <c r="J247" i="4" s="1"/>
  <c r="I784" i="4"/>
  <c r="J784" i="4" s="1" a="1"/>
  <c r="J784" i="4" s="1"/>
  <c r="H589" i="4"/>
  <c r="H468" i="4"/>
  <c r="H518" i="4"/>
  <c r="B6" i="5" l="1"/>
  <c r="B8" i="5"/>
  <c r="B5" i="5"/>
  <c r="B7" i="5"/>
  <c r="B9" i="5" l="1"/>
  <c r="C8" i="5" s="1"/>
  <c r="C5" i="5" l="1"/>
  <c r="C6" i="5"/>
  <c r="C7" i="5"/>
  <c r="C9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9" authorId="0" shapeId="0" xr:uid="{00000000-0006-0000-0300-000001000000}">
      <text>
        <r>
          <rPr>
            <sz val="10"/>
            <rFont val="Arial"/>
            <family val="2"/>
          </rPr>
          <t>(analysis_date − остання дата покупки клієнта). MAXIFS ≈ x.max() у groupby; враховуються лише рядки з included=1.</t>
        </r>
      </text>
    </comment>
    <comment ref="C9" authorId="0" shapeId="0" xr:uid="{00000000-0006-0000-0300-000002000000}">
      <text>
        <r>
          <rPr>
            <sz val="10"/>
            <rFont val="Arial"/>
            <family val="2"/>
          </rPr>
          <t>Кількість транзакцій клієнта (COUNTIFS ≈ count).</t>
        </r>
      </text>
    </comment>
    <comment ref="D9" authorId="0" shapeId="0" xr:uid="{00000000-0006-0000-0300-000003000000}">
      <text>
        <r>
          <rPr>
            <sz val="10"/>
            <rFont val="Arial"/>
            <family val="2"/>
          </rPr>
          <t>Сума транзакцій клієнта (SUMIFS ≈ sum).</t>
        </r>
      </text>
    </comment>
    <comment ref="E9" authorId="0" shapeId="0" xr:uid="{00000000-0006-0000-0300-000004000000}">
      <text>
        <r>
          <rPr>
            <sz val="10"/>
            <rFont val="Arial"/>
            <family val="2"/>
          </rPr>
          <t>qcut для recency з labels [4,3,2,1]: менше днів → вищий бал. Межі — на аркуші «Параметри».</t>
        </r>
      </text>
    </comment>
    <comment ref="I9" authorId="0" shapeId="0" xr:uid="{00000000-0006-0000-0300-000005000000}">
      <text>
        <r>
          <rPr>
            <sz val="10"/>
            <rFont val="Arial"/>
            <family val="2"/>
          </rPr>
          <t>Середнє R, F, M (rfm[["R","F","M"]].mean(axis=1)).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<sst xmlns="http://schemas.openxmlformats.org/spreadsheetml/2006/main" count="5129" uniqueCount="1104">
  <si>
    <t>RFM-аналіз: логіка розрахунків у Excel</t>
  </si>
  <si>
    <t>Крок</t>
  </si>
  <si>
    <t>Що робить Python-код</t>
  </si>
  <si>
    <t>Де і як це в Excel</t>
  </si>
  <si>
    <t>1. Дані</t>
  </si>
  <si>
    <t>Генерація 5000 транзакцій (seed=42), фільтр amount&gt;0</t>
  </si>
  <si>
    <t>Аркуш «Транзакції»: сирі дані (сині). Колонка E = IF(amount&gt;0,1,0) — фільтр; колонка A — transaction_id.</t>
  </si>
  <si>
    <t>2. Recency</t>
  </si>
  <si>
    <t>(analysis_date − max(дата)).days по клієнту</t>
  </si>
  <si>
    <t>RFM!B: =analysis_date − MAXIFS(дати; клієнт; included=1)</t>
  </si>
  <si>
    <t>3. Frequency</t>
  </si>
  <si>
    <t>count транзакцій по клієнту</t>
  </si>
  <si>
    <t>RFM!C: =COUNTIFS(клієнт; included=1)</t>
  </si>
  <si>
    <t>4. Monetary</t>
  </si>
  <si>
    <t>sum сум по клієнту</t>
  </si>
  <si>
    <t>RFM!D: =SUMIFS(суми; клієнт; included=1)</t>
  </si>
  <si>
    <t>5. Квартилі</t>
  </si>
  <si>
    <t>pd.qcut(..., q=4)</t>
  </si>
  <si>
    <t>Параметри!B7:D9: =QUARTILE(колонка; 1/2/3). Бал: значення ≤Q1 → перша група, ≤Q2 → друга, ≤Q3 → третя, інакше четверта (як інтервали (a, b] у qcut).</t>
  </si>
  <si>
    <t>6. Бали R, F, M</t>
  </si>
  <si>
    <t>labels [4,3,2,1] для R та [1,2,3,4] для F, M</t>
  </si>
  <si>
    <t>RFM!E:G: вкладені IF. Для Recency порядок обернений: менше днів = 4.</t>
  </si>
  <si>
    <t>7. rfm_score</t>
  </si>
  <si>
    <t>Конкатенація R+F+M</t>
  </si>
  <si>
    <t>RFM!H: =E&amp;F&amp;G</t>
  </si>
  <si>
    <t>8. rfm_value</t>
  </si>
  <si>
    <t>Середнє R, F, M</t>
  </si>
  <si>
    <t>RFM!I: =AVERAGE(E:G)</t>
  </si>
  <si>
    <t>9. Сегмент</t>
  </si>
  <si>
    <t>≥3.5 Best, ≥2.5 Loyal, ≥1.5 Average, інакше Lost</t>
  </si>
  <si>
    <t>RFM!J: вкладені IF з порогами з Параметри!B13:B15</t>
  </si>
  <si>
    <t>10. Підсумок</t>
  </si>
  <si>
    <t>value_counts, describe, countplot</t>
  </si>
  <si>
    <t>Аркуш «Підсумок»: COUNTIF, AVERAGE/STDEV/QUARTILE, діаграма.</t>
  </si>
  <si>
    <t>Кольори</t>
  </si>
  <si>
    <t>Синій текст</t>
  </si>
  <si>
    <t>Вхідні дані / значення, введені вручну</t>
  </si>
  <si>
    <t>Чорний текст</t>
  </si>
  <si>
    <t>Формули</t>
  </si>
  <si>
    <t>Жовта заливка</t>
  </si>
  <si>
    <t>Ключові припущення (дата аналізу, пороги) — можна змінювати</t>
  </si>
  <si>
    <t>Примітка</t>
  </si>
  <si>
    <t>Список customer_id на аркуші RFM — це унікальні клієнти, що мають хоча б одну транзакцію (так само, як groupby у pandas; з 1000 згенерованих ID 11 не мають покупок). Якщо змінювати/додавати транзакції для нових клієнтів, додайте їх ID в RFM вручну.</t>
  </si>
  <si>
    <t>Параметри аналізу</t>
  </si>
  <si>
    <t>analysis_date</t>
  </si>
  <si>
    <t>Дата, відносно якої рахується Recency (з коду: datetime(2024,1,1))</t>
  </si>
  <si>
    <t>Межі квартилів (аналог pd.qcut, q=4)</t>
  </si>
  <si>
    <t>Метрика</t>
  </si>
  <si>
    <t>Q1 (25%)</t>
  </si>
  <si>
    <t>Q2 (50%)</t>
  </si>
  <si>
    <t>Q3 (75%)</t>
  </si>
  <si>
    <t>Правило присвоєння балу</t>
  </si>
  <si>
    <t>recency</t>
  </si>
  <si>
    <t>4 = найсвіжіші (≤Q1), 3 (≤Q2), 2 (≤Q3), 1 = найдавніші</t>
  </si>
  <si>
    <t>frequency</t>
  </si>
  <si>
    <t>1 = найрідші (≤Q1), 2 (≤Q2), 3 (≤Q3), 4 = найчастіші</t>
  </si>
  <si>
    <t>monetary</t>
  </si>
  <si>
    <t>1 = найменші (≤Q1), 2 (≤Q2), 3 (≤Q3), 4 = найбільші</t>
  </si>
  <si>
    <t>Пороги сегментації (rfm_value)</t>
  </si>
  <si>
    <t>Сегмент</t>
  </si>
  <si>
    <t>rfm_value ≥</t>
  </si>
  <si>
    <t>Коментар</t>
  </si>
  <si>
    <t>Best Customers</t>
  </si>
  <si>
    <t>Перевіряється зверху вниз</t>
  </si>
  <si>
    <t>Loyal Customers</t>
  </si>
  <si>
    <t>Average Customers</t>
  </si>
  <si>
    <t>Lost Customers</t>
  </si>
  <si>
    <t>решта</t>
  </si>
  <si>
    <t>Усе, що нижче порогу Average</t>
  </si>
  <si>
    <t>transaction_id</t>
  </si>
  <si>
    <t>customer_id</t>
  </si>
  <si>
    <t>transaction_date</t>
  </si>
  <si>
    <t>transaction_amount</t>
  </si>
  <si>
    <t>included (amount&gt;0)</t>
  </si>
  <si>
    <t>CUST_0102</t>
  </si>
  <si>
    <t>CUST_0435</t>
  </si>
  <si>
    <t>CUST_0860</t>
  </si>
  <si>
    <t>CUST_0270</t>
  </si>
  <si>
    <t>CUST_0106</t>
  </si>
  <si>
    <t>CUST_0071</t>
  </si>
  <si>
    <t>CUST_0700</t>
  </si>
  <si>
    <t>CUST_0020</t>
  </si>
  <si>
    <t>CUST_0614</t>
  </si>
  <si>
    <t>CUST_0121</t>
  </si>
  <si>
    <t>CUST_0466</t>
  </si>
  <si>
    <t>CUST_0214</t>
  </si>
  <si>
    <t>CUST_0330</t>
  </si>
  <si>
    <t>CUST_0458</t>
  </si>
  <si>
    <t>CUST_0087</t>
  </si>
  <si>
    <t>CUST_0372</t>
  </si>
  <si>
    <t>CUST_0099</t>
  </si>
  <si>
    <t>CUST_0871</t>
  </si>
  <si>
    <t>CUST_0663</t>
  </si>
  <si>
    <t>CUST_0130</t>
  </si>
  <si>
    <t>CUST_0661</t>
  </si>
  <si>
    <t>CUST_0308</t>
  </si>
  <si>
    <t>CUST_0769</t>
  </si>
  <si>
    <t>CUST_0343</t>
  </si>
  <si>
    <t>CUST_0491</t>
  </si>
  <si>
    <t>CUST_0413</t>
  </si>
  <si>
    <t>CUST_0805</t>
  </si>
  <si>
    <t>CUST_0385</t>
  </si>
  <si>
    <t>CUST_0191</t>
  </si>
  <si>
    <t>CUST_0955</t>
  </si>
  <si>
    <t>CUST_0276</t>
  </si>
  <si>
    <t>CUST_0160</t>
  </si>
  <si>
    <t>CUST_0459</t>
  </si>
  <si>
    <t>CUST_0313</t>
  </si>
  <si>
    <t>CUST_0021</t>
  </si>
  <si>
    <t>CUST_0252</t>
  </si>
  <si>
    <t>CUST_0747</t>
  </si>
  <si>
    <t>CUST_0856</t>
  </si>
  <si>
    <t>CUST_0560</t>
  </si>
  <si>
    <t>CUST_0474</t>
  </si>
  <si>
    <t>CUST_0058</t>
  </si>
  <si>
    <t>CUST_0510</t>
  </si>
  <si>
    <t>CUST_0681</t>
  </si>
  <si>
    <t>CUST_0475</t>
  </si>
  <si>
    <t>CUST_0699</t>
  </si>
  <si>
    <t>CUST_0975</t>
  </si>
  <si>
    <t>CUST_0782</t>
  </si>
  <si>
    <t>CUST_0189</t>
  </si>
  <si>
    <t>CUST_0957</t>
  </si>
  <si>
    <t>CUST_0686</t>
  </si>
  <si>
    <t>CUST_0562</t>
  </si>
  <si>
    <t>CUST_0875</t>
  </si>
  <si>
    <t>CUST_0566</t>
  </si>
  <si>
    <t>CUST_0243</t>
  </si>
  <si>
    <t>CUST_0831</t>
  </si>
  <si>
    <t>CUST_0504</t>
  </si>
  <si>
    <t>CUST_0484</t>
  </si>
  <si>
    <t>CUST_0818</t>
  </si>
  <si>
    <t>CUST_0646</t>
  </si>
  <si>
    <t>CUST_0840</t>
  </si>
  <si>
    <t>CUST_0166</t>
  </si>
  <si>
    <t>CUST_0273</t>
  </si>
  <si>
    <t>CUST_0387</t>
  </si>
  <si>
    <t>CUST_0600</t>
  </si>
  <si>
    <t>CUST_0315</t>
  </si>
  <si>
    <t>CUST_0013</t>
  </si>
  <si>
    <t>CUST_0241</t>
  </si>
  <si>
    <t>CUST_0776</t>
  </si>
  <si>
    <t>CUST_0345</t>
  </si>
  <si>
    <t>CUST_0564</t>
  </si>
  <si>
    <t>CUST_0897</t>
  </si>
  <si>
    <t>CUST_0339</t>
  </si>
  <si>
    <t>CUST_0091</t>
  </si>
  <si>
    <t>CUST_0366</t>
  </si>
  <si>
    <t>CUST_0454</t>
  </si>
  <si>
    <t>CUST_0427</t>
  </si>
  <si>
    <t>CUST_0508</t>
  </si>
  <si>
    <t>CUST_0775</t>
  </si>
  <si>
    <t>CUST_0942</t>
  </si>
  <si>
    <t>CUST_0034</t>
  </si>
  <si>
    <t>CUST_0205</t>
  </si>
  <si>
    <t>CUST_0080</t>
  </si>
  <si>
    <t>CUST_0931</t>
  </si>
  <si>
    <t>CUST_0561</t>
  </si>
  <si>
    <t>CUST_0001</t>
  </si>
  <si>
    <t>CUST_0389</t>
  </si>
  <si>
    <t>CUST_0565</t>
  </si>
  <si>
    <t>CUST_0105</t>
  </si>
  <si>
    <t>CUST_0771</t>
  </si>
  <si>
    <t>CUST_0821</t>
  </si>
  <si>
    <t>CUST_0476</t>
  </si>
  <si>
    <t>CUST_0702</t>
  </si>
  <si>
    <t>CUST_0401</t>
  </si>
  <si>
    <t>CUST_0729</t>
  </si>
  <si>
    <t>CUST_0555</t>
  </si>
  <si>
    <t>CUST_0161</t>
  </si>
  <si>
    <t>CUST_0201</t>
  </si>
  <si>
    <t>CUST_0995</t>
  </si>
  <si>
    <t>CUST_0269</t>
  </si>
  <si>
    <t>CUST_0862</t>
  </si>
  <si>
    <t>CUST_0815</t>
  </si>
  <si>
    <t>CUST_0455</t>
  </si>
  <si>
    <t>CUST_0461</t>
  </si>
  <si>
    <t>CUST_0726</t>
  </si>
  <si>
    <t>CUST_0251</t>
  </si>
  <si>
    <t>CUST_0701</t>
  </si>
  <si>
    <t>CUST_0295</t>
  </si>
  <si>
    <t>CUST_0724</t>
  </si>
  <si>
    <t>CUST_0719</t>
  </si>
  <si>
    <t>CUST_0748</t>
  </si>
  <si>
    <t>CUST_0337</t>
  </si>
  <si>
    <t>CUST_0878</t>
  </si>
  <si>
    <t>CUST_0052</t>
  </si>
  <si>
    <t>CUST_0791</t>
  </si>
  <si>
    <t>CUST_0921</t>
  </si>
  <si>
    <t>CUST_0216</t>
  </si>
  <si>
    <t>CUST_0763</t>
  </si>
  <si>
    <t>CUST_0187</t>
  </si>
  <si>
    <t>CUST_0379</t>
  </si>
  <si>
    <t>CUST_0492</t>
  </si>
  <si>
    <t>CUST_0040</t>
  </si>
  <si>
    <t>CUST_0156</t>
  </si>
  <si>
    <t>CUST_0014</t>
  </si>
  <si>
    <t>CUST_0812</t>
  </si>
  <si>
    <t>CUST_0064</t>
  </si>
  <si>
    <t>CUST_0838</t>
  </si>
  <si>
    <t>CUST_0520</t>
  </si>
  <si>
    <t>CUST_0128</t>
  </si>
  <si>
    <t>CUST_0647</t>
  </si>
  <si>
    <t>CUST_0471</t>
  </si>
  <si>
    <t>CUST_0062</t>
  </si>
  <si>
    <t>CUST_0138</t>
  </si>
  <si>
    <t>CUST_0498</t>
  </si>
  <si>
    <t>CUST_0592</t>
  </si>
  <si>
    <t>CUST_0391</t>
  </si>
  <si>
    <t>CUST_0674</t>
  </si>
  <si>
    <t>CUST_0418</t>
  </si>
  <si>
    <t>CUST_0288</t>
  </si>
  <si>
    <t>CUST_0378</t>
  </si>
  <si>
    <t>CUST_0772</t>
  </si>
  <si>
    <t>CUST_0489</t>
  </si>
  <si>
    <t>CUST_0230</t>
  </si>
  <si>
    <t>CUST_0027</t>
  </si>
  <si>
    <t>CUST_0134</t>
  </si>
  <si>
    <t>CUST_0200</t>
  </si>
  <si>
    <t>CUST_0839</t>
  </si>
  <si>
    <t>CUST_0779</t>
  </si>
  <si>
    <t>CUST_0929</t>
  </si>
  <si>
    <t>CUST_0032</t>
  </si>
  <si>
    <t>CUST_0047</t>
  </si>
  <si>
    <t>CUST_0502</t>
  </si>
  <si>
    <t>CUST_0406</t>
  </si>
  <si>
    <t>CUST_0573</t>
  </si>
  <si>
    <t>CUST_0727</t>
  </si>
  <si>
    <t>CUST_0804</t>
  </si>
  <si>
    <t>CUST_0098</t>
  </si>
  <si>
    <t>CUST_0683</t>
  </si>
  <si>
    <t>CUST_0725</t>
  </si>
  <si>
    <t>CUST_0986</t>
  </si>
  <si>
    <t>CUST_0546</t>
  </si>
  <si>
    <t>CUST_0960</t>
  </si>
  <si>
    <t>CUST_0738</t>
  </si>
  <si>
    <t>CUST_0612</t>
  </si>
  <si>
    <t>CUST_0642</t>
  </si>
  <si>
    <t>CUST_0768</t>
  </si>
  <si>
    <t>CUST_0004</t>
  </si>
  <si>
    <t>CUST_0217</t>
  </si>
  <si>
    <t>CUST_0766</t>
  </si>
  <si>
    <t>CUST_0397</t>
  </si>
  <si>
    <t>CUST_0870</t>
  </si>
  <si>
    <t>CUST_0794</t>
  </si>
  <si>
    <t>CUST_0392</t>
  </si>
  <si>
    <t>CUST_0206</t>
  </si>
  <si>
    <t>CUST_0857</t>
  </si>
  <si>
    <t>CUST_0553</t>
  </si>
  <si>
    <t>CUST_0891</t>
  </si>
  <si>
    <t>CUST_0460</t>
  </si>
  <si>
    <t>CUST_0690</t>
  </si>
  <si>
    <t>CUST_0574</t>
  </si>
  <si>
    <t>CUST_0863</t>
  </si>
  <si>
    <t>CUST_0742</t>
  </si>
  <si>
    <t>CUST_0240</t>
  </si>
  <si>
    <t>CUST_0563</t>
  </si>
  <si>
    <t>CUST_0095</t>
  </si>
  <si>
    <t>CUST_0899</t>
  </si>
  <si>
    <t>CUST_0733</t>
  </si>
  <si>
    <t>CUST_0654</t>
  </si>
  <si>
    <t>CUST_0170</t>
  </si>
  <si>
    <t>CUST_0540</t>
  </si>
  <si>
    <t>CUST_0035</t>
  </si>
  <si>
    <t>CUST_0524</t>
  </si>
  <si>
    <t>CUST_0159</t>
  </si>
  <si>
    <t>CUST_0698</t>
  </si>
  <si>
    <t>CUST_0242</t>
  </si>
  <si>
    <t>CUST_0085</t>
  </si>
  <si>
    <t>CUST_0795</t>
  </si>
  <si>
    <t>CUST_0577</t>
  </si>
  <si>
    <t>CUST_0556</t>
  </si>
  <si>
    <t>CUST_0952</t>
  </si>
  <si>
    <t>CUST_0645</t>
  </si>
  <si>
    <t>CUST_0619</t>
  </si>
  <si>
    <t>CUST_0797</t>
  </si>
  <si>
    <t>CUST_0639</t>
  </si>
  <si>
    <t>CUST_0505</t>
  </si>
  <si>
    <t>CUST_0347</t>
  </si>
  <si>
    <t>CUST_0472</t>
  </si>
  <si>
    <t>CUST_0224</t>
  </si>
  <si>
    <t>CUST_0384</t>
  </si>
  <si>
    <t>CUST_0376</t>
  </si>
  <si>
    <t>CUST_0282</t>
  </si>
  <si>
    <t>CUST_0632</t>
  </si>
  <si>
    <t>CUST_0627</t>
  </si>
  <si>
    <t>CUST_0972</t>
  </si>
  <si>
    <t>CUST_0744</t>
  </si>
  <si>
    <t>CUST_0258</t>
  </si>
  <si>
    <t>CUST_0358</t>
  </si>
  <si>
    <t>CUST_0709</t>
  </si>
  <si>
    <t>CUST_0410</t>
  </si>
  <si>
    <t>CUST_0648</t>
  </si>
  <si>
    <t>CUST_0317</t>
  </si>
  <si>
    <t>CUST_0676</t>
  </si>
  <si>
    <t>CUST_0233</t>
  </si>
  <si>
    <t>CUST_0974</t>
  </si>
  <si>
    <t>CUST_0826</t>
  </si>
  <si>
    <t>CUST_0373</t>
  </si>
  <si>
    <t>CUST_0671</t>
  </si>
  <si>
    <t>CUST_0607</t>
  </si>
  <si>
    <t>CUST_0232</t>
  </si>
  <si>
    <t>CUST_0691</t>
  </si>
  <si>
    <t>CUST_0112</t>
  </si>
  <si>
    <t>CUST_0829</t>
  </si>
  <si>
    <t>CUST_0496</t>
  </si>
  <si>
    <t>CUST_0441</t>
  </si>
  <si>
    <t>CUST_0267</t>
  </si>
  <si>
    <t>CUST_0509</t>
  </si>
  <si>
    <t>CUST_0806</t>
  </si>
  <si>
    <t>CUST_0386</t>
  </si>
  <si>
    <t>CUST_0624</t>
  </si>
  <si>
    <t>CUST_0951</t>
  </si>
  <si>
    <t>CUST_0641</t>
  </si>
  <si>
    <t>CUST_0219</t>
  </si>
  <si>
    <t>CUST_0854</t>
  </si>
  <si>
    <t>CUST_0996</t>
  </si>
  <si>
    <t>CUST_0735</t>
  </si>
  <si>
    <t>CUST_0402</t>
  </si>
  <si>
    <t>CUST_0637</t>
  </si>
  <si>
    <t>CUST_0129</t>
  </si>
  <si>
    <t>CUST_0415</t>
  </si>
  <si>
    <t>CUST_0246</t>
  </si>
  <si>
    <t>CUST_0835</t>
  </si>
  <si>
    <t>CUST_0438</t>
  </si>
  <si>
    <t>CUST_0202</t>
  </si>
  <si>
    <t>CUST_0183</t>
  </si>
  <si>
    <t>CUST_0122</t>
  </si>
  <si>
    <t>CUST_0400</t>
  </si>
  <si>
    <t>CUST_0293</t>
  </si>
  <si>
    <t>CUST_0279</t>
  </si>
  <si>
    <t>CUST_0836</t>
  </si>
  <si>
    <t>CUST_0883</t>
  </si>
  <si>
    <t>CUST_0609</t>
  </si>
  <si>
    <t>CUST_0197</t>
  </si>
  <si>
    <t>CUST_0981</t>
  </si>
  <si>
    <t>CUST_0906</t>
  </si>
  <si>
    <t>CUST_0751</t>
  </si>
  <si>
    <t>CUST_0143</t>
  </si>
  <si>
    <t>CUST_0608</t>
  </si>
  <si>
    <t>CUST_0123</t>
  </si>
  <si>
    <t>CUST_0186</t>
  </si>
  <si>
    <t>CUST_0325</t>
  </si>
  <si>
    <t>CUST_0463</t>
  </si>
  <si>
    <t>CUST_0348</t>
  </si>
  <si>
    <t>CUST_0770</t>
  </si>
  <si>
    <t>CUST_0659</t>
  </si>
  <si>
    <t>CUST_0954</t>
  </si>
  <si>
    <t>CUST_0962</t>
  </si>
  <si>
    <t>CUST_0146</t>
  </si>
  <si>
    <t>CUST_0147</t>
  </si>
  <si>
    <t>CUST_0710</t>
  </si>
  <si>
    <t>CUST_0819</t>
  </si>
  <si>
    <t>CUST_0488</t>
  </si>
  <si>
    <t>CUST_0928</t>
  </si>
  <si>
    <t>CUST_0935</t>
  </si>
  <si>
    <t>CUST_0550</t>
  </si>
  <si>
    <t>CUST_0640</t>
  </si>
  <si>
    <t>CUST_0778</t>
  </si>
  <si>
    <t>CUST_0987</t>
  </si>
  <si>
    <t>CUST_0945</t>
  </si>
  <si>
    <t>CUST_0150</t>
  </si>
  <si>
    <t>CUST_0414</t>
  </si>
  <si>
    <t>CUST_0989</t>
  </si>
  <si>
    <t>CUST_0297</t>
  </si>
  <si>
    <t>CUST_0610</t>
  </si>
  <si>
    <t>CUST_0262</t>
  </si>
  <si>
    <t>CUST_0623</t>
  </si>
  <si>
    <t>CUST_0571</t>
  </si>
  <si>
    <t>CUST_0880</t>
  </si>
  <si>
    <t>CUST_0896</t>
  </si>
  <si>
    <t>CUST_0303</t>
  </si>
  <si>
    <t>CUST_0253</t>
  </si>
  <si>
    <t>CUST_0651</t>
  </si>
  <si>
    <t>CUST_0452</t>
  </si>
  <si>
    <t>CUST_0036</t>
  </si>
  <si>
    <t>CUST_0008</t>
  </si>
  <si>
    <t>CUST_0658</t>
  </si>
  <si>
    <t>CUST_0207</t>
  </si>
  <si>
    <t>CUST_0403</t>
  </si>
  <si>
    <t>CUST_0151</t>
  </si>
  <si>
    <t>CUST_0053</t>
  </si>
  <si>
    <t>CUST_0119</t>
  </si>
  <si>
    <t>CUST_0672</t>
  </si>
  <si>
    <t>CUST_0919</t>
  </si>
  <si>
    <t>CUST_0586</t>
  </si>
  <si>
    <t>CUST_0967</t>
  </si>
  <si>
    <t>CUST_0419</t>
  </si>
  <si>
    <t>CUST_0421</t>
  </si>
  <si>
    <t>CUST_0103</t>
  </si>
  <si>
    <t>CUST_0851</t>
  </si>
  <si>
    <t>CUST_0226</t>
  </si>
  <si>
    <t>CUST_0111</t>
  </si>
  <si>
    <t>CUST_0152</t>
  </si>
  <si>
    <t>CUST_0913</t>
  </si>
  <si>
    <t>CUST_0895</t>
  </si>
  <si>
    <t>CUST_0877</t>
  </si>
  <si>
    <t>CUST_0705</t>
  </si>
  <si>
    <t>CUST_0162</t>
  </si>
  <si>
    <t>CUST_0956</t>
  </si>
  <si>
    <t>CUST_0680</t>
  </si>
  <si>
    <t>CUST_0579</t>
  </si>
  <si>
    <t>CUST_0800</t>
  </si>
  <si>
    <t>CUST_0915</t>
  </si>
  <si>
    <t>CUST_0503</t>
  </si>
  <si>
    <t>CUST_0194</t>
  </si>
  <si>
    <t>CUST_0687</t>
  </si>
  <si>
    <t>CUST_0882</t>
  </si>
  <si>
    <t>CUST_0469</t>
  </si>
  <si>
    <t>CUST_0374</t>
  </si>
  <si>
    <t>CUST_0749</t>
  </si>
  <si>
    <t>CUST_0669</t>
  </si>
  <si>
    <t>CUST_0037</t>
  </si>
  <si>
    <t>CUST_0229</t>
  </si>
  <si>
    <t>CUST_0364</t>
  </si>
  <si>
    <t>CUST_0437</t>
  </si>
  <si>
    <t>CUST_0026</t>
  </si>
  <si>
    <t>CUST_0225</t>
  </si>
  <si>
    <t>CUST_0283</t>
  </si>
  <si>
    <t>CUST_0959</t>
  </si>
  <si>
    <t>CUST_0480</t>
  </si>
  <si>
    <t>CUST_0828</t>
  </si>
  <si>
    <t>CUST_0515</t>
  </si>
  <si>
    <t>CUST_0048</t>
  </si>
  <si>
    <t>CUST_0511</t>
  </si>
  <si>
    <t>CUST_0016</t>
  </si>
  <si>
    <t>CUST_0171</t>
  </si>
  <si>
    <t>CUST_0157</t>
  </si>
  <si>
    <t>CUST_0045</t>
  </si>
  <si>
    <t>CUST_0517</t>
  </si>
  <si>
    <t>CUST_0301</t>
  </si>
  <si>
    <t>CUST_0180</t>
  </si>
  <si>
    <t>CUST_0606</t>
  </si>
  <si>
    <t>CUST_0992</t>
  </si>
  <si>
    <t>CUST_0115</t>
  </si>
  <si>
    <t>CUST_0190</t>
  </si>
  <si>
    <t>CUST_0980</t>
  </si>
  <si>
    <t>CUST_0927</t>
  </si>
  <si>
    <t>CUST_0982</t>
  </si>
  <si>
    <t>CUST_0255</t>
  </si>
  <si>
    <t>CUST_0322</t>
  </si>
  <si>
    <t>CUST_0127</t>
  </si>
  <si>
    <t>CUST_0017</t>
  </si>
  <si>
    <t>CUST_0792</t>
  </si>
  <si>
    <t>CUST_0734</t>
  </si>
  <si>
    <t>CUST_0569</t>
  </si>
  <si>
    <t>CUST_0685</t>
  </si>
  <si>
    <t>CUST_0625</t>
  </si>
  <si>
    <t>CUST_0287</t>
  </si>
  <si>
    <t>CUST_0853</t>
  </si>
  <si>
    <t>CUST_0662</t>
  </si>
  <si>
    <t>CUST_0961</t>
  </si>
  <si>
    <t>CUST_0638</t>
  </si>
  <si>
    <t>CUST_0154</t>
  </si>
  <si>
    <t>CUST_0985</t>
  </si>
  <si>
    <t>CUST_0784</t>
  </si>
  <si>
    <t>CUST_0810</t>
  </si>
  <si>
    <t>CUST_0245</t>
  </si>
  <si>
    <t>CUST_0175</t>
  </si>
  <si>
    <t>CUST_0038</t>
  </si>
  <si>
    <t>CUST_0758</t>
  </si>
  <si>
    <t>CUST_0537</t>
  </si>
  <si>
    <t>CUST_0866</t>
  </si>
  <si>
    <t>CUST_0817</t>
  </si>
  <si>
    <t>CUST_0920</t>
  </si>
  <si>
    <t>CUST_0407</t>
  </si>
  <si>
    <t>CUST_0827</t>
  </si>
  <si>
    <t>CUST_0902</t>
  </si>
  <si>
    <t>CUST_0824</t>
  </si>
  <si>
    <t>CUST_0684</t>
  </si>
  <si>
    <t>CUST_0019</t>
  </si>
  <si>
    <t>CUST_0320</t>
  </si>
  <si>
    <t>CUST_0399</t>
  </si>
  <si>
    <t>CUST_0653</t>
  </si>
  <si>
    <t>CUST_0971</t>
  </si>
  <si>
    <t>CUST_0470</t>
  </si>
  <si>
    <t>CUST_0142</t>
  </si>
  <si>
    <t>CUST_0353</t>
  </si>
  <si>
    <t>CUST_0833</t>
  </si>
  <si>
    <t>CUST_0799</t>
  </si>
  <si>
    <t>CUST_0958</t>
  </si>
  <si>
    <t>CUST_0050</t>
  </si>
  <si>
    <t>CUST_0664</t>
  </si>
  <si>
    <t>CUST_0697</t>
  </si>
  <si>
    <t>CUST_0124</t>
  </si>
  <si>
    <t>CUST_0149</t>
  </si>
  <si>
    <t>CUST_0341</t>
  </si>
  <si>
    <t>CUST_0304</t>
  </si>
  <si>
    <t>CUST_0837</t>
  </si>
  <si>
    <t>CUST_0443</t>
  </si>
  <si>
    <t>CUST_0263</t>
  </si>
  <si>
    <t>CUST_0195</t>
  </si>
  <si>
    <t>CUST_0773</t>
  </si>
  <si>
    <t>CUST_0876</t>
  </si>
  <si>
    <t>CUST_0991</t>
  </si>
  <si>
    <t>CUST_0349</t>
  </si>
  <si>
    <t>CUST_0046</t>
  </si>
  <si>
    <t>CUST_0822</t>
  </si>
  <si>
    <t>CUST_0655</t>
  </si>
  <si>
    <t>CUST_0268</t>
  </si>
  <si>
    <t>CUST_0369</t>
  </si>
  <si>
    <t>CUST_0635</t>
  </si>
  <si>
    <t>CUST_0656</t>
  </si>
  <si>
    <t>CUST_0830</t>
  </si>
  <si>
    <t>CUST_0786</t>
  </si>
  <si>
    <t>CUST_0603</t>
  </si>
  <si>
    <t>CUST_0057</t>
  </si>
  <si>
    <t>CUST_0950</t>
  </si>
  <si>
    <t>CUST_0740</t>
  </si>
  <si>
    <t>CUST_0473</t>
  </si>
  <si>
    <t>CUST_0116</t>
  </si>
  <si>
    <t>CUST_0790</t>
  </si>
  <si>
    <t>CUST_0126</t>
  </si>
  <si>
    <t>CUST_0907</t>
  </si>
  <si>
    <t>CUST_0633</t>
  </si>
  <si>
    <t>CUST_0512</t>
  </si>
  <si>
    <t>CUST_0750</t>
  </si>
  <si>
    <t>CUST_0801</t>
  </si>
  <si>
    <t>CUST_0117</t>
  </si>
  <si>
    <t>CUST_0559</t>
  </si>
  <si>
    <t>CUST_0487</t>
  </si>
  <si>
    <t>CUST_0236</t>
  </si>
  <si>
    <t>CUST_0884</t>
  </si>
  <si>
    <t>CUST_0271</t>
  </si>
  <si>
    <t>CUST_0188</t>
  </si>
  <si>
    <t>CUST_0998</t>
  </si>
  <si>
    <t>CUST_0703</t>
  </si>
  <si>
    <t>CUST_0446</t>
  </si>
  <si>
    <t>CUST_0580</t>
  </si>
  <si>
    <t>CUST_0789</t>
  </si>
  <si>
    <t>CUST_0075</t>
  </si>
  <si>
    <t>CUST_0153</t>
  </si>
  <si>
    <t>CUST_0434</t>
  </si>
  <si>
    <t>CUST_0696</t>
  </si>
  <si>
    <t>CUST_0284</t>
  </si>
  <si>
    <t>CUST_0973</t>
  </si>
  <si>
    <t>CUST_0068</t>
  </si>
  <si>
    <t>CUST_0093</t>
  </si>
  <si>
    <t>CUST_0203</t>
  </si>
  <si>
    <t>CUST_0911</t>
  </si>
  <si>
    <t>CUST_0431</t>
  </si>
  <si>
    <t>CUST_0340</t>
  </si>
  <si>
    <t>CUST_0611</t>
  </si>
  <si>
    <t>CUST_0356</t>
  </si>
  <si>
    <t>CUST_0022</t>
  </si>
  <si>
    <t>CUST_0761</t>
  </si>
  <si>
    <t>CUST_0521</t>
  </si>
  <si>
    <t>CUST_0757</t>
  </si>
  <si>
    <t>CUST_0179</t>
  </si>
  <si>
    <t>CUST_0222</t>
  </si>
  <si>
    <t>CUST_0905</t>
  </si>
  <si>
    <t>CUST_0324</t>
  </si>
  <si>
    <t>CUST_0015</t>
  </si>
  <si>
    <t>CUST_0335</t>
  </si>
  <si>
    <t>CUST_0257</t>
  </si>
  <si>
    <t>CUST_0689</t>
  </si>
  <si>
    <t>CUST_0544</t>
  </si>
  <si>
    <t>CUST_0426</t>
  </si>
  <si>
    <t>CUST_0834</t>
  </si>
  <si>
    <t>CUST_0576</t>
  </si>
  <si>
    <t>CUST_0416</t>
  </si>
  <si>
    <t>CUST_0167</t>
  </si>
  <si>
    <t>CUST_0841</t>
  </si>
  <si>
    <t>CUST_0042</t>
  </si>
  <si>
    <t>CUST_0396</t>
  </si>
  <si>
    <t>CUST_0011</t>
  </si>
  <si>
    <t>CUST_0753</t>
  </si>
  <si>
    <t>CUST_0848</t>
  </si>
  <si>
    <t>CUST_0089</t>
  </si>
  <si>
    <t>CUST_0604</t>
  </si>
  <si>
    <t>CUST_0969</t>
  </si>
  <si>
    <t>CUST_0601</t>
  </si>
  <si>
    <t>CUST_0417</t>
  </si>
  <si>
    <t>CUST_0114</t>
  </si>
  <si>
    <t>CUST_0616</t>
  </si>
  <si>
    <t>CUST_0825</t>
  </si>
  <si>
    <t>CUST_0500</t>
  </si>
  <si>
    <t>CUST_0074</t>
  </si>
  <si>
    <t>CUST_0412</t>
  </si>
  <si>
    <t>CUST_0375</t>
  </si>
  <si>
    <t>CUST_0728</t>
  </si>
  <si>
    <t>CUST_0760</t>
  </si>
  <si>
    <t>CUST_0675</t>
  </si>
  <si>
    <t>CUST_0393</t>
  </si>
  <si>
    <t>CUST_0868</t>
  </si>
  <si>
    <t>CUST_0456</t>
  </si>
  <si>
    <t>CUST_0688</t>
  </si>
  <si>
    <t>CUST_0547</t>
  </si>
  <si>
    <t>CUST_0977</t>
  </si>
  <si>
    <t>CUST_0368</t>
  </si>
  <si>
    <t>CUST_0694</t>
  </si>
  <si>
    <t>CUST_0278</t>
  </si>
  <si>
    <t>CUST_0872</t>
  </si>
  <si>
    <t>CUST_0272</t>
  </si>
  <si>
    <t>CUST_0061</t>
  </si>
  <si>
    <t>CUST_0595</t>
  </si>
  <si>
    <t>CUST_0879</t>
  </si>
  <si>
    <t>CUST_0018</t>
  </si>
  <si>
    <t>CUST_0176</t>
  </si>
  <si>
    <t>CUST_0395</t>
  </si>
  <si>
    <t>CUST_0444</t>
  </si>
  <si>
    <t>CUST_0914</t>
  </si>
  <si>
    <t>CUST_0264</t>
  </si>
  <si>
    <t>CUST_0717</t>
  </si>
  <si>
    <t>CUST_0383</t>
  </si>
  <si>
    <t>CUST_0850</t>
  </si>
  <si>
    <t>CUST_0024</t>
  </si>
  <si>
    <t>CUST_0947</t>
  </si>
  <si>
    <t>CUST_0890</t>
  </si>
  <si>
    <t>CUST_0468</t>
  </si>
  <si>
    <t>CUST_0483</t>
  </si>
  <si>
    <t>CUST_0568</t>
  </si>
  <si>
    <t>CUST_0108</t>
  </si>
  <si>
    <t>CUST_0692</t>
  </si>
  <si>
    <t>CUST_0041</t>
  </si>
  <si>
    <t>CUST_0185</t>
  </si>
  <si>
    <t>CUST_0934</t>
  </si>
  <si>
    <t>CUST_0132</t>
  </si>
  <si>
    <t>CUST_0732</t>
  </si>
  <si>
    <t>CUST_0234</t>
  </si>
  <si>
    <t>CUST_0842</t>
  </si>
  <si>
    <t>CUST_0657</t>
  </si>
  <si>
    <t>CUST_0587</t>
  </si>
  <si>
    <t>CUST_0073</t>
  </si>
  <si>
    <t>CUST_0953</t>
  </si>
  <si>
    <t>CUST_0912</t>
  </si>
  <si>
    <t>CUST_0518</t>
  </si>
  <si>
    <t>CUST_0173</t>
  </si>
  <si>
    <t>CUST_0652</t>
  </si>
  <si>
    <t>CUST_0169</t>
  </si>
  <si>
    <t>CUST_0193</t>
  </si>
  <si>
    <t>CUST_0516</t>
  </si>
  <si>
    <t>CUST_0028</t>
  </si>
  <si>
    <t>CUST_0164</t>
  </si>
  <si>
    <t>CUST_0338</t>
  </si>
  <si>
    <t>CUST_0495</t>
  </si>
  <si>
    <t>CUST_0832</t>
  </si>
  <si>
    <t>CUST_0499</t>
  </si>
  <si>
    <t>CUST_0326</t>
  </si>
  <si>
    <t>CUST_0300</t>
  </si>
  <si>
    <t>CUST_0131</t>
  </si>
  <si>
    <t>CUST_0803</t>
  </si>
  <si>
    <t>CUST_0069</t>
  </si>
  <si>
    <t>CUST_0181</t>
  </si>
  <si>
    <t>CUST_0090</t>
  </si>
  <si>
    <t>CUST_0713</t>
  </si>
  <si>
    <t>CUST_0530</t>
  </si>
  <si>
    <t>CUST_0125</t>
  </si>
  <si>
    <t>CUST_0450</t>
  </si>
  <si>
    <t>CUST_0172</t>
  </si>
  <si>
    <t>CUST_0894</t>
  </si>
  <si>
    <t>CUST_0360</t>
  </si>
  <si>
    <t>CUST_0000</t>
  </si>
  <si>
    <t>CUST_0507</t>
  </si>
  <si>
    <t>CUST_0408</t>
  </si>
  <si>
    <t>CUST_0823</t>
  </si>
  <si>
    <t>CUST_0933</t>
  </si>
  <si>
    <t>CUST_0133</t>
  </si>
  <si>
    <t>CUST_0814</t>
  </si>
  <si>
    <t>CUST_0148</t>
  </si>
  <si>
    <t>CUST_0079</t>
  </si>
  <si>
    <t>CUST_0885</t>
  </si>
  <si>
    <t>CUST_0212</t>
  </si>
  <si>
    <t>CUST_0228</t>
  </si>
  <si>
    <t>CUST_0531</t>
  </si>
  <si>
    <t>CUST_0440</t>
  </si>
  <si>
    <t>CUST_0525</t>
  </si>
  <si>
    <t>CUST_0970</t>
  </si>
  <si>
    <t>CUST_0329</t>
  </si>
  <si>
    <t>CUST_0783</t>
  </si>
  <si>
    <t>CUST_0357</t>
  </si>
  <si>
    <t>CUST_0667</t>
  </si>
  <si>
    <t>CUST_0007</t>
  </si>
  <si>
    <t>CUST_0177</t>
  </si>
  <si>
    <t>CUST_0539</t>
  </si>
  <si>
    <t>CUST_0731</t>
  </si>
  <si>
    <t>CUST_0739</t>
  </si>
  <si>
    <t>CUST_0922</t>
  </si>
  <si>
    <t>CUST_0501</t>
  </si>
  <si>
    <t>CUST_0144</t>
  </si>
  <si>
    <t>CUST_0723</t>
  </si>
  <si>
    <t>CUST_0924</t>
  </si>
  <si>
    <t>CUST_0908</t>
  </si>
  <si>
    <t>CUST_0557</t>
  </si>
  <si>
    <t>CUST_0593</t>
  </si>
  <si>
    <t>CUST_0708</t>
  </si>
  <si>
    <t>CUST_0449</t>
  </si>
  <si>
    <t>CUST_0009</t>
  </si>
  <si>
    <t>CUST_0250</t>
  </si>
  <si>
    <t>CUST_0118</t>
  </si>
  <si>
    <t>CUST_0145</t>
  </si>
  <si>
    <t>CUST_0223</t>
  </si>
  <si>
    <t>CUST_0238</t>
  </si>
  <si>
    <t>CUST_0852</t>
  </si>
  <si>
    <t>CUST_0281</t>
  </si>
  <si>
    <t>CUST_0104</t>
  </si>
  <si>
    <t>CUST_0404</t>
  </si>
  <si>
    <t>CUST_0976</t>
  </si>
  <si>
    <t>CUST_0644</t>
  </si>
  <si>
    <t>CUST_0869</t>
  </si>
  <si>
    <t>CUST_0436</t>
  </si>
  <si>
    <t>CUST_0457</t>
  </si>
  <si>
    <t>CUST_0082</t>
  </si>
  <si>
    <t>CUST_0084</t>
  </si>
  <si>
    <t>CUST_0077</t>
  </si>
  <si>
    <t>CUST_0716</t>
  </si>
  <si>
    <t>CUST_0445</t>
  </si>
  <si>
    <t>CUST_0448</t>
  </si>
  <si>
    <t>CUST_0033</t>
  </si>
  <si>
    <t>CUST_0094</t>
  </si>
  <si>
    <t>CUST_0249</t>
  </si>
  <si>
    <t>CUST_0673</t>
  </si>
  <si>
    <t>CUST_0305</t>
  </si>
  <si>
    <t>CUST_0235</t>
  </si>
  <si>
    <t>CUST_0388</t>
  </si>
  <si>
    <t>CUST_0762</t>
  </si>
  <si>
    <t>CUST_0302</t>
  </si>
  <si>
    <t>CUST_0918</t>
  </si>
  <si>
    <t>CUST_0909</t>
  </si>
  <si>
    <t>CUST_0737</t>
  </si>
  <si>
    <t>CUST_0097</t>
  </si>
  <si>
    <t>CUST_0849</t>
  </si>
  <si>
    <t>CUST_0334</t>
  </si>
  <si>
    <t>CUST_0858</t>
  </si>
  <si>
    <t>CUST_0993</t>
  </si>
  <si>
    <t>CUST_0307</t>
  </si>
  <si>
    <t>CUST_0248</t>
  </si>
  <si>
    <t>CUST_0165</t>
  </si>
  <si>
    <t>CUST_0983</t>
  </si>
  <si>
    <t>CUST_0541</t>
  </si>
  <si>
    <t>CUST_0796</t>
  </si>
  <si>
    <t>CUST_0137</t>
  </si>
  <si>
    <t>CUST_0545</t>
  </si>
  <si>
    <t>CUST_0204</t>
  </si>
  <si>
    <t>CUST_0746</t>
  </si>
  <si>
    <t>CUST_0110</t>
  </si>
  <si>
    <t>CUST_0182</t>
  </si>
  <si>
    <t>CUST_0847</t>
  </si>
  <si>
    <t>CUST_0519</t>
  </si>
  <si>
    <t>CUST_0359</t>
  </si>
  <si>
    <t>CUST_0695</t>
  </si>
  <si>
    <t>CUST_0280</t>
  </si>
  <si>
    <t>CUST_0666</t>
  </si>
  <si>
    <t>CUST_0092</t>
  </si>
  <si>
    <t>CUST_0060</t>
  </si>
  <si>
    <t>CUST_0788</t>
  </si>
  <si>
    <t>CUST_0465</t>
  </si>
  <si>
    <t>CUST_0533</t>
  </si>
  <si>
    <t>CUST_0523</t>
  </si>
  <si>
    <t>CUST_0944</t>
  </si>
  <si>
    <t>CUST_0072</t>
  </si>
  <si>
    <t>CUST_0793</t>
  </si>
  <si>
    <t>CUST_0120</t>
  </si>
  <si>
    <t>CUST_0213</t>
  </si>
  <si>
    <t>CUST_0055</t>
  </si>
  <si>
    <t>CUST_0572</t>
  </si>
  <si>
    <t>CUST_0336</t>
  </si>
  <si>
    <t>CUST_0025</t>
  </si>
  <si>
    <t>CUST_0256</t>
  </si>
  <si>
    <t>CUST_0718</t>
  </si>
  <si>
    <t>CUST_0215</t>
  </si>
  <si>
    <t>CUST_0665</t>
  </si>
  <si>
    <t>CUST_0311</t>
  </si>
  <si>
    <t>CUST_0006</t>
  </si>
  <si>
    <t>CUST_0002</t>
  </si>
  <si>
    <t>CUST_0622</t>
  </si>
  <si>
    <t>CUST_0362</t>
  </si>
  <si>
    <t>CUST_0984</t>
  </si>
  <si>
    <t>CUST_0630</t>
  </si>
  <si>
    <t>CUST_0811</t>
  </si>
  <si>
    <t>CUST_0536</t>
  </si>
  <si>
    <t>CUST_0211</t>
  </si>
  <si>
    <t>CUST_0066</t>
  </si>
  <si>
    <t>CUST_0227</t>
  </si>
  <si>
    <t>CUST_0594</t>
  </si>
  <si>
    <t>CUST_0424</t>
  </si>
  <si>
    <t>CUST_0319</t>
  </si>
  <si>
    <t>CUST_0442</t>
  </si>
  <si>
    <t>CUST_0314</t>
  </si>
  <si>
    <t>CUST_0965</t>
  </si>
  <si>
    <t>CUST_0581</t>
  </si>
  <si>
    <t>CUST_0136</t>
  </si>
  <si>
    <t>CUST_0898</t>
  </si>
  <si>
    <t>CUST_0542</t>
  </si>
  <si>
    <t>CUST_0039</t>
  </si>
  <si>
    <t>CUST_0005</t>
  </si>
  <si>
    <t>CUST_0321</t>
  </si>
  <si>
    <t>CUST_0467</t>
  </si>
  <si>
    <t>CUST_0003</t>
  </si>
  <si>
    <t>CUST_0846</t>
  </si>
  <si>
    <t>CUST_0605</t>
  </si>
  <si>
    <t>CUST_0997</t>
  </si>
  <si>
    <t>CUST_0946</t>
  </si>
  <si>
    <t>CUST_0714</t>
  </si>
  <si>
    <t>CUST_0299</t>
  </si>
  <si>
    <t>CUST_0409</t>
  </si>
  <si>
    <t>CUST_0139</t>
  </si>
  <si>
    <t>CUST_0558</t>
  </si>
  <si>
    <t>CUST_0549</t>
  </si>
  <si>
    <t>CUST_0893</t>
  </si>
  <si>
    <t>CUST_0867</t>
  </si>
  <si>
    <t>CUST_0844</t>
  </si>
  <si>
    <t>CUST_0901</t>
  </si>
  <si>
    <t>CUST_0260</t>
  </si>
  <si>
    <t>CUST_0649</t>
  </si>
  <si>
    <t>CUST_0012</t>
  </si>
  <si>
    <t>CUST_0318</t>
  </si>
  <si>
    <t>CUST_0328</t>
  </si>
  <si>
    <t>CUST_0910</t>
  </si>
  <si>
    <t>CUST_0816</t>
  </si>
  <si>
    <t>CUST_0333</t>
  </si>
  <si>
    <t>CUST_0994</t>
  </si>
  <si>
    <t>CUST_0917</t>
  </si>
  <si>
    <t>CUST_0290</t>
  </si>
  <si>
    <t>CUST_0088</t>
  </si>
  <si>
    <t>CUST_0294</t>
  </si>
  <si>
    <t>CUST_0615</t>
  </si>
  <si>
    <t>CUST_0636</t>
  </si>
  <si>
    <t>CUST_0864</t>
  </si>
  <si>
    <t>CUST_0820</t>
  </si>
  <si>
    <t>CUST_0578</t>
  </si>
  <si>
    <t>CUST_0390</t>
  </si>
  <si>
    <t>CUST_0178</t>
  </si>
  <si>
    <t>CUST_0447</t>
  </si>
  <si>
    <t>CUST_0668</t>
  </si>
  <si>
    <t>CUST_0477</t>
  </si>
  <si>
    <t>CUST_0096</t>
  </si>
  <si>
    <t>CUST_0597</t>
  </si>
  <si>
    <t>CUST_0634</t>
  </si>
  <si>
    <t>CUST_0158</t>
  </si>
  <si>
    <t>CUST_0323</t>
  </si>
  <si>
    <t>CUST_0843</t>
  </si>
  <si>
    <t>CUST_0626</t>
  </si>
  <si>
    <t>CUST_0754</t>
  </si>
  <si>
    <t>CUST_0291</t>
  </si>
  <si>
    <t>CUST_0010</t>
  </si>
  <si>
    <t>CUST_0711</t>
  </si>
  <si>
    <t>CUST_0140</t>
  </si>
  <si>
    <t>CUST_0209</t>
  </si>
  <si>
    <t>CUST_0682</t>
  </si>
  <si>
    <t>CUST_0355</t>
  </si>
  <si>
    <t>CUST_0887</t>
  </si>
  <si>
    <t>CUST_0798</t>
  </si>
  <si>
    <t>CUST_0377</t>
  </si>
  <si>
    <t>CUST_0904</t>
  </si>
  <si>
    <t>CUST_0296</t>
  </si>
  <si>
    <t>CUST_0813</t>
  </si>
  <si>
    <t>CUST_0621</t>
  </si>
  <si>
    <t>CUST_0949</t>
  </si>
  <si>
    <t>CUST_0370</t>
  </si>
  <si>
    <t>CUST_0660</t>
  </si>
  <si>
    <t>CUST_0430</t>
  </si>
  <si>
    <t>CUST_0968</t>
  </si>
  <si>
    <t>CUST_0312</t>
  </si>
  <si>
    <t>CUST_0936</t>
  </si>
  <si>
    <t>CUST_0802</t>
  </si>
  <si>
    <t>CUST_0346</t>
  </si>
  <si>
    <t>CUST_0528</t>
  </si>
  <si>
    <t>CUST_0938</t>
  </si>
  <si>
    <t>CUST_0966</t>
  </si>
  <si>
    <t>CUST_0855</t>
  </si>
  <si>
    <t>CUST_0155</t>
  </si>
  <si>
    <t>CUST_0881</t>
  </si>
  <si>
    <t>CUST_0083</t>
  </si>
  <si>
    <t>CUST_0629</t>
  </si>
  <si>
    <t>CUST_0722</t>
  </si>
  <si>
    <t>CUST_0031</t>
  </si>
  <si>
    <t>CUST_0428</t>
  </si>
  <si>
    <t>CUST_0285</t>
  </si>
  <si>
    <t>CUST_0423</t>
  </si>
  <si>
    <t>CUST_0589</t>
  </si>
  <si>
    <t>CUST_0174</t>
  </si>
  <si>
    <t>CUST_0113</t>
  </si>
  <si>
    <t>CUST_0221</t>
  </si>
  <si>
    <t>CUST_0677</t>
  </si>
  <si>
    <t>CUST_0643</t>
  </si>
  <si>
    <t>CUST_0054</t>
  </si>
  <si>
    <t>CUST_0777</t>
  </si>
  <si>
    <t>CUST_0978</t>
  </si>
  <si>
    <t>CUST_0086</t>
  </si>
  <si>
    <t>CUST_0327</t>
  </si>
  <si>
    <t>CUST_0490</t>
  </si>
  <si>
    <t>CUST_0451</t>
  </si>
  <si>
    <t>CUST_0943</t>
  </si>
  <si>
    <t>CUST_0774</t>
  </si>
  <si>
    <t>CUST_0380</t>
  </si>
  <si>
    <t>CUST_0081</t>
  </si>
  <si>
    <t>CUST_0513</t>
  </si>
  <si>
    <t>CUST_0522</t>
  </si>
  <si>
    <t>CUST_0745</t>
  </si>
  <si>
    <t>CUST_0706</t>
  </si>
  <si>
    <t>CUST_0939</t>
  </si>
  <si>
    <t>CUST_0363</t>
  </si>
  <si>
    <t>CUST_0631</t>
  </si>
  <si>
    <t>CUST_0720</t>
  </si>
  <si>
    <t>CUST_0208</t>
  </si>
  <si>
    <t>CUST_0551</t>
  </si>
  <si>
    <t>CUST_0277</t>
  </si>
  <si>
    <t>CUST_0493</t>
  </si>
  <si>
    <t>CUST_0598</t>
  </si>
  <si>
    <t>CUST_0628</t>
  </si>
  <si>
    <t>CUST_0873</t>
  </si>
  <si>
    <t>CUST_0286</t>
  </si>
  <si>
    <t>CUST_0730</t>
  </si>
  <si>
    <t>CUST_0575</t>
  </si>
  <si>
    <t>CUST_0704</t>
  </si>
  <si>
    <t>CUST_0743</t>
  </si>
  <si>
    <t>CUST_0309</t>
  </si>
  <si>
    <t>CUST_0405</t>
  </si>
  <si>
    <t>CUST_0506</t>
  </si>
  <si>
    <t>CUST_0481</t>
  </si>
  <si>
    <t>CUST_0712</t>
  </si>
  <si>
    <t>CUST_0497</t>
  </si>
  <si>
    <t>CUST_0107</t>
  </si>
  <si>
    <t>CUST_0101</t>
  </si>
  <si>
    <t>CUST_0865</t>
  </si>
  <si>
    <t>CUST_0274</t>
  </si>
  <si>
    <t>CUST_0043</t>
  </si>
  <si>
    <t>CUST_0591</t>
  </si>
  <si>
    <t>CUST_0990</t>
  </si>
  <si>
    <t>CUST_0199</t>
  </si>
  <si>
    <t>CUST_0570</t>
  </si>
  <si>
    <t>CUST_0781</t>
  </si>
  <si>
    <t>CUST_0371</t>
  </si>
  <si>
    <t>CUST_0526</t>
  </si>
  <si>
    <t>CUST_0721</t>
  </si>
  <si>
    <t>CUST_0425</t>
  </si>
  <si>
    <t>CUST_0310</t>
  </si>
  <si>
    <t>CUST_0780</t>
  </si>
  <si>
    <t>CUST_0244</t>
  </si>
  <si>
    <t>CUST_0439</t>
  </si>
  <si>
    <t>CUST_0265</t>
  </si>
  <si>
    <t>CUST_0925</t>
  </si>
  <si>
    <t>CUST_0141</t>
  </si>
  <si>
    <t>CUST_0292</t>
  </si>
  <si>
    <t>CUST_0948</t>
  </si>
  <si>
    <t>CUST_0584</t>
  </si>
  <si>
    <t>CUST_0398</t>
  </si>
  <si>
    <t>CUST_0888</t>
  </si>
  <si>
    <t>CUST_0963</t>
  </si>
  <si>
    <t>CUST_0583</t>
  </si>
  <si>
    <t>CUST_0365</t>
  </si>
  <si>
    <t>CUST_0752</t>
  </si>
  <si>
    <t>CUST_0889</t>
  </si>
  <si>
    <t>CUST_0892</t>
  </si>
  <si>
    <t>CUST_0266</t>
  </si>
  <si>
    <t>CUST_0331</t>
  </si>
  <si>
    <t>CUST_0462</t>
  </si>
  <si>
    <t>CUST_0394</t>
  </si>
  <si>
    <t>CUST_0900</t>
  </si>
  <si>
    <t>CUST_0453</t>
  </si>
  <si>
    <t>CUST_0964</t>
  </si>
  <si>
    <t>CUST_0567</t>
  </si>
  <si>
    <t>CUST_0261</t>
  </si>
  <si>
    <t>CUST_0352</t>
  </si>
  <si>
    <t>CUST_0344</t>
  </si>
  <si>
    <t>CUST_0030</t>
  </si>
  <si>
    <t>CUST_0534</t>
  </si>
  <si>
    <t>CUST_0926</t>
  </si>
  <si>
    <t>CUST_0588</t>
  </si>
  <si>
    <t>CUST_0988</t>
  </si>
  <si>
    <t>CUST_0585</t>
  </si>
  <si>
    <t>CUST_0411</t>
  </si>
  <si>
    <t>CUST_0715</t>
  </si>
  <si>
    <t>CUST_0078</t>
  </si>
  <si>
    <t>CUST_0429</t>
  </si>
  <si>
    <t>CUST_0886</t>
  </si>
  <si>
    <t>CUST_0538</t>
  </si>
  <si>
    <t>CUST_0381</t>
  </si>
  <si>
    <t>CUST_0785</t>
  </si>
  <si>
    <t>CUST_0059</t>
  </si>
  <si>
    <t>CUST_0590</t>
  </si>
  <si>
    <t>CUST_0198</t>
  </si>
  <si>
    <t>CUST_0535</t>
  </si>
  <si>
    <t>CUST_0063</t>
  </si>
  <si>
    <t>CUST_0494</t>
  </si>
  <si>
    <t>CUST_0543</t>
  </si>
  <si>
    <t>CUST_0552</t>
  </si>
  <si>
    <t>CUST_0316</t>
  </si>
  <si>
    <t>CUST_0859</t>
  </si>
  <si>
    <t>CUST_0382</t>
  </si>
  <si>
    <t>CUST_0514</t>
  </si>
  <si>
    <t>CUST_0808</t>
  </si>
  <si>
    <t>CUST_0903</t>
  </si>
  <si>
    <t>CUST_0306</t>
  </si>
  <si>
    <t>CUST_0548</t>
  </si>
  <si>
    <t>CUST_0351</t>
  </si>
  <si>
    <t>CUST_0923</t>
  </si>
  <si>
    <t>CUST_0861</t>
  </si>
  <si>
    <t>CUST_0023</t>
  </si>
  <si>
    <t>CUST_0937</t>
  </si>
  <si>
    <t>CUST_0529</t>
  </si>
  <si>
    <t>CUST_0736</t>
  </si>
  <si>
    <t>CUST_0065</t>
  </si>
  <si>
    <t>CUST_0275</t>
  </si>
  <si>
    <t>CUST_0979</t>
  </si>
  <si>
    <t>CUST_0932</t>
  </si>
  <si>
    <t>CUST_0756</t>
  </si>
  <si>
    <t>CUST_0184</t>
  </si>
  <si>
    <t>CUST_0192</t>
  </si>
  <si>
    <t>CUST_0613</t>
  </si>
  <si>
    <t>CUST_0916</t>
  </si>
  <si>
    <t>CUST_0941</t>
  </si>
  <si>
    <t>CUST_0220</t>
  </si>
  <si>
    <t>CUST_0342</t>
  </si>
  <si>
    <t>CUST_0618</t>
  </si>
  <si>
    <t>CUST_0350</t>
  </si>
  <si>
    <t>CUST_0582</t>
  </si>
  <si>
    <t>CUST_0361</t>
  </si>
  <si>
    <t>CUST_0049</t>
  </si>
  <si>
    <t>CUST_0482</t>
  </si>
  <si>
    <t>CUST_0076</t>
  </si>
  <si>
    <t>CUST_0596</t>
  </si>
  <si>
    <t>CUST_0620</t>
  </si>
  <si>
    <t>CUST_0707</t>
  </si>
  <si>
    <t>CUST_0617</t>
  </si>
  <si>
    <t>CUST_0247</t>
  </si>
  <si>
    <t>CUST_0100</t>
  </si>
  <si>
    <t>CUST_0930</t>
  </si>
  <si>
    <t>CUST_0787</t>
  </si>
  <si>
    <t>CUST_0767</t>
  </si>
  <si>
    <t>CUST_0163</t>
  </si>
  <si>
    <t>CUST_0109</t>
  </si>
  <si>
    <t>CUST_0237</t>
  </si>
  <si>
    <t>CUST_0845</t>
  </si>
  <si>
    <t>CUST_0259</t>
  </si>
  <si>
    <t>CUST_0741</t>
  </si>
  <si>
    <t>CUST_0422</t>
  </si>
  <si>
    <t>CUST_0464</t>
  </si>
  <si>
    <t>CUST_0231</t>
  </si>
  <si>
    <t>CUST_0650</t>
  </si>
  <si>
    <t>CUST_0210</t>
  </si>
  <si>
    <t>CUST_0367</t>
  </si>
  <si>
    <t>CUST_0168</t>
  </si>
  <si>
    <t>CUST_0420</t>
  </si>
  <si>
    <t>CUST_0029</t>
  </si>
  <si>
    <t>CUST_0135</t>
  </si>
  <si>
    <t>CUST_0999</t>
  </si>
  <si>
    <t>CUST_0056</t>
  </si>
  <si>
    <t>CUST_0940</t>
  </si>
  <si>
    <t>CUST_0765</t>
  </si>
  <si>
    <t>CUST_0874</t>
  </si>
  <si>
    <t>CUST_0532</t>
  </si>
  <si>
    <t>CUST_0759</t>
  </si>
  <si>
    <t>CUST_0678</t>
  </si>
  <si>
    <t>CUST_0067</t>
  </si>
  <si>
    <t>CUST_0679</t>
  </si>
  <si>
    <t>CUST_0485</t>
  </si>
  <si>
    <t>CUST_0433</t>
  </si>
  <si>
    <t>CUST_0218</t>
  </si>
  <si>
    <t>CUST_0602</t>
  </si>
  <si>
    <t>CUST_0254</t>
  </si>
  <si>
    <t>CUST_0479</t>
  </si>
  <si>
    <t>CUST_0554</t>
  </si>
  <si>
    <t>CUST_0332</t>
  </si>
  <si>
    <t>CUST_0239</t>
  </si>
  <si>
    <t>CUST_0289</t>
  </si>
  <si>
    <t>CUST_0478</t>
  </si>
  <si>
    <t>CUST_0486</t>
  </si>
  <si>
    <t>CUST_0809</t>
  </si>
  <si>
    <t>CUST_0354</t>
  </si>
  <si>
    <t>CUST_0044</t>
  </si>
  <si>
    <t>CUST_0527</t>
  </si>
  <si>
    <t>R</t>
  </si>
  <si>
    <t>F</t>
  </si>
  <si>
    <t>M</t>
  </si>
  <si>
    <t>rfm_score</t>
  </si>
  <si>
    <t>rfm_value</t>
  </si>
  <si>
    <t>customer_segment</t>
  </si>
  <si>
    <t>Підсумок RFM-аналізу</t>
  </si>
  <si>
    <t>Розподіл сегментів (value_counts)</t>
  </si>
  <si>
    <t>count</t>
  </si>
  <si>
    <t>% від клієнтів</t>
  </si>
  <si>
    <t>Разом</t>
  </si>
  <si>
    <t>Описова статистика (describe)</t>
  </si>
  <si>
    <t>stat</t>
  </si>
  <si>
    <t>mean</t>
  </si>
  <si>
    <t>std</t>
  </si>
  <si>
    <t>min</t>
  </si>
  <si>
    <t>25%</t>
  </si>
  <si>
    <t>50%</t>
  </si>
  <si>
    <t>75%</t>
  </si>
  <si>
    <t>max</t>
  </si>
  <si>
    <t>Перевірки</t>
  </si>
  <si>
    <t>Транзакцій з amount&gt;0 (Транзакції)</t>
  </si>
  <si>
    <t>Сума frequency по всіх клієнтах (RFM)</t>
  </si>
  <si>
    <t>Збігається?</t>
  </si>
  <si>
    <t>RFM розрахунок</t>
  </si>
  <si>
    <t>1. Напиши SQL-код, щоб отримати датасет для аналізу, який містить дані:</t>
  </si>
  <si>
    <r>
      <t>visit_cnt</t>
    </r>
    <r>
      <rPr>
        <sz val="11"/>
        <color rgb="FF2A2F3C"/>
        <rFont val="Arial"/>
        <family val="2"/>
        <charset val="204"/>
      </rPr>
      <t xml:space="preserve"> — унікальна кількість листів, яку відкрив акаунт;</t>
    </r>
  </si>
  <si>
    <r>
      <t>last_visit_date</t>
    </r>
    <r>
      <rPr>
        <sz val="11"/>
        <color rgb="FF2A2F3C"/>
        <rFont val="Arial"/>
        <family val="2"/>
        <charset val="204"/>
      </rPr>
      <t xml:space="preserve"> — дата останнього відкриття листа;</t>
    </r>
  </si>
  <si>
    <r>
      <t>revenue</t>
    </r>
    <r>
      <rPr>
        <sz val="11"/>
        <color rgb="FF2A2F3C"/>
        <rFont val="Arial"/>
        <family val="2"/>
        <charset val="204"/>
      </rPr>
      <t xml:space="preserve"> — будемо вважати, що в середньому з кожного відкритого листа користувача ми мали б отримали $10.</t>
    </r>
  </si>
  <si>
    <r>
      <t xml:space="preserve">💡 До аналізу брати лише ті </t>
    </r>
    <r>
      <rPr>
        <sz val="9"/>
        <color rgb="FF464E62"/>
        <rFont val="Consolas"/>
        <family val="3"/>
        <charset val="204"/>
      </rPr>
      <t>account_id</t>
    </r>
    <r>
      <rPr>
        <sz val="11"/>
        <color rgb="FF464E62"/>
        <rFont val="Arial"/>
        <family val="2"/>
        <charset val="204"/>
      </rPr>
      <t xml:space="preserve"> в яких був хоча б один відкритий лист і в кого </t>
    </r>
    <r>
      <rPr>
        <sz val="9"/>
        <color rgb="FF464E62"/>
        <rFont val="Consolas"/>
        <family val="3"/>
        <charset val="204"/>
      </rPr>
      <t>last_visit_date</t>
    </r>
    <r>
      <rPr>
        <sz val="11"/>
        <color rgb="FF464E62"/>
        <rFont val="Arial"/>
        <family val="2"/>
        <charset val="204"/>
      </rPr>
      <t xml:space="preserve"> ≠ </t>
    </r>
    <r>
      <rPr>
        <sz val="9"/>
        <color rgb="FF464E62"/>
        <rFont val="Consolas"/>
        <family val="3"/>
        <charset val="204"/>
      </rPr>
      <t>null</t>
    </r>
    <r>
      <rPr>
        <sz val="11"/>
        <color rgb="FF464E62"/>
        <rFont val="Arial"/>
        <family val="2"/>
        <charset val="204"/>
      </rPr>
      <t>. Приклад датасету:</t>
    </r>
  </si>
  <si>
    <t>Row</t>
  </si>
  <si>
    <t>id</t>
  </si>
  <si>
    <t>send_interval</t>
  </si>
  <si>
    <t>is_verified</t>
  </si>
  <si>
    <t>is_unsubscribed</t>
  </si>
  <si>
    <t>account</t>
  </si>
  <si>
    <t>account_id</t>
  </si>
  <si>
    <t>ga_session_id</t>
  </si>
  <si>
    <t>account_session</t>
  </si>
  <si>
    <t>session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</si>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</sst>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0.0%"/>
  </numFmts>
  <fonts count="1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i/>
      <sz val="9"/>
      <name val="Arial"/>
      <charset val="1"/>
    </font>
    <font>
      <sz val="10"/>
      <name val="Arial"/>
      <family val="2"/>
    </font>
    <font>
      <sz val="10"/>
      <color rgb="FF0000FF"/>
      <name val="Arial"/>
      <family val="2"/>
      <charset val="238"/>
    </font>
    <font>
      <b/>
      <sz val="10"/>
      <name val="Arial"/>
      <family val="2"/>
      <charset val="238"/>
    </font>
    <font>
      <sz val="10"/>
      <color rgb="FF0000FF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11"/>
      <color rgb="FF2A2F3C"/>
      <name val="Arial"/>
      <family val="2"/>
      <charset val="204"/>
    </font>
    <font>
      <sz val="9"/>
      <color rgb="FF2A2F3C"/>
      <name val="Consolas"/>
      <family val="3"/>
      <charset val="204"/>
    </font>
    <font>
      <sz val="11"/>
      <color rgb="FF464E62"/>
      <name val="Arial"/>
      <family val="2"/>
      <charset val="204"/>
    </font>
    <font>
      <sz val="9"/>
      <color rgb="FF464E62"/>
      <name val="Consolas"/>
      <family val="3"/>
      <charset val="204"/>
    </font>
    <font>
      <sz val="9"/>
      <color rgb="FF000000"/>
      <name val="Consolas"/>
      <family val="3"/>
      <charset val="204"/>
    </font>
    <font>
      <sz val="9"/>
      <color rgb="FF00B0F0"/>
      <name val="Consolas"/>
      <family val="3"/>
      <charset val="204"/>
    </font>
    <font>
      <b/>
      <sz val="11"/>
      <color theme="1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D9D9"/>
      </patternFill>
    </fill>
    <fill>
      <patternFill patternType="solid">
        <fgColor theme="4" tint="-0.249977111117893"/>
        <bgColor rgb="FF333333"/>
      </patternFill>
    </fill>
    <fill>
      <patternFill patternType="solid">
        <fgColor theme="4" tint="0.39997558519241921"/>
        <bgColor rgb="FF333333"/>
      </patternFill>
    </fill>
    <fill>
      <patternFill patternType="solid">
        <fgColor theme="8" tint="-0.499984740745262"/>
        <bgColor rgb="FF333333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BFBFBF"/>
      </left>
      <right/>
      <top/>
      <bottom/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0" borderId="0" xfId="0" applyFont="1"/>
    <xf numFmtId="0" fontId="5" fillId="0" borderId="0" xfId="0" applyFont="1"/>
    <xf numFmtId="0" fontId="4" fillId="0" borderId="0" xfId="0" applyFont="1"/>
    <xf numFmtId="0" fontId="4" fillId="3" borderId="0" xfId="0" applyFont="1" applyFill="1"/>
    <xf numFmtId="0" fontId="6" fillId="0" borderId="0" xfId="0" applyFont="1"/>
    <xf numFmtId="0" fontId="3" fillId="0" borderId="1" xfId="0" applyFont="1" applyBorder="1"/>
    <xf numFmtId="4" fontId="4" fillId="0" borderId="1" xfId="0" applyNumberFormat="1" applyFont="1" applyBorder="1"/>
    <xf numFmtId="0" fontId="4" fillId="0" borderId="1" xfId="0" applyFont="1" applyBorder="1"/>
    <xf numFmtId="165" fontId="5" fillId="3" borderId="1" xfId="0" applyNumberFormat="1" applyFont="1" applyFill="1" applyBorder="1"/>
    <xf numFmtId="164" fontId="5" fillId="0" borderId="0" xfId="0" applyNumberFormat="1" applyFont="1"/>
    <xf numFmtId="4" fontId="5" fillId="0" borderId="0" xfId="0" applyNumberFormat="1" applyFont="1"/>
    <xf numFmtId="1" fontId="4" fillId="0" borderId="0" xfId="0" applyNumberFormat="1" applyFont="1"/>
    <xf numFmtId="4" fontId="4" fillId="0" borderId="0" xfId="0" applyNumberFormat="1" applyFont="1"/>
    <xf numFmtId="0" fontId="4" fillId="0" borderId="0" xfId="0" applyFont="1" applyAlignment="1">
      <alignment horizontal="center"/>
    </xf>
    <xf numFmtId="2" fontId="4" fillId="0" borderId="0" xfId="0" applyNumberFormat="1" applyFont="1"/>
    <xf numFmtId="166" fontId="4" fillId="0" borderId="1" xfId="0" applyNumberFormat="1" applyFont="1" applyBorder="1"/>
    <xf numFmtId="0" fontId="3" fillId="4" borderId="1" xfId="0" applyFont="1" applyFill="1" applyBorder="1"/>
    <xf numFmtId="166" fontId="3" fillId="4" borderId="1" xfId="0" applyNumberFormat="1" applyFont="1" applyFill="1" applyBorder="1"/>
    <xf numFmtId="3" fontId="4" fillId="0" borderId="1" xfId="0" applyNumberFormat="1" applyFont="1" applyBorder="1"/>
    <xf numFmtId="0" fontId="2" fillId="2" borderId="2" xfId="0" applyFont="1" applyFill="1" applyBorder="1" applyAlignment="1">
      <alignment horizontal="center" vertical="center" wrapText="1"/>
    </xf>
    <xf numFmtId="0" fontId="10" fillId="0" borderId="3" xfId="0" applyFont="1" applyBorder="1"/>
    <xf numFmtId="0" fontId="9" fillId="0" borderId="0" xfId="0" applyFont="1" applyBorder="1"/>
    <xf numFmtId="4" fontId="4" fillId="0" borderId="0" xfId="0" applyNumberFormat="1" applyFont="1" applyBorder="1"/>
    <xf numFmtId="0" fontId="4" fillId="0" borderId="0" xfId="0" applyFont="1" applyBorder="1" applyAlignment="1">
      <alignment horizontal="left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8" fillId="0" borderId="8" xfId="0" applyFont="1" applyBorder="1"/>
    <xf numFmtId="0" fontId="4" fillId="0" borderId="9" xfId="0" applyFont="1" applyBorder="1"/>
    <xf numFmtId="0" fontId="8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9" fillId="0" borderId="8" xfId="0" applyFont="1" applyBorder="1"/>
    <xf numFmtId="0" fontId="9" fillId="0" borderId="10" xfId="0" applyFont="1" applyBorder="1"/>
    <xf numFmtId="4" fontId="4" fillId="0" borderId="11" xfId="0" applyNumberFormat="1" applyFont="1" applyBorder="1"/>
    <xf numFmtId="0" fontId="0" fillId="0" borderId="20" xfId="0" applyBorder="1"/>
    <xf numFmtId="164" fontId="5" fillId="3" borderId="21" xfId="0" applyNumberFormat="1" applyFont="1" applyFill="1" applyBorder="1"/>
    <xf numFmtId="0" fontId="6" fillId="0" borderId="21" xfId="0" applyFont="1" applyBorder="1"/>
    <xf numFmtId="0" fontId="0" fillId="0" borderId="21" xfId="0" applyBorder="1"/>
    <xf numFmtId="0" fontId="0" fillId="0" borderId="22" xfId="0" applyBorder="1"/>
    <xf numFmtId="0" fontId="1" fillId="0" borderId="0" xfId="0" applyFont="1" applyAlignment="1">
      <alignment horizontal="center"/>
    </xf>
    <xf numFmtId="0" fontId="11" fillId="2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4" fillId="0" borderId="0" xfId="0" applyFont="1" applyBorder="1" applyAlignment="1">
      <alignment vertical="top" wrapText="1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0" fillId="0" borderId="0" xfId="0" applyAlignment="1">
      <alignment wrapText="1"/>
    </xf>
    <xf numFmtId="0" fontId="17" fillId="0" borderId="0" xfId="0" applyFont="1" applyAlignment="1">
      <alignment vertical="center"/>
    </xf>
    <xf numFmtId="14" fontId="0" fillId="0" borderId="0" xfId="0" applyNumberFormat="1"/>
    <xf numFmtId="0" fontId="18" fillId="8" borderId="0" xfId="0" applyFont="1" applyFill="1"/>
    <xf numFmtId="0" fontId="0" fillId="8" borderId="0" xfId="0" applyFill="1"/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" formatCode="0"/>
    </dxf>
    <dxf>
      <border outline="0">
        <top style="thin">
          <color rgb="FFBFBFBF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0" formatCode="General"/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l-PL" sz="1800" b="1" strike="noStrike" spc="-1">
                <a:solidFill>
                  <a:srgbClr val="000000"/>
                </a:solidFill>
                <a:latin typeface="Calibri"/>
              </a:rPr>
              <a:t>Distribution of Customer Segments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Result!$B$4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U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Result!$A$5:$A$8</c:f>
              <c:strCache>
                <c:ptCount val="4"/>
                <c:pt idx="0">
                  <c:v>Best Customers</c:v>
                </c:pt>
                <c:pt idx="1">
                  <c:v>Loyal Customers</c:v>
                </c:pt>
                <c:pt idx="2">
                  <c:v>Average Customers</c:v>
                </c:pt>
                <c:pt idx="3">
                  <c:v>Lost Customers</c:v>
                </c:pt>
              </c:strCache>
            </c:strRef>
          </c:cat>
          <c:val>
            <c:numRef>
              <c:f>Result!$B$5:$B$8</c:f>
              <c:numCache>
                <c:formatCode>General</c:formatCode>
                <c:ptCount val="4"/>
                <c:pt idx="0">
                  <c:v>169</c:v>
                </c:pt>
                <c:pt idx="1">
                  <c:v>311</c:v>
                </c:pt>
                <c:pt idx="2">
                  <c:v>324</c:v>
                </c:pt>
                <c:pt idx="3">
                  <c:v>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51-4E5B-A377-AB7645A21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00517"/>
        <c:axId val="19192069"/>
      </c:barChart>
      <c:catAx>
        <c:axId val="261005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UA"/>
          </a:p>
        </c:txPr>
        <c:crossAx val="19192069"/>
        <c:crosses val="autoZero"/>
        <c:auto val="1"/>
        <c:lblAlgn val="ctr"/>
        <c:lblOffset val="100"/>
        <c:noMultiLvlLbl val="0"/>
      </c:catAx>
      <c:valAx>
        <c:axId val="191920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l-PL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UA"/>
          </a:p>
        </c:txPr>
        <c:crossAx val="261005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160560</xdr:rowOff>
    </xdr:from>
    <xdr:to>
      <xdr:col>14</xdr:col>
      <xdr:colOff>256320</xdr:colOff>
      <xdr:row>16</xdr:row>
      <xdr:rowOff>182520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2981326</xdr:colOff>
      <xdr:row>1</xdr:row>
      <xdr:rowOff>161925</xdr:rowOff>
    </xdr:from>
    <xdr:to>
      <xdr:col>8</xdr:col>
      <xdr:colOff>7553326</xdr:colOff>
      <xdr:row>16</xdr:row>
      <xdr:rowOff>69847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254975-C463-5C15-2BB0-08F791C64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4301" y="352425"/>
          <a:ext cx="4572000" cy="27654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EAFB14-0C7C-4B43-B1FB-52BBAEA8EA69}" name="trunsactions_db" displayName="trunsactions_db" ref="A1:E5001" totalsRowShown="0" headerRowDxfId="20" headerRowBorderDxfId="19" tableBorderDxfId="18">
  <autoFilter ref="A1:E5001" xr:uid="{00000000-0001-0000-0200-000000000000}"/>
  <tableColumns count="5">
    <tableColumn id="1" xr3:uid="{9552CED2-9CAF-44D2-84A2-A6B19E2ACE07}" name="transaction_id" dataDxfId="17">
      <calculatedColumnFormula>IF(E2=1,
      SUM($E$2:E2)-1,
"")</calculatedColumnFormula>
    </tableColumn>
    <tableColumn id="2" xr3:uid="{3A7EEACA-9EF3-4EE8-89F4-7C0C7FDD159B}" name="customer_id" dataDxfId="16"/>
    <tableColumn id="3" xr3:uid="{D0E95647-AD6F-4A66-B33E-1E422D8CB289}" name="transaction_date" dataDxfId="15"/>
    <tableColumn id="4" xr3:uid="{F980D1F3-9E1F-4E97-AE8E-B3A4230C3C1B}" name="transaction_amount" dataDxfId="14"/>
    <tableColumn id="5" xr3:uid="{CACA2A14-2926-44A1-9A9C-7CE721D6BE52}" name="included (amount&gt;0)" dataDxfId="13">
      <calculatedColumnFormula>IF(D2&gt;0,1,0)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BE3F76-5F63-4ADF-9628-47B1663EE55E}" name="RFM_DB" displayName="RFM_DB" ref="B9:J998" totalsRowShown="0" headerRowDxfId="12" dataDxfId="10" headerRowBorderDxfId="11" tableBorderDxfId="9">
  <autoFilter ref="B9:J998" xr:uid="{00000000-0009-0000-0000-000003000000}"/>
  <tableColumns count="9">
    <tableColumn id="2" xr3:uid="{63430EEE-7FE5-460B-B907-32F593FDA7F0}" name="recency" dataDxfId="8">
      <calculatedColumnFormula>analysis_date-_xlfn.MAXIFS(transaction_date,customer_id,A10,included,1)</calculatedColumnFormula>
    </tableColumn>
    <tableColumn id="3" xr3:uid="{2263F7A3-2BE7-4183-AF3F-4BA5E899037C}" name="frequency" dataDxfId="7">
      <calculatedColumnFormula>COUNTIFS(customer_id,A10,included,1)</calculatedColumnFormula>
    </tableColumn>
    <tableColumn id="4" xr3:uid="{0495C5A2-8415-4E2A-AF91-4EFC6CE4005F}" name="monetary" dataDxfId="6">
      <calculatedColumnFormula>SUMIFS(transaction_amount,customer_id,A10,included,1)</calculatedColumnFormula>
    </tableColumn>
    <tableColumn id="5" xr3:uid="{4B1B22FD-F220-4A17-BE01-89D46E8A9FDA}" name="R" dataDxfId="5">
      <calculatedColumnFormula array="1">_xlfn.IFS(
B10&lt;=recencyQ1, 4,
B10&lt;=recencyQ2, 3,
B10&lt;=recencyQ3, 2,
TRUE, 1
)</calculatedColumnFormula>
    </tableColumn>
    <tableColumn id="6" xr3:uid="{09FB56A0-18AB-41DE-B732-476A12B2D709}" name="F" dataDxfId="4">
      <calculatedColumnFormula array="1">_xlfn.IFS(
C10&lt;=frequencyQ1, 1,
C10&lt;=frequencyQ2, 2,
C10&lt;=frequencyQ3, 3,
TRUE, 4)</calculatedColumnFormula>
    </tableColumn>
    <tableColumn id="7" xr3:uid="{6D3C5B12-0BAE-4EA0-85F7-D793DABB20D5}" name="M" dataDxfId="3">
      <calculatedColumnFormula array="1">_xlfn.IFS(
D10&lt;=monetaryQ1, 1,
D10&lt;=monetaryQ2, 2,
D10&lt;=monetaryQ3, 3,
TRUE, 4)</calculatedColumnFormula>
    </tableColumn>
    <tableColumn id="8" xr3:uid="{A72D7E22-C57C-41D8-9CCB-9D7D4BCF6420}" name="rfm_score" dataDxfId="2">
      <calculatedColumnFormula>E10&amp;F10&amp;G10</calculatedColumnFormula>
    </tableColumn>
    <tableColumn id="9" xr3:uid="{5BFEE93D-BB94-4B4F-B75A-BCEFA904D97F}" name="rfm_value" dataDxfId="1">
      <calculatedColumnFormula>AVERAGE(E10:G10)</calculatedColumnFormula>
    </tableColumn>
    <tableColumn id="10" xr3:uid="{5724ED09-28BC-4C04-AE82-D036BDB0B3B2}" name="customer_segment" dataDxfId="0">
      <calculatedColumnFormula array="1">_xlfn.IFS(
I10&gt;=Best_Customers, Best_Customers_name,
I10&gt;=Loyal_Customers, Loyal_Customers_name,
I10&gt;=Average_Customers, Average_Customers_name,
TRUE, Lost_Customers_name)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01"/>
  <sheetViews>
    <sheetView tabSelected="1" zoomScaleNormal="100" workbookViewId="0">
      <pane ySplit="1" topLeftCell="A2" activePane="bottomLeft" state="frozen"/>
      <selection pane="bottomLeft" activeCell="B24" sqref="B24"/>
    </sheetView>
  </sheetViews>
  <sheetFormatPr defaultColWidth="8.7109375" defaultRowHeight="15" x14ac:dyDescent="0.25"/>
  <cols>
    <col min="1" max="1" width="16" customWidth="1"/>
    <col min="2" max="2" width="14" customWidth="1"/>
    <col min="3" max="3" width="18" customWidth="1"/>
    <col min="4" max="4" width="20.28515625" customWidth="1"/>
    <col min="5" max="5" width="20.7109375" customWidth="1"/>
  </cols>
  <sheetData>
    <row r="1" spans="1:7" ht="30" customHeight="1" x14ac:dyDescent="0.25">
      <c r="A1" s="24" t="s">
        <v>69</v>
      </c>
      <c r="B1" s="24" t="s">
        <v>70</v>
      </c>
      <c r="C1" s="24" t="s">
        <v>71</v>
      </c>
      <c r="D1" s="24" t="s">
        <v>72</v>
      </c>
      <c r="E1" s="24" t="s">
        <v>73</v>
      </c>
      <c r="G1" s="9"/>
    </row>
    <row r="2" spans="1:7" x14ac:dyDescent="0.25">
      <c r="A2" s="7">
        <f>IF(E2=1,
      SUM($E$2:E2)-1,
"")</f>
        <v>0</v>
      </c>
      <c r="B2" s="6" t="s">
        <v>74</v>
      </c>
      <c r="C2" s="14">
        <v>45173</v>
      </c>
      <c r="D2" s="15">
        <v>68.010000000000005</v>
      </c>
      <c r="E2" s="7">
        <f t="shared" ref="E2:E65" si="0">IF(D2&gt;0,1,0)</f>
        <v>1</v>
      </c>
    </row>
    <row r="3" spans="1:7" x14ac:dyDescent="0.25">
      <c r="A3" s="7">
        <f>IF(E3=1,
      SUM($E$2:E3)-1,
"")</f>
        <v>1</v>
      </c>
      <c r="B3" s="6" t="s">
        <v>75</v>
      </c>
      <c r="C3" s="14">
        <v>45238</v>
      </c>
      <c r="D3" s="15">
        <v>171.37</v>
      </c>
      <c r="E3" s="7">
        <f t="shared" si="0"/>
        <v>1</v>
      </c>
    </row>
    <row r="4" spans="1:7" x14ac:dyDescent="0.25">
      <c r="A4" s="7">
        <f>IF(E4=1,
      SUM($E$2:E4)-1,
"")</f>
        <v>2</v>
      </c>
      <c r="B4" s="6" t="s">
        <v>76</v>
      </c>
      <c r="C4" s="14">
        <v>45266</v>
      </c>
      <c r="D4" s="15">
        <v>116.63</v>
      </c>
      <c r="E4" s="7">
        <f t="shared" si="0"/>
        <v>1</v>
      </c>
    </row>
    <row r="5" spans="1:7" x14ac:dyDescent="0.25">
      <c r="A5" s="7">
        <f>IF(E5=1,
      SUM($E$2:E5)-1,
"")</f>
        <v>3</v>
      </c>
      <c r="B5" s="6" t="s">
        <v>77</v>
      </c>
      <c r="C5" s="14">
        <v>45175</v>
      </c>
      <c r="D5" s="15">
        <v>128.87</v>
      </c>
      <c r="E5" s="7">
        <f t="shared" si="0"/>
        <v>1</v>
      </c>
    </row>
    <row r="6" spans="1:7" x14ac:dyDescent="0.25">
      <c r="A6" s="7">
        <f>IF(E6=1,
      SUM($E$2:E6)-1,
"")</f>
        <v>4</v>
      </c>
      <c r="B6" s="6" t="s">
        <v>78</v>
      </c>
      <c r="C6" s="14">
        <v>45072</v>
      </c>
      <c r="D6" s="15">
        <v>113.77</v>
      </c>
      <c r="E6" s="7">
        <f t="shared" si="0"/>
        <v>1</v>
      </c>
    </row>
    <row r="7" spans="1:7" x14ac:dyDescent="0.25">
      <c r="A7" s="7">
        <f>IF(E7=1,
      SUM($E$2:E7)-1,
"")</f>
        <v>5</v>
      </c>
      <c r="B7" s="6" t="s">
        <v>79</v>
      </c>
      <c r="C7" s="14">
        <v>45062</v>
      </c>
      <c r="D7" s="15">
        <v>86.43</v>
      </c>
      <c r="E7" s="7">
        <f t="shared" si="0"/>
        <v>1</v>
      </c>
    </row>
    <row r="8" spans="1:7" x14ac:dyDescent="0.25">
      <c r="A8" s="7">
        <f>IF(E8=1,
      SUM($E$2:E8)-1,
"")</f>
        <v>6</v>
      </c>
      <c r="B8" s="6" t="s">
        <v>80</v>
      </c>
      <c r="C8" s="14">
        <v>45240</v>
      </c>
      <c r="D8" s="15">
        <v>60.79</v>
      </c>
      <c r="E8" s="7">
        <f t="shared" si="0"/>
        <v>1</v>
      </c>
    </row>
    <row r="9" spans="1:7" x14ac:dyDescent="0.25">
      <c r="A9" s="7">
        <f>IF(E9=1,
      SUM($E$2:E9)-1,
"")</f>
        <v>7</v>
      </c>
      <c r="B9" s="6" t="s">
        <v>81</v>
      </c>
      <c r="C9" s="14">
        <v>44998</v>
      </c>
      <c r="D9" s="15">
        <v>91.04</v>
      </c>
      <c r="E9" s="7">
        <f t="shared" si="0"/>
        <v>1</v>
      </c>
    </row>
    <row r="10" spans="1:7" x14ac:dyDescent="0.25">
      <c r="A10" s="7">
        <f>IF(E10=1,
      SUM($E$2:E10)-1,
"")</f>
        <v>8</v>
      </c>
      <c r="B10" s="6" t="s">
        <v>82</v>
      </c>
      <c r="C10" s="14">
        <v>44972</v>
      </c>
      <c r="D10" s="15">
        <v>70.66</v>
      </c>
      <c r="E10" s="7">
        <f t="shared" si="0"/>
        <v>1</v>
      </c>
    </row>
    <row r="11" spans="1:7" x14ac:dyDescent="0.25">
      <c r="A11" s="7">
        <f>IF(E11=1,
      SUM($E$2:E11)-1,
"")</f>
        <v>9</v>
      </c>
      <c r="B11" s="6" t="s">
        <v>83</v>
      </c>
      <c r="C11" s="14">
        <v>45060</v>
      </c>
      <c r="D11" s="15">
        <v>72.459999999999994</v>
      </c>
      <c r="E11" s="7">
        <f t="shared" si="0"/>
        <v>1</v>
      </c>
    </row>
    <row r="12" spans="1:7" x14ac:dyDescent="0.25">
      <c r="A12" s="7">
        <f>IF(E12=1,
      SUM($E$2:E12)-1,
"")</f>
        <v>10</v>
      </c>
      <c r="B12" s="6" t="s">
        <v>84</v>
      </c>
      <c r="C12" s="14">
        <v>45135</v>
      </c>
      <c r="D12" s="15">
        <v>52.5</v>
      </c>
      <c r="E12" s="7">
        <f t="shared" si="0"/>
        <v>1</v>
      </c>
    </row>
    <row r="13" spans="1:7" x14ac:dyDescent="0.25">
      <c r="A13" s="7">
        <f>IF(E13=1,
      SUM($E$2:E13)-1,
"")</f>
        <v>11</v>
      </c>
      <c r="B13" s="6" t="s">
        <v>85</v>
      </c>
      <c r="C13" s="14">
        <v>45024</v>
      </c>
      <c r="D13" s="15">
        <v>103.43</v>
      </c>
      <c r="E13" s="7">
        <f t="shared" si="0"/>
        <v>1</v>
      </c>
    </row>
    <row r="14" spans="1:7" x14ac:dyDescent="0.25">
      <c r="A14" s="7">
        <f>IF(E14=1,
      SUM($E$2:E14)-1,
"")</f>
        <v>12</v>
      </c>
      <c r="B14" s="6" t="s">
        <v>86</v>
      </c>
      <c r="C14" s="14">
        <v>45272</v>
      </c>
      <c r="D14" s="15">
        <v>147.19999999999999</v>
      </c>
      <c r="E14" s="7">
        <f t="shared" si="0"/>
        <v>1</v>
      </c>
    </row>
    <row r="15" spans="1:7" x14ac:dyDescent="0.25">
      <c r="A15" s="7">
        <f>IF(E15=1,
      SUM($E$2:E15)-1,
"")</f>
        <v>13</v>
      </c>
      <c r="B15" s="6" t="s">
        <v>87</v>
      </c>
      <c r="C15" s="14">
        <v>45240</v>
      </c>
      <c r="D15" s="15">
        <v>116.74</v>
      </c>
      <c r="E15" s="7">
        <f t="shared" si="0"/>
        <v>1</v>
      </c>
    </row>
    <row r="16" spans="1:7" x14ac:dyDescent="0.25">
      <c r="A16" s="7">
        <f>IF(E16=1,
      SUM($E$2:E16)-1,
"")</f>
        <v>14</v>
      </c>
      <c r="B16" s="6" t="s">
        <v>88</v>
      </c>
      <c r="C16" s="14">
        <v>45018</v>
      </c>
      <c r="D16" s="15">
        <v>96.83</v>
      </c>
      <c r="E16" s="7">
        <f t="shared" si="0"/>
        <v>1</v>
      </c>
    </row>
    <row r="17" spans="1:5" x14ac:dyDescent="0.25">
      <c r="A17" s="7">
        <f>IF(E17=1,
      SUM($E$2:E17)-1,
"")</f>
        <v>15</v>
      </c>
      <c r="B17" s="6" t="s">
        <v>89</v>
      </c>
      <c r="C17" s="14">
        <v>44980</v>
      </c>
      <c r="D17" s="15">
        <v>98.78</v>
      </c>
      <c r="E17" s="7">
        <f t="shared" si="0"/>
        <v>1</v>
      </c>
    </row>
    <row r="18" spans="1:5" x14ac:dyDescent="0.25">
      <c r="A18" s="7">
        <f>IF(E18=1,
      SUM($E$2:E18)-1,
"")</f>
        <v>16</v>
      </c>
      <c r="B18" s="6" t="s">
        <v>90</v>
      </c>
      <c r="C18" s="14">
        <v>45012</v>
      </c>
      <c r="D18" s="15">
        <v>8.57</v>
      </c>
      <c r="E18" s="7">
        <f t="shared" si="0"/>
        <v>1</v>
      </c>
    </row>
    <row r="19" spans="1:5" x14ac:dyDescent="0.25">
      <c r="A19" s="7">
        <f>IF(E19=1,
      SUM($E$2:E19)-1,
"")</f>
        <v>17</v>
      </c>
      <c r="B19" s="6" t="s">
        <v>91</v>
      </c>
      <c r="C19" s="14">
        <v>45079</v>
      </c>
      <c r="D19" s="15">
        <v>87.28</v>
      </c>
      <c r="E19" s="7">
        <f t="shared" si="0"/>
        <v>1</v>
      </c>
    </row>
    <row r="20" spans="1:5" x14ac:dyDescent="0.25">
      <c r="A20" s="7">
        <f>IF(E20=1,
      SUM($E$2:E20)-1,
"")</f>
        <v>18</v>
      </c>
      <c r="B20" s="6" t="s">
        <v>92</v>
      </c>
      <c r="C20" s="14">
        <v>45262</v>
      </c>
      <c r="D20" s="15">
        <v>57.2</v>
      </c>
      <c r="E20" s="7">
        <f t="shared" si="0"/>
        <v>1</v>
      </c>
    </row>
    <row r="21" spans="1:5" x14ac:dyDescent="0.25">
      <c r="A21" s="7">
        <f>IF(E21=1,
      SUM($E$2:E21)-1,
"")</f>
        <v>19</v>
      </c>
      <c r="B21" s="6" t="s">
        <v>93</v>
      </c>
      <c r="C21" s="14">
        <v>44956</v>
      </c>
      <c r="D21" s="15">
        <v>104.03</v>
      </c>
      <c r="E21" s="7">
        <f t="shared" si="0"/>
        <v>1</v>
      </c>
    </row>
    <row r="22" spans="1:5" x14ac:dyDescent="0.25">
      <c r="A22" s="7">
        <f>IF(E22=1,
      SUM($E$2:E22)-1,
"")</f>
        <v>20</v>
      </c>
      <c r="B22" s="6" t="s">
        <v>94</v>
      </c>
      <c r="C22" s="14">
        <v>45110</v>
      </c>
      <c r="D22" s="15">
        <v>92.2</v>
      </c>
      <c r="E22" s="7">
        <f t="shared" si="0"/>
        <v>1</v>
      </c>
    </row>
    <row r="23" spans="1:5" x14ac:dyDescent="0.25">
      <c r="A23" s="7">
        <f>IF(E23=1,
      SUM($E$2:E23)-1,
"")</f>
        <v>21</v>
      </c>
      <c r="B23" s="6" t="s">
        <v>95</v>
      </c>
      <c r="C23" s="14">
        <v>45270</v>
      </c>
      <c r="D23" s="15">
        <v>73.92</v>
      </c>
      <c r="E23" s="7">
        <f t="shared" si="0"/>
        <v>1</v>
      </c>
    </row>
    <row r="24" spans="1:5" x14ac:dyDescent="0.25">
      <c r="A24" s="7">
        <f>IF(E24=1,
      SUM($E$2:E24)-1,
"")</f>
        <v>22</v>
      </c>
      <c r="B24" s="6" t="s">
        <v>96</v>
      </c>
      <c r="C24" s="14">
        <v>45261</v>
      </c>
      <c r="D24" s="15">
        <v>103.36</v>
      </c>
      <c r="E24" s="7">
        <f t="shared" si="0"/>
        <v>1</v>
      </c>
    </row>
    <row r="25" spans="1:5" x14ac:dyDescent="0.25">
      <c r="A25" s="7">
        <f>IF(E25=1,
      SUM($E$2:E25)-1,
"")</f>
        <v>23</v>
      </c>
      <c r="B25" s="6" t="s">
        <v>97</v>
      </c>
      <c r="C25" s="14">
        <v>45219</v>
      </c>
      <c r="D25" s="15">
        <v>103.1</v>
      </c>
      <c r="E25" s="7">
        <f t="shared" si="0"/>
        <v>1</v>
      </c>
    </row>
    <row r="26" spans="1:5" x14ac:dyDescent="0.25">
      <c r="A26" s="7">
        <f>IF(E26=1,
      SUM($E$2:E26)-1,
"")</f>
        <v>24</v>
      </c>
      <c r="B26" s="6" t="s">
        <v>98</v>
      </c>
      <c r="C26" s="14">
        <v>45283</v>
      </c>
      <c r="D26" s="15">
        <v>145.56</v>
      </c>
      <c r="E26" s="7">
        <f t="shared" si="0"/>
        <v>1</v>
      </c>
    </row>
    <row r="27" spans="1:5" x14ac:dyDescent="0.25">
      <c r="A27" s="7">
        <f>IF(E27=1,
      SUM($E$2:E27)-1,
"")</f>
        <v>25</v>
      </c>
      <c r="B27" s="6" t="s">
        <v>99</v>
      </c>
      <c r="C27" s="14">
        <v>45239</v>
      </c>
      <c r="D27" s="15">
        <v>120.59</v>
      </c>
      <c r="E27" s="7">
        <f t="shared" si="0"/>
        <v>1</v>
      </c>
    </row>
    <row r="28" spans="1:5" x14ac:dyDescent="0.25">
      <c r="A28" s="7">
        <f>IF(E28=1,
      SUM($E$2:E28)-1,
"")</f>
        <v>26</v>
      </c>
      <c r="B28" s="6" t="s">
        <v>100</v>
      </c>
      <c r="C28" s="14">
        <v>45241</v>
      </c>
      <c r="D28" s="15">
        <v>106.51</v>
      </c>
      <c r="E28" s="7">
        <f t="shared" si="0"/>
        <v>1</v>
      </c>
    </row>
    <row r="29" spans="1:5" x14ac:dyDescent="0.25">
      <c r="A29" s="7">
        <f>IF(E29=1,
      SUM($E$2:E29)-1,
"")</f>
        <v>27</v>
      </c>
      <c r="B29" s="6" t="s">
        <v>101</v>
      </c>
      <c r="C29" s="14">
        <v>45145</v>
      </c>
      <c r="D29" s="15">
        <v>71.569999999999993</v>
      </c>
      <c r="E29" s="7">
        <f t="shared" si="0"/>
        <v>1</v>
      </c>
    </row>
    <row r="30" spans="1:5" x14ac:dyDescent="0.25">
      <c r="A30" s="7">
        <f>IF(E30=1,
      SUM($E$2:E30)-1,
"")</f>
        <v>28</v>
      </c>
      <c r="B30" s="6" t="s">
        <v>102</v>
      </c>
      <c r="C30" s="14">
        <v>45133</v>
      </c>
      <c r="D30" s="15">
        <v>67.8</v>
      </c>
      <c r="E30" s="7">
        <f t="shared" si="0"/>
        <v>1</v>
      </c>
    </row>
    <row r="31" spans="1:5" x14ac:dyDescent="0.25">
      <c r="A31" s="7">
        <f>IF(E31=1,
      SUM($E$2:E31)-1,
"")</f>
        <v>29</v>
      </c>
      <c r="B31" s="6" t="s">
        <v>103</v>
      </c>
      <c r="C31" s="14">
        <v>45279</v>
      </c>
      <c r="D31" s="15">
        <v>117.97</v>
      </c>
      <c r="E31" s="7">
        <f t="shared" si="0"/>
        <v>1</v>
      </c>
    </row>
    <row r="32" spans="1:5" x14ac:dyDescent="0.25">
      <c r="A32" s="7">
        <f>IF(E32=1,
      SUM($E$2:E32)-1,
"")</f>
        <v>30</v>
      </c>
      <c r="B32" s="6" t="s">
        <v>104</v>
      </c>
      <c r="C32" s="14">
        <v>45115</v>
      </c>
      <c r="D32" s="15">
        <v>94</v>
      </c>
      <c r="E32" s="7">
        <f t="shared" si="0"/>
        <v>1</v>
      </c>
    </row>
    <row r="33" spans="1:5" x14ac:dyDescent="0.25">
      <c r="A33" s="7">
        <f>IF(E33=1,
      SUM($E$2:E33)-1,
"")</f>
        <v>31</v>
      </c>
      <c r="B33" s="6" t="s">
        <v>105</v>
      </c>
      <c r="C33" s="14">
        <v>45240</v>
      </c>
      <c r="D33" s="15">
        <v>107.48</v>
      </c>
      <c r="E33" s="7">
        <f t="shared" si="0"/>
        <v>1</v>
      </c>
    </row>
    <row r="34" spans="1:5" x14ac:dyDescent="0.25">
      <c r="A34" s="7">
        <f>IF(E34=1,
      SUM($E$2:E34)-1,
"")</f>
        <v>32</v>
      </c>
      <c r="B34" s="6" t="s">
        <v>106</v>
      </c>
      <c r="C34" s="14">
        <v>44958</v>
      </c>
      <c r="D34" s="15">
        <v>129.34</v>
      </c>
      <c r="E34" s="7">
        <f t="shared" si="0"/>
        <v>1</v>
      </c>
    </row>
    <row r="35" spans="1:5" x14ac:dyDescent="0.25">
      <c r="A35" s="7">
        <f>IF(E35=1,
      SUM($E$2:E35)-1,
"")</f>
        <v>33</v>
      </c>
      <c r="B35" s="6" t="s">
        <v>107</v>
      </c>
      <c r="C35" s="14">
        <v>45271</v>
      </c>
      <c r="D35" s="15">
        <v>54.61</v>
      </c>
      <c r="E35" s="7">
        <f t="shared" si="0"/>
        <v>1</v>
      </c>
    </row>
    <row r="36" spans="1:5" x14ac:dyDescent="0.25">
      <c r="A36" s="7">
        <f>IF(E36=1,
      SUM($E$2:E36)-1,
"")</f>
        <v>34</v>
      </c>
      <c r="B36" s="6" t="s">
        <v>108</v>
      </c>
      <c r="C36" s="14">
        <v>45263</v>
      </c>
      <c r="D36" s="15">
        <v>141.91</v>
      </c>
      <c r="E36" s="7">
        <f t="shared" si="0"/>
        <v>1</v>
      </c>
    </row>
    <row r="37" spans="1:5" x14ac:dyDescent="0.25">
      <c r="A37" s="7">
        <f>IF(E37=1,
      SUM($E$2:E37)-1,
"")</f>
        <v>35</v>
      </c>
      <c r="B37" s="6" t="s">
        <v>109</v>
      </c>
      <c r="C37" s="14">
        <v>45102</v>
      </c>
      <c r="D37" s="15">
        <v>129.08000000000001</v>
      </c>
      <c r="E37" s="7">
        <f t="shared" si="0"/>
        <v>1</v>
      </c>
    </row>
    <row r="38" spans="1:5" x14ac:dyDescent="0.25">
      <c r="A38" s="7">
        <f>IF(E38=1,
      SUM($E$2:E38)-1,
"")</f>
        <v>36</v>
      </c>
      <c r="B38" s="6" t="s">
        <v>110</v>
      </c>
      <c r="C38" s="14">
        <v>45033</v>
      </c>
      <c r="D38" s="15">
        <v>38.369999999999997</v>
      </c>
      <c r="E38" s="7">
        <f t="shared" si="0"/>
        <v>1</v>
      </c>
    </row>
    <row r="39" spans="1:5" x14ac:dyDescent="0.25">
      <c r="A39" s="7">
        <f>IF(E39=1,
      SUM($E$2:E39)-1,
"")</f>
        <v>37</v>
      </c>
      <c r="B39" s="6" t="s">
        <v>111</v>
      </c>
      <c r="C39" s="14">
        <v>45088</v>
      </c>
      <c r="D39" s="15">
        <v>170.59</v>
      </c>
      <c r="E39" s="7">
        <f t="shared" si="0"/>
        <v>1</v>
      </c>
    </row>
    <row r="40" spans="1:5" x14ac:dyDescent="0.25">
      <c r="A40" s="7">
        <f>IF(E40=1,
      SUM($E$2:E40)-1,
"")</f>
        <v>38</v>
      </c>
      <c r="B40" s="6" t="s">
        <v>112</v>
      </c>
      <c r="C40" s="14">
        <v>45234</v>
      </c>
      <c r="D40" s="15">
        <v>109.64</v>
      </c>
      <c r="E40" s="7">
        <f t="shared" si="0"/>
        <v>1</v>
      </c>
    </row>
    <row r="41" spans="1:5" x14ac:dyDescent="0.25">
      <c r="A41" s="7">
        <f>IF(E41=1,
      SUM($E$2:E41)-1,
"")</f>
        <v>39</v>
      </c>
      <c r="B41" s="6" t="s">
        <v>113</v>
      </c>
      <c r="C41" s="14">
        <v>45029</v>
      </c>
      <c r="D41" s="15">
        <v>85.64</v>
      </c>
      <c r="E41" s="7">
        <f t="shared" si="0"/>
        <v>1</v>
      </c>
    </row>
    <row r="42" spans="1:5" x14ac:dyDescent="0.25">
      <c r="A42" s="7">
        <f>IF(E42=1,
      SUM($E$2:E42)-1,
"")</f>
        <v>40</v>
      </c>
      <c r="B42" s="6" t="s">
        <v>114</v>
      </c>
      <c r="C42" s="14">
        <v>45281</v>
      </c>
      <c r="D42" s="15">
        <v>115.57</v>
      </c>
      <c r="E42" s="7">
        <f t="shared" si="0"/>
        <v>1</v>
      </c>
    </row>
    <row r="43" spans="1:5" x14ac:dyDescent="0.25">
      <c r="A43" s="7">
        <f>IF(E43=1,
      SUM($E$2:E43)-1,
"")</f>
        <v>41</v>
      </c>
      <c r="B43" s="6" t="s">
        <v>115</v>
      </c>
      <c r="C43" s="14">
        <v>45174</v>
      </c>
      <c r="D43" s="15">
        <v>70.680000000000007</v>
      </c>
      <c r="E43" s="7">
        <f t="shared" si="0"/>
        <v>1</v>
      </c>
    </row>
    <row r="44" spans="1:5" x14ac:dyDescent="0.25">
      <c r="A44" s="7">
        <f>IF(E44=1,
      SUM($E$2:E44)-1,
"")</f>
        <v>42</v>
      </c>
      <c r="B44" s="6" t="s">
        <v>116</v>
      </c>
      <c r="C44" s="14">
        <v>45003</v>
      </c>
      <c r="D44" s="15">
        <v>116.38</v>
      </c>
      <c r="E44" s="7">
        <f t="shared" si="0"/>
        <v>1</v>
      </c>
    </row>
    <row r="45" spans="1:5" x14ac:dyDescent="0.25">
      <c r="A45" s="7">
        <f>IF(E45=1,
      SUM($E$2:E45)-1,
"")</f>
        <v>43</v>
      </c>
      <c r="B45" s="6" t="s">
        <v>117</v>
      </c>
      <c r="C45" s="14">
        <v>44955</v>
      </c>
      <c r="D45" s="15">
        <v>76.2</v>
      </c>
      <c r="E45" s="7">
        <f t="shared" si="0"/>
        <v>1</v>
      </c>
    </row>
    <row r="46" spans="1:5" x14ac:dyDescent="0.25">
      <c r="A46" s="7">
        <f>IF(E46=1,
      SUM($E$2:E46)-1,
"")</f>
        <v>44</v>
      </c>
      <c r="B46" s="6" t="s">
        <v>118</v>
      </c>
      <c r="C46" s="14">
        <v>45045</v>
      </c>
      <c r="D46" s="15">
        <v>160.61000000000001</v>
      </c>
      <c r="E46" s="7">
        <f t="shared" si="0"/>
        <v>1</v>
      </c>
    </row>
    <row r="47" spans="1:5" x14ac:dyDescent="0.25">
      <c r="A47" s="7">
        <f>IF(E47=1,
      SUM($E$2:E47)-1,
"")</f>
        <v>45</v>
      </c>
      <c r="B47" s="6" t="s">
        <v>119</v>
      </c>
      <c r="C47" s="14">
        <v>44939</v>
      </c>
      <c r="D47" s="15">
        <v>101.8</v>
      </c>
      <c r="E47" s="7">
        <f t="shared" si="0"/>
        <v>1</v>
      </c>
    </row>
    <row r="48" spans="1:5" x14ac:dyDescent="0.25">
      <c r="A48" s="7">
        <f>IF(E48=1,
      SUM($E$2:E48)-1,
"")</f>
        <v>46</v>
      </c>
      <c r="B48" s="6" t="s">
        <v>120</v>
      </c>
      <c r="C48" s="14">
        <v>45166</v>
      </c>
      <c r="D48" s="15">
        <v>119.49</v>
      </c>
      <c r="E48" s="7">
        <f t="shared" si="0"/>
        <v>1</v>
      </c>
    </row>
    <row r="49" spans="1:5" x14ac:dyDescent="0.25">
      <c r="A49" s="7">
        <f>IF(E49=1,
      SUM($E$2:E49)-1,
"")</f>
        <v>47</v>
      </c>
      <c r="B49" s="6" t="s">
        <v>121</v>
      </c>
      <c r="C49" s="14">
        <v>45218</v>
      </c>
      <c r="D49" s="15">
        <v>76.42</v>
      </c>
      <c r="E49" s="7">
        <f t="shared" si="0"/>
        <v>1</v>
      </c>
    </row>
    <row r="50" spans="1:5" x14ac:dyDescent="0.25">
      <c r="A50" s="7">
        <f>IF(E50=1,
      SUM($E$2:E50)-1,
"")</f>
        <v>48</v>
      </c>
      <c r="B50" s="6" t="s">
        <v>122</v>
      </c>
      <c r="C50" s="14">
        <v>44932</v>
      </c>
      <c r="D50" s="15">
        <v>124.49</v>
      </c>
      <c r="E50" s="7">
        <f t="shared" si="0"/>
        <v>1</v>
      </c>
    </row>
    <row r="51" spans="1:5" x14ac:dyDescent="0.25">
      <c r="A51" s="7">
        <f>IF(E51=1,
      SUM($E$2:E51)-1,
"")</f>
        <v>49</v>
      </c>
      <c r="B51" s="6" t="s">
        <v>123</v>
      </c>
      <c r="C51" s="14">
        <v>45089</v>
      </c>
      <c r="D51" s="15">
        <v>99.62</v>
      </c>
      <c r="E51" s="7">
        <f t="shared" si="0"/>
        <v>1</v>
      </c>
    </row>
    <row r="52" spans="1:5" x14ac:dyDescent="0.25">
      <c r="A52" s="7">
        <f>IF(E52=1,
      SUM($E$2:E52)-1,
"")</f>
        <v>50</v>
      </c>
      <c r="B52" s="6" t="s">
        <v>122</v>
      </c>
      <c r="C52" s="14">
        <v>45244</v>
      </c>
      <c r="D52" s="15">
        <v>57.64</v>
      </c>
      <c r="E52" s="7">
        <f t="shared" si="0"/>
        <v>1</v>
      </c>
    </row>
    <row r="53" spans="1:5" x14ac:dyDescent="0.25">
      <c r="A53" s="7">
        <f>IF(E53=1,
      SUM($E$2:E53)-1,
"")</f>
        <v>51</v>
      </c>
      <c r="B53" s="6" t="s">
        <v>124</v>
      </c>
      <c r="C53" s="14">
        <v>45214</v>
      </c>
      <c r="D53" s="15">
        <v>92.84</v>
      </c>
      <c r="E53" s="7">
        <f t="shared" si="0"/>
        <v>1</v>
      </c>
    </row>
    <row r="54" spans="1:5" x14ac:dyDescent="0.25">
      <c r="A54" s="7">
        <f>IF(E54=1,
      SUM($E$2:E54)-1,
"")</f>
        <v>52</v>
      </c>
      <c r="B54" s="6" t="s">
        <v>125</v>
      </c>
      <c r="C54" s="14">
        <v>45052</v>
      </c>
      <c r="D54" s="15">
        <v>157.93</v>
      </c>
      <c r="E54" s="7">
        <f t="shared" si="0"/>
        <v>1</v>
      </c>
    </row>
    <row r="55" spans="1:5" x14ac:dyDescent="0.25">
      <c r="A55" s="7">
        <f>IF(E55=1,
      SUM($E$2:E55)-1,
"")</f>
        <v>53</v>
      </c>
      <c r="B55" s="6" t="s">
        <v>126</v>
      </c>
      <c r="C55" s="14">
        <v>44944</v>
      </c>
      <c r="D55" s="15">
        <v>125.77</v>
      </c>
      <c r="E55" s="7">
        <f t="shared" si="0"/>
        <v>1</v>
      </c>
    </row>
    <row r="56" spans="1:5" x14ac:dyDescent="0.25">
      <c r="A56" s="7">
        <f>IF(E56=1,
      SUM($E$2:E56)-1,
"")</f>
        <v>54</v>
      </c>
      <c r="B56" s="6" t="s">
        <v>127</v>
      </c>
      <c r="C56" s="14">
        <v>45139</v>
      </c>
      <c r="D56" s="15">
        <v>88.63</v>
      </c>
      <c r="E56" s="7">
        <f t="shared" si="0"/>
        <v>1</v>
      </c>
    </row>
    <row r="57" spans="1:5" x14ac:dyDescent="0.25">
      <c r="A57" s="7">
        <f>IF(E57=1,
      SUM($E$2:E57)-1,
"")</f>
        <v>55</v>
      </c>
      <c r="B57" s="6" t="s">
        <v>128</v>
      </c>
      <c r="C57" s="14">
        <v>45019</v>
      </c>
      <c r="D57" s="15">
        <v>43.93</v>
      </c>
      <c r="E57" s="7">
        <f t="shared" si="0"/>
        <v>1</v>
      </c>
    </row>
    <row r="58" spans="1:5" x14ac:dyDescent="0.25">
      <c r="A58" s="7">
        <f>IF(E58=1,
      SUM($E$2:E58)-1,
"")</f>
        <v>56</v>
      </c>
      <c r="B58" s="6" t="s">
        <v>129</v>
      </c>
      <c r="C58" s="14">
        <v>45197</v>
      </c>
      <c r="D58" s="15">
        <v>75.03</v>
      </c>
      <c r="E58" s="7">
        <f t="shared" si="0"/>
        <v>1</v>
      </c>
    </row>
    <row r="59" spans="1:5" x14ac:dyDescent="0.25">
      <c r="A59" s="7">
        <f>IF(E59=1,
      SUM($E$2:E59)-1,
"")</f>
        <v>57</v>
      </c>
      <c r="B59" s="6" t="s">
        <v>93</v>
      </c>
      <c r="C59" s="14">
        <v>45079</v>
      </c>
      <c r="D59" s="15">
        <v>57.81</v>
      </c>
      <c r="E59" s="7">
        <f t="shared" si="0"/>
        <v>1</v>
      </c>
    </row>
    <row r="60" spans="1:5" x14ac:dyDescent="0.25">
      <c r="A60" s="7">
        <f>IF(E60=1,
      SUM($E$2:E60)-1,
"")</f>
        <v>58</v>
      </c>
      <c r="B60" s="6" t="s">
        <v>130</v>
      </c>
      <c r="C60" s="14">
        <v>44999</v>
      </c>
      <c r="D60" s="15">
        <v>44.65</v>
      </c>
      <c r="E60" s="7">
        <f t="shared" si="0"/>
        <v>1</v>
      </c>
    </row>
    <row r="61" spans="1:5" x14ac:dyDescent="0.25">
      <c r="A61" s="7">
        <f>IF(E61=1,
      SUM($E$2:E61)-1,
"")</f>
        <v>59</v>
      </c>
      <c r="B61" s="6" t="s">
        <v>131</v>
      </c>
      <c r="C61" s="14">
        <v>45084</v>
      </c>
      <c r="D61" s="15">
        <v>123.57</v>
      </c>
      <c r="E61" s="7">
        <f t="shared" si="0"/>
        <v>1</v>
      </c>
    </row>
    <row r="62" spans="1:5" x14ac:dyDescent="0.25">
      <c r="A62" s="7">
        <f>IF(E62=1,
      SUM($E$2:E62)-1,
"")</f>
        <v>60</v>
      </c>
      <c r="B62" s="6" t="s">
        <v>132</v>
      </c>
      <c r="C62" s="14">
        <v>44950</v>
      </c>
      <c r="D62" s="15">
        <v>101.87</v>
      </c>
      <c r="E62" s="7">
        <f t="shared" si="0"/>
        <v>1</v>
      </c>
    </row>
    <row r="63" spans="1:5" x14ac:dyDescent="0.25">
      <c r="A63" s="7">
        <f>IF(E63=1,
      SUM($E$2:E63)-1,
"")</f>
        <v>61</v>
      </c>
      <c r="B63" s="6" t="s">
        <v>81</v>
      </c>
      <c r="C63" s="14">
        <v>45205</v>
      </c>
      <c r="D63" s="15">
        <v>153.85</v>
      </c>
      <c r="E63" s="7">
        <f t="shared" si="0"/>
        <v>1</v>
      </c>
    </row>
    <row r="64" spans="1:5" x14ac:dyDescent="0.25">
      <c r="A64" s="7">
        <f>IF(E64=1,
      SUM($E$2:E64)-1,
"")</f>
        <v>62</v>
      </c>
      <c r="B64" s="6" t="s">
        <v>133</v>
      </c>
      <c r="C64" s="14">
        <v>44987</v>
      </c>
      <c r="D64" s="15">
        <v>70.069999999999993</v>
      </c>
      <c r="E64" s="7">
        <f t="shared" si="0"/>
        <v>1</v>
      </c>
    </row>
    <row r="65" spans="1:5" x14ac:dyDescent="0.25">
      <c r="A65" s="7">
        <f>IF(E65=1,
      SUM($E$2:E65)-1,
"")</f>
        <v>63</v>
      </c>
      <c r="B65" s="6" t="s">
        <v>134</v>
      </c>
      <c r="C65" s="14">
        <v>45029</v>
      </c>
      <c r="D65" s="15">
        <v>99.93</v>
      </c>
      <c r="E65" s="7">
        <f t="shared" si="0"/>
        <v>1</v>
      </c>
    </row>
    <row r="66" spans="1:5" x14ac:dyDescent="0.25">
      <c r="A66" s="7">
        <f>IF(E66=1,
      SUM($E$2:E66)-1,
"")</f>
        <v>64</v>
      </c>
      <c r="B66" s="6" t="s">
        <v>135</v>
      </c>
      <c r="C66" s="14">
        <v>44968</v>
      </c>
      <c r="D66" s="15">
        <v>58.17</v>
      </c>
      <c r="E66" s="7">
        <f t="shared" ref="E66:E129" si="1">IF(D66&gt;0,1,0)</f>
        <v>1</v>
      </c>
    </row>
    <row r="67" spans="1:5" x14ac:dyDescent="0.25">
      <c r="A67" s="7">
        <f>IF(E67=1,
      SUM($E$2:E67)-1,
"")</f>
        <v>65</v>
      </c>
      <c r="B67" s="6" t="s">
        <v>136</v>
      </c>
      <c r="C67" s="14">
        <v>44973</v>
      </c>
      <c r="D67" s="15">
        <v>82.15</v>
      </c>
      <c r="E67" s="7">
        <f t="shared" si="1"/>
        <v>1</v>
      </c>
    </row>
    <row r="68" spans="1:5" x14ac:dyDescent="0.25">
      <c r="A68" s="7">
        <f>IF(E68=1,
      SUM($E$2:E68)-1,
"")</f>
        <v>66</v>
      </c>
      <c r="B68" s="6" t="s">
        <v>137</v>
      </c>
      <c r="C68" s="14">
        <v>45136</v>
      </c>
      <c r="D68" s="15">
        <v>93.34</v>
      </c>
      <c r="E68" s="7">
        <f t="shared" si="1"/>
        <v>1</v>
      </c>
    </row>
    <row r="69" spans="1:5" x14ac:dyDescent="0.25">
      <c r="A69" s="7">
        <f>IF(E69=1,
      SUM($E$2:E69)-1,
"")</f>
        <v>67</v>
      </c>
      <c r="B69" s="6" t="s">
        <v>138</v>
      </c>
      <c r="C69" s="14">
        <v>45137</v>
      </c>
      <c r="D69" s="15">
        <v>88.76</v>
      </c>
      <c r="E69" s="7">
        <f t="shared" si="1"/>
        <v>1</v>
      </c>
    </row>
    <row r="70" spans="1:5" x14ac:dyDescent="0.25">
      <c r="A70" s="7">
        <f>IF(E70=1,
      SUM($E$2:E70)-1,
"")</f>
        <v>68</v>
      </c>
      <c r="B70" s="6" t="s">
        <v>139</v>
      </c>
      <c r="C70" s="14">
        <v>45154</v>
      </c>
      <c r="D70" s="15">
        <v>101.61</v>
      </c>
      <c r="E70" s="7">
        <f t="shared" si="1"/>
        <v>1</v>
      </c>
    </row>
    <row r="71" spans="1:5" x14ac:dyDescent="0.25">
      <c r="A71" s="7">
        <f>IF(E71=1,
      SUM($E$2:E71)-1,
"")</f>
        <v>69</v>
      </c>
      <c r="B71" s="6" t="s">
        <v>140</v>
      </c>
      <c r="C71" s="14">
        <v>45172</v>
      </c>
      <c r="D71" s="15">
        <v>129.15</v>
      </c>
      <c r="E71" s="7">
        <f t="shared" si="1"/>
        <v>1</v>
      </c>
    </row>
    <row r="72" spans="1:5" x14ac:dyDescent="0.25">
      <c r="A72" s="7">
        <f>IF(E72=1,
      SUM($E$2:E72)-1,
"")</f>
        <v>70</v>
      </c>
      <c r="B72" s="6" t="s">
        <v>141</v>
      </c>
      <c r="C72" s="14">
        <v>45228</v>
      </c>
      <c r="D72" s="15">
        <v>125.99</v>
      </c>
      <c r="E72" s="7">
        <f t="shared" si="1"/>
        <v>1</v>
      </c>
    </row>
    <row r="73" spans="1:5" x14ac:dyDescent="0.25">
      <c r="A73" s="7">
        <f>IF(E73=1,
      SUM($E$2:E73)-1,
"")</f>
        <v>71</v>
      </c>
      <c r="B73" s="6" t="s">
        <v>142</v>
      </c>
      <c r="C73" s="14">
        <v>45186</v>
      </c>
      <c r="D73" s="15">
        <v>76.92</v>
      </c>
      <c r="E73" s="7">
        <f t="shared" si="1"/>
        <v>1</v>
      </c>
    </row>
    <row r="74" spans="1:5" x14ac:dyDescent="0.25">
      <c r="A74" s="7">
        <f>IF(E74=1,
      SUM($E$2:E74)-1,
"")</f>
        <v>72</v>
      </c>
      <c r="B74" s="6" t="s">
        <v>143</v>
      </c>
      <c r="C74" s="14">
        <v>45146</v>
      </c>
      <c r="D74" s="15">
        <v>99.09</v>
      </c>
      <c r="E74" s="7">
        <f t="shared" si="1"/>
        <v>1</v>
      </c>
    </row>
    <row r="75" spans="1:5" x14ac:dyDescent="0.25">
      <c r="A75" s="7">
        <f>IF(E75=1,
      SUM($E$2:E75)-1,
"")</f>
        <v>73</v>
      </c>
      <c r="B75" s="6" t="s">
        <v>144</v>
      </c>
      <c r="C75" s="14">
        <v>45156</v>
      </c>
      <c r="D75" s="15">
        <v>123.82</v>
      </c>
      <c r="E75" s="7">
        <f t="shared" si="1"/>
        <v>1</v>
      </c>
    </row>
    <row r="76" spans="1:5" x14ac:dyDescent="0.25">
      <c r="A76" s="7">
        <f>IF(E76=1,
      SUM($E$2:E76)-1,
"")</f>
        <v>74</v>
      </c>
      <c r="B76" s="6" t="s">
        <v>145</v>
      </c>
      <c r="C76" s="14">
        <v>45131</v>
      </c>
      <c r="D76" s="15">
        <v>131.07</v>
      </c>
      <c r="E76" s="7">
        <f t="shared" si="1"/>
        <v>1</v>
      </c>
    </row>
    <row r="77" spans="1:5" x14ac:dyDescent="0.25">
      <c r="A77" s="7">
        <f>IF(E77=1,
      SUM($E$2:E77)-1,
"")</f>
        <v>75</v>
      </c>
      <c r="B77" s="6" t="s">
        <v>146</v>
      </c>
      <c r="C77" s="14">
        <v>45193</v>
      </c>
      <c r="D77" s="15">
        <v>80.17</v>
      </c>
      <c r="E77" s="7">
        <f t="shared" si="1"/>
        <v>1</v>
      </c>
    </row>
    <row r="78" spans="1:5" x14ac:dyDescent="0.25">
      <c r="A78" s="7">
        <f>IF(E78=1,
      SUM($E$2:E78)-1,
"")</f>
        <v>76</v>
      </c>
      <c r="B78" s="6" t="s">
        <v>147</v>
      </c>
      <c r="C78" s="14">
        <v>44955</v>
      </c>
      <c r="D78" s="15">
        <v>121.24</v>
      </c>
      <c r="E78" s="7">
        <f t="shared" si="1"/>
        <v>1</v>
      </c>
    </row>
    <row r="79" spans="1:5" x14ac:dyDescent="0.25">
      <c r="A79" s="7">
        <f>IF(E79=1,
      SUM($E$2:E79)-1,
"")</f>
        <v>77</v>
      </c>
      <c r="B79" s="6" t="s">
        <v>103</v>
      </c>
      <c r="C79" s="14">
        <v>44986</v>
      </c>
      <c r="D79" s="15">
        <v>109.93</v>
      </c>
      <c r="E79" s="7">
        <f t="shared" si="1"/>
        <v>1</v>
      </c>
    </row>
    <row r="80" spans="1:5" x14ac:dyDescent="0.25">
      <c r="A80" s="7">
        <f>IF(E80=1,
      SUM($E$2:E80)-1,
"")</f>
        <v>78</v>
      </c>
      <c r="B80" s="6" t="s">
        <v>148</v>
      </c>
      <c r="C80" s="14">
        <v>45152</v>
      </c>
      <c r="D80" s="15">
        <v>68.02</v>
      </c>
      <c r="E80" s="7">
        <f t="shared" si="1"/>
        <v>1</v>
      </c>
    </row>
    <row r="81" spans="1:5" x14ac:dyDescent="0.25">
      <c r="A81" s="7">
        <f>IF(E81=1,
      SUM($E$2:E81)-1,
"")</f>
        <v>79</v>
      </c>
      <c r="B81" s="6" t="s">
        <v>149</v>
      </c>
      <c r="C81" s="14">
        <v>45210</v>
      </c>
      <c r="D81" s="15">
        <v>124</v>
      </c>
      <c r="E81" s="7">
        <f t="shared" si="1"/>
        <v>1</v>
      </c>
    </row>
    <row r="82" spans="1:5" x14ac:dyDescent="0.25">
      <c r="A82" s="7">
        <f>IF(E82=1,
      SUM($E$2:E82)-1,
"")</f>
        <v>80</v>
      </c>
      <c r="B82" s="6" t="s">
        <v>150</v>
      </c>
      <c r="C82" s="14">
        <v>45116</v>
      </c>
      <c r="D82" s="15">
        <v>104.55</v>
      </c>
      <c r="E82" s="7">
        <f t="shared" si="1"/>
        <v>1</v>
      </c>
    </row>
    <row r="83" spans="1:5" x14ac:dyDescent="0.25">
      <c r="A83" s="7">
        <f>IF(E83=1,
      SUM($E$2:E83)-1,
"")</f>
        <v>81</v>
      </c>
      <c r="B83" s="6" t="s">
        <v>151</v>
      </c>
      <c r="C83" s="14">
        <v>45095</v>
      </c>
      <c r="D83" s="15">
        <v>47.76</v>
      </c>
      <c r="E83" s="7">
        <f t="shared" si="1"/>
        <v>1</v>
      </c>
    </row>
    <row r="84" spans="1:5" x14ac:dyDescent="0.25">
      <c r="A84" s="7">
        <f>IF(E84=1,
      SUM($E$2:E84)-1,
"")</f>
        <v>82</v>
      </c>
      <c r="B84" s="6" t="s">
        <v>152</v>
      </c>
      <c r="C84" s="14">
        <v>45181</v>
      </c>
      <c r="D84" s="15">
        <v>91.18</v>
      </c>
      <c r="E84" s="7">
        <f t="shared" si="1"/>
        <v>1</v>
      </c>
    </row>
    <row r="85" spans="1:5" x14ac:dyDescent="0.25">
      <c r="A85" s="7">
        <f>IF(E85=1,
      SUM($E$2:E85)-1,
"")</f>
        <v>83</v>
      </c>
      <c r="B85" s="6" t="s">
        <v>153</v>
      </c>
      <c r="C85" s="14">
        <v>45237</v>
      </c>
      <c r="D85" s="15">
        <v>101.2</v>
      </c>
      <c r="E85" s="7">
        <f t="shared" si="1"/>
        <v>1</v>
      </c>
    </row>
    <row r="86" spans="1:5" x14ac:dyDescent="0.25">
      <c r="A86" s="7">
        <f>IF(E86=1,
      SUM($E$2:E86)-1,
"")</f>
        <v>84</v>
      </c>
      <c r="B86" s="6" t="s">
        <v>154</v>
      </c>
      <c r="C86" s="14">
        <v>45114</v>
      </c>
      <c r="D86" s="15">
        <v>81.83</v>
      </c>
      <c r="E86" s="7">
        <f t="shared" si="1"/>
        <v>1</v>
      </c>
    </row>
    <row r="87" spans="1:5" x14ac:dyDescent="0.25">
      <c r="A87" s="7">
        <f>IF(E87=1,
      SUM($E$2:E87)-1,
"")</f>
        <v>85</v>
      </c>
      <c r="B87" s="6" t="s">
        <v>155</v>
      </c>
      <c r="C87" s="14">
        <v>45107</v>
      </c>
      <c r="D87" s="15">
        <v>136.85</v>
      </c>
      <c r="E87" s="7">
        <f t="shared" si="1"/>
        <v>1</v>
      </c>
    </row>
    <row r="88" spans="1:5" x14ac:dyDescent="0.25">
      <c r="A88" s="7">
        <f>IF(E88=1,
      SUM($E$2:E88)-1,
"")</f>
        <v>86</v>
      </c>
      <c r="B88" s="6" t="s">
        <v>156</v>
      </c>
      <c r="C88" s="14">
        <v>45075</v>
      </c>
      <c r="D88" s="15">
        <v>137.93</v>
      </c>
      <c r="E88" s="7">
        <f t="shared" si="1"/>
        <v>1</v>
      </c>
    </row>
    <row r="89" spans="1:5" x14ac:dyDescent="0.25">
      <c r="A89" s="7">
        <f>IF(E89=1,
      SUM($E$2:E89)-1,
"")</f>
        <v>87</v>
      </c>
      <c r="B89" s="6" t="s">
        <v>157</v>
      </c>
      <c r="C89" s="14">
        <v>44977</v>
      </c>
      <c r="D89" s="15">
        <v>88.53</v>
      </c>
      <c r="E89" s="7">
        <f t="shared" si="1"/>
        <v>1</v>
      </c>
    </row>
    <row r="90" spans="1:5" x14ac:dyDescent="0.25">
      <c r="A90" s="7">
        <f>IF(E90=1,
      SUM($E$2:E90)-1,
"")</f>
        <v>88</v>
      </c>
      <c r="B90" s="6" t="s">
        <v>91</v>
      </c>
      <c r="C90" s="14">
        <v>45076</v>
      </c>
      <c r="D90" s="15">
        <v>85.23</v>
      </c>
      <c r="E90" s="7">
        <f t="shared" si="1"/>
        <v>1</v>
      </c>
    </row>
    <row r="91" spans="1:5" x14ac:dyDescent="0.25">
      <c r="A91" s="7">
        <f>IF(E91=1,
      SUM($E$2:E91)-1,
"")</f>
        <v>89</v>
      </c>
      <c r="B91" s="6" t="s">
        <v>136</v>
      </c>
      <c r="C91" s="14">
        <v>45173</v>
      </c>
      <c r="D91" s="15">
        <v>96.06</v>
      </c>
      <c r="E91" s="7">
        <f t="shared" si="1"/>
        <v>1</v>
      </c>
    </row>
    <row r="92" spans="1:5" x14ac:dyDescent="0.25">
      <c r="A92" s="7">
        <f>IF(E92=1,
      SUM($E$2:E92)-1,
"")</f>
        <v>90</v>
      </c>
      <c r="B92" s="6" t="s">
        <v>158</v>
      </c>
      <c r="C92" s="14">
        <v>45118</v>
      </c>
      <c r="D92" s="15">
        <v>94</v>
      </c>
      <c r="E92" s="7">
        <f t="shared" si="1"/>
        <v>1</v>
      </c>
    </row>
    <row r="93" spans="1:5" x14ac:dyDescent="0.25">
      <c r="A93" s="7">
        <f>IF(E93=1,
      SUM($E$2:E93)-1,
"")</f>
        <v>91</v>
      </c>
      <c r="B93" s="6" t="s">
        <v>159</v>
      </c>
      <c r="C93" s="14">
        <v>45270</v>
      </c>
      <c r="D93" s="15">
        <v>82.22</v>
      </c>
      <c r="E93" s="7">
        <f t="shared" si="1"/>
        <v>1</v>
      </c>
    </row>
    <row r="94" spans="1:5" x14ac:dyDescent="0.25">
      <c r="A94" s="7" t="str">
        <f>IF(E94=1,
      SUM($E$2:E94)-1,
"")</f>
        <v/>
      </c>
      <c r="B94" s="6" t="s">
        <v>160</v>
      </c>
      <c r="C94" s="14">
        <v>45080</v>
      </c>
      <c r="D94" s="15">
        <v>-11.26</v>
      </c>
      <c r="E94" s="7">
        <f t="shared" si="1"/>
        <v>0</v>
      </c>
    </row>
    <row r="95" spans="1:5" x14ac:dyDescent="0.25">
      <c r="A95" s="7">
        <f>IF(E95=1,
      SUM($E$2:E95)-1,
"")</f>
        <v>92</v>
      </c>
      <c r="B95" s="6" t="s">
        <v>161</v>
      </c>
      <c r="C95" s="14">
        <v>45058</v>
      </c>
      <c r="D95" s="15">
        <v>152.63999999999999</v>
      </c>
      <c r="E95" s="7">
        <f t="shared" si="1"/>
        <v>1</v>
      </c>
    </row>
    <row r="96" spans="1:5" x14ac:dyDescent="0.25">
      <c r="A96" s="7">
        <f>IF(E96=1,
      SUM($E$2:E96)-1,
"")</f>
        <v>93</v>
      </c>
      <c r="B96" s="6" t="s">
        <v>162</v>
      </c>
      <c r="C96" s="14">
        <v>45280</v>
      </c>
      <c r="D96" s="15">
        <v>100.01</v>
      </c>
      <c r="E96" s="7">
        <f t="shared" si="1"/>
        <v>1</v>
      </c>
    </row>
    <row r="97" spans="1:5" x14ac:dyDescent="0.25">
      <c r="A97" s="7">
        <f>IF(E97=1,
      SUM($E$2:E97)-1,
"")</f>
        <v>94</v>
      </c>
      <c r="B97" s="6" t="s">
        <v>163</v>
      </c>
      <c r="C97" s="14">
        <v>45192</v>
      </c>
      <c r="D97" s="15">
        <v>94.65</v>
      </c>
      <c r="E97" s="7">
        <f t="shared" si="1"/>
        <v>1</v>
      </c>
    </row>
    <row r="98" spans="1:5" x14ac:dyDescent="0.25">
      <c r="A98" s="7">
        <f>IF(E98=1,
      SUM($E$2:E98)-1,
"")</f>
        <v>95</v>
      </c>
      <c r="B98" s="6" t="s">
        <v>164</v>
      </c>
      <c r="C98" s="14">
        <v>45269</v>
      </c>
      <c r="D98" s="15">
        <v>109.76</v>
      </c>
      <c r="E98" s="7">
        <f t="shared" si="1"/>
        <v>1</v>
      </c>
    </row>
    <row r="99" spans="1:5" x14ac:dyDescent="0.25">
      <c r="A99" s="7">
        <f>IF(E99=1,
      SUM($E$2:E99)-1,
"")</f>
        <v>96</v>
      </c>
      <c r="B99" s="6" t="s">
        <v>165</v>
      </c>
      <c r="C99" s="14">
        <v>44929</v>
      </c>
      <c r="D99" s="15">
        <v>97.6</v>
      </c>
      <c r="E99" s="7">
        <f t="shared" si="1"/>
        <v>1</v>
      </c>
    </row>
    <row r="100" spans="1:5" x14ac:dyDescent="0.25">
      <c r="A100" s="7">
        <f>IF(E100=1,
      SUM($E$2:E100)-1,
"")</f>
        <v>97</v>
      </c>
      <c r="B100" s="6" t="s">
        <v>166</v>
      </c>
      <c r="C100" s="14">
        <v>45282</v>
      </c>
      <c r="D100" s="15">
        <v>87.09</v>
      </c>
      <c r="E100" s="7">
        <f t="shared" si="1"/>
        <v>1</v>
      </c>
    </row>
    <row r="101" spans="1:5" x14ac:dyDescent="0.25">
      <c r="A101" s="7">
        <f>IF(E101=1,
      SUM($E$2:E101)-1,
"")</f>
        <v>98</v>
      </c>
      <c r="B101" s="6" t="s">
        <v>167</v>
      </c>
      <c r="C101" s="14">
        <v>45020</v>
      </c>
      <c r="D101" s="15">
        <v>69.83</v>
      </c>
      <c r="E101" s="7">
        <f t="shared" si="1"/>
        <v>1</v>
      </c>
    </row>
    <row r="102" spans="1:5" x14ac:dyDescent="0.25">
      <c r="A102" s="7">
        <f>IF(E102=1,
      SUM($E$2:E102)-1,
"")</f>
        <v>99</v>
      </c>
      <c r="B102" s="6" t="s">
        <v>168</v>
      </c>
      <c r="C102" s="14">
        <v>45012</v>
      </c>
      <c r="D102" s="15">
        <v>44.84</v>
      </c>
      <c r="E102" s="7">
        <f t="shared" si="1"/>
        <v>1</v>
      </c>
    </row>
    <row r="103" spans="1:5" x14ac:dyDescent="0.25">
      <c r="A103" s="7">
        <f>IF(E103=1,
      SUM($E$2:E103)-1,
"")</f>
        <v>100</v>
      </c>
      <c r="B103" s="6" t="s">
        <v>169</v>
      </c>
      <c r="C103" s="14">
        <v>45199</v>
      </c>
      <c r="D103" s="15">
        <v>59.37</v>
      </c>
      <c r="E103" s="7">
        <f t="shared" si="1"/>
        <v>1</v>
      </c>
    </row>
    <row r="104" spans="1:5" x14ac:dyDescent="0.25">
      <c r="A104" s="7">
        <f>IF(E104=1,
      SUM($E$2:E104)-1,
"")</f>
        <v>101</v>
      </c>
      <c r="B104" s="6" t="s">
        <v>170</v>
      </c>
      <c r="C104" s="14">
        <v>45092</v>
      </c>
      <c r="D104" s="15">
        <v>66.5</v>
      </c>
      <c r="E104" s="7">
        <f t="shared" si="1"/>
        <v>1</v>
      </c>
    </row>
    <row r="105" spans="1:5" x14ac:dyDescent="0.25">
      <c r="A105" s="7">
        <f>IF(E105=1,
      SUM($E$2:E105)-1,
"")</f>
        <v>102</v>
      </c>
      <c r="B105" s="6" t="s">
        <v>122</v>
      </c>
      <c r="C105" s="14">
        <v>45272</v>
      </c>
      <c r="D105" s="15">
        <v>119.53</v>
      </c>
      <c r="E105" s="7">
        <f t="shared" si="1"/>
        <v>1</v>
      </c>
    </row>
    <row r="106" spans="1:5" x14ac:dyDescent="0.25">
      <c r="A106" s="7">
        <f>IF(E106=1,
      SUM($E$2:E106)-1,
"")</f>
        <v>103</v>
      </c>
      <c r="B106" s="6" t="s">
        <v>171</v>
      </c>
      <c r="C106" s="14">
        <v>44953</v>
      </c>
      <c r="D106" s="15">
        <v>121.74</v>
      </c>
      <c r="E106" s="7">
        <f t="shared" si="1"/>
        <v>1</v>
      </c>
    </row>
    <row r="107" spans="1:5" x14ac:dyDescent="0.25">
      <c r="A107" s="7">
        <f>IF(E107=1,
      SUM($E$2:E107)-1,
"")</f>
        <v>104</v>
      </c>
      <c r="B107" s="6" t="s">
        <v>172</v>
      </c>
      <c r="C107" s="14">
        <v>45082</v>
      </c>
      <c r="D107" s="15">
        <v>73.55</v>
      </c>
      <c r="E107" s="7">
        <f t="shared" si="1"/>
        <v>1</v>
      </c>
    </row>
    <row r="108" spans="1:5" x14ac:dyDescent="0.25">
      <c r="A108" s="7">
        <f>IF(E108=1,
      SUM($E$2:E108)-1,
"")</f>
        <v>105</v>
      </c>
      <c r="B108" s="6" t="s">
        <v>173</v>
      </c>
      <c r="C108" s="14">
        <v>45153</v>
      </c>
      <c r="D108" s="15">
        <v>20.09</v>
      </c>
      <c r="E108" s="7">
        <f t="shared" si="1"/>
        <v>1</v>
      </c>
    </row>
    <row r="109" spans="1:5" x14ac:dyDescent="0.25">
      <c r="A109" s="7">
        <f>IF(E109=1,
      SUM($E$2:E109)-1,
"")</f>
        <v>106</v>
      </c>
      <c r="B109" s="6" t="s">
        <v>174</v>
      </c>
      <c r="C109" s="14">
        <v>45000</v>
      </c>
      <c r="D109" s="15">
        <v>100.27</v>
      </c>
      <c r="E109" s="7">
        <f t="shared" si="1"/>
        <v>1</v>
      </c>
    </row>
    <row r="110" spans="1:5" x14ac:dyDescent="0.25">
      <c r="A110" s="7">
        <f>IF(E110=1,
      SUM($E$2:E110)-1,
"")</f>
        <v>107</v>
      </c>
      <c r="B110" s="6" t="s">
        <v>77</v>
      </c>
      <c r="C110" s="14">
        <v>44995</v>
      </c>
      <c r="D110" s="15">
        <v>87.35</v>
      </c>
      <c r="E110" s="7">
        <f t="shared" si="1"/>
        <v>1</v>
      </c>
    </row>
    <row r="111" spans="1:5" x14ac:dyDescent="0.25">
      <c r="A111" s="7">
        <f>IF(E111=1,
      SUM($E$2:E111)-1,
"")</f>
        <v>108</v>
      </c>
      <c r="B111" s="6" t="s">
        <v>175</v>
      </c>
      <c r="C111" s="14">
        <v>45192</v>
      </c>
      <c r="D111" s="15">
        <v>86.61</v>
      </c>
      <c r="E111" s="7">
        <f t="shared" si="1"/>
        <v>1</v>
      </c>
    </row>
    <row r="112" spans="1:5" x14ac:dyDescent="0.25">
      <c r="A112" s="7">
        <f>IF(E112=1,
      SUM($E$2:E112)-1,
"")</f>
        <v>109</v>
      </c>
      <c r="B112" s="6" t="s">
        <v>176</v>
      </c>
      <c r="C112" s="14">
        <v>44989</v>
      </c>
      <c r="D112" s="15">
        <v>128.68</v>
      </c>
      <c r="E112" s="7">
        <f t="shared" si="1"/>
        <v>1</v>
      </c>
    </row>
    <row r="113" spans="1:5" x14ac:dyDescent="0.25">
      <c r="A113" s="7">
        <f>IF(E113=1,
      SUM($E$2:E113)-1,
"")</f>
        <v>110</v>
      </c>
      <c r="B113" s="6" t="s">
        <v>177</v>
      </c>
      <c r="C113" s="14">
        <v>44934</v>
      </c>
      <c r="D113" s="15">
        <v>104.16</v>
      </c>
      <c r="E113" s="7">
        <f t="shared" si="1"/>
        <v>1</v>
      </c>
    </row>
    <row r="114" spans="1:5" x14ac:dyDescent="0.25">
      <c r="A114" s="7">
        <f>IF(E114=1,
      SUM($E$2:E114)-1,
"")</f>
        <v>111</v>
      </c>
      <c r="B114" s="6" t="s">
        <v>178</v>
      </c>
      <c r="C114" s="14">
        <v>45265</v>
      </c>
      <c r="D114" s="15">
        <v>70.709999999999994</v>
      </c>
      <c r="E114" s="7">
        <f t="shared" si="1"/>
        <v>1</v>
      </c>
    </row>
    <row r="115" spans="1:5" x14ac:dyDescent="0.25">
      <c r="A115" s="7">
        <f>IF(E115=1,
      SUM($E$2:E115)-1,
"")</f>
        <v>112</v>
      </c>
      <c r="B115" s="6" t="s">
        <v>179</v>
      </c>
      <c r="C115" s="14">
        <v>45252</v>
      </c>
      <c r="D115" s="15">
        <v>63.81</v>
      </c>
      <c r="E115" s="7">
        <f t="shared" si="1"/>
        <v>1</v>
      </c>
    </row>
    <row r="116" spans="1:5" x14ac:dyDescent="0.25">
      <c r="A116" s="7">
        <f>IF(E116=1,
      SUM($E$2:E116)-1,
"")</f>
        <v>113</v>
      </c>
      <c r="B116" s="6" t="s">
        <v>180</v>
      </c>
      <c r="C116" s="14">
        <v>44938</v>
      </c>
      <c r="D116" s="15">
        <v>92.12</v>
      </c>
      <c r="E116" s="7">
        <f t="shared" si="1"/>
        <v>1</v>
      </c>
    </row>
    <row r="117" spans="1:5" x14ac:dyDescent="0.25">
      <c r="A117" s="7">
        <f>IF(E117=1,
      SUM($E$2:E117)-1,
"")</f>
        <v>114</v>
      </c>
      <c r="B117" s="6" t="s">
        <v>181</v>
      </c>
      <c r="C117" s="14">
        <v>44990</v>
      </c>
      <c r="D117" s="15">
        <v>72.81</v>
      </c>
      <c r="E117" s="7">
        <f t="shared" si="1"/>
        <v>1</v>
      </c>
    </row>
    <row r="118" spans="1:5" x14ac:dyDescent="0.25">
      <c r="A118" s="7">
        <f>IF(E118=1,
      SUM($E$2:E118)-1,
"")</f>
        <v>115</v>
      </c>
      <c r="B118" s="6" t="s">
        <v>182</v>
      </c>
      <c r="C118" s="14">
        <v>45147</v>
      </c>
      <c r="D118" s="15">
        <v>97.83</v>
      </c>
      <c r="E118" s="7">
        <f t="shared" si="1"/>
        <v>1</v>
      </c>
    </row>
    <row r="119" spans="1:5" x14ac:dyDescent="0.25">
      <c r="A119" s="7">
        <f>IF(E119=1,
      SUM($E$2:E119)-1,
"")</f>
        <v>116</v>
      </c>
      <c r="B119" s="6" t="s">
        <v>183</v>
      </c>
      <c r="C119" s="14">
        <v>45037</v>
      </c>
      <c r="D119" s="15">
        <v>130.78</v>
      </c>
      <c r="E119" s="7">
        <f t="shared" si="1"/>
        <v>1</v>
      </c>
    </row>
    <row r="120" spans="1:5" x14ac:dyDescent="0.25">
      <c r="A120" s="7">
        <f>IF(E120=1,
      SUM($E$2:E120)-1,
"")</f>
        <v>117</v>
      </c>
      <c r="B120" s="6" t="s">
        <v>184</v>
      </c>
      <c r="C120" s="14">
        <v>45066</v>
      </c>
      <c r="D120" s="15">
        <v>58.61</v>
      </c>
      <c r="E120" s="7">
        <f t="shared" si="1"/>
        <v>1</v>
      </c>
    </row>
    <row r="121" spans="1:5" x14ac:dyDescent="0.25">
      <c r="A121" s="7">
        <f>IF(E121=1,
      SUM($E$2:E121)-1,
"")</f>
        <v>118</v>
      </c>
      <c r="B121" s="6" t="s">
        <v>185</v>
      </c>
      <c r="C121" s="14">
        <v>45057</v>
      </c>
      <c r="D121" s="15">
        <v>102.63</v>
      </c>
      <c r="E121" s="7">
        <f t="shared" si="1"/>
        <v>1</v>
      </c>
    </row>
    <row r="122" spans="1:5" x14ac:dyDescent="0.25">
      <c r="A122" s="7">
        <f>IF(E122=1,
      SUM($E$2:E122)-1,
"")</f>
        <v>119</v>
      </c>
      <c r="B122" s="6" t="s">
        <v>186</v>
      </c>
      <c r="C122" s="14">
        <v>44932</v>
      </c>
      <c r="D122" s="15">
        <v>127.45</v>
      </c>
      <c r="E122" s="7">
        <f t="shared" si="1"/>
        <v>1</v>
      </c>
    </row>
    <row r="123" spans="1:5" x14ac:dyDescent="0.25">
      <c r="A123" s="7">
        <f>IF(E123=1,
      SUM($E$2:E123)-1,
"")</f>
        <v>120</v>
      </c>
      <c r="B123" s="6" t="s">
        <v>187</v>
      </c>
      <c r="C123" s="14">
        <v>45280</v>
      </c>
      <c r="D123" s="15">
        <v>97.41</v>
      </c>
      <c r="E123" s="7">
        <f t="shared" si="1"/>
        <v>1</v>
      </c>
    </row>
    <row r="124" spans="1:5" x14ac:dyDescent="0.25">
      <c r="A124" s="7">
        <f>IF(E124=1,
      SUM($E$2:E124)-1,
"")</f>
        <v>121</v>
      </c>
      <c r="B124" s="6" t="s">
        <v>188</v>
      </c>
      <c r="C124" s="14">
        <v>45083</v>
      </c>
      <c r="D124" s="15">
        <v>121.65</v>
      </c>
      <c r="E124" s="7">
        <f t="shared" si="1"/>
        <v>1</v>
      </c>
    </row>
    <row r="125" spans="1:5" x14ac:dyDescent="0.25">
      <c r="A125" s="7">
        <f>IF(E125=1,
      SUM($E$2:E125)-1,
"")</f>
        <v>122</v>
      </c>
      <c r="B125" s="6" t="s">
        <v>189</v>
      </c>
      <c r="C125" s="14">
        <v>45064</v>
      </c>
      <c r="D125" s="15">
        <v>91.38</v>
      </c>
      <c r="E125" s="7">
        <f t="shared" si="1"/>
        <v>1</v>
      </c>
    </row>
    <row r="126" spans="1:5" x14ac:dyDescent="0.25">
      <c r="A126" s="7">
        <f>IF(E126=1,
      SUM($E$2:E126)-1,
"")</f>
        <v>123</v>
      </c>
      <c r="B126" s="6" t="s">
        <v>190</v>
      </c>
      <c r="C126" s="14">
        <v>45193</v>
      </c>
      <c r="D126" s="15">
        <v>105.12</v>
      </c>
      <c r="E126" s="7">
        <f t="shared" si="1"/>
        <v>1</v>
      </c>
    </row>
    <row r="127" spans="1:5" x14ac:dyDescent="0.25">
      <c r="A127" s="7">
        <f>IF(E127=1,
      SUM($E$2:E127)-1,
"")</f>
        <v>124</v>
      </c>
      <c r="B127" s="6" t="s">
        <v>191</v>
      </c>
      <c r="C127" s="14">
        <v>45262</v>
      </c>
      <c r="D127" s="15">
        <v>113.22</v>
      </c>
      <c r="E127" s="7">
        <f t="shared" si="1"/>
        <v>1</v>
      </c>
    </row>
    <row r="128" spans="1:5" x14ac:dyDescent="0.25">
      <c r="A128" s="7">
        <f>IF(E128=1,
      SUM($E$2:E128)-1,
"")</f>
        <v>125</v>
      </c>
      <c r="B128" s="6" t="s">
        <v>192</v>
      </c>
      <c r="C128" s="14">
        <v>45277</v>
      </c>
      <c r="D128" s="15">
        <v>82.84</v>
      </c>
      <c r="E128" s="7">
        <f t="shared" si="1"/>
        <v>1</v>
      </c>
    </row>
    <row r="129" spans="1:5" x14ac:dyDescent="0.25">
      <c r="A129" s="7">
        <f>IF(E129=1,
      SUM($E$2:E129)-1,
"")</f>
        <v>126</v>
      </c>
      <c r="B129" s="6" t="s">
        <v>193</v>
      </c>
      <c r="C129" s="14">
        <v>45156</v>
      </c>
      <c r="D129" s="15">
        <v>159.72</v>
      </c>
      <c r="E129" s="7">
        <f t="shared" si="1"/>
        <v>1</v>
      </c>
    </row>
    <row r="130" spans="1:5" x14ac:dyDescent="0.25">
      <c r="A130" s="7">
        <f>IF(E130=1,
      SUM($E$2:E130)-1,
"")</f>
        <v>127</v>
      </c>
      <c r="B130" s="6" t="s">
        <v>194</v>
      </c>
      <c r="C130" s="14">
        <v>44964</v>
      </c>
      <c r="D130" s="15">
        <v>117.33</v>
      </c>
      <c r="E130" s="7">
        <f t="shared" ref="E130:E193" si="2">IF(D130&gt;0,1,0)</f>
        <v>1</v>
      </c>
    </row>
    <row r="131" spans="1:5" x14ac:dyDescent="0.25">
      <c r="A131" s="7">
        <f>IF(E131=1,
      SUM($E$2:E131)-1,
"")</f>
        <v>128</v>
      </c>
      <c r="B131" s="6" t="s">
        <v>195</v>
      </c>
      <c r="C131" s="14">
        <v>45127</v>
      </c>
      <c r="D131" s="15">
        <v>139.09</v>
      </c>
      <c r="E131" s="7">
        <f t="shared" si="2"/>
        <v>1</v>
      </c>
    </row>
    <row r="132" spans="1:5" x14ac:dyDescent="0.25">
      <c r="A132" s="7">
        <f>IF(E132=1,
      SUM($E$2:E132)-1,
"")</f>
        <v>129</v>
      </c>
      <c r="B132" s="6" t="s">
        <v>196</v>
      </c>
      <c r="C132" s="14">
        <v>44983</v>
      </c>
      <c r="D132" s="15">
        <v>132.13</v>
      </c>
      <c r="E132" s="7">
        <f t="shared" si="2"/>
        <v>1</v>
      </c>
    </row>
    <row r="133" spans="1:5" x14ac:dyDescent="0.25">
      <c r="A133" s="7">
        <f>IF(E133=1,
      SUM($E$2:E133)-1,
"")</f>
        <v>130</v>
      </c>
      <c r="B133" s="6" t="s">
        <v>197</v>
      </c>
      <c r="C133" s="14">
        <v>45193</v>
      </c>
      <c r="D133" s="15">
        <v>109.82</v>
      </c>
      <c r="E133" s="7">
        <f t="shared" si="2"/>
        <v>1</v>
      </c>
    </row>
    <row r="134" spans="1:5" x14ac:dyDescent="0.25">
      <c r="A134" s="7">
        <f>IF(E134=1,
      SUM($E$2:E134)-1,
"")</f>
        <v>131</v>
      </c>
      <c r="B134" s="6" t="s">
        <v>198</v>
      </c>
      <c r="C134" s="14">
        <v>45184</v>
      </c>
      <c r="D134" s="15">
        <v>141.57</v>
      </c>
      <c r="E134" s="7">
        <f t="shared" si="2"/>
        <v>1</v>
      </c>
    </row>
    <row r="135" spans="1:5" x14ac:dyDescent="0.25">
      <c r="A135" s="7">
        <f>IF(E135=1,
      SUM($E$2:E135)-1,
"")</f>
        <v>132</v>
      </c>
      <c r="B135" s="6" t="s">
        <v>111</v>
      </c>
      <c r="C135" s="14">
        <v>44950</v>
      </c>
      <c r="D135" s="15">
        <v>105.64</v>
      </c>
      <c r="E135" s="7">
        <f t="shared" si="2"/>
        <v>1</v>
      </c>
    </row>
    <row r="136" spans="1:5" x14ac:dyDescent="0.25">
      <c r="A136" s="7">
        <f>IF(E136=1,
      SUM($E$2:E136)-1,
"")</f>
        <v>133</v>
      </c>
      <c r="B136" s="6" t="s">
        <v>199</v>
      </c>
      <c r="C136" s="14">
        <v>45120</v>
      </c>
      <c r="D136" s="15">
        <v>78.11</v>
      </c>
      <c r="E136" s="7">
        <f t="shared" si="2"/>
        <v>1</v>
      </c>
    </row>
    <row r="137" spans="1:5" x14ac:dyDescent="0.25">
      <c r="A137" s="7">
        <f>IF(E137=1,
      SUM($E$2:E137)-1,
"")</f>
        <v>134</v>
      </c>
      <c r="B137" s="6" t="s">
        <v>200</v>
      </c>
      <c r="C137" s="14">
        <v>45056</v>
      </c>
      <c r="D137" s="15">
        <v>100.44</v>
      </c>
      <c r="E137" s="7">
        <f t="shared" si="2"/>
        <v>1</v>
      </c>
    </row>
    <row r="138" spans="1:5" x14ac:dyDescent="0.25">
      <c r="A138" s="7">
        <f>IF(E138=1,
      SUM($E$2:E138)-1,
"")</f>
        <v>135</v>
      </c>
      <c r="B138" s="6" t="s">
        <v>97</v>
      </c>
      <c r="C138" s="14">
        <v>45131</v>
      </c>
      <c r="D138" s="15">
        <v>69.81</v>
      </c>
      <c r="E138" s="7">
        <f t="shared" si="2"/>
        <v>1</v>
      </c>
    </row>
    <row r="139" spans="1:5" x14ac:dyDescent="0.25">
      <c r="A139" s="7">
        <f>IF(E139=1,
      SUM($E$2:E139)-1,
"")</f>
        <v>136</v>
      </c>
      <c r="B139" s="6" t="s">
        <v>201</v>
      </c>
      <c r="C139" s="14">
        <v>45077</v>
      </c>
      <c r="D139" s="15">
        <v>36.950000000000003</v>
      </c>
      <c r="E139" s="7">
        <f t="shared" si="2"/>
        <v>1</v>
      </c>
    </row>
    <row r="140" spans="1:5" x14ac:dyDescent="0.25">
      <c r="A140" s="7">
        <f>IF(E140=1,
      SUM($E$2:E140)-1,
"")</f>
        <v>137</v>
      </c>
      <c r="B140" s="6" t="s">
        <v>202</v>
      </c>
      <c r="C140" s="14">
        <v>45029</v>
      </c>
      <c r="D140" s="15">
        <v>74.42</v>
      </c>
      <c r="E140" s="7">
        <f t="shared" si="2"/>
        <v>1</v>
      </c>
    </row>
    <row r="141" spans="1:5" x14ac:dyDescent="0.25">
      <c r="A141" s="7">
        <f>IF(E141=1,
      SUM($E$2:E141)-1,
"")</f>
        <v>138</v>
      </c>
      <c r="B141" s="6" t="s">
        <v>203</v>
      </c>
      <c r="C141" s="14">
        <v>45030</v>
      </c>
      <c r="D141" s="15">
        <v>102.19</v>
      </c>
      <c r="E141" s="7">
        <f t="shared" si="2"/>
        <v>1</v>
      </c>
    </row>
    <row r="142" spans="1:5" x14ac:dyDescent="0.25">
      <c r="A142" s="7">
        <f>IF(E142=1,
      SUM($E$2:E142)-1,
"")</f>
        <v>139</v>
      </c>
      <c r="B142" s="6" t="s">
        <v>204</v>
      </c>
      <c r="C142" s="14">
        <v>45001</v>
      </c>
      <c r="D142" s="15">
        <v>131.86000000000001</v>
      </c>
      <c r="E142" s="7">
        <f t="shared" si="2"/>
        <v>1</v>
      </c>
    </row>
    <row r="143" spans="1:5" x14ac:dyDescent="0.25">
      <c r="A143" s="7">
        <f>IF(E143=1,
      SUM($E$2:E143)-1,
"")</f>
        <v>140</v>
      </c>
      <c r="B143" s="6" t="s">
        <v>205</v>
      </c>
      <c r="C143" s="14">
        <v>45019</v>
      </c>
      <c r="D143" s="15">
        <v>74.33</v>
      </c>
      <c r="E143" s="7">
        <f t="shared" si="2"/>
        <v>1</v>
      </c>
    </row>
    <row r="144" spans="1:5" x14ac:dyDescent="0.25">
      <c r="A144" s="7">
        <f>IF(E144=1,
      SUM($E$2:E144)-1,
"")</f>
        <v>141</v>
      </c>
      <c r="B144" s="6" t="s">
        <v>206</v>
      </c>
      <c r="C144" s="14">
        <v>45290</v>
      </c>
      <c r="D144" s="15">
        <v>130.30000000000001</v>
      </c>
      <c r="E144" s="7">
        <f t="shared" si="2"/>
        <v>1</v>
      </c>
    </row>
    <row r="145" spans="1:5" x14ac:dyDescent="0.25">
      <c r="A145" s="7">
        <f>IF(E145=1,
      SUM($E$2:E145)-1,
"")</f>
        <v>142</v>
      </c>
      <c r="B145" s="6" t="s">
        <v>207</v>
      </c>
      <c r="C145" s="14">
        <v>45265</v>
      </c>
      <c r="D145" s="15">
        <v>63.68</v>
      </c>
      <c r="E145" s="7">
        <f t="shared" si="2"/>
        <v>1</v>
      </c>
    </row>
    <row r="146" spans="1:5" x14ac:dyDescent="0.25">
      <c r="A146" s="7">
        <f>IF(E146=1,
      SUM($E$2:E146)-1,
"")</f>
        <v>143</v>
      </c>
      <c r="B146" s="6" t="s">
        <v>208</v>
      </c>
      <c r="C146" s="14">
        <v>44967</v>
      </c>
      <c r="D146" s="15">
        <v>72.41</v>
      </c>
      <c r="E146" s="7">
        <f t="shared" si="2"/>
        <v>1</v>
      </c>
    </row>
    <row r="147" spans="1:5" x14ac:dyDescent="0.25">
      <c r="A147" s="7">
        <f>IF(E147=1,
      SUM($E$2:E147)-1,
"")</f>
        <v>144</v>
      </c>
      <c r="B147" s="6" t="s">
        <v>209</v>
      </c>
      <c r="C147" s="14">
        <v>45144</v>
      </c>
      <c r="D147" s="15">
        <v>143.47</v>
      </c>
      <c r="E147" s="7">
        <f t="shared" si="2"/>
        <v>1</v>
      </c>
    </row>
    <row r="148" spans="1:5" x14ac:dyDescent="0.25">
      <c r="A148" s="7">
        <f>IF(E148=1,
      SUM($E$2:E148)-1,
"")</f>
        <v>145</v>
      </c>
      <c r="B148" s="6" t="s">
        <v>210</v>
      </c>
      <c r="C148" s="14">
        <v>45265</v>
      </c>
      <c r="D148" s="15">
        <v>101.43</v>
      </c>
      <c r="E148" s="7">
        <f t="shared" si="2"/>
        <v>1</v>
      </c>
    </row>
    <row r="149" spans="1:5" x14ac:dyDescent="0.25">
      <c r="A149" s="7">
        <f>IF(E149=1,
      SUM($E$2:E149)-1,
"")</f>
        <v>146</v>
      </c>
      <c r="B149" s="6" t="s">
        <v>211</v>
      </c>
      <c r="C149" s="14">
        <v>44983</v>
      </c>
      <c r="D149" s="15">
        <v>94.79</v>
      </c>
      <c r="E149" s="7">
        <f t="shared" si="2"/>
        <v>1</v>
      </c>
    </row>
    <row r="150" spans="1:5" x14ac:dyDescent="0.25">
      <c r="A150" s="7">
        <f>IF(E150=1,
      SUM($E$2:E150)-1,
"")</f>
        <v>147</v>
      </c>
      <c r="B150" s="6" t="s">
        <v>212</v>
      </c>
      <c r="C150" s="14">
        <v>45228</v>
      </c>
      <c r="D150" s="15">
        <v>107.06</v>
      </c>
      <c r="E150" s="7">
        <f t="shared" si="2"/>
        <v>1</v>
      </c>
    </row>
    <row r="151" spans="1:5" x14ac:dyDescent="0.25">
      <c r="A151" s="7">
        <f>IF(E151=1,
      SUM($E$2:E151)-1,
"")</f>
        <v>148</v>
      </c>
      <c r="B151" s="6" t="s">
        <v>213</v>
      </c>
      <c r="C151" s="14">
        <v>44937</v>
      </c>
      <c r="D151" s="15">
        <v>63.81</v>
      </c>
      <c r="E151" s="7">
        <f t="shared" si="2"/>
        <v>1</v>
      </c>
    </row>
    <row r="152" spans="1:5" x14ac:dyDescent="0.25">
      <c r="A152" s="7">
        <f>IF(E152=1,
      SUM($E$2:E152)-1,
"")</f>
        <v>149</v>
      </c>
      <c r="B152" s="6" t="s">
        <v>214</v>
      </c>
      <c r="C152" s="14">
        <v>45272</v>
      </c>
      <c r="D152" s="15">
        <v>90.07</v>
      </c>
      <c r="E152" s="7">
        <f t="shared" si="2"/>
        <v>1</v>
      </c>
    </row>
    <row r="153" spans="1:5" x14ac:dyDescent="0.25">
      <c r="A153" s="7">
        <f>IF(E153=1,
      SUM($E$2:E153)-1,
"")</f>
        <v>150</v>
      </c>
      <c r="B153" s="6" t="s">
        <v>215</v>
      </c>
      <c r="C153" s="14">
        <v>45041</v>
      </c>
      <c r="D153" s="15">
        <v>100.08</v>
      </c>
      <c r="E153" s="7">
        <f t="shared" si="2"/>
        <v>1</v>
      </c>
    </row>
    <row r="154" spans="1:5" x14ac:dyDescent="0.25">
      <c r="A154" s="7">
        <f>IF(E154=1,
      SUM($E$2:E154)-1,
"")</f>
        <v>151</v>
      </c>
      <c r="B154" s="6" t="s">
        <v>194</v>
      </c>
      <c r="C154" s="14">
        <v>45058</v>
      </c>
      <c r="D154" s="15">
        <v>136.94</v>
      </c>
      <c r="E154" s="7">
        <f t="shared" si="2"/>
        <v>1</v>
      </c>
    </row>
    <row r="155" spans="1:5" x14ac:dyDescent="0.25">
      <c r="A155" s="7">
        <f>IF(E155=1,
      SUM($E$2:E155)-1,
"")</f>
        <v>152</v>
      </c>
      <c r="B155" s="6" t="s">
        <v>216</v>
      </c>
      <c r="C155" s="14">
        <v>45066</v>
      </c>
      <c r="D155" s="15">
        <v>49.89</v>
      </c>
      <c r="E155" s="7">
        <f t="shared" si="2"/>
        <v>1</v>
      </c>
    </row>
    <row r="156" spans="1:5" x14ac:dyDescent="0.25">
      <c r="A156" s="7">
        <f>IF(E156=1,
      SUM($E$2:E156)-1,
"")</f>
        <v>153</v>
      </c>
      <c r="B156" s="6" t="s">
        <v>217</v>
      </c>
      <c r="C156" s="14">
        <v>45280</v>
      </c>
      <c r="D156" s="15">
        <v>152.88999999999999</v>
      </c>
      <c r="E156" s="7">
        <f t="shared" si="2"/>
        <v>1</v>
      </c>
    </row>
    <row r="157" spans="1:5" x14ac:dyDescent="0.25">
      <c r="A157" s="7">
        <f>IF(E157=1,
      SUM($E$2:E157)-1,
"")</f>
        <v>154</v>
      </c>
      <c r="B157" s="6" t="s">
        <v>218</v>
      </c>
      <c r="C157" s="14">
        <v>44980</v>
      </c>
      <c r="D157" s="15">
        <v>96.26</v>
      </c>
      <c r="E157" s="7">
        <f t="shared" si="2"/>
        <v>1</v>
      </c>
    </row>
    <row r="158" spans="1:5" x14ac:dyDescent="0.25">
      <c r="A158" s="7">
        <f>IF(E158=1,
      SUM($E$2:E158)-1,
"")</f>
        <v>155</v>
      </c>
      <c r="B158" s="6" t="s">
        <v>219</v>
      </c>
      <c r="C158" s="14">
        <v>45244</v>
      </c>
      <c r="D158" s="15">
        <v>66.680000000000007</v>
      </c>
      <c r="E158" s="7">
        <f t="shared" si="2"/>
        <v>1</v>
      </c>
    </row>
    <row r="159" spans="1:5" x14ac:dyDescent="0.25">
      <c r="A159" s="7">
        <f>IF(E159=1,
      SUM($E$2:E159)-1,
"")</f>
        <v>156</v>
      </c>
      <c r="B159" s="6" t="s">
        <v>220</v>
      </c>
      <c r="C159" s="14">
        <v>45175</v>
      </c>
      <c r="D159" s="15">
        <v>61.25</v>
      </c>
      <c r="E159" s="7">
        <f t="shared" si="2"/>
        <v>1</v>
      </c>
    </row>
    <row r="160" spans="1:5" x14ac:dyDescent="0.25">
      <c r="A160" s="7">
        <f>IF(E160=1,
      SUM($E$2:E160)-1,
"")</f>
        <v>157</v>
      </c>
      <c r="B160" s="6" t="s">
        <v>221</v>
      </c>
      <c r="C160" s="14">
        <v>45239</v>
      </c>
      <c r="D160" s="15">
        <v>108.19</v>
      </c>
      <c r="E160" s="7">
        <f t="shared" si="2"/>
        <v>1</v>
      </c>
    </row>
    <row r="161" spans="1:5" x14ac:dyDescent="0.25">
      <c r="A161" s="7">
        <f>IF(E161=1,
      SUM($E$2:E161)-1,
"")</f>
        <v>158</v>
      </c>
      <c r="B161" s="6" t="s">
        <v>222</v>
      </c>
      <c r="C161" s="14">
        <v>45155</v>
      </c>
      <c r="D161" s="15">
        <v>59.58</v>
      </c>
      <c r="E161" s="7">
        <f t="shared" si="2"/>
        <v>1</v>
      </c>
    </row>
    <row r="162" spans="1:5" x14ac:dyDescent="0.25">
      <c r="A162" s="7">
        <f>IF(E162=1,
      SUM($E$2:E162)-1,
"")</f>
        <v>159</v>
      </c>
      <c r="B162" s="6" t="s">
        <v>223</v>
      </c>
      <c r="C162" s="14">
        <v>45240</v>
      </c>
      <c r="D162" s="15">
        <v>83.2</v>
      </c>
      <c r="E162" s="7">
        <f t="shared" si="2"/>
        <v>1</v>
      </c>
    </row>
    <row r="163" spans="1:5" x14ac:dyDescent="0.25">
      <c r="A163" s="7">
        <f>IF(E163=1,
      SUM($E$2:E163)-1,
"")</f>
        <v>160</v>
      </c>
      <c r="B163" s="6" t="s">
        <v>224</v>
      </c>
      <c r="C163" s="14">
        <v>45249</v>
      </c>
      <c r="D163" s="15">
        <v>92.5</v>
      </c>
      <c r="E163" s="7">
        <f t="shared" si="2"/>
        <v>1</v>
      </c>
    </row>
    <row r="164" spans="1:5" x14ac:dyDescent="0.25">
      <c r="A164" s="7">
        <f>IF(E164=1,
      SUM($E$2:E164)-1,
"")</f>
        <v>161</v>
      </c>
      <c r="B164" s="6" t="s">
        <v>225</v>
      </c>
      <c r="C164" s="14">
        <v>44990</v>
      </c>
      <c r="D164" s="15">
        <v>134.31</v>
      </c>
      <c r="E164" s="7">
        <f t="shared" si="2"/>
        <v>1</v>
      </c>
    </row>
    <row r="165" spans="1:5" x14ac:dyDescent="0.25">
      <c r="A165" s="7">
        <f>IF(E165=1,
      SUM($E$2:E165)-1,
"")</f>
        <v>162</v>
      </c>
      <c r="B165" s="6" t="s">
        <v>226</v>
      </c>
      <c r="C165" s="14">
        <v>45240</v>
      </c>
      <c r="D165" s="15">
        <v>130.55000000000001</v>
      </c>
      <c r="E165" s="7">
        <f t="shared" si="2"/>
        <v>1</v>
      </c>
    </row>
    <row r="166" spans="1:5" x14ac:dyDescent="0.25">
      <c r="A166" s="7">
        <f>IF(E166=1,
      SUM($E$2:E166)-1,
"")</f>
        <v>163</v>
      </c>
      <c r="B166" s="6" t="s">
        <v>227</v>
      </c>
      <c r="C166" s="14">
        <v>45219</v>
      </c>
      <c r="D166" s="15">
        <v>80.709999999999994</v>
      </c>
      <c r="E166" s="7">
        <f t="shared" si="2"/>
        <v>1</v>
      </c>
    </row>
    <row r="167" spans="1:5" x14ac:dyDescent="0.25">
      <c r="A167" s="7">
        <f>IF(E167=1,
      SUM($E$2:E167)-1,
"")</f>
        <v>164</v>
      </c>
      <c r="B167" s="6" t="s">
        <v>228</v>
      </c>
      <c r="C167" s="14">
        <v>45247</v>
      </c>
      <c r="D167" s="15">
        <v>93.62</v>
      </c>
      <c r="E167" s="7">
        <f t="shared" si="2"/>
        <v>1</v>
      </c>
    </row>
    <row r="168" spans="1:5" x14ac:dyDescent="0.25">
      <c r="A168" s="7">
        <f>IF(E168=1,
      SUM($E$2:E168)-1,
"")</f>
        <v>165</v>
      </c>
      <c r="B168" s="6" t="s">
        <v>229</v>
      </c>
      <c r="C168" s="14">
        <v>45280</v>
      </c>
      <c r="D168" s="15">
        <v>52.14</v>
      </c>
      <c r="E168" s="7">
        <f t="shared" si="2"/>
        <v>1</v>
      </c>
    </row>
    <row r="169" spans="1:5" x14ac:dyDescent="0.25">
      <c r="A169" s="7">
        <f>IF(E169=1,
      SUM($E$2:E169)-1,
"")</f>
        <v>166</v>
      </c>
      <c r="B169" s="6" t="s">
        <v>230</v>
      </c>
      <c r="C169" s="14">
        <v>45128</v>
      </c>
      <c r="D169" s="15">
        <v>38.83</v>
      </c>
      <c r="E169" s="7">
        <f t="shared" si="2"/>
        <v>1</v>
      </c>
    </row>
    <row r="170" spans="1:5" x14ac:dyDescent="0.25">
      <c r="A170" s="7">
        <f>IF(E170=1,
      SUM($E$2:E170)-1,
"")</f>
        <v>167</v>
      </c>
      <c r="B170" s="6" t="s">
        <v>91</v>
      </c>
      <c r="C170" s="14">
        <v>45191</v>
      </c>
      <c r="D170" s="15">
        <v>63.13</v>
      </c>
      <c r="E170" s="7">
        <f t="shared" si="2"/>
        <v>1</v>
      </c>
    </row>
    <row r="171" spans="1:5" x14ac:dyDescent="0.25">
      <c r="A171" s="7">
        <f>IF(E171=1,
      SUM($E$2:E171)-1,
"")</f>
        <v>168</v>
      </c>
      <c r="B171" s="6" t="s">
        <v>231</v>
      </c>
      <c r="C171" s="14">
        <v>45013</v>
      </c>
      <c r="D171" s="15">
        <v>133.69</v>
      </c>
      <c r="E171" s="7">
        <f t="shared" si="2"/>
        <v>1</v>
      </c>
    </row>
    <row r="172" spans="1:5" x14ac:dyDescent="0.25">
      <c r="A172" s="7">
        <f>IF(E172=1,
      SUM($E$2:E172)-1,
"")</f>
        <v>169</v>
      </c>
      <c r="B172" s="6" t="s">
        <v>232</v>
      </c>
      <c r="C172" s="14">
        <v>45035</v>
      </c>
      <c r="D172" s="15">
        <v>123.4</v>
      </c>
      <c r="E172" s="7">
        <f t="shared" si="2"/>
        <v>1</v>
      </c>
    </row>
    <row r="173" spans="1:5" x14ac:dyDescent="0.25">
      <c r="A173" s="7">
        <f>IF(E173=1,
      SUM($E$2:E173)-1,
"")</f>
        <v>170</v>
      </c>
      <c r="B173" s="6" t="s">
        <v>233</v>
      </c>
      <c r="C173" s="14">
        <v>44956</v>
      </c>
      <c r="D173" s="15">
        <v>111.5</v>
      </c>
      <c r="E173" s="7">
        <f t="shared" si="2"/>
        <v>1</v>
      </c>
    </row>
    <row r="174" spans="1:5" x14ac:dyDescent="0.25">
      <c r="A174" s="7">
        <f>IF(E174=1,
      SUM($E$2:E174)-1,
"")</f>
        <v>171</v>
      </c>
      <c r="B174" s="6" t="s">
        <v>234</v>
      </c>
      <c r="C174" s="14">
        <v>44937</v>
      </c>
      <c r="D174" s="15">
        <v>56.27</v>
      </c>
      <c r="E174" s="7">
        <f t="shared" si="2"/>
        <v>1</v>
      </c>
    </row>
    <row r="175" spans="1:5" x14ac:dyDescent="0.25">
      <c r="A175" s="7">
        <f>IF(E175=1,
      SUM($E$2:E175)-1,
"")</f>
        <v>172</v>
      </c>
      <c r="B175" s="6" t="s">
        <v>235</v>
      </c>
      <c r="C175" s="14">
        <v>45155</v>
      </c>
      <c r="D175" s="15">
        <v>78.650000000000006</v>
      </c>
      <c r="E175" s="7">
        <f t="shared" si="2"/>
        <v>1</v>
      </c>
    </row>
    <row r="176" spans="1:5" x14ac:dyDescent="0.25">
      <c r="A176" s="7">
        <f>IF(E176=1,
      SUM($E$2:E176)-1,
"")</f>
        <v>173</v>
      </c>
      <c r="B176" s="6" t="s">
        <v>236</v>
      </c>
      <c r="C176" s="14">
        <v>45130</v>
      </c>
      <c r="D176" s="15">
        <v>74.27</v>
      </c>
      <c r="E176" s="7">
        <f t="shared" si="2"/>
        <v>1</v>
      </c>
    </row>
    <row r="177" spans="1:5" x14ac:dyDescent="0.25">
      <c r="A177" s="7">
        <f>IF(E177=1,
      SUM($E$2:E177)-1,
"")</f>
        <v>174</v>
      </c>
      <c r="B177" s="6" t="s">
        <v>152</v>
      </c>
      <c r="C177" s="14">
        <v>45182</v>
      </c>
      <c r="D177" s="15">
        <v>95.02</v>
      </c>
      <c r="E177" s="7">
        <f t="shared" si="2"/>
        <v>1</v>
      </c>
    </row>
    <row r="178" spans="1:5" x14ac:dyDescent="0.25">
      <c r="A178" s="7">
        <f>IF(E178=1,
      SUM($E$2:E178)-1,
"")</f>
        <v>175</v>
      </c>
      <c r="B178" s="6" t="s">
        <v>176</v>
      </c>
      <c r="C178" s="14">
        <v>45191</v>
      </c>
      <c r="D178" s="15">
        <v>93.13</v>
      </c>
      <c r="E178" s="7">
        <f t="shared" si="2"/>
        <v>1</v>
      </c>
    </row>
    <row r="179" spans="1:5" x14ac:dyDescent="0.25">
      <c r="A179" s="7">
        <f>IF(E179=1,
      SUM($E$2:E179)-1,
"")</f>
        <v>176</v>
      </c>
      <c r="B179" s="6" t="s">
        <v>237</v>
      </c>
      <c r="C179" s="14">
        <v>45276</v>
      </c>
      <c r="D179" s="15">
        <v>69.94</v>
      </c>
      <c r="E179" s="7">
        <f t="shared" si="2"/>
        <v>1</v>
      </c>
    </row>
    <row r="180" spans="1:5" x14ac:dyDescent="0.25">
      <c r="A180" s="7">
        <f>IF(E180=1,
      SUM($E$2:E180)-1,
"")</f>
        <v>177</v>
      </c>
      <c r="B180" s="6" t="s">
        <v>238</v>
      </c>
      <c r="C180" s="14">
        <v>45025</v>
      </c>
      <c r="D180" s="15">
        <v>110.48</v>
      </c>
      <c r="E180" s="7">
        <f t="shared" si="2"/>
        <v>1</v>
      </c>
    </row>
    <row r="181" spans="1:5" x14ac:dyDescent="0.25">
      <c r="A181" s="7">
        <f>IF(E181=1,
      SUM($E$2:E181)-1,
"")</f>
        <v>178</v>
      </c>
      <c r="B181" s="6" t="s">
        <v>239</v>
      </c>
      <c r="C181" s="14">
        <v>45111</v>
      </c>
      <c r="D181" s="15">
        <v>106.87</v>
      </c>
      <c r="E181" s="7">
        <f t="shared" si="2"/>
        <v>1</v>
      </c>
    </row>
    <row r="182" spans="1:5" x14ac:dyDescent="0.25">
      <c r="A182" s="7">
        <f>IF(E182=1,
      SUM($E$2:E182)-1,
"")</f>
        <v>179</v>
      </c>
      <c r="B182" s="6" t="s">
        <v>240</v>
      </c>
      <c r="C182" s="14">
        <v>45269</v>
      </c>
      <c r="D182" s="15">
        <v>78.14</v>
      </c>
      <c r="E182" s="7">
        <f t="shared" si="2"/>
        <v>1</v>
      </c>
    </row>
    <row r="183" spans="1:5" x14ac:dyDescent="0.25">
      <c r="A183" s="7">
        <f>IF(E183=1,
      SUM($E$2:E183)-1,
"")</f>
        <v>180</v>
      </c>
      <c r="B183" s="6" t="s">
        <v>224</v>
      </c>
      <c r="C183" s="14">
        <v>45264</v>
      </c>
      <c r="D183" s="15">
        <v>109.13</v>
      </c>
      <c r="E183" s="7">
        <f t="shared" si="2"/>
        <v>1</v>
      </c>
    </row>
    <row r="184" spans="1:5" x14ac:dyDescent="0.25">
      <c r="A184" s="7">
        <f>IF(E184=1,
      SUM($E$2:E184)-1,
"")</f>
        <v>181</v>
      </c>
      <c r="B184" s="6" t="s">
        <v>241</v>
      </c>
      <c r="C184" s="14">
        <v>45122</v>
      </c>
      <c r="D184" s="15">
        <v>133.72999999999999</v>
      </c>
      <c r="E184" s="7">
        <f t="shared" si="2"/>
        <v>1</v>
      </c>
    </row>
    <row r="185" spans="1:5" x14ac:dyDescent="0.25">
      <c r="A185" s="7">
        <f>IF(E185=1,
      SUM($E$2:E185)-1,
"")</f>
        <v>182</v>
      </c>
      <c r="B185" s="6" t="s">
        <v>242</v>
      </c>
      <c r="C185" s="14">
        <v>45065</v>
      </c>
      <c r="D185" s="15">
        <v>142.84</v>
      </c>
      <c r="E185" s="7">
        <f t="shared" si="2"/>
        <v>1</v>
      </c>
    </row>
    <row r="186" spans="1:5" x14ac:dyDescent="0.25">
      <c r="A186" s="7">
        <f>IF(E186=1,
      SUM($E$2:E186)-1,
"")</f>
        <v>183</v>
      </c>
      <c r="B186" s="6" t="s">
        <v>243</v>
      </c>
      <c r="C186" s="14">
        <v>45105</v>
      </c>
      <c r="D186" s="15">
        <v>114.72</v>
      </c>
      <c r="E186" s="7">
        <f t="shared" si="2"/>
        <v>1</v>
      </c>
    </row>
    <row r="187" spans="1:5" x14ac:dyDescent="0.25">
      <c r="A187" s="7">
        <f>IF(E187=1,
      SUM($E$2:E187)-1,
"")</f>
        <v>184</v>
      </c>
      <c r="B187" s="6" t="s">
        <v>244</v>
      </c>
      <c r="C187" s="14">
        <v>44947</v>
      </c>
      <c r="D187" s="15">
        <v>113.84</v>
      </c>
      <c r="E187" s="7">
        <f t="shared" si="2"/>
        <v>1</v>
      </c>
    </row>
    <row r="188" spans="1:5" x14ac:dyDescent="0.25">
      <c r="A188" s="7">
        <f>IF(E188=1,
      SUM($E$2:E188)-1,
"")</f>
        <v>185</v>
      </c>
      <c r="B188" s="6" t="s">
        <v>245</v>
      </c>
      <c r="C188" s="14">
        <v>45063</v>
      </c>
      <c r="D188" s="15">
        <v>92.8</v>
      </c>
      <c r="E188" s="7">
        <f t="shared" si="2"/>
        <v>1</v>
      </c>
    </row>
    <row r="189" spans="1:5" x14ac:dyDescent="0.25">
      <c r="A189" s="7">
        <f>IF(E189=1,
      SUM($E$2:E189)-1,
"")</f>
        <v>186</v>
      </c>
      <c r="B189" s="6" t="s">
        <v>246</v>
      </c>
      <c r="C189" s="14">
        <v>44972</v>
      </c>
      <c r="D189" s="15">
        <v>130.88999999999999</v>
      </c>
      <c r="E189" s="7">
        <f t="shared" si="2"/>
        <v>1</v>
      </c>
    </row>
    <row r="190" spans="1:5" x14ac:dyDescent="0.25">
      <c r="A190" s="7">
        <f>IF(E190=1,
      SUM($E$2:E190)-1,
"")</f>
        <v>187</v>
      </c>
      <c r="B190" s="6" t="s">
        <v>196</v>
      </c>
      <c r="C190" s="14">
        <v>44953</v>
      </c>
      <c r="D190" s="15">
        <v>67.89</v>
      </c>
      <c r="E190" s="7">
        <f t="shared" si="2"/>
        <v>1</v>
      </c>
    </row>
    <row r="191" spans="1:5" x14ac:dyDescent="0.25">
      <c r="A191" s="7">
        <f>IF(E191=1,
      SUM($E$2:E191)-1,
"")</f>
        <v>188</v>
      </c>
      <c r="B191" s="6" t="s">
        <v>247</v>
      </c>
      <c r="C191" s="14">
        <v>45174</v>
      </c>
      <c r="D191" s="15">
        <v>127.42</v>
      </c>
      <c r="E191" s="7">
        <f t="shared" si="2"/>
        <v>1</v>
      </c>
    </row>
    <row r="192" spans="1:5" x14ac:dyDescent="0.25">
      <c r="A192" s="7">
        <f>IF(E192=1,
      SUM($E$2:E192)-1,
"")</f>
        <v>189</v>
      </c>
      <c r="B192" s="6" t="s">
        <v>248</v>
      </c>
      <c r="C192" s="14">
        <v>45137</v>
      </c>
      <c r="D192" s="15">
        <v>91.37</v>
      </c>
      <c r="E192" s="7">
        <f t="shared" si="2"/>
        <v>1</v>
      </c>
    </row>
    <row r="193" spans="1:5" x14ac:dyDescent="0.25">
      <c r="A193" s="7">
        <f>IF(E193=1,
      SUM($E$2:E193)-1,
"")</f>
        <v>190</v>
      </c>
      <c r="B193" s="6" t="s">
        <v>249</v>
      </c>
      <c r="C193" s="14">
        <v>45021</v>
      </c>
      <c r="D193" s="15">
        <v>144.72999999999999</v>
      </c>
      <c r="E193" s="7">
        <f t="shared" si="2"/>
        <v>1</v>
      </c>
    </row>
    <row r="194" spans="1:5" x14ac:dyDescent="0.25">
      <c r="A194" s="7">
        <f>IF(E194=1,
      SUM($E$2:E194)-1,
"")</f>
        <v>191</v>
      </c>
      <c r="B194" s="6" t="s">
        <v>250</v>
      </c>
      <c r="C194" s="14">
        <v>45118</v>
      </c>
      <c r="D194" s="15">
        <v>117.65</v>
      </c>
      <c r="E194" s="7">
        <f t="shared" ref="E194:E257" si="3">IF(D194&gt;0,1,0)</f>
        <v>1</v>
      </c>
    </row>
    <row r="195" spans="1:5" x14ac:dyDescent="0.25">
      <c r="A195" s="7">
        <f>IF(E195=1,
      SUM($E$2:E195)-1,
"")</f>
        <v>192</v>
      </c>
      <c r="B195" s="6" t="s">
        <v>251</v>
      </c>
      <c r="C195" s="14">
        <v>45189</v>
      </c>
      <c r="D195" s="15">
        <v>97.96</v>
      </c>
      <c r="E195" s="7">
        <f t="shared" si="3"/>
        <v>1</v>
      </c>
    </row>
    <row r="196" spans="1:5" x14ac:dyDescent="0.25">
      <c r="A196" s="7">
        <f>IF(E196=1,
      SUM($E$2:E196)-1,
"")</f>
        <v>193</v>
      </c>
      <c r="B196" s="6" t="s">
        <v>252</v>
      </c>
      <c r="C196" s="14">
        <v>45201</v>
      </c>
      <c r="D196" s="15">
        <v>92.91</v>
      </c>
      <c r="E196" s="7">
        <f t="shared" si="3"/>
        <v>1</v>
      </c>
    </row>
    <row r="197" spans="1:5" x14ac:dyDescent="0.25">
      <c r="A197" s="7">
        <f>IF(E197=1,
      SUM($E$2:E197)-1,
"")</f>
        <v>194</v>
      </c>
      <c r="B197" s="6" t="s">
        <v>253</v>
      </c>
      <c r="C197" s="14">
        <v>45107</v>
      </c>
      <c r="D197" s="15">
        <v>115.77</v>
      </c>
      <c r="E197" s="7">
        <f t="shared" si="3"/>
        <v>1</v>
      </c>
    </row>
    <row r="198" spans="1:5" x14ac:dyDescent="0.25">
      <c r="A198" s="7">
        <f>IF(E198=1,
      SUM($E$2:E198)-1,
"")</f>
        <v>195</v>
      </c>
      <c r="B198" s="6" t="s">
        <v>254</v>
      </c>
      <c r="C198" s="14">
        <v>45010</v>
      </c>
      <c r="D198" s="15">
        <v>114.31</v>
      </c>
      <c r="E198" s="7">
        <f t="shared" si="3"/>
        <v>1</v>
      </c>
    </row>
    <row r="199" spans="1:5" x14ac:dyDescent="0.25">
      <c r="A199" s="7">
        <f>IF(E199=1,
      SUM($E$2:E199)-1,
"")</f>
        <v>196</v>
      </c>
      <c r="B199" s="6" t="s">
        <v>255</v>
      </c>
      <c r="C199" s="14">
        <v>45112</v>
      </c>
      <c r="D199" s="15">
        <v>88.05</v>
      </c>
      <c r="E199" s="7">
        <f t="shared" si="3"/>
        <v>1</v>
      </c>
    </row>
    <row r="200" spans="1:5" x14ac:dyDescent="0.25">
      <c r="A200" s="7">
        <f>IF(E200=1,
      SUM($E$2:E200)-1,
"")</f>
        <v>197</v>
      </c>
      <c r="B200" s="6" t="s">
        <v>256</v>
      </c>
      <c r="C200" s="14">
        <v>45123</v>
      </c>
      <c r="D200" s="15">
        <v>102.76</v>
      </c>
      <c r="E200" s="7">
        <f t="shared" si="3"/>
        <v>1</v>
      </c>
    </row>
    <row r="201" spans="1:5" x14ac:dyDescent="0.25">
      <c r="A201" s="7">
        <f>IF(E201=1,
      SUM($E$2:E201)-1,
"")</f>
        <v>198</v>
      </c>
      <c r="B201" s="6" t="s">
        <v>257</v>
      </c>
      <c r="C201" s="14">
        <v>45106</v>
      </c>
      <c r="D201" s="15">
        <v>126.89</v>
      </c>
      <c r="E201" s="7">
        <f t="shared" si="3"/>
        <v>1</v>
      </c>
    </row>
    <row r="202" spans="1:5" x14ac:dyDescent="0.25">
      <c r="A202" s="7">
        <f>IF(E202=1,
      SUM($E$2:E202)-1,
"")</f>
        <v>199</v>
      </c>
      <c r="B202" s="6" t="s">
        <v>258</v>
      </c>
      <c r="C202" s="14">
        <v>45118</v>
      </c>
      <c r="D202" s="15">
        <v>59.1</v>
      </c>
      <c r="E202" s="7">
        <f t="shared" si="3"/>
        <v>1</v>
      </c>
    </row>
    <row r="203" spans="1:5" x14ac:dyDescent="0.25">
      <c r="A203" s="7">
        <f>IF(E203=1,
      SUM($E$2:E203)-1,
"")</f>
        <v>200</v>
      </c>
      <c r="B203" s="6" t="s">
        <v>259</v>
      </c>
      <c r="C203" s="14">
        <v>45071</v>
      </c>
      <c r="D203" s="15">
        <v>121.78</v>
      </c>
      <c r="E203" s="7">
        <f t="shared" si="3"/>
        <v>1</v>
      </c>
    </row>
    <row r="204" spans="1:5" x14ac:dyDescent="0.25">
      <c r="A204" s="7">
        <f>IF(E204=1,
      SUM($E$2:E204)-1,
"")</f>
        <v>201</v>
      </c>
      <c r="B204" s="6" t="s">
        <v>130</v>
      </c>
      <c r="C204" s="14">
        <v>45060</v>
      </c>
      <c r="D204" s="15">
        <v>115.64</v>
      </c>
      <c r="E204" s="7">
        <f t="shared" si="3"/>
        <v>1</v>
      </c>
    </row>
    <row r="205" spans="1:5" x14ac:dyDescent="0.25">
      <c r="A205" s="7">
        <f>IF(E205=1,
      SUM($E$2:E205)-1,
"")</f>
        <v>202</v>
      </c>
      <c r="B205" s="6" t="s">
        <v>225</v>
      </c>
      <c r="C205" s="14">
        <v>45131</v>
      </c>
      <c r="D205" s="15">
        <v>135.6</v>
      </c>
      <c r="E205" s="7">
        <f t="shared" si="3"/>
        <v>1</v>
      </c>
    </row>
    <row r="206" spans="1:5" x14ac:dyDescent="0.25">
      <c r="A206" s="7">
        <f>IF(E206=1,
      SUM($E$2:E206)-1,
"")</f>
        <v>203</v>
      </c>
      <c r="B206" s="6" t="s">
        <v>215</v>
      </c>
      <c r="C206" s="14">
        <v>45159</v>
      </c>
      <c r="D206" s="15">
        <v>78.53</v>
      </c>
      <c r="E206" s="7">
        <f t="shared" si="3"/>
        <v>1</v>
      </c>
    </row>
    <row r="207" spans="1:5" x14ac:dyDescent="0.25">
      <c r="A207" s="7">
        <f>IF(E207=1,
      SUM($E$2:E207)-1,
"")</f>
        <v>204</v>
      </c>
      <c r="B207" s="6" t="s">
        <v>183</v>
      </c>
      <c r="C207" s="14">
        <v>45069</v>
      </c>
      <c r="D207" s="15">
        <v>100.17</v>
      </c>
      <c r="E207" s="7">
        <f t="shared" si="3"/>
        <v>1</v>
      </c>
    </row>
    <row r="208" spans="1:5" x14ac:dyDescent="0.25">
      <c r="A208" s="7">
        <f>IF(E208=1,
      SUM($E$2:E208)-1,
"")</f>
        <v>205</v>
      </c>
      <c r="B208" s="6" t="s">
        <v>260</v>
      </c>
      <c r="C208" s="14">
        <v>45140</v>
      </c>
      <c r="D208" s="15">
        <v>106.15</v>
      </c>
      <c r="E208" s="7">
        <f t="shared" si="3"/>
        <v>1</v>
      </c>
    </row>
    <row r="209" spans="1:5" x14ac:dyDescent="0.25">
      <c r="A209" s="7">
        <f>IF(E209=1,
      SUM($E$2:E209)-1,
"")</f>
        <v>206</v>
      </c>
      <c r="B209" s="6" t="s">
        <v>261</v>
      </c>
      <c r="C209" s="14">
        <v>45260</v>
      </c>
      <c r="D209" s="15">
        <v>122.16</v>
      </c>
      <c r="E209" s="7">
        <f t="shared" si="3"/>
        <v>1</v>
      </c>
    </row>
    <row r="210" spans="1:5" x14ac:dyDescent="0.25">
      <c r="A210" s="7">
        <f>IF(E210=1,
      SUM($E$2:E210)-1,
"")</f>
        <v>207</v>
      </c>
      <c r="B210" s="6" t="s">
        <v>262</v>
      </c>
      <c r="C210" s="14">
        <v>45238</v>
      </c>
      <c r="D210" s="15">
        <v>112.87</v>
      </c>
      <c r="E210" s="7">
        <f t="shared" si="3"/>
        <v>1</v>
      </c>
    </row>
    <row r="211" spans="1:5" x14ac:dyDescent="0.25">
      <c r="A211" s="7">
        <f>IF(E211=1,
      SUM($E$2:E211)-1,
"")</f>
        <v>208</v>
      </c>
      <c r="B211" s="6" t="s">
        <v>263</v>
      </c>
      <c r="C211" s="14">
        <v>45286</v>
      </c>
      <c r="D211" s="15">
        <v>62.81</v>
      </c>
      <c r="E211" s="7">
        <f t="shared" si="3"/>
        <v>1</v>
      </c>
    </row>
    <row r="212" spans="1:5" x14ac:dyDescent="0.25">
      <c r="A212" s="7">
        <f>IF(E212=1,
      SUM($E$2:E212)-1,
"")</f>
        <v>209</v>
      </c>
      <c r="B212" s="6" t="s">
        <v>264</v>
      </c>
      <c r="C212" s="14">
        <v>45049</v>
      </c>
      <c r="D212" s="15">
        <v>108.73</v>
      </c>
      <c r="E212" s="7">
        <f t="shared" si="3"/>
        <v>1</v>
      </c>
    </row>
    <row r="213" spans="1:5" x14ac:dyDescent="0.25">
      <c r="A213" s="7">
        <f>IF(E213=1,
      SUM($E$2:E213)-1,
"")</f>
        <v>210</v>
      </c>
      <c r="B213" s="6" t="s">
        <v>265</v>
      </c>
      <c r="C213" s="14">
        <v>44980</v>
      </c>
      <c r="D213" s="15">
        <v>160.13</v>
      </c>
      <c r="E213" s="7">
        <f t="shared" si="3"/>
        <v>1</v>
      </c>
    </row>
    <row r="214" spans="1:5" x14ac:dyDescent="0.25">
      <c r="A214" s="7">
        <f>IF(E214=1,
      SUM($E$2:E214)-1,
"")</f>
        <v>211</v>
      </c>
      <c r="B214" s="6" t="s">
        <v>199</v>
      </c>
      <c r="C214" s="14">
        <v>45167</v>
      </c>
      <c r="D214" s="15">
        <v>118.35</v>
      </c>
      <c r="E214" s="7">
        <f t="shared" si="3"/>
        <v>1</v>
      </c>
    </row>
    <row r="215" spans="1:5" x14ac:dyDescent="0.25">
      <c r="A215" s="7">
        <f>IF(E215=1,
      SUM($E$2:E215)-1,
"")</f>
        <v>212</v>
      </c>
      <c r="B215" s="6" t="s">
        <v>266</v>
      </c>
      <c r="C215" s="14">
        <v>45281</v>
      </c>
      <c r="D215" s="15">
        <v>149.13999999999999</v>
      </c>
      <c r="E215" s="7">
        <f t="shared" si="3"/>
        <v>1</v>
      </c>
    </row>
    <row r="216" spans="1:5" x14ac:dyDescent="0.25">
      <c r="A216" s="7">
        <f>IF(E216=1,
      SUM($E$2:E216)-1,
"")</f>
        <v>213</v>
      </c>
      <c r="B216" s="6" t="s">
        <v>267</v>
      </c>
      <c r="C216" s="14">
        <v>45277</v>
      </c>
      <c r="D216" s="15">
        <v>131.29</v>
      </c>
      <c r="E216" s="7">
        <f t="shared" si="3"/>
        <v>1</v>
      </c>
    </row>
    <row r="217" spans="1:5" x14ac:dyDescent="0.25">
      <c r="A217" s="7">
        <f>IF(E217=1,
      SUM($E$2:E217)-1,
"")</f>
        <v>214</v>
      </c>
      <c r="B217" s="6" t="s">
        <v>268</v>
      </c>
      <c r="C217" s="14">
        <v>45085</v>
      </c>
      <c r="D217" s="15">
        <v>140.87</v>
      </c>
      <c r="E217" s="7">
        <f t="shared" si="3"/>
        <v>1</v>
      </c>
    </row>
    <row r="218" spans="1:5" x14ac:dyDescent="0.25">
      <c r="A218" s="7">
        <f>IF(E218=1,
      SUM($E$2:E218)-1,
"")</f>
        <v>215</v>
      </c>
      <c r="B218" s="6" t="s">
        <v>269</v>
      </c>
      <c r="C218" s="14">
        <v>45250</v>
      </c>
      <c r="D218" s="15">
        <v>109.3</v>
      </c>
      <c r="E218" s="7">
        <f t="shared" si="3"/>
        <v>1</v>
      </c>
    </row>
    <row r="219" spans="1:5" x14ac:dyDescent="0.25">
      <c r="A219" s="7">
        <f>IF(E219=1,
      SUM($E$2:E219)-1,
"")</f>
        <v>216</v>
      </c>
      <c r="B219" s="6" t="s">
        <v>270</v>
      </c>
      <c r="C219" s="14">
        <v>45158</v>
      </c>
      <c r="D219" s="15">
        <v>115.66</v>
      </c>
      <c r="E219" s="7">
        <f t="shared" si="3"/>
        <v>1</v>
      </c>
    </row>
    <row r="220" spans="1:5" x14ac:dyDescent="0.25">
      <c r="A220" s="7">
        <f>IF(E220=1,
      SUM($E$2:E220)-1,
"")</f>
        <v>217</v>
      </c>
      <c r="B220" s="6" t="s">
        <v>116</v>
      </c>
      <c r="C220" s="14">
        <v>45065</v>
      </c>
      <c r="D220" s="15">
        <v>107.67</v>
      </c>
      <c r="E220" s="7">
        <f t="shared" si="3"/>
        <v>1</v>
      </c>
    </row>
    <row r="221" spans="1:5" x14ac:dyDescent="0.25">
      <c r="A221" s="7">
        <f>IF(E221=1,
      SUM($E$2:E221)-1,
"")</f>
        <v>218</v>
      </c>
      <c r="B221" s="6" t="s">
        <v>271</v>
      </c>
      <c r="C221" s="14">
        <v>45182</v>
      </c>
      <c r="D221" s="15">
        <v>100.13</v>
      </c>
      <c r="E221" s="7">
        <f t="shared" si="3"/>
        <v>1</v>
      </c>
    </row>
    <row r="222" spans="1:5" x14ac:dyDescent="0.25">
      <c r="A222" s="7">
        <f>IF(E222=1,
      SUM($E$2:E222)-1,
"")</f>
        <v>219</v>
      </c>
      <c r="B222" s="6" t="s">
        <v>226</v>
      </c>
      <c r="C222" s="14">
        <v>44986</v>
      </c>
      <c r="D222" s="15">
        <v>122.27</v>
      </c>
      <c r="E222" s="7">
        <f t="shared" si="3"/>
        <v>1</v>
      </c>
    </row>
    <row r="223" spans="1:5" x14ac:dyDescent="0.25">
      <c r="A223" s="7">
        <f>IF(E223=1,
      SUM($E$2:E223)-1,
"")</f>
        <v>220</v>
      </c>
      <c r="B223" s="6" t="s">
        <v>272</v>
      </c>
      <c r="C223" s="14">
        <v>45133</v>
      </c>
      <c r="D223" s="15">
        <v>84.37</v>
      </c>
      <c r="E223" s="7">
        <f t="shared" si="3"/>
        <v>1</v>
      </c>
    </row>
    <row r="224" spans="1:5" x14ac:dyDescent="0.25">
      <c r="A224" s="7">
        <f>IF(E224=1,
      SUM($E$2:E224)-1,
"")</f>
        <v>221</v>
      </c>
      <c r="B224" s="6" t="s">
        <v>273</v>
      </c>
      <c r="C224" s="14">
        <v>44962</v>
      </c>
      <c r="D224" s="15">
        <v>156.56</v>
      </c>
      <c r="E224" s="7">
        <f t="shared" si="3"/>
        <v>1</v>
      </c>
    </row>
    <row r="225" spans="1:5" x14ac:dyDescent="0.25">
      <c r="A225" s="7">
        <f>IF(E225=1,
      SUM($E$2:E225)-1,
"")</f>
        <v>222</v>
      </c>
      <c r="B225" s="6" t="s">
        <v>269</v>
      </c>
      <c r="C225" s="14">
        <v>45029</v>
      </c>
      <c r="D225" s="15">
        <v>72.16</v>
      </c>
      <c r="E225" s="7">
        <f t="shared" si="3"/>
        <v>1</v>
      </c>
    </row>
    <row r="226" spans="1:5" x14ac:dyDescent="0.25">
      <c r="A226" s="7">
        <f>IF(E226=1,
      SUM($E$2:E226)-1,
"")</f>
        <v>223</v>
      </c>
      <c r="B226" s="6" t="s">
        <v>216</v>
      </c>
      <c r="C226" s="14">
        <v>45068</v>
      </c>
      <c r="D226" s="15">
        <v>124.34</v>
      </c>
      <c r="E226" s="7">
        <f t="shared" si="3"/>
        <v>1</v>
      </c>
    </row>
    <row r="227" spans="1:5" x14ac:dyDescent="0.25">
      <c r="A227" s="7">
        <f>IF(E227=1,
      SUM($E$2:E227)-1,
"")</f>
        <v>224</v>
      </c>
      <c r="B227" s="6" t="s">
        <v>274</v>
      </c>
      <c r="C227" s="14">
        <v>45076</v>
      </c>
      <c r="D227" s="15">
        <v>141.36000000000001</v>
      </c>
      <c r="E227" s="7">
        <f t="shared" si="3"/>
        <v>1</v>
      </c>
    </row>
    <row r="228" spans="1:5" x14ac:dyDescent="0.25">
      <c r="A228" s="7">
        <f>IF(E228=1,
      SUM($E$2:E228)-1,
"")</f>
        <v>225</v>
      </c>
      <c r="B228" s="6" t="s">
        <v>168</v>
      </c>
      <c r="C228" s="14">
        <v>45248</v>
      </c>
      <c r="D228" s="15">
        <v>94.7</v>
      </c>
      <c r="E228" s="7">
        <f t="shared" si="3"/>
        <v>1</v>
      </c>
    </row>
    <row r="229" spans="1:5" x14ac:dyDescent="0.25">
      <c r="A229" s="7">
        <f>IF(E229=1,
      SUM($E$2:E229)-1,
"")</f>
        <v>226</v>
      </c>
      <c r="B229" s="6" t="s">
        <v>145</v>
      </c>
      <c r="C229" s="14">
        <v>45079</v>
      </c>
      <c r="D229" s="15">
        <v>66.61</v>
      </c>
      <c r="E229" s="7">
        <f t="shared" si="3"/>
        <v>1</v>
      </c>
    </row>
    <row r="230" spans="1:5" x14ac:dyDescent="0.25">
      <c r="A230" s="7">
        <f>IF(E230=1,
      SUM($E$2:E230)-1,
"")</f>
        <v>227</v>
      </c>
      <c r="B230" s="6" t="s">
        <v>275</v>
      </c>
      <c r="C230" s="14">
        <v>45234</v>
      </c>
      <c r="D230" s="15">
        <v>134.66999999999999</v>
      </c>
      <c r="E230" s="7">
        <f t="shared" si="3"/>
        <v>1</v>
      </c>
    </row>
    <row r="231" spans="1:5" x14ac:dyDescent="0.25">
      <c r="A231" s="7">
        <f>IF(E231=1,
      SUM($E$2:E231)-1,
"")</f>
        <v>228</v>
      </c>
      <c r="B231" s="6" t="s">
        <v>122</v>
      </c>
      <c r="C231" s="14">
        <v>45161</v>
      </c>
      <c r="D231" s="15">
        <v>106.1</v>
      </c>
      <c r="E231" s="7">
        <f t="shared" si="3"/>
        <v>1</v>
      </c>
    </row>
    <row r="232" spans="1:5" x14ac:dyDescent="0.25">
      <c r="A232" s="7">
        <f>IF(E232=1,
      SUM($E$2:E232)-1,
"")</f>
        <v>229</v>
      </c>
      <c r="B232" s="6" t="s">
        <v>86</v>
      </c>
      <c r="C232" s="14">
        <v>45189</v>
      </c>
      <c r="D232" s="15">
        <v>124.4</v>
      </c>
      <c r="E232" s="7">
        <f t="shared" si="3"/>
        <v>1</v>
      </c>
    </row>
    <row r="233" spans="1:5" x14ac:dyDescent="0.25">
      <c r="A233" s="7">
        <f>IF(E233=1,
      SUM($E$2:E233)-1,
"")</f>
        <v>230</v>
      </c>
      <c r="B233" s="6" t="s">
        <v>276</v>
      </c>
      <c r="C233" s="14">
        <v>45098</v>
      </c>
      <c r="D233" s="15">
        <v>96.72</v>
      </c>
      <c r="E233" s="7">
        <f t="shared" si="3"/>
        <v>1</v>
      </c>
    </row>
    <row r="234" spans="1:5" x14ac:dyDescent="0.25">
      <c r="A234" s="7">
        <f>IF(E234=1,
      SUM($E$2:E234)-1,
"")</f>
        <v>231</v>
      </c>
      <c r="B234" s="6" t="s">
        <v>277</v>
      </c>
      <c r="C234" s="14">
        <v>45136</v>
      </c>
      <c r="D234" s="15">
        <v>151.96</v>
      </c>
      <c r="E234" s="7">
        <f t="shared" si="3"/>
        <v>1</v>
      </c>
    </row>
    <row r="235" spans="1:5" x14ac:dyDescent="0.25">
      <c r="A235" s="7">
        <f>IF(E235=1,
      SUM($E$2:E235)-1,
"")</f>
        <v>232</v>
      </c>
      <c r="B235" s="6" t="s">
        <v>278</v>
      </c>
      <c r="C235" s="14">
        <v>45195</v>
      </c>
      <c r="D235" s="15">
        <v>36.49</v>
      </c>
      <c r="E235" s="7">
        <f t="shared" si="3"/>
        <v>1</v>
      </c>
    </row>
    <row r="236" spans="1:5" x14ac:dyDescent="0.25">
      <c r="A236" s="7">
        <f>IF(E236=1,
      SUM($E$2:E236)-1,
"")</f>
        <v>233</v>
      </c>
      <c r="B236" s="6" t="s">
        <v>279</v>
      </c>
      <c r="C236" s="14">
        <v>45067</v>
      </c>
      <c r="D236" s="15">
        <v>111.29</v>
      </c>
      <c r="E236" s="7">
        <f t="shared" si="3"/>
        <v>1</v>
      </c>
    </row>
    <row r="237" spans="1:5" x14ac:dyDescent="0.25">
      <c r="A237" s="7">
        <f>IF(E237=1,
      SUM($E$2:E237)-1,
"")</f>
        <v>234</v>
      </c>
      <c r="B237" s="6" t="s">
        <v>215</v>
      </c>
      <c r="C237" s="14">
        <v>45088</v>
      </c>
      <c r="D237" s="15">
        <v>140.25</v>
      </c>
      <c r="E237" s="7">
        <f t="shared" si="3"/>
        <v>1</v>
      </c>
    </row>
    <row r="238" spans="1:5" x14ac:dyDescent="0.25">
      <c r="A238" s="7">
        <f>IF(E238=1,
      SUM($E$2:E238)-1,
"")</f>
        <v>235</v>
      </c>
      <c r="B238" s="6" t="s">
        <v>121</v>
      </c>
      <c r="C238" s="14">
        <v>45214</v>
      </c>
      <c r="D238" s="15">
        <v>103.16</v>
      </c>
      <c r="E238" s="7">
        <f t="shared" si="3"/>
        <v>1</v>
      </c>
    </row>
    <row r="239" spans="1:5" x14ac:dyDescent="0.25">
      <c r="A239" s="7">
        <f>IF(E239=1,
      SUM($E$2:E239)-1,
"")</f>
        <v>236</v>
      </c>
      <c r="B239" s="6" t="s">
        <v>280</v>
      </c>
      <c r="C239" s="14">
        <v>45169</v>
      </c>
      <c r="D239" s="15">
        <v>109.07</v>
      </c>
      <c r="E239" s="7">
        <f t="shared" si="3"/>
        <v>1</v>
      </c>
    </row>
    <row r="240" spans="1:5" x14ac:dyDescent="0.25">
      <c r="A240" s="7">
        <f>IF(E240=1,
      SUM($E$2:E240)-1,
"")</f>
        <v>237</v>
      </c>
      <c r="B240" s="6" t="s">
        <v>281</v>
      </c>
      <c r="C240" s="14">
        <v>45075</v>
      </c>
      <c r="D240" s="15">
        <v>86.98</v>
      </c>
      <c r="E240" s="7">
        <f t="shared" si="3"/>
        <v>1</v>
      </c>
    </row>
    <row r="241" spans="1:5" x14ac:dyDescent="0.25">
      <c r="A241" s="7">
        <f>IF(E241=1,
      SUM($E$2:E241)-1,
"")</f>
        <v>238</v>
      </c>
      <c r="B241" s="6" t="s">
        <v>282</v>
      </c>
      <c r="C241" s="14">
        <v>45289</v>
      </c>
      <c r="D241" s="15">
        <v>100.62</v>
      </c>
      <c r="E241" s="7">
        <f t="shared" si="3"/>
        <v>1</v>
      </c>
    </row>
    <row r="242" spans="1:5" x14ac:dyDescent="0.25">
      <c r="A242" s="7">
        <f>IF(E242=1,
      SUM($E$2:E242)-1,
"")</f>
        <v>239</v>
      </c>
      <c r="B242" s="6" t="s">
        <v>283</v>
      </c>
      <c r="C242" s="14">
        <v>45203</v>
      </c>
      <c r="D242" s="15">
        <v>49.84</v>
      </c>
      <c r="E242" s="7">
        <f t="shared" si="3"/>
        <v>1</v>
      </c>
    </row>
    <row r="243" spans="1:5" x14ac:dyDescent="0.25">
      <c r="A243" s="7">
        <f>IF(E243=1,
      SUM($E$2:E243)-1,
"")</f>
        <v>240</v>
      </c>
      <c r="B243" s="6" t="s">
        <v>122</v>
      </c>
      <c r="C243" s="14">
        <v>45189</v>
      </c>
      <c r="D243" s="15">
        <v>78.45</v>
      </c>
      <c r="E243" s="7">
        <f t="shared" si="3"/>
        <v>1</v>
      </c>
    </row>
    <row r="244" spans="1:5" x14ac:dyDescent="0.25">
      <c r="A244" s="7">
        <f>IF(E244=1,
      SUM($E$2:E244)-1,
"")</f>
        <v>241</v>
      </c>
      <c r="B244" s="6" t="s">
        <v>284</v>
      </c>
      <c r="C244" s="14">
        <v>45174</v>
      </c>
      <c r="D244" s="15">
        <v>76.400000000000006</v>
      </c>
      <c r="E244" s="7">
        <f t="shared" si="3"/>
        <v>1</v>
      </c>
    </row>
    <row r="245" spans="1:5" x14ac:dyDescent="0.25">
      <c r="A245" s="7">
        <f>IF(E245=1,
      SUM($E$2:E245)-1,
"")</f>
        <v>242</v>
      </c>
      <c r="B245" s="6" t="s">
        <v>285</v>
      </c>
      <c r="C245" s="14">
        <v>45160</v>
      </c>
      <c r="D245" s="15">
        <v>120.07</v>
      </c>
      <c r="E245" s="7">
        <f t="shared" si="3"/>
        <v>1</v>
      </c>
    </row>
    <row r="246" spans="1:5" x14ac:dyDescent="0.25">
      <c r="A246" s="7">
        <f>IF(E246=1,
      SUM($E$2:E246)-1,
"")</f>
        <v>243</v>
      </c>
      <c r="B246" s="6" t="s">
        <v>286</v>
      </c>
      <c r="C246" s="14">
        <v>44981</v>
      </c>
      <c r="D246" s="15">
        <v>82.86</v>
      </c>
      <c r="E246" s="7">
        <f t="shared" si="3"/>
        <v>1</v>
      </c>
    </row>
    <row r="247" spans="1:5" x14ac:dyDescent="0.25">
      <c r="A247" s="7">
        <f>IF(E247=1,
      SUM($E$2:E247)-1,
"")</f>
        <v>244</v>
      </c>
      <c r="B247" s="6" t="s">
        <v>287</v>
      </c>
      <c r="C247" s="14">
        <v>45197</v>
      </c>
      <c r="D247" s="15">
        <v>83.73</v>
      </c>
      <c r="E247" s="7">
        <f t="shared" si="3"/>
        <v>1</v>
      </c>
    </row>
    <row r="248" spans="1:5" x14ac:dyDescent="0.25">
      <c r="A248" s="7">
        <f>IF(E248=1,
      SUM($E$2:E248)-1,
"")</f>
        <v>245</v>
      </c>
      <c r="B248" s="6" t="s">
        <v>288</v>
      </c>
      <c r="C248" s="14">
        <v>44962</v>
      </c>
      <c r="D248" s="15">
        <v>88.66</v>
      </c>
      <c r="E248" s="7">
        <f t="shared" si="3"/>
        <v>1</v>
      </c>
    </row>
    <row r="249" spans="1:5" x14ac:dyDescent="0.25">
      <c r="A249" s="7">
        <f>IF(E249=1,
      SUM($E$2:E249)-1,
"")</f>
        <v>246</v>
      </c>
      <c r="B249" s="6" t="s">
        <v>289</v>
      </c>
      <c r="C249" s="14">
        <v>45150</v>
      </c>
      <c r="D249" s="15">
        <v>77.540000000000006</v>
      </c>
      <c r="E249" s="7">
        <f t="shared" si="3"/>
        <v>1</v>
      </c>
    </row>
    <row r="250" spans="1:5" x14ac:dyDescent="0.25">
      <c r="A250" s="7">
        <f>IF(E250=1,
      SUM($E$2:E250)-1,
"")</f>
        <v>247</v>
      </c>
      <c r="B250" s="6" t="s">
        <v>290</v>
      </c>
      <c r="C250" s="14">
        <v>45005</v>
      </c>
      <c r="D250" s="15">
        <v>108.07</v>
      </c>
      <c r="E250" s="7">
        <f t="shared" si="3"/>
        <v>1</v>
      </c>
    </row>
    <row r="251" spans="1:5" x14ac:dyDescent="0.25">
      <c r="A251" s="7">
        <f>IF(E251=1,
      SUM($E$2:E251)-1,
"")</f>
        <v>248</v>
      </c>
      <c r="B251" s="6" t="s">
        <v>175</v>
      </c>
      <c r="C251" s="14">
        <v>45265</v>
      </c>
      <c r="D251" s="15">
        <v>111.33</v>
      </c>
      <c r="E251" s="7">
        <f t="shared" si="3"/>
        <v>1</v>
      </c>
    </row>
    <row r="252" spans="1:5" x14ac:dyDescent="0.25">
      <c r="A252" s="7">
        <f>IF(E252=1,
      SUM($E$2:E252)-1,
"")</f>
        <v>249</v>
      </c>
      <c r="B252" s="6" t="s">
        <v>291</v>
      </c>
      <c r="C252" s="14">
        <v>45015</v>
      </c>
      <c r="D252" s="15">
        <v>124.75</v>
      </c>
      <c r="E252" s="7">
        <f t="shared" si="3"/>
        <v>1</v>
      </c>
    </row>
    <row r="253" spans="1:5" x14ac:dyDescent="0.25">
      <c r="A253" s="7">
        <f>IF(E253=1,
      SUM($E$2:E253)-1,
"")</f>
        <v>250</v>
      </c>
      <c r="B253" s="6" t="s">
        <v>292</v>
      </c>
      <c r="C253" s="14">
        <v>45060</v>
      </c>
      <c r="D253" s="15">
        <v>119.58</v>
      </c>
      <c r="E253" s="7">
        <f t="shared" si="3"/>
        <v>1</v>
      </c>
    </row>
    <row r="254" spans="1:5" x14ac:dyDescent="0.25">
      <c r="A254" s="7">
        <f>IF(E254=1,
      SUM($E$2:E254)-1,
"")</f>
        <v>251</v>
      </c>
      <c r="B254" s="6" t="s">
        <v>293</v>
      </c>
      <c r="C254" s="14">
        <v>45276</v>
      </c>
      <c r="D254" s="15">
        <v>116.58</v>
      </c>
      <c r="E254" s="7">
        <f t="shared" si="3"/>
        <v>1</v>
      </c>
    </row>
    <row r="255" spans="1:5" x14ac:dyDescent="0.25">
      <c r="A255" s="7">
        <f>IF(E255=1,
      SUM($E$2:E255)-1,
"")</f>
        <v>252</v>
      </c>
      <c r="B255" s="6" t="s">
        <v>294</v>
      </c>
      <c r="C255" s="14">
        <v>45234</v>
      </c>
      <c r="D255" s="15">
        <v>90.13</v>
      </c>
      <c r="E255" s="7">
        <f t="shared" si="3"/>
        <v>1</v>
      </c>
    </row>
    <row r="256" spans="1:5" x14ac:dyDescent="0.25">
      <c r="A256" s="7">
        <f>IF(E256=1,
      SUM($E$2:E256)-1,
"")</f>
        <v>253</v>
      </c>
      <c r="B256" s="6" t="s">
        <v>280</v>
      </c>
      <c r="C256" s="14">
        <v>45203</v>
      </c>
      <c r="D256" s="15">
        <v>88.21</v>
      </c>
      <c r="E256" s="7">
        <f t="shared" si="3"/>
        <v>1</v>
      </c>
    </row>
    <row r="257" spans="1:5" x14ac:dyDescent="0.25">
      <c r="A257" s="7">
        <f>IF(E257=1,
      SUM($E$2:E257)-1,
"")</f>
        <v>254</v>
      </c>
      <c r="B257" s="6" t="s">
        <v>131</v>
      </c>
      <c r="C257" s="14">
        <v>45094</v>
      </c>
      <c r="D257" s="15">
        <v>73.86</v>
      </c>
      <c r="E257" s="7">
        <f t="shared" si="3"/>
        <v>1</v>
      </c>
    </row>
    <row r="258" spans="1:5" x14ac:dyDescent="0.25">
      <c r="A258" s="7">
        <f>IF(E258=1,
      SUM($E$2:E258)-1,
"")</f>
        <v>255</v>
      </c>
      <c r="B258" s="6" t="s">
        <v>295</v>
      </c>
      <c r="C258" s="14">
        <v>44931</v>
      </c>
      <c r="D258" s="15">
        <v>73.319999999999993</v>
      </c>
      <c r="E258" s="7">
        <f t="shared" ref="E258:E321" si="4">IF(D258&gt;0,1,0)</f>
        <v>1</v>
      </c>
    </row>
    <row r="259" spans="1:5" x14ac:dyDescent="0.25">
      <c r="A259" s="7">
        <f>IF(E259=1,
      SUM($E$2:E259)-1,
"")</f>
        <v>256</v>
      </c>
      <c r="B259" s="6" t="s">
        <v>230</v>
      </c>
      <c r="C259" s="14">
        <v>45267</v>
      </c>
      <c r="D259" s="15">
        <v>105.83</v>
      </c>
      <c r="E259" s="7">
        <f t="shared" si="4"/>
        <v>1</v>
      </c>
    </row>
    <row r="260" spans="1:5" x14ac:dyDescent="0.25">
      <c r="A260" s="7">
        <f>IF(E260=1,
      SUM($E$2:E260)-1,
"")</f>
        <v>257</v>
      </c>
      <c r="B260" s="6" t="s">
        <v>92</v>
      </c>
      <c r="C260" s="14">
        <v>45268</v>
      </c>
      <c r="D260" s="15">
        <v>78.42</v>
      </c>
      <c r="E260" s="7">
        <f t="shared" si="4"/>
        <v>1</v>
      </c>
    </row>
    <row r="261" spans="1:5" x14ac:dyDescent="0.25">
      <c r="A261" s="7">
        <f>IF(E261=1,
      SUM($E$2:E261)-1,
"")</f>
        <v>258</v>
      </c>
      <c r="B261" s="6" t="s">
        <v>296</v>
      </c>
      <c r="C261" s="14">
        <v>44992</v>
      </c>
      <c r="D261" s="15">
        <v>144.05000000000001</v>
      </c>
      <c r="E261" s="7">
        <f t="shared" si="4"/>
        <v>1</v>
      </c>
    </row>
    <row r="262" spans="1:5" x14ac:dyDescent="0.25">
      <c r="A262" s="7">
        <f>IF(E262=1,
      SUM($E$2:E262)-1,
"")</f>
        <v>259</v>
      </c>
      <c r="B262" s="6" t="s">
        <v>297</v>
      </c>
      <c r="C262" s="14">
        <v>44954</v>
      </c>
      <c r="D262" s="15">
        <v>98.87</v>
      </c>
      <c r="E262" s="7">
        <f t="shared" si="4"/>
        <v>1</v>
      </c>
    </row>
    <row r="263" spans="1:5" x14ac:dyDescent="0.25">
      <c r="A263" s="7">
        <f>IF(E263=1,
      SUM($E$2:E263)-1,
"")</f>
        <v>260</v>
      </c>
      <c r="B263" s="6" t="s">
        <v>298</v>
      </c>
      <c r="C263" s="14">
        <v>45026</v>
      </c>
      <c r="D263" s="15">
        <v>145.04</v>
      </c>
      <c r="E263" s="7">
        <f t="shared" si="4"/>
        <v>1</v>
      </c>
    </row>
    <row r="264" spans="1:5" x14ac:dyDescent="0.25">
      <c r="A264" s="7">
        <f>IF(E264=1,
      SUM($E$2:E264)-1,
"")</f>
        <v>261</v>
      </c>
      <c r="B264" s="6" t="s">
        <v>299</v>
      </c>
      <c r="C264" s="14">
        <v>45112</v>
      </c>
      <c r="D264" s="15">
        <v>117.15</v>
      </c>
      <c r="E264" s="7">
        <f t="shared" si="4"/>
        <v>1</v>
      </c>
    </row>
    <row r="265" spans="1:5" x14ac:dyDescent="0.25">
      <c r="A265" s="7">
        <f>IF(E265=1,
      SUM($E$2:E265)-1,
"")</f>
        <v>262</v>
      </c>
      <c r="B265" s="6" t="s">
        <v>300</v>
      </c>
      <c r="C265" s="14">
        <v>44933</v>
      </c>
      <c r="D265" s="15">
        <v>76.680000000000007</v>
      </c>
      <c r="E265" s="7">
        <f t="shared" si="4"/>
        <v>1</v>
      </c>
    </row>
    <row r="266" spans="1:5" x14ac:dyDescent="0.25">
      <c r="A266" s="7">
        <f>IF(E266=1,
      SUM($E$2:E266)-1,
"")</f>
        <v>263</v>
      </c>
      <c r="B266" s="6" t="s">
        <v>203</v>
      </c>
      <c r="C266" s="14">
        <v>45225</v>
      </c>
      <c r="D266" s="15">
        <v>98.14</v>
      </c>
      <c r="E266" s="7">
        <f t="shared" si="4"/>
        <v>1</v>
      </c>
    </row>
    <row r="267" spans="1:5" x14ac:dyDescent="0.25">
      <c r="A267" s="7">
        <f>IF(E267=1,
      SUM($E$2:E267)-1,
"")</f>
        <v>264</v>
      </c>
      <c r="B267" s="6" t="s">
        <v>301</v>
      </c>
      <c r="C267" s="14">
        <v>44942</v>
      </c>
      <c r="D267" s="15">
        <v>49.8</v>
      </c>
      <c r="E267" s="7">
        <f t="shared" si="4"/>
        <v>1</v>
      </c>
    </row>
    <row r="268" spans="1:5" x14ac:dyDescent="0.25">
      <c r="A268" s="7">
        <f>IF(E268=1,
      SUM($E$2:E268)-1,
"")</f>
        <v>265</v>
      </c>
      <c r="B268" s="6" t="s">
        <v>302</v>
      </c>
      <c r="C268" s="14">
        <v>44972</v>
      </c>
      <c r="D268" s="15">
        <v>105.71</v>
      </c>
      <c r="E268" s="7">
        <f t="shared" si="4"/>
        <v>1</v>
      </c>
    </row>
    <row r="269" spans="1:5" x14ac:dyDescent="0.25">
      <c r="A269" s="7">
        <f>IF(E269=1,
      SUM($E$2:E269)-1,
"")</f>
        <v>266</v>
      </c>
      <c r="B269" s="6" t="s">
        <v>303</v>
      </c>
      <c r="C269" s="14">
        <v>45244</v>
      </c>
      <c r="D269" s="15">
        <v>79.430000000000007</v>
      </c>
      <c r="E269" s="7">
        <f t="shared" si="4"/>
        <v>1</v>
      </c>
    </row>
    <row r="270" spans="1:5" x14ac:dyDescent="0.25">
      <c r="A270" s="7">
        <f>IF(E270=1,
      SUM($E$2:E270)-1,
"")</f>
        <v>267</v>
      </c>
      <c r="B270" s="6" t="s">
        <v>304</v>
      </c>
      <c r="C270" s="14">
        <v>45118</v>
      </c>
      <c r="D270" s="15">
        <v>66.599999999999994</v>
      </c>
      <c r="E270" s="7">
        <f t="shared" si="4"/>
        <v>1</v>
      </c>
    </row>
    <row r="271" spans="1:5" x14ac:dyDescent="0.25">
      <c r="A271" s="7">
        <f>IF(E271=1,
      SUM($E$2:E271)-1,
"")</f>
        <v>268</v>
      </c>
      <c r="B271" s="6" t="s">
        <v>305</v>
      </c>
      <c r="C271" s="14">
        <v>45241</v>
      </c>
      <c r="D271" s="15">
        <v>145.66</v>
      </c>
      <c r="E271" s="7">
        <f t="shared" si="4"/>
        <v>1</v>
      </c>
    </row>
    <row r="272" spans="1:5" x14ac:dyDescent="0.25">
      <c r="A272" s="7">
        <f>IF(E272=1,
      SUM($E$2:E272)-1,
"")</f>
        <v>269</v>
      </c>
      <c r="B272" s="6" t="s">
        <v>306</v>
      </c>
      <c r="C272" s="14">
        <v>45191</v>
      </c>
      <c r="D272" s="15">
        <v>130.91999999999999</v>
      </c>
      <c r="E272" s="7">
        <f t="shared" si="4"/>
        <v>1</v>
      </c>
    </row>
    <row r="273" spans="1:5" x14ac:dyDescent="0.25">
      <c r="A273" s="7">
        <f>IF(E273=1,
      SUM($E$2:E273)-1,
"")</f>
        <v>270</v>
      </c>
      <c r="B273" s="6" t="s">
        <v>256</v>
      </c>
      <c r="C273" s="14">
        <v>45077</v>
      </c>
      <c r="D273" s="15">
        <v>130.09</v>
      </c>
      <c r="E273" s="7">
        <f t="shared" si="4"/>
        <v>1</v>
      </c>
    </row>
    <row r="274" spans="1:5" x14ac:dyDescent="0.25">
      <c r="A274" s="7">
        <f>IF(E274=1,
      SUM($E$2:E274)-1,
"")</f>
        <v>271</v>
      </c>
      <c r="B274" s="6" t="s">
        <v>307</v>
      </c>
      <c r="C274" s="14">
        <v>45105</v>
      </c>
      <c r="D274" s="15">
        <v>123.46</v>
      </c>
      <c r="E274" s="7">
        <f t="shared" si="4"/>
        <v>1</v>
      </c>
    </row>
    <row r="275" spans="1:5" x14ac:dyDescent="0.25">
      <c r="A275" s="7">
        <f>IF(E275=1,
      SUM($E$2:E275)-1,
"")</f>
        <v>272</v>
      </c>
      <c r="B275" s="6" t="s">
        <v>308</v>
      </c>
      <c r="C275" s="14">
        <v>45236</v>
      </c>
      <c r="D275" s="15">
        <v>62.95</v>
      </c>
      <c r="E275" s="7">
        <f t="shared" si="4"/>
        <v>1</v>
      </c>
    </row>
    <row r="276" spans="1:5" x14ac:dyDescent="0.25">
      <c r="A276" s="7">
        <f>IF(E276=1,
      SUM($E$2:E276)-1,
"")</f>
        <v>273</v>
      </c>
      <c r="B276" s="6" t="s">
        <v>309</v>
      </c>
      <c r="C276" s="14">
        <v>45246</v>
      </c>
      <c r="D276" s="15">
        <v>87.99</v>
      </c>
      <c r="E276" s="7">
        <f t="shared" si="4"/>
        <v>1</v>
      </c>
    </row>
    <row r="277" spans="1:5" x14ac:dyDescent="0.25">
      <c r="A277" s="7">
        <f>IF(E277=1,
      SUM($E$2:E277)-1,
"")</f>
        <v>274</v>
      </c>
      <c r="B277" s="6" t="s">
        <v>101</v>
      </c>
      <c r="C277" s="14">
        <v>45134</v>
      </c>
      <c r="D277" s="15">
        <v>89.81</v>
      </c>
      <c r="E277" s="7">
        <f t="shared" si="4"/>
        <v>1</v>
      </c>
    </row>
    <row r="278" spans="1:5" x14ac:dyDescent="0.25">
      <c r="A278" s="7">
        <f>IF(E278=1,
      SUM($E$2:E278)-1,
"")</f>
        <v>275</v>
      </c>
      <c r="B278" s="6" t="s">
        <v>310</v>
      </c>
      <c r="C278" s="14">
        <v>45119</v>
      </c>
      <c r="D278" s="15">
        <v>48.71</v>
      </c>
      <c r="E278" s="7">
        <f t="shared" si="4"/>
        <v>1</v>
      </c>
    </row>
    <row r="279" spans="1:5" x14ac:dyDescent="0.25">
      <c r="A279" s="7">
        <f>IF(E279=1,
      SUM($E$2:E279)-1,
"")</f>
        <v>276</v>
      </c>
      <c r="B279" s="6" t="s">
        <v>303</v>
      </c>
      <c r="C279" s="14">
        <v>45051</v>
      </c>
      <c r="D279" s="15">
        <v>83.29</v>
      </c>
      <c r="E279" s="7">
        <f t="shared" si="4"/>
        <v>1</v>
      </c>
    </row>
    <row r="280" spans="1:5" x14ac:dyDescent="0.25">
      <c r="A280" s="7">
        <f>IF(E280=1,
      SUM($E$2:E280)-1,
"")</f>
        <v>277</v>
      </c>
      <c r="B280" s="6" t="s">
        <v>236</v>
      </c>
      <c r="C280" s="14">
        <v>45011</v>
      </c>
      <c r="D280" s="15">
        <v>83.62</v>
      </c>
      <c r="E280" s="7">
        <f t="shared" si="4"/>
        <v>1</v>
      </c>
    </row>
    <row r="281" spans="1:5" x14ac:dyDescent="0.25">
      <c r="A281" s="7">
        <f>IF(E281=1,
      SUM($E$2:E281)-1,
"")</f>
        <v>278</v>
      </c>
      <c r="B281" s="6" t="s">
        <v>311</v>
      </c>
      <c r="C281" s="14">
        <v>45052</v>
      </c>
      <c r="D281" s="15">
        <v>103.78</v>
      </c>
      <c r="E281" s="7">
        <f t="shared" si="4"/>
        <v>1</v>
      </c>
    </row>
    <row r="282" spans="1:5" x14ac:dyDescent="0.25">
      <c r="A282" s="7">
        <f>IF(E282=1,
      SUM($E$2:E282)-1,
"")</f>
        <v>279</v>
      </c>
      <c r="B282" s="6" t="s">
        <v>312</v>
      </c>
      <c r="C282" s="14">
        <v>45288</v>
      </c>
      <c r="D282" s="15">
        <v>175.97</v>
      </c>
      <c r="E282" s="7">
        <f t="shared" si="4"/>
        <v>1</v>
      </c>
    </row>
    <row r="283" spans="1:5" x14ac:dyDescent="0.25">
      <c r="A283" s="7">
        <f>IF(E283=1,
      SUM($E$2:E283)-1,
"")</f>
        <v>280</v>
      </c>
      <c r="B283" s="6" t="s">
        <v>155</v>
      </c>
      <c r="C283" s="14">
        <v>45209</v>
      </c>
      <c r="D283" s="15">
        <v>99.37</v>
      </c>
      <c r="E283" s="7">
        <f t="shared" si="4"/>
        <v>1</v>
      </c>
    </row>
    <row r="284" spans="1:5" x14ac:dyDescent="0.25">
      <c r="A284" s="7">
        <f>IF(E284=1,
      SUM($E$2:E284)-1,
"")</f>
        <v>281</v>
      </c>
      <c r="B284" s="6" t="s">
        <v>266</v>
      </c>
      <c r="C284" s="14">
        <v>44985</v>
      </c>
      <c r="D284" s="15">
        <v>103.8</v>
      </c>
      <c r="E284" s="7">
        <f t="shared" si="4"/>
        <v>1</v>
      </c>
    </row>
    <row r="285" spans="1:5" x14ac:dyDescent="0.25">
      <c r="A285" s="7">
        <f>IF(E285=1,
      SUM($E$2:E285)-1,
"")</f>
        <v>282</v>
      </c>
      <c r="B285" s="6" t="s">
        <v>303</v>
      </c>
      <c r="C285" s="14">
        <v>44932</v>
      </c>
      <c r="D285" s="15">
        <v>92.49</v>
      </c>
      <c r="E285" s="7">
        <f t="shared" si="4"/>
        <v>1</v>
      </c>
    </row>
    <row r="286" spans="1:5" x14ac:dyDescent="0.25">
      <c r="A286" s="7">
        <f>IF(E286=1,
      SUM($E$2:E286)-1,
"")</f>
        <v>283</v>
      </c>
      <c r="B286" s="6" t="s">
        <v>158</v>
      </c>
      <c r="C286" s="14">
        <v>45045</v>
      </c>
      <c r="D286" s="15">
        <v>122.13</v>
      </c>
      <c r="E286" s="7">
        <f t="shared" si="4"/>
        <v>1</v>
      </c>
    </row>
    <row r="287" spans="1:5" x14ac:dyDescent="0.25">
      <c r="A287" s="7">
        <f>IF(E287=1,
      SUM($E$2:E287)-1,
"")</f>
        <v>284</v>
      </c>
      <c r="B287" s="6" t="s">
        <v>313</v>
      </c>
      <c r="C287" s="14">
        <v>45239</v>
      </c>
      <c r="D287" s="15">
        <v>67.78</v>
      </c>
      <c r="E287" s="7">
        <f t="shared" si="4"/>
        <v>1</v>
      </c>
    </row>
    <row r="288" spans="1:5" x14ac:dyDescent="0.25">
      <c r="A288" s="7">
        <f>IF(E288=1,
      SUM($E$2:E288)-1,
"")</f>
        <v>285</v>
      </c>
      <c r="B288" s="6" t="s">
        <v>314</v>
      </c>
      <c r="C288" s="14">
        <v>45132</v>
      </c>
      <c r="D288" s="15">
        <v>156.88</v>
      </c>
      <c r="E288" s="7">
        <f t="shared" si="4"/>
        <v>1</v>
      </c>
    </row>
    <row r="289" spans="1:5" x14ac:dyDescent="0.25">
      <c r="A289" s="7">
        <f>IF(E289=1,
      SUM($E$2:E289)-1,
"")</f>
        <v>286</v>
      </c>
      <c r="B289" s="6" t="s">
        <v>160</v>
      </c>
      <c r="C289" s="14">
        <v>45067</v>
      </c>
      <c r="D289" s="15">
        <v>96.28</v>
      </c>
      <c r="E289" s="7">
        <f t="shared" si="4"/>
        <v>1</v>
      </c>
    </row>
    <row r="290" spans="1:5" x14ac:dyDescent="0.25">
      <c r="A290" s="7">
        <f>IF(E290=1,
      SUM($E$2:E290)-1,
"")</f>
        <v>287</v>
      </c>
      <c r="B290" s="6" t="s">
        <v>315</v>
      </c>
      <c r="C290" s="14">
        <v>45278</v>
      </c>
      <c r="D290" s="15">
        <v>88.14</v>
      </c>
      <c r="E290" s="7">
        <f t="shared" si="4"/>
        <v>1</v>
      </c>
    </row>
    <row r="291" spans="1:5" x14ac:dyDescent="0.25">
      <c r="A291" s="7">
        <f>IF(E291=1,
      SUM($E$2:E291)-1,
"")</f>
        <v>288</v>
      </c>
      <c r="B291" s="6" t="s">
        <v>316</v>
      </c>
      <c r="C291" s="14">
        <v>45069</v>
      </c>
      <c r="D291" s="15">
        <v>129.1</v>
      </c>
      <c r="E291" s="7">
        <f t="shared" si="4"/>
        <v>1</v>
      </c>
    </row>
    <row r="292" spans="1:5" x14ac:dyDescent="0.25">
      <c r="A292" s="7">
        <f>IF(E292=1,
      SUM($E$2:E292)-1,
"")</f>
        <v>289</v>
      </c>
      <c r="B292" s="6" t="s">
        <v>317</v>
      </c>
      <c r="C292" s="14">
        <v>45232</v>
      </c>
      <c r="D292" s="15">
        <v>73.27</v>
      </c>
      <c r="E292" s="7">
        <f t="shared" si="4"/>
        <v>1</v>
      </c>
    </row>
    <row r="293" spans="1:5" x14ac:dyDescent="0.25">
      <c r="A293" s="7">
        <f>IF(E293=1,
      SUM($E$2:E293)-1,
"")</f>
        <v>290</v>
      </c>
      <c r="B293" s="6" t="s">
        <v>280</v>
      </c>
      <c r="C293" s="14">
        <v>45171</v>
      </c>
      <c r="D293" s="15">
        <v>121.58</v>
      </c>
      <c r="E293" s="7">
        <f t="shared" si="4"/>
        <v>1</v>
      </c>
    </row>
    <row r="294" spans="1:5" x14ac:dyDescent="0.25">
      <c r="A294" s="7">
        <f>IF(E294=1,
      SUM($E$2:E294)-1,
"")</f>
        <v>291</v>
      </c>
      <c r="B294" s="6" t="s">
        <v>281</v>
      </c>
      <c r="C294" s="14">
        <v>45016</v>
      </c>
      <c r="D294" s="15">
        <v>142.16</v>
      </c>
      <c r="E294" s="7">
        <f t="shared" si="4"/>
        <v>1</v>
      </c>
    </row>
    <row r="295" spans="1:5" x14ac:dyDescent="0.25">
      <c r="A295" s="7">
        <f>IF(E295=1,
      SUM($E$2:E295)-1,
"")</f>
        <v>292</v>
      </c>
      <c r="B295" s="6" t="s">
        <v>318</v>
      </c>
      <c r="C295" s="14">
        <v>45247</v>
      </c>
      <c r="D295" s="15">
        <v>92.76</v>
      </c>
      <c r="E295" s="7">
        <f t="shared" si="4"/>
        <v>1</v>
      </c>
    </row>
    <row r="296" spans="1:5" x14ac:dyDescent="0.25">
      <c r="A296" s="7">
        <f>IF(E296=1,
      SUM($E$2:E296)-1,
"")</f>
        <v>293</v>
      </c>
      <c r="B296" s="6" t="s">
        <v>319</v>
      </c>
      <c r="C296" s="14">
        <v>44999</v>
      </c>
      <c r="D296" s="15">
        <v>161.59</v>
      </c>
      <c r="E296" s="7">
        <f t="shared" si="4"/>
        <v>1</v>
      </c>
    </row>
    <row r="297" spans="1:5" x14ac:dyDescent="0.25">
      <c r="A297" s="7">
        <f>IF(E297=1,
      SUM($E$2:E297)-1,
"")</f>
        <v>294</v>
      </c>
      <c r="B297" s="6" t="s">
        <v>320</v>
      </c>
      <c r="C297" s="14">
        <v>45231</v>
      </c>
      <c r="D297" s="15">
        <v>119.33</v>
      </c>
      <c r="E297" s="7">
        <f t="shared" si="4"/>
        <v>1</v>
      </c>
    </row>
    <row r="298" spans="1:5" x14ac:dyDescent="0.25">
      <c r="A298" s="7">
        <f>IF(E298=1,
      SUM($E$2:E298)-1,
"")</f>
        <v>295</v>
      </c>
      <c r="B298" s="6" t="s">
        <v>186</v>
      </c>
      <c r="C298" s="14">
        <v>45207</v>
      </c>
      <c r="D298" s="15">
        <v>119.7</v>
      </c>
      <c r="E298" s="7">
        <f t="shared" si="4"/>
        <v>1</v>
      </c>
    </row>
    <row r="299" spans="1:5" x14ac:dyDescent="0.25">
      <c r="A299" s="7">
        <f>IF(E299=1,
      SUM($E$2:E299)-1,
"")</f>
        <v>296</v>
      </c>
      <c r="B299" s="6" t="s">
        <v>230</v>
      </c>
      <c r="C299" s="14">
        <v>45083</v>
      </c>
      <c r="D299" s="15">
        <v>140.97999999999999</v>
      </c>
      <c r="E299" s="7">
        <f t="shared" si="4"/>
        <v>1</v>
      </c>
    </row>
    <row r="300" spans="1:5" x14ac:dyDescent="0.25">
      <c r="A300" s="7">
        <f>IF(E300=1,
      SUM($E$2:E300)-1,
"")</f>
        <v>297</v>
      </c>
      <c r="B300" s="6" t="s">
        <v>167</v>
      </c>
      <c r="C300" s="14">
        <v>45215</v>
      </c>
      <c r="D300" s="15">
        <v>148.91999999999999</v>
      </c>
      <c r="E300" s="7">
        <f t="shared" si="4"/>
        <v>1</v>
      </c>
    </row>
    <row r="301" spans="1:5" x14ac:dyDescent="0.25">
      <c r="A301" s="7">
        <f>IF(E301=1,
      SUM($E$2:E301)-1,
"")</f>
        <v>298</v>
      </c>
      <c r="B301" s="6" t="s">
        <v>299</v>
      </c>
      <c r="C301" s="14">
        <v>45091</v>
      </c>
      <c r="D301" s="15">
        <v>107.86</v>
      </c>
      <c r="E301" s="7">
        <f t="shared" si="4"/>
        <v>1</v>
      </c>
    </row>
    <row r="302" spans="1:5" x14ac:dyDescent="0.25">
      <c r="A302" s="7">
        <f>IF(E302=1,
      SUM($E$2:E302)-1,
"")</f>
        <v>299</v>
      </c>
      <c r="B302" s="6" t="s">
        <v>290</v>
      </c>
      <c r="C302" s="14">
        <v>44991</v>
      </c>
      <c r="D302" s="15">
        <v>123.91</v>
      </c>
      <c r="E302" s="7">
        <f t="shared" si="4"/>
        <v>1</v>
      </c>
    </row>
    <row r="303" spans="1:5" x14ac:dyDescent="0.25">
      <c r="A303" s="7">
        <f>IF(E303=1,
      SUM($E$2:E303)-1,
"")</f>
        <v>300</v>
      </c>
      <c r="B303" s="6" t="s">
        <v>321</v>
      </c>
      <c r="C303" s="14">
        <v>45070</v>
      </c>
      <c r="D303" s="15">
        <v>141.88999999999999</v>
      </c>
      <c r="E303" s="7">
        <f t="shared" si="4"/>
        <v>1</v>
      </c>
    </row>
    <row r="304" spans="1:5" x14ac:dyDescent="0.25">
      <c r="A304" s="7">
        <f>IF(E304=1,
      SUM($E$2:E304)-1,
"")</f>
        <v>301</v>
      </c>
      <c r="B304" s="6" t="s">
        <v>322</v>
      </c>
      <c r="C304" s="14">
        <v>45071</v>
      </c>
      <c r="D304" s="15">
        <v>65.150000000000006</v>
      </c>
      <c r="E304" s="7">
        <f t="shared" si="4"/>
        <v>1</v>
      </c>
    </row>
    <row r="305" spans="1:5" x14ac:dyDescent="0.25">
      <c r="A305" s="7">
        <f>IF(E305=1,
      SUM($E$2:E305)-1,
"")</f>
        <v>302</v>
      </c>
      <c r="B305" s="6" t="s">
        <v>323</v>
      </c>
      <c r="C305" s="14">
        <v>45290</v>
      </c>
      <c r="D305" s="15">
        <v>48.11</v>
      </c>
      <c r="E305" s="7">
        <f t="shared" si="4"/>
        <v>1</v>
      </c>
    </row>
    <row r="306" spans="1:5" x14ac:dyDescent="0.25">
      <c r="A306" s="7">
        <f>IF(E306=1,
      SUM($E$2:E306)-1,
"")</f>
        <v>303</v>
      </c>
      <c r="B306" s="6" t="s">
        <v>324</v>
      </c>
      <c r="C306" s="14">
        <v>45287</v>
      </c>
      <c r="D306" s="15">
        <v>98.27</v>
      </c>
      <c r="E306" s="7">
        <f t="shared" si="4"/>
        <v>1</v>
      </c>
    </row>
    <row r="307" spans="1:5" x14ac:dyDescent="0.25">
      <c r="A307" s="7">
        <f>IF(E307=1,
      SUM($E$2:E307)-1,
"")</f>
        <v>304</v>
      </c>
      <c r="B307" s="6" t="s">
        <v>325</v>
      </c>
      <c r="C307" s="14">
        <v>45200</v>
      </c>
      <c r="D307" s="15">
        <v>47.4</v>
      </c>
      <c r="E307" s="7">
        <f t="shared" si="4"/>
        <v>1</v>
      </c>
    </row>
    <row r="308" spans="1:5" x14ac:dyDescent="0.25">
      <c r="A308" s="7">
        <f>IF(E308=1,
      SUM($E$2:E308)-1,
"")</f>
        <v>305</v>
      </c>
      <c r="B308" s="6" t="s">
        <v>326</v>
      </c>
      <c r="C308" s="14">
        <v>45285</v>
      </c>
      <c r="D308" s="15">
        <v>90.58</v>
      </c>
      <c r="E308" s="7">
        <f t="shared" si="4"/>
        <v>1</v>
      </c>
    </row>
    <row r="309" spans="1:5" x14ac:dyDescent="0.25">
      <c r="A309" s="7">
        <f>IF(E309=1,
      SUM($E$2:E309)-1,
"")</f>
        <v>306</v>
      </c>
      <c r="B309" s="6" t="s">
        <v>327</v>
      </c>
      <c r="C309" s="14">
        <v>45058</v>
      </c>
      <c r="D309" s="15">
        <v>109.43</v>
      </c>
      <c r="E309" s="7">
        <f t="shared" si="4"/>
        <v>1</v>
      </c>
    </row>
    <row r="310" spans="1:5" x14ac:dyDescent="0.25">
      <c r="A310" s="7">
        <f>IF(E310=1,
      SUM($E$2:E310)-1,
"")</f>
        <v>307</v>
      </c>
      <c r="B310" s="6" t="s">
        <v>328</v>
      </c>
      <c r="C310" s="14">
        <v>45185</v>
      </c>
      <c r="D310" s="15">
        <v>91.73</v>
      </c>
      <c r="E310" s="7">
        <f t="shared" si="4"/>
        <v>1</v>
      </c>
    </row>
    <row r="311" spans="1:5" x14ac:dyDescent="0.25">
      <c r="A311" s="7">
        <f>IF(E311=1,
      SUM($E$2:E311)-1,
"")</f>
        <v>308</v>
      </c>
      <c r="B311" s="6" t="s">
        <v>241</v>
      </c>
      <c r="C311" s="14">
        <v>45132</v>
      </c>
      <c r="D311" s="15">
        <v>95.75</v>
      </c>
      <c r="E311" s="7">
        <f t="shared" si="4"/>
        <v>1</v>
      </c>
    </row>
    <row r="312" spans="1:5" x14ac:dyDescent="0.25">
      <c r="A312" s="7">
        <f>IF(E312=1,
      SUM($E$2:E312)-1,
"")</f>
        <v>309</v>
      </c>
      <c r="B312" s="6" t="s">
        <v>329</v>
      </c>
      <c r="C312" s="14">
        <v>45084</v>
      </c>
      <c r="D312" s="15">
        <v>69.95</v>
      </c>
      <c r="E312" s="7">
        <f t="shared" si="4"/>
        <v>1</v>
      </c>
    </row>
    <row r="313" spans="1:5" x14ac:dyDescent="0.25">
      <c r="A313" s="7">
        <f>IF(E313=1,
      SUM($E$2:E313)-1,
"")</f>
        <v>310</v>
      </c>
      <c r="B313" s="6" t="s">
        <v>330</v>
      </c>
      <c r="C313" s="14">
        <v>45053</v>
      </c>
      <c r="D313" s="15">
        <v>123.64</v>
      </c>
      <c r="E313" s="7">
        <f t="shared" si="4"/>
        <v>1</v>
      </c>
    </row>
    <row r="314" spans="1:5" x14ac:dyDescent="0.25">
      <c r="A314" s="7">
        <f>IF(E314=1,
      SUM($E$2:E314)-1,
"")</f>
        <v>311</v>
      </c>
      <c r="B314" s="6" t="s">
        <v>331</v>
      </c>
      <c r="C314" s="14">
        <v>44962</v>
      </c>
      <c r="D314" s="15">
        <v>68.099999999999994</v>
      </c>
      <c r="E314" s="7">
        <f t="shared" si="4"/>
        <v>1</v>
      </c>
    </row>
    <row r="315" spans="1:5" x14ac:dyDescent="0.25">
      <c r="A315" s="7">
        <f>IF(E315=1,
      SUM($E$2:E315)-1,
"")</f>
        <v>312</v>
      </c>
      <c r="B315" s="6" t="s">
        <v>332</v>
      </c>
      <c r="C315" s="14">
        <v>44960</v>
      </c>
      <c r="D315" s="15">
        <v>36.909999999999997</v>
      </c>
      <c r="E315" s="7">
        <f t="shared" si="4"/>
        <v>1</v>
      </c>
    </row>
    <row r="316" spans="1:5" x14ac:dyDescent="0.25">
      <c r="A316" s="7">
        <f>IF(E316=1,
      SUM($E$2:E316)-1,
"")</f>
        <v>313</v>
      </c>
      <c r="B316" s="6" t="s">
        <v>333</v>
      </c>
      <c r="C316" s="14">
        <v>45243</v>
      </c>
      <c r="D316" s="15">
        <v>93.78</v>
      </c>
      <c r="E316" s="7">
        <f t="shared" si="4"/>
        <v>1</v>
      </c>
    </row>
    <row r="317" spans="1:5" x14ac:dyDescent="0.25">
      <c r="A317" s="7">
        <f>IF(E317=1,
      SUM($E$2:E317)-1,
"")</f>
        <v>314</v>
      </c>
      <c r="B317" s="6" t="s">
        <v>334</v>
      </c>
      <c r="C317" s="14">
        <v>45282</v>
      </c>
      <c r="D317" s="15">
        <v>127.45</v>
      </c>
      <c r="E317" s="7">
        <f t="shared" si="4"/>
        <v>1</v>
      </c>
    </row>
    <row r="318" spans="1:5" x14ac:dyDescent="0.25">
      <c r="A318" s="7">
        <f>IF(E318=1,
      SUM($E$2:E318)-1,
"")</f>
        <v>315</v>
      </c>
      <c r="B318" s="6" t="s">
        <v>335</v>
      </c>
      <c r="C318" s="14">
        <v>44942</v>
      </c>
      <c r="D318" s="15">
        <v>102.39</v>
      </c>
      <c r="E318" s="7">
        <f t="shared" si="4"/>
        <v>1</v>
      </c>
    </row>
    <row r="319" spans="1:5" x14ac:dyDescent="0.25">
      <c r="A319" s="7">
        <f>IF(E319=1,
      SUM($E$2:E319)-1,
"")</f>
        <v>316</v>
      </c>
      <c r="B319" s="6" t="s">
        <v>336</v>
      </c>
      <c r="C319" s="14">
        <v>45137</v>
      </c>
      <c r="D319" s="15">
        <v>65.06</v>
      </c>
      <c r="E319" s="7">
        <f t="shared" si="4"/>
        <v>1</v>
      </c>
    </row>
    <row r="320" spans="1:5" x14ac:dyDescent="0.25">
      <c r="A320" s="7">
        <f>IF(E320=1,
      SUM($E$2:E320)-1,
"")</f>
        <v>317</v>
      </c>
      <c r="B320" s="6" t="s">
        <v>115</v>
      </c>
      <c r="C320" s="14">
        <v>45223</v>
      </c>
      <c r="D320" s="15">
        <v>103.06</v>
      </c>
      <c r="E320" s="7">
        <f t="shared" si="4"/>
        <v>1</v>
      </c>
    </row>
    <row r="321" spans="1:5" x14ac:dyDescent="0.25">
      <c r="A321" s="7">
        <f>IF(E321=1,
      SUM($E$2:E321)-1,
"")</f>
        <v>318</v>
      </c>
      <c r="B321" s="6" t="s">
        <v>337</v>
      </c>
      <c r="C321" s="14">
        <v>45124</v>
      </c>
      <c r="D321" s="15">
        <v>113.15</v>
      </c>
      <c r="E321" s="7">
        <f t="shared" si="4"/>
        <v>1</v>
      </c>
    </row>
    <row r="322" spans="1:5" x14ac:dyDescent="0.25">
      <c r="A322" s="7">
        <f>IF(E322=1,
      SUM($E$2:E322)-1,
"")</f>
        <v>319</v>
      </c>
      <c r="B322" s="6" t="s">
        <v>338</v>
      </c>
      <c r="C322" s="14">
        <v>45021</v>
      </c>
      <c r="D322" s="15">
        <v>102.71</v>
      </c>
      <c r="E322" s="7">
        <f t="shared" ref="E322:E385" si="5">IF(D322&gt;0,1,0)</f>
        <v>1</v>
      </c>
    </row>
    <row r="323" spans="1:5" x14ac:dyDescent="0.25">
      <c r="A323" s="7">
        <f>IF(E323=1,
      SUM($E$2:E323)-1,
"")</f>
        <v>320</v>
      </c>
      <c r="B323" s="6" t="s">
        <v>339</v>
      </c>
      <c r="C323" s="14">
        <v>45225</v>
      </c>
      <c r="D323" s="15">
        <v>92.06</v>
      </c>
      <c r="E323" s="7">
        <f t="shared" si="5"/>
        <v>1</v>
      </c>
    </row>
    <row r="324" spans="1:5" x14ac:dyDescent="0.25">
      <c r="A324" s="7">
        <f>IF(E324=1,
      SUM($E$2:E324)-1,
"")</f>
        <v>321</v>
      </c>
      <c r="B324" s="6" t="s">
        <v>218</v>
      </c>
      <c r="C324" s="14">
        <v>44938</v>
      </c>
      <c r="D324" s="15">
        <v>114.58</v>
      </c>
      <c r="E324" s="7">
        <f t="shared" si="5"/>
        <v>1</v>
      </c>
    </row>
    <row r="325" spans="1:5" x14ac:dyDescent="0.25">
      <c r="A325" s="7">
        <f>IF(E325=1,
      SUM($E$2:E325)-1,
"")</f>
        <v>322</v>
      </c>
      <c r="B325" s="6" t="s">
        <v>340</v>
      </c>
      <c r="C325" s="14">
        <v>45041</v>
      </c>
      <c r="D325" s="15">
        <v>47.85</v>
      </c>
      <c r="E325" s="7">
        <f t="shared" si="5"/>
        <v>1</v>
      </c>
    </row>
    <row r="326" spans="1:5" x14ac:dyDescent="0.25">
      <c r="A326" s="7">
        <f>IF(E326=1,
      SUM($E$2:E326)-1,
"")</f>
        <v>323</v>
      </c>
      <c r="B326" s="6" t="s">
        <v>341</v>
      </c>
      <c r="C326" s="14">
        <v>45245</v>
      </c>
      <c r="D326" s="15">
        <v>73.180000000000007</v>
      </c>
      <c r="E326" s="7">
        <f t="shared" si="5"/>
        <v>1</v>
      </c>
    </row>
    <row r="327" spans="1:5" x14ac:dyDescent="0.25">
      <c r="A327" s="7">
        <f>IF(E327=1,
      SUM($E$2:E327)-1,
"")</f>
        <v>324</v>
      </c>
      <c r="B327" s="6" t="s">
        <v>342</v>
      </c>
      <c r="C327" s="14">
        <v>45109</v>
      </c>
      <c r="D327" s="15">
        <v>60.84</v>
      </c>
      <c r="E327" s="7">
        <f t="shared" si="5"/>
        <v>1</v>
      </c>
    </row>
    <row r="328" spans="1:5" x14ac:dyDescent="0.25">
      <c r="A328" s="7">
        <f>IF(E328=1,
      SUM($E$2:E328)-1,
"")</f>
        <v>325</v>
      </c>
      <c r="B328" s="6" t="s">
        <v>343</v>
      </c>
      <c r="C328" s="14">
        <v>44973</v>
      </c>
      <c r="D328" s="15">
        <v>140.44999999999999</v>
      </c>
      <c r="E328" s="7">
        <f t="shared" si="5"/>
        <v>1</v>
      </c>
    </row>
    <row r="329" spans="1:5" x14ac:dyDescent="0.25">
      <c r="A329" s="7">
        <f>IF(E329=1,
      SUM($E$2:E329)-1,
"")</f>
        <v>326</v>
      </c>
      <c r="B329" s="6" t="s">
        <v>344</v>
      </c>
      <c r="C329" s="14">
        <v>45106</v>
      </c>
      <c r="D329" s="15">
        <v>121.36</v>
      </c>
      <c r="E329" s="7">
        <f t="shared" si="5"/>
        <v>1</v>
      </c>
    </row>
    <row r="330" spans="1:5" x14ac:dyDescent="0.25">
      <c r="A330" s="7">
        <f>IF(E330=1,
      SUM($E$2:E330)-1,
"")</f>
        <v>327</v>
      </c>
      <c r="B330" s="6" t="s">
        <v>345</v>
      </c>
      <c r="C330" s="14">
        <v>45203</v>
      </c>
      <c r="D330" s="15">
        <v>105.55</v>
      </c>
      <c r="E330" s="7">
        <f t="shared" si="5"/>
        <v>1</v>
      </c>
    </row>
    <row r="331" spans="1:5" x14ac:dyDescent="0.25">
      <c r="A331" s="7">
        <f>IF(E331=1,
      SUM($E$2:E331)-1,
"")</f>
        <v>328</v>
      </c>
      <c r="B331" s="6" t="s">
        <v>346</v>
      </c>
      <c r="C331" s="14">
        <v>44961</v>
      </c>
      <c r="D331" s="15">
        <v>56.48</v>
      </c>
      <c r="E331" s="7">
        <f t="shared" si="5"/>
        <v>1</v>
      </c>
    </row>
    <row r="332" spans="1:5" x14ac:dyDescent="0.25">
      <c r="A332" s="7">
        <f>IF(E332=1,
      SUM($E$2:E332)-1,
"")</f>
        <v>329</v>
      </c>
      <c r="B332" s="6" t="s">
        <v>190</v>
      </c>
      <c r="C332" s="14">
        <v>45154</v>
      </c>
      <c r="D332" s="15">
        <v>122.32</v>
      </c>
      <c r="E332" s="7">
        <f t="shared" si="5"/>
        <v>1</v>
      </c>
    </row>
    <row r="333" spans="1:5" x14ac:dyDescent="0.25">
      <c r="A333" s="7">
        <f>IF(E333=1,
      SUM($E$2:E333)-1,
"")</f>
        <v>330</v>
      </c>
      <c r="B333" s="6" t="s">
        <v>347</v>
      </c>
      <c r="C333" s="14">
        <v>44936</v>
      </c>
      <c r="D333" s="15">
        <v>141.6</v>
      </c>
      <c r="E333" s="7">
        <f t="shared" si="5"/>
        <v>1</v>
      </c>
    </row>
    <row r="334" spans="1:5" x14ac:dyDescent="0.25">
      <c r="A334" s="7">
        <f>IF(E334=1,
      SUM($E$2:E334)-1,
"")</f>
        <v>331</v>
      </c>
      <c r="B334" s="6" t="s">
        <v>156</v>
      </c>
      <c r="C334" s="14">
        <v>45204</v>
      </c>
      <c r="D334" s="15">
        <v>117.14</v>
      </c>
      <c r="E334" s="7">
        <f t="shared" si="5"/>
        <v>1</v>
      </c>
    </row>
    <row r="335" spans="1:5" x14ac:dyDescent="0.25">
      <c r="A335" s="7">
        <f>IF(E335=1,
      SUM($E$2:E335)-1,
"")</f>
        <v>332</v>
      </c>
      <c r="B335" s="6" t="s">
        <v>318</v>
      </c>
      <c r="C335" s="14">
        <v>45019</v>
      </c>
      <c r="D335" s="15">
        <v>98.94</v>
      </c>
      <c r="E335" s="7">
        <f t="shared" si="5"/>
        <v>1</v>
      </c>
    </row>
    <row r="336" spans="1:5" x14ac:dyDescent="0.25">
      <c r="A336" s="7">
        <f>IF(E336=1,
      SUM($E$2:E336)-1,
"")</f>
        <v>333</v>
      </c>
      <c r="B336" s="6" t="s">
        <v>142</v>
      </c>
      <c r="C336" s="14">
        <v>45274</v>
      </c>
      <c r="D336" s="15">
        <v>118.95</v>
      </c>
      <c r="E336" s="7">
        <f t="shared" si="5"/>
        <v>1</v>
      </c>
    </row>
    <row r="337" spans="1:5" x14ac:dyDescent="0.25">
      <c r="A337" s="7">
        <f>IF(E337=1,
      SUM($E$2:E337)-1,
"")</f>
        <v>334</v>
      </c>
      <c r="B337" s="6" t="s">
        <v>348</v>
      </c>
      <c r="C337" s="14">
        <v>44982</v>
      </c>
      <c r="D337" s="15">
        <v>108.19</v>
      </c>
      <c r="E337" s="7">
        <f t="shared" si="5"/>
        <v>1</v>
      </c>
    </row>
    <row r="338" spans="1:5" x14ac:dyDescent="0.25">
      <c r="A338" s="7">
        <f>IF(E338=1,
      SUM($E$2:E338)-1,
"")</f>
        <v>335</v>
      </c>
      <c r="B338" s="6" t="s">
        <v>115</v>
      </c>
      <c r="C338" s="14">
        <v>44935</v>
      </c>
      <c r="D338" s="15">
        <v>127.78</v>
      </c>
      <c r="E338" s="7">
        <f t="shared" si="5"/>
        <v>1</v>
      </c>
    </row>
    <row r="339" spans="1:5" x14ac:dyDescent="0.25">
      <c r="A339" s="7">
        <f>IF(E339=1,
      SUM($E$2:E339)-1,
"")</f>
        <v>336</v>
      </c>
      <c r="B339" s="6" t="s">
        <v>349</v>
      </c>
      <c r="C339" s="14">
        <v>45139</v>
      </c>
      <c r="D339" s="15">
        <v>127.11</v>
      </c>
      <c r="E339" s="7">
        <f t="shared" si="5"/>
        <v>1</v>
      </c>
    </row>
    <row r="340" spans="1:5" x14ac:dyDescent="0.25">
      <c r="A340" s="7">
        <f>IF(E340=1,
      SUM($E$2:E340)-1,
"")</f>
        <v>337</v>
      </c>
      <c r="B340" s="6" t="s">
        <v>350</v>
      </c>
      <c r="C340" s="14">
        <v>45033</v>
      </c>
      <c r="D340" s="15">
        <v>93.37</v>
      </c>
      <c r="E340" s="7">
        <f t="shared" si="5"/>
        <v>1</v>
      </c>
    </row>
    <row r="341" spans="1:5" x14ac:dyDescent="0.25">
      <c r="A341" s="7">
        <f>IF(E341=1,
      SUM($E$2:E341)-1,
"")</f>
        <v>338</v>
      </c>
      <c r="B341" s="6" t="s">
        <v>253</v>
      </c>
      <c r="C341" s="14">
        <v>45185</v>
      </c>
      <c r="D341" s="15">
        <v>80.180000000000007</v>
      </c>
      <c r="E341" s="7">
        <f t="shared" si="5"/>
        <v>1</v>
      </c>
    </row>
    <row r="342" spans="1:5" x14ac:dyDescent="0.25">
      <c r="A342" s="7">
        <f>IF(E342=1,
      SUM($E$2:E342)-1,
"")</f>
        <v>339</v>
      </c>
      <c r="B342" s="6" t="s">
        <v>351</v>
      </c>
      <c r="C342" s="14">
        <v>45008</v>
      </c>
      <c r="D342" s="15">
        <v>88.01</v>
      </c>
      <c r="E342" s="7">
        <f t="shared" si="5"/>
        <v>1</v>
      </c>
    </row>
    <row r="343" spans="1:5" x14ac:dyDescent="0.25">
      <c r="A343" s="7">
        <f>IF(E343=1,
      SUM($E$2:E343)-1,
"")</f>
        <v>340</v>
      </c>
      <c r="B343" s="6" t="s">
        <v>352</v>
      </c>
      <c r="C343" s="14">
        <v>45234</v>
      </c>
      <c r="D343" s="15">
        <v>116.08</v>
      </c>
      <c r="E343" s="7">
        <f t="shared" si="5"/>
        <v>1</v>
      </c>
    </row>
    <row r="344" spans="1:5" x14ac:dyDescent="0.25">
      <c r="A344" s="7">
        <f>IF(E344=1,
      SUM($E$2:E344)-1,
"")</f>
        <v>341</v>
      </c>
      <c r="B344" s="6" t="s">
        <v>353</v>
      </c>
      <c r="C344" s="14">
        <v>45168</v>
      </c>
      <c r="D344" s="15">
        <v>89.82</v>
      </c>
      <c r="E344" s="7">
        <f t="shared" si="5"/>
        <v>1</v>
      </c>
    </row>
    <row r="345" spans="1:5" x14ac:dyDescent="0.25">
      <c r="A345" s="7">
        <f>IF(E345=1,
      SUM($E$2:E345)-1,
"")</f>
        <v>342</v>
      </c>
      <c r="B345" s="6" t="s">
        <v>354</v>
      </c>
      <c r="C345" s="14">
        <v>44939</v>
      </c>
      <c r="D345" s="15">
        <v>77.48</v>
      </c>
      <c r="E345" s="7">
        <f t="shared" si="5"/>
        <v>1</v>
      </c>
    </row>
    <row r="346" spans="1:5" x14ac:dyDescent="0.25">
      <c r="A346" s="7">
        <f>IF(E346=1,
      SUM($E$2:E346)-1,
"")</f>
        <v>343</v>
      </c>
      <c r="B346" s="6" t="s">
        <v>355</v>
      </c>
      <c r="C346" s="14">
        <v>45020</v>
      </c>
      <c r="D346" s="15">
        <v>99.97</v>
      </c>
      <c r="E346" s="7">
        <f t="shared" si="5"/>
        <v>1</v>
      </c>
    </row>
    <row r="347" spans="1:5" x14ac:dyDescent="0.25">
      <c r="A347" s="7">
        <f>IF(E347=1,
      SUM($E$2:E347)-1,
"")</f>
        <v>344</v>
      </c>
      <c r="B347" s="6" t="s">
        <v>276</v>
      </c>
      <c r="C347" s="14">
        <v>45186</v>
      </c>
      <c r="D347" s="15">
        <v>133.22</v>
      </c>
      <c r="E347" s="7">
        <f t="shared" si="5"/>
        <v>1</v>
      </c>
    </row>
    <row r="348" spans="1:5" x14ac:dyDescent="0.25">
      <c r="A348" s="7">
        <f>IF(E348=1,
      SUM($E$2:E348)-1,
"")</f>
        <v>345</v>
      </c>
      <c r="B348" s="6" t="s">
        <v>356</v>
      </c>
      <c r="C348" s="14">
        <v>44994</v>
      </c>
      <c r="D348" s="15">
        <v>104.05</v>
      </c>
      <c r="E348" s="7">
        <f t="shared" si="5"/>
        <v>1</v>
      </c>
    </row>
    <row r="349" spans="1:5" x14ac:dyDescent="0.25">
      <c r="A349" s="7">
        <f>IF(E349=1,
      SUM($E$2:E349)-1,
"")</f>
        <v>346</v>
      </c>
      <c r="B349" s="6" t="s">
        <v>184</v>
      </c>
      <c r="C349" s="14">
        <v>45048</v>
      </c>
      <c r="D349" s="15">
        <v>91.71</v>
      </c>
      <c r="E349" s="7">
        <f t="shared" si="5"/>
        <v>1</v>
      </c>
    </row>
    <row r="350" spans="1:5" x14ac:dyDescent="0.25">
      <c r="A350" s="7">
        <f>IF(E350=1,
      SUM($E$2:E350)-1,
"")</f>
        <v>347</v>
      </c>
      <c r="B350" s="6" t="s">
        <v>91</v>
      </c>
      <c r="C350" s="14">
        <v>44957</v>
      </c>
      <c r="D350" s="15">
        <v>109.61</v>
      </c>
      <c r="E350" s="7">
        <f t="shared" si="5"/>
        <v>1</v>
      </c>
    </row>
    <row r="351" spans="1:5" x14ac:dyDescent="0.25">
      <c r="A351" s="7">
        <f>IF(E351=1,
      SUM($E$2:E351)-1,
"")</f>
        <v>348</v>
      </c>
      <c r="B351" s="6" t="s">
        <v>357</v>
      </c>
      <c r="C351" s="14">
        <v>45046</v>
      </c>
      <c r="D351" s="15">
        <v>102.52</v>
      </c>
      <c r="E351" s="7">
        <f t="shared" si="5"/>
        <v>1</v>
      </c>
    </row>
    <row r="352" spans="1:5" x14ac:dyDescent="0.25">
      <c r="A352" s="7">
        <f>IF(E352=1,
      SUM($E$2:E352)-1,
"")</f>
        <v>349</v>
      </c>
      <c r="B352" s="6" t="s">
        <v>358</v>
      </c>
      <c r="C352" s="14">
        <v>45285</v>
      </c>
      <c r="D352" s="15">
        <v>41.99</v>
      </c>
      <c r="E352" s="7">
        <f t="shared" si="5"/>
        <v>1</v>
      </c>
    </row>
    <row r="353" spans="1:5" x14ac:dyDescent="0.25">
      <c r="A353" s="7">
        <f>IF(E353=1,
      SUM($E$2:E353)-1,
"")</f>
        <v>350</v>
      </c>
      <c r="B353" s="6" t="s">
        <v>359</v>
      </c>
      <c r="C353" s="14">
        <v>45152</v>
      </c>
      <c r="D353" s="15">
        <v>120.9</v>
      </c>
      <c r="E353" s="7">
        <f t="shared" si="5"/>
        <v>1</v>
      </c>
    </row>
    <row r="354" spans="1:5" x14ac:dyDescent="0.25">
      <c r="A354" s="7">
        <f>IF(E354=1,
      SUM($E$2:E354)-1,
"")</f>
        <v>351</v>
      </c>
      <c r="B354" s="6" t="s">
        <v>272</v>
      </c>
      <c r="C354" s="14">
        <v>44931</v>
      </c>
      <c r="D354" s="15">
        <v>112.22</v>
      </c>
      <c r="E354" s="7">
        <f t="shared" si="5"/>
        <v>1</v>
      </c>
    </row>
    <row r="355" spans="1:5" x14ac:dyDescent="0.25">
      <c r="A355" s="7">
        <f>IF(E355=1,
      SUM($E$2:E355)-1,
"")</f>
        <v>352</v>
      </c>
      <c r="B355" s="6" t="s">
        <v>279</v>
      </c>
      <c r="C355" s="14">
        <v>45285</v>
      </c>
      <c r="D355" s="15">
        <v>100.49</v>
      </c>
      <c r="E355" s="7">
        <f t="shared" si="5"/>
        <v>1</v>
      </c>
    </row>
    <row r="356" spans="1:5" x14ac:dyDescent="0.25">
      <c r="A356" s="7">
        <f>IF(E356=1,
      SUM($E$2:E356)-1,
"")</f>
        <v>353</v>
      </c>
      <c r="B356" s="6" t="s">
        <v>360</v>
      </c>
      <c r="C356" s="14">
        <v>44941</v>
      </c>
      <c r="D356" s="15">
        <v>131.87</v>
      </c>
      <c r="E356" s="7">
        <f t="shared" si="5"/>
        <v>1</v>
      </c>
    </row>
    <row r="357" spans="1:5" x14ac:dyDescent="0.25">
      <c r="A357" s="7">
        <f>IF(E357=1,
      SUM($E$2:E357)-1,
"")</f>
        <v>354</v>
      </c>
      <c r="B357" s="6" t="s">
        <v>361</v>
      </c>
      <c r="C357" s="14">
        <v>45199</v>
      </c>
      <c r="D357" s="15">
        <v>136.38999999999999</v>
      </c>
      <c r="E357" s="7">
        <f t="shared" si="5"/>
        <v>1</v>
      </c>
    </row>
    <row r="358" spans="1:5" x14ac:dyDescent="0.25">
      <c r="A358" s="7">
        <f>IF(E358=1,
      SUM($E$2:E358)-1,
"")</f>
        <v>355</v>
      </c>
      <c r="B358" s="6" t="s">
        <v>362</v>
      </c>
      <c r="C358" s="14">
        <v>44972</v>
      </c>
      <c r="D358" s="15">
        <v>123.96</v>
      </c>
      <c r="E358" s="7">
        <f t="shared" si="5"/>
        <v>1</v>
      </c>
    </row>
    <row r="359" spans="1:5" x14ac:dyDescent="0.25">
      <c r="A359" s="7">
        <f>IF(E359=1,
      SUM($E$2:E359)-1,
"")</f>
        <v>356</v>
      </c>
      <c r="B359" s="6" t="s">
        <v>363</v>
      </c>
      <c r="C359" s="14">
        <v>45254</v>
      </c>
      <c r="D359" s="15">
        <v>74.489999999999995</v>
      </c>
      <c r="E359" s="7">
        <f t="shared" si="5"/>
        <v>1</v>
      </c>
    </row>
    <row r="360" spans="1:5" x14ac:dyDescent="0.25">
      <c r="A360" s="7">
        <f>IF(E360=1,
      SUM($E$2:E360)-1,
"")</f>
        <v>357</v>
      </c>
      <c r="B360" s="6" t="s">
        <v>364</v>
      </c>
      <c r="C360" s="14">
        <v>45212</v>
      </c>
      <c r="D360" s="15">
        <v>75.53</v>
      </c>
      <c r="E360" s="7">
        <f t="shared" si="5"/>
        <v>1</v>
      </c>
    </row>
    <row r="361" spans="1:5" x14ac:dyDescent="0.25">
      <c r="A361" s="7">
        <f>IF(E361=1,
      SUM($E$2:E361)-1,
"")</f>
        <v>358</v>
      </c>
      <c r="B361" s="6" t="s">
        <v>365</v>
      </c>
      <c r="C361" s="14">
        <v>45106</v>
      </c>
      <c r="D361" s="15">
        <v>133.52000000000001</v>
      </c>
      <c r="E361" s="7">
        <f t="shared" si="5"/>
        <v>1</v>
      </c>
    </row>
    <row r="362" spans="1:5" x14ac:dyDescent="0.25">
      <c r="A362" s="7">
        <f>IF(E362=1,
      SUM($E$2:E362)-1,
"")</f>
        <v>359</v>
      </c>
      <c r="B362" s="6" t="s">
        <v>366</v>
      </c>
      <c r="C362" s="14">
        <v>45209</v>
      </c>
      <c r="D362" s="15">
        <v>43.68</v>
      </c>
      <c r="E362" s="7">
        <f t="shared" si="5"/>
        <v>1</v>
      </c>
    </row>
    <row r="363" spans="1:5" x14ac:dyDescent="0.25">
      <c r="A363" s="7">
        <f>IF(E363=1,
      SUM($E$2:E363)-1,
"")</f>
        <v>360</v>
      </c>
      <c r="B363" s="6" t="s">
        <v>190</v>
      </c>
      <c r="C363" s="14">
        <v>45205</v>
      </c>
      <c r="D363" s="15">
        <v>95.53</v>
      </c>
      <c r="E363" s="7">
        <f t="shared" si="5"/>
        <v>1</v>
      </c>
    </row>
    <row r="364" spans="1:5" x14ac:dyDescent="0.25">
      <c r="A364" s="7">
        <f>IF(E364=1,
      SUM($E$2:E364)-1,
"")</f>
        <v>361</v>
      </c>
      <c r="B364" s="6" t="s">
        <v>338</v>
      </c>
      <c r="C364" s="14">
        <v>45051</v>
      </c>
      <c r="D364" s="15">
        <v>113.19</v>
      </c>
      <c r="E364" s="7">
        <f t="shared" si="5"/>
        <v>1</v>
      </c>
    </row>
    <row r="365" spans="1:5" x14ac:dyDescent="0.25">
      <c r="A365" s="7">
        <f>IF(E365=1,
      SUM($E$2:E365)-1,
"")</f>
        <v>362</v>
      </c>
      <c r="B365" s="6" t="s">
        <v>142</v>
      </c>
      <c r="C365" s="14">
        <v>44951</v>
      </c>
      <c r="D365" s="15">
        <v>47.49</v>
      </c>
      <c r="E365" s="7">
        <f t="shared" si="5"/>
        <v>1</v>
      </c>
    </row>
    <row r="366" spans="1:5" x14ac:dyDescent="0.25">
      <c r="A366" s="7">
        <f>IF(E366=1,
      SUM($E$2:E366)-1,
"")</f>
        <v>363</v>
      </c>
      <c r="B366" s="6" t="s">
        <v>367</v>
      </c>
      <c r="C366" s="14">
        <v>45200</v>
      </c>
      <c r="D366" s="15">
        <v>107.03</v>
      </c>
      <c r="E366" s="7">
        <f t="shared" si="5"/>
        <v>1</v>
      </c>
    </row>
    <row r="367" spans="1:5" x14ac:dyDescent="0.25">
      <c r="A367" s="7">
        <f>IF(E367=1,
      SUM($E$2:E367)-1,
"")</f>
        <v>364</v>
      </c>
      <c r="B367" s="6" t="s">
        <v>368</v>
      </c>
      <c r="C367" s="14">
        <v>45207</v>
      </c>
      <c r="D367" s="15">
        <v>128.63</v>
      </c>
      <c r="E367" s="7">
        <f t="shared" si="5"/>
        <v>1</v>
      </c>
    </row>
    <row r="368" spans="1:5" x14ac:dyDescent="0.25">
      <c r="A368" s="7">
        <f>IF(E368=1,
      SUM($E$2:E368)-1,
"")</f>
        <v>365</v>
      </c>
      <c r="B368" s="6" t="s">
        <v>369</v>
      </c>
      <c r="C368" s="14">
        <v>45249</v>
      </c>
      <c r="D368" s="15">
        <v>55.43</v>
      </c>
      <c r="E368" s="7">
        <f t="shared" si="5"/>
        <v>1</v>
      </c>
    </row>
    <row r="369" spans="1:5" x14ac:dyDescent="0.25">
      <c r="A369" s="7">
        <f>IF(E369=1,
      SUM($E$2:E369)-1,
"")</f>
        <v>366</v>
      </c>
      <c r="B369" s="6" t="s">
        <v>158</v>
      </c>
      <c r="C369" s="14">
        <v>45156</v>
      </c>
      <c r="D369" s="15">
        <v>149.75</v>
      </c>
      <c r="E369" s="7">
        <f t="shared" si="5"/>
        <v>1</v>
      </c>
    </row>
    <row r="370" spans="1:5" x14ac:dyDescent="0.25">
      <c r="A370" s="7">
        <f>IF(E370=1,
      SUM($E$2:E370)-1,
"")</f>
        <v>367</v>
      </c>
      <c r="B370" s="6" t="s">
        <v>370</v>
      </c>
      <c r="C370" s="14">
        <v>45219</v>
      </c>
      <c r="D370" s="15">
        <v>69.709999999999994</v>
      </c>
      <c r="E370" s="7">
        <f t="shared" si="5"/>
        <v>1</v>
      </c>
    </row>
    <row r="371" spans="1:5" x14ac:dyDescent="0.25">
      <c r="A371" s="7">
        <f>IF(E371=1,
      SUM($E$2:E371)-1,
"")</f>
        <v>368</v>
      </c>
      <c r="B371" s="6" t="s">
        <v>371</v>
      </c>
      <c r="C371" s="14">
        <v>45257</v>
      </c>
      <c r="D371" s="15">
        <v>117.24</v>
      </c>
      <c r="E371" s="7">
        <f t="shared" si="5"/>
        <v>1</v>
      </c>
    </row>
    <row r="372" spans="1:5" x14ac:dyDescent="0.25">
      <c r="A372" s="7">
        <f>IF(E372=1,
      SUM($E$2:E372)-1,
"")</f>
        <v>369</v>
      </c>
      <c r="B372" s="6" t="s">
        <v>372</v>
      </c>
      <c r="C372" s="14">
        <v>45192</v>
      </c>
      <c r="D372" s="15">
        <v>97.49</v>
      </c>
      <c r="E372" s="7">
        <f t="shared" si="5"/>
        <v>1</v>
      </c>
    </row>
    <row r="373" spans="1:5" x14ac:dyDescent="0.25">
      <c r="A373" s="7">
        <f>IF(E373=1,
      SUM($E$2:E373)-1,
"")</f>
        <v>370</v>
      </c>
      <c r="B373" s="6" t="s">
        <v>373</v>
      </c>
      <c r="C373" s="14">
        <v>45137</v>
      </c>
      <c r="D373" s="15">
        <v>102.09</v>
      </c>
      <c r="E373" s="7">
        <f t="shared" si="5"/>
        <v>1</v>
      </c>
    </row>
    <row r="374" spans="1:5" x14ac:dyDescent="0.25">
      <c r="A374" s="7">
        <f>IF(E374=1,
      SUM($E$2:E374)-1,
"")</f>
        <v>371</v>
      </c>
      <c r="B374" s="6" t="s">
        <v>374</v>
      </c>
      <c r="C374" s="14">
        <v>45038</v>
      </c>
      <c r="D374" s="15">
        <v>61.5</v>
      </c>
      <c r="E374" s="7">
        <f t="shared" si="5"/>
        <v>1</v>
      </c>
    </row>
    <row r="375" spans="1:5" x14ac:dyDescent="0.25">
      <c r="A375" s="7">
        <f>IF(E375=1,
      SUM($E$2:E375)-1,
"")</f>
        <v>372</v>
      </c>
      <c r="B375" s="6" t="s">
        <v>375</v>
      </c>
      <c r="C375" s="14">
        <v>45122</v>
      </c>
      <c r="D375" s="15">
        <v>137.81</v>
      </c>
      <c r="E375" s="7">
        <f t="shared" si="5"/>
        <v>1</v>
      </c>
    </row>
    <row r="376" spans="1:5" x14ac:dyDescent="0.25">
      <c r="A376" s="7">
        <f>IF(E376=1,
      SUM($E$2:E376)-1,
"")</f>
        <v>373</v>
      </c>
      <c r="B376" s="6" t="s">
        <v>265</v>
      </c>
      <c r="C376" s="14">
        <v>45077</v>
      </c>
      <c r="D376" s="15">
        <v>109.78</v>
      </c>
      <c r="E376" s="7">
        <f t="shared" si="5"/>
        <v>1</v>
      </c>
    </row>
    <row r="377" spans="1:5" x14ac:dyDescent="0.25">
      <c r="A377" s="7">
        <f>IF(E377=1,
      SUM($E$2:E377)-1,
"")</f>
        <v>374</v>
      </c>
      <c r="B377" s="6" t="s">
        <v>376</v>
      </c>
      <c r="C377" s="14">
        <v>45123</v>
      </c>
      <c r="D377" s="15">
        <v>148.63</v>
      </c>
      <c r="E377" s="7">
        <f t="shared" si="5"/>
        <v>1</v>
      </c>
    </row>
    <row r="378" spans="1:5" x14ac:dyDescent="0.25">
      <c r="A378" s="7">
        <f>IF(E378=1,
      SUM($E$2:E378)-1,
"")</f>
        <v>375</v>
      </c>
      <c r="B378" s="6" t="s">
        <v>301</v>
      </c>
      <c r="C378" s="14">
        <v>45041</v>
      </c>
      <c r="D378" s="15">
        <v>62.28</v>
      </c>
      <c r="E378" s="7">
        <f t="shared" si="5"/>
        <v>1</v>
      </c>
    </row>
    <row r="379" spans="1:5" x14ac:dyDescent="0.25">
      <c r="A379" s="7">
        <f>IF(E379=1,
      SUM($E$2:E379)-1,
"")</f>
        <v>376</v>
      </c>
      <c r="B379" s="6" t="s">
        <v>229</v>
      </c>
      <c r="C379" s="14">
        <v>44933</v>
      </c>
      <c r="D379" s="15">
        <v>94.56</v>
      </c>
      <c r="E379" s="7">
        <f t="shared" si="5"/>
        <v>1</v>
      </c>
    </row>
    <row r="380" spans="1:5" x14ac:dyDescent="0.25">
      <c r="A380" s="7">
        <f>IF(E380=1,
      SUM($E$2:E380)-1,
"")</f>
        <v>377</v>
      </c>
      <c r="B380" s="6" t="s">
        <v>377</v>
      </c>
      <c r="C380" s="14">
        <v>44971</v>
      </c>
      <c r="D380" s="15">
        <v>106.29</v>
      </c>
      <c r="E380" s="7">
        <f t="shared" si="5"/>
        <v>1</v>
      </c>
    </row>
    <row r="381" spans="1:5" x14ac:dyDescent="0.25">
      <c r="A381" s="7">
        <f>IF(E381=1,
      SUM($E$2:E381)-1,
"")</f>
        <v>378</v>
      </c>
      <c r="B381" s="6" t="s">
        <v>174</v>
      </c>
      <c r="C381" s="14">
        <v>45238</v>
      </c>
      <c r="D381" s="15">
        <v>101.81</v>
      </c>
      <c r="E381" s="7">
        <f t="shared" si="5"/>
        <v>1</v>
      </c>
    </row>
    <row r="382" spans="1:5" x14ac:dyDescent="0.25">
      <c r="A382" s="7">
        <f>IF(E382=1,
      SUM($E$2:E382)-1,
"")</f>
        <v>379</v>
      </c>
      <c r="B382" s="6" t="s">
        <v>378</v>
      </c>
      <c r="C382" s="14">
        <v>45202</v>
      </c>
      <c r="D382" s="15">
        <v>120</v>
      </c>
      <c r="E382" s="7">
        <f t="shared" si="5"/>
        <v>1</v>
      </c>
    </row>
    <row r="383" spans="1:5" x14ac:dyDescent="0.25">
      <c r="A383" s="7">
        <f>IF(E383=1,
      SUM($E$2:E383)-1,
"")</f>
        <v>380</v>
      </c>
      <c r="B383" s="6" t="s">
        <v>93</v>
      </c>
      <c r="C383" s="14">
        <v>45015</v>
      </c>
      <c r="D383" s="15">
        <v>94.18</v>
      </c>
      <c r="E383" s="7">
        <f t="shared" si="5"/>
        <v>1</v>
      </c>
    </row>
    <row r="384" spans="1:5" x14ac:dyDescent="0.25">
      <c r="A384" s="7">
        <f>IF(E384=1,
      SUM($E$2:E384)-1,
"")</f>
        <v>381</v>
      </c>
      <c r="B384" s="6" t="s">
        <v>379</v>
      </c>
      <c r="C384" s="14">
        <v>45192</v>
      </c>
      <c r="D384" s="15">
        <v>163.66</v>
      </c>
      <c r="E384" s="7">
        <f t="shared" si="5"/>
        <v>1</v>
      </c>
    </row>
    <row r="385" spans="1:5" x14ac:dyDescent="0.25">
      <c r="A385" s="7">
        <f>IF(E385=1,
      SUM($E$2:E385)-1,
"")</f>
        <v>382</v>
      </c>
      <c r="B385" s="6" t="s">
        <v>380</v>
      </c>
      <c r="C385" s="14">
        <v>45138</v>
      </c>
      <c r="D385" s="15">
        <v>101.2</v>
      </c>
      <c r="E385" s="7">
        <f t="shared" si="5"/>
        <v>1</v>
      </c>
    </row>
    <row r="386" spans="1:5" x14ac:dyDescent="0.25">
      <c r="A386" s="7">
        <f>IF(E386=1,
      SUM($E$2:E386)-1,
"")</f>
        <v>383</v>
      </c>
      <c r="B386" s="6" t="s">
        <v>381</v>
      </c>
      <c r="C386" s="14">
        <v>44944</v>
      </c>
      <c r="D386" s="15">
        <v>13.48</v>
      </c>
      <c r="E386" s="7">
        <f t="shared" ref="E386:E449" si="6">IF(D386&gt;0,1,0)</f>
        <v>1</v>
      </c>
    </row>
    <row r="387" spans="1:5" x14ac:dyDescent="0.25">
      <c r="A387" s="7">
        <f>IF(E387=1,
      SUM($E$2:E387)-1,
"")</f>
        <v>384</v>
      </c>
      <c r="B387" s="6" t="s">
        <v>382</v>
      </c>
      <c r="C387" s="14">
        <v>44929</v>
      </c>
      <c r="D387" s="15">
        <v>102.53</v>
      </c>
      <c r="E387" s="7">
        <f t="shared" si="6"/>
        <v>1</v>
      </c>
    </row>
    <row r="388" spans="1:5" x14ac:dyDescent="0.25">
      <c r="A388" s="7">
        <f>IF(E388=1,
      SUM($E$2:E388)-1,
"")</f>
        <v>385</v>
      </c>
      <c r="B388" s="6" t="s">
        <v>383</v>
      </c>
      <c r="C388" s="14">
        <v>45152</v>
      </c>
      <c r="D388" s="15">
        <v>137.84</v>
      </c>
      <c r="E388" s="7">
        <f t="shared" si="6"/>
        <v>1</v>
      </c>
    </row>
    <row r="389" spans="1:5" x14ac:dyDescent="0.25">
      <c r="A389" s="7">
        <f>IF(E389=1,
      SUM($E$2:E389)-1,
"")</f>
        <v>386</v>
      </c>
      <c r="B389" s="6" t="s">
        <v>384</v>
      </c>
      <c r="C389" s="14">
        <v>45120</v>
      </c>
      <c r="D389" s="15">
        <v>72.3</v>
      </c>
      <c r="E389" s="7">
        <f t="shared" si="6"/>
        <v>1</v>
      </c>
    </row>
    <row r="390" spans="1:5" x14ac:dyDescent="0.25">
      <c r="A390" s="7">
        <f>IF(E390=1,
      SUM($E$2:E390)-1,
"")</f>
        <v>387</v>
      </c>
      <c r="B390" s="6" t="s">
        <v>285</v>
      </c>
      <c r="C390" s="14">
        <v>45283</v>
      </c>
      <c r="D390" s="15">
        <v>70.400000000000006</v>
      </c>
      <c r="E390" s="7">
        <f t="shared" si="6"/>
        <v>1</v>
      </c>
    </row>
    <row r="391" spans="1:5" x14ac:dyDescent="0.25">
      <c r="A391" s="7">
        <f>IF(E391=1,
      SUM($E$2:E391)-1,
"")</f>
        <v>388</v>
      </c>
      <c r="B391" s="6" t="s">
        <v>385</v>
      </c>
      <c r="C391" s="14">
        <v>45065</v>
      </c>
      <c r="D391" s="15">
        <v>74.790000000000006</v>
      </c>
      <c r="E391" s="7">
        <f t="shared" si="6"/>
        <v>1</v>
      </c>
    </row>
    <row r="392" spans="1:5" x14ac:dyDescent="0.25">
      <c r="A392" s="7">
        <f>IF(E392=1,
      SUM($E$2:E392)-1,
"")</f>
        <v>389</v>
      </c>
      <c r="B392" s="6" t="s">
        <v>311</v>
      </c>
      <c r="C392" s="14">
        <v>45028</v>
      </c>
      <c r="D392" s="15">
        <v>67.709999999999994</v>
      </c>
      <c r="E392" s="7">
        <f t="shared" si="6"/>
        <v>1</v>
      </c>
    </row>
    <row r="393" spans="1:5" x14ac:dyDescent="0.25">
      <c r="A393" s="7">
        <f>IF(E393=1,
      SUM($E$2:E393)-1,
"")</f>
        <v>390</v>
      </c>
      <c r="B393" s="6" t="s">
        <v>386</v>
      </c>
      <c r="C393" s="14">
        <v>45045</v>
      </c>
      <c r="D393" s="15">
        <v>85.62</v>
      </c>
      <c r="E393" s="7">
        <f t="shared" si="6"/>
        <v>1</v>
      </c>
    </row>
    <row r="394" spans="1:5" x14ac:dyDescent="0.25">
      <c r="A394" s="7">
        <f>IF(E394=1,
      SUM($E$2:E394)-1,
"")</f>
        <v>391</v>
      </c>
      <c r="B394" s="6" t="s">
        <v>387</v>
      </c>
      <c r="C394" s="14">
        <v>45046</v>
      </c>
      <c r="D394" s="15">
        <v>127.28</v>
      </c>
      <c r="E394" s="7">
        <f t="shared" si="6"/>
        <v>1</v>
      </c>
    </row>
    <row r="395" spans="1:5" x14ac:dyDescent="0.25">
      <c r="A395" s="7">
        <f>IF(E395=1,
      SUM($E$2:E395)-1,
"")</f>
        <v>392</v>
      </c>
      <c r="B395" s="6" t="s">
        <v>388</v>
      </c>
      <c r="C395" s="14">
        <v>45138</v>
      </c>
      <c r="D395" s="15">
        <v>145.79</v>
      </c>
      <c r="E395" s="7">
        <f t="shared" si="6"/>
        <v>1</v>
      </c>
    </row>
    <row r="396" spans="1:5" x14ac:dyDescent="0.25">
      <c r="A396" s="7">
        <f>IF(E396=1,
      SUM($E$2:E396)-1,
"")</f>
        <v>393</v>
      </c>
      <c r="B396" s="6" t="s">
        <v>389</v>
      </c>
      <c r="C396" s="14">
        <v>45259</v>
      </c>
      <c r="D396" s="15">
        <v>27.27</v>
      </c>
      <c r="E396" s="7">
        <f t="shared" si="6"/>
        <v>1</v>
      </c>
    </row>
    <row r="397" spans="1:5" x14ac:dyDescent="0.25">
      <c r="A397" s="7">
        <f>IF(E397=1,
      SUM($E$2:E397)-1,
"")</f>
        <v>394</v>
      </c>
      <c r="B397" s="6" t="s">
        <v>390</v>
      </c>
      <c r="C397" s="14">
        <v>45164</v>
      </c>
      <c r="D397" s="15">
        <v>88.65</v>
      </c>
      <c r="E397" s="7">
        <f t="shared" si="6"/>
        <v>1</v>
      </c>
    </row>
    <row r="398" spans="1:5" x14ac:dyDescent="0.25">
      <c r="A398" s="7">
        <f>IF(E398=1,
      SUM($E$2:E398)-1,
"")</f>
        <v>395</v>
      </c>
      <c r="B398" s="6" t="s">
        <v>372</v>
      </c>
      <c r="C398" s="14">
        <v>45133</v>
      </c>
      <c r="D398" s="15">
        <v>109.08</v>
      </c>
      <c r="E398" s="7">
        <f t="shared" si="6"/>
        <v>1</v>
      </c>
    </row>
    <row r="399" spans="1:5" x14ac:dyDescent="0.25">
      <c r="A399" s="7">
        <f>IF(E399=1,
      SUM($E$2:E399)-1,
"")</f>
        <v>396</v>
      </c>
      <c r="B399" s="6" t="s">
        <v>391</v>
      </c>
      <c r="C399" s="14">
        <v>45204</v>
      </c>
      <c r="D399" s="15">
        <v>106.08</v>
      </c>
      <c r="E399" s="7">
        <f t="shared" si="6"/>
        <v>1</v>
      </c>
    </row>
    <row r="400" spans="1:5" x14ac:dyDescent="0.25">
      <c r="A400" s="7">
        <f>IF(E400=1,
      SUM($E$2:E400)-1,
"")</f>
        <v>397</v>
      </c>
      <c r="B400" s="6" t="s">
        <v>392</v>
      </c>
      <c r="C400" s="14">
        <v>45200</v>
      </c>
      <c r="D400" s="15">
        <v>157</v>
      </c>
      <c r="E400" s="7">
        <f t="shared" si="6"/>
        <v>1</v>
      </c>
    </row>
    <row r="401" spans="1:5" x14ac:dyDescent="0.25">
      <c r="A401" s="7">
        <f>IF(E401=1,
      SUM($E$2:E401)-1,
"")</f>
        <v>398</v>
      </c>
      <c r="B401" s="6" t="s">
        <v>308</v>
      </c>
      <c r="C401" s="14">
        <v>44966</v>
      </c>
      <c r="D401" s="15">
        <v>39.68</v>
      </c>
      <c r="E401" s="7">
        <f t="shared" si="6"/>
        <v>1</v>
      </c>
    </row>
    <row r="402" spans="1:5" x14ac:dyDescent="0.25">
      <c r="A402" s="7">
        <f>IF(E402=1,
      SUM($E$2:E402)-1,
"")</f>
        <v>399</v>
      </c>
      <c r="B402" s="6" t="s">
        <v>279</v>
      </c>
      <c r="C402" s="14">
        <v>45052</v>
      </c>
      <c r="D402" s="15">
        <v>22.33</v>
      </c>
      <c r="E402" s="7">
        <f t="shared" si="6"/>
        <v>1</v>
      </c>
    </row>
    <row r="403" spans="1:5" x14ac:dyDescent="0.25">
      <c r="A403" s="7">
        <f>IF(E403=1,
      SUM($E$2:E403)-1,
"")</f>
        <v>400</v>
      </c>
      <c r="B403" s="6" t="s">
        <v>229</v>
      </c>
      <c r="C403" s="14">
        <v>44970</v>
      </c>
      <c r="D403" s="15">
        <v>161.87</v>
      </c>
      <c r="E403" s="7">
        <f t="shared" si="6"/>
        <v>1</v>
      </c>
    </row>
    <row r="404" spans="1:5" x14ac:dyDescent="0.25">
      <c r="A404" s="7">
        <f>IF(E404=1,
      SUM($E$2:E404)-1,
"")</f>
        <v>401</v>
      </c>
      <c r="B404" s="6" t="s">
        <v>393</v>
      </c>
      <c r="C404" s="14">
        <v>45176</v>
      </c>
      <c r="D404" s="15">
        <v>122.6</v>
      </c>
      <c r="E404" s="7">
        <f t="shared" si="6"/>
        <v>1</v>
      </c>
    </row>
    <row r="405" spans="1:5" x14ac:dyDescent="0.25">
      <c r="A405" s="7">
        <f>IF(E405=1,
      SUM($E$2:E405)-1,
"")</f>
        <v>402</v>
      </c>
      <c r="B405" s="6" t="s">
        <v>76</v>
      </c>
      <c r="C405" s="14">
        <v>45199</v>
      </c>
      <c r="D405" s="15">
        <v>82.86</v>
      </c>
      <c r="E405" s="7">
        <f t="shared" si="6"/>
        <v>1</v>
      </c>
    </row>
    <row r="406" spans="1:5" x14ac:dyDescent="0.25">
      <c r="A406" s="7">
        <f>IF(E406=1,
      SUM($E$2:E406)-1,
"")</f>
        <v>403</v>
      </c>
      <c r="B406" s="6" t="s">
        <v>394</v>
      </c>
      <c r="C406" s="14">
        <v>45130</v>
      </c>
      <c r="D406" s="15">
        <v>105.15</v>
      </c>
      <c r="E406" s="7">
        <f t="shared" si="6"/>
        <v>1</v>
      </c>
    </row>
    <row r="407" spans="1:5" x14ac:dyDescent="0.25">
      <c r="A407" s="7">
        <f>IF(E407=1,
      SUM($E$2:E407)-1,
"")</f>
        <v>404</v>
      </c>
      <c r="B407" s="6" t="s">
        <v>395</v>
      </c>
      <c r="C407" s="14">
        <v>45194</v>
      </c>
      <c r="D407" s="15">
        <v>107.3</v>
      </c>
      <c r="E407" s="7">
        <f t="shared" si="6"/>
        <v>1</v>
      </c>
    </row>
    <row r="408" spans="1:5" x14ac:dyDescent="0.25">
      <c r="A408" s="7">
        <f>IF(E408=1,
      SUM($E$2:E408)-1,
"")</f>
        <v>405</v>
      </c>
      <c r="B408" s="6" t="s">
        <v>396</v>
      </c>
      <c r="C408" s="14">
        <v>45180</v>
      </c>
      <c r="D408" s="15">
        <v>82.13</v>
      </c>
      <c r="E408" s="7">
        <f t="shared" si="6"/>
        <v>1</v>
      </c>
    </row>
    <row r="409" spans="1:5" x14ac:dyDescent="0.25">
      <c r="A409" s="7">
        <f>IF(E409=1,
      SUM($E$2:E409)-1,
"")</f>
        <v>406</v>
      </c>
      <c r="B409" s="6" t="s">
        <v>184</v>
      </c>
      <c r="C409" s="14">
        <v>44934</v>
      </c>
      <c r="D409" s="15">
        <v>104.25</v>
      </c>
      <c r="E409" s="7">
        <f t="shared" si="6"/>
        <v>1</v>
      </c>
    </row>
    <row r="410" spans="1:5" x14ac:dyDescent="0.25">
      <c r="A410" s="7">
        <f>IF(E410=1,
      SUM($E$2:E410)-1,
"")</f>
        <v>407</v>
      </c>
      <c r="B410" s="6" t="s">
        <v>397</v>
      </c>
      <c r="C410" s="14">
        <v>45202</v>
      </c>
      <c r="D410" s="15">
        <v>110.64</v>
      </c>
      <c r="E410" s="7">
        <f t="shared" si="6"/>
        <v>1</v>
      </c>
    </row>
    <row r="411" spans="1:5" x14ac:dyDescent="0.25">
      <c r="A411" s="7">
        <f>IF(E411=1,
      SUM($E$2:E411)-1,
"")</f>
        <v>408</v>
      </c>
      <c r="B411" s="6" t="s">
        <v>163</v>
      </c>
      <c r="C411" s="14">
        <v>44947</v>
      </c>
      <c r="D411" s="15">
        <v>160.47</v>
      </c>
      <c r="E411" s="7">
        <f t="shared" si="6"/>
        <v>1</v>
      </c>
    </row>
    <row r="412" spans="1:5" x14ac:dyDescent="0.25">
      <c r="A412" s="7">
        <f>IF(E412=1,
      SUM($E$2:E412)-1,
"")</f>
        <v>409</v>
      </c>
      <c r="B412" s="6" t="s">
        <v>398</v>
      </c>
      <c r="C412" s="14">
        <v>45087</v>
      </c>
      <c r="D412" s="15">
        <v>128.9</v>
      </c>
      <c r="E412" s="7">
        <f t="shared" si="6"/>
        <v>1</v>
      </c>
    </row>
    <row r="413" spans="1:5" x14ac:dyDescent="0.25">
      <c r="A413" s="7">
        <f>IF(E413=1,
      SUM($E$2:E413)-1,
"")</f>
        <v>410</v>
      </c>
      <c r="B413" s="6" t="s">
        <v>182</v>
      </c>
      <c r="C413" s="14">
        <v>45276</v>
      </c>
      <c r="D413" s="15">
        <v>152.18</v>
      </c>
      <c r="E413" s="7">
        <f t="shared" si="6"/>
        <v>1</v>
      </c>
    </row>
    <row r="414" spans="1:5" x14ac:dyDescent="0.25">
      <c r="A414" s="7">
        <f>IF(E414=1,
      SUM($E$2:E414)-1,
"")</f>
        <v>411</v>
      </c>
      <c r="B414" s="6" t="s">
        <v>399</v>
      </c>
      <c r="C414" s="14">
        <v>45019</v>
      </c>
      <c r="D414" s="15">
        <v>59.69</v>
      </c>
      <c r="E414" s="7">
        <f t="shared" si="6"/>
        <v>1</v>
      </c>
    </row>
    <row r="415" spans="1:5" x14ac:dyDescent="0.25">
      <c r="A415" s="7">
        <f>IF(E415=1,
      SUM($E$2:E415)-1,
"")</f>
        <v>412</v>
      </c>
      <c r="B415" s="6" t="s">
        <v>400</v>
      </c>
      <c r="C415" s="14">
        <v>45120</v>
      </c>
      <c r="D415" s="15">
        <v>89.58</v>
      </c>
      <c r="E415" s="7">
        <f t="shared" si="6"/>
        <v>1</v>
      </c>
    </row>
    <row r="416" spans="1:5" x14ac:dyDescent="0.25">
      <c r="A416" s="7">
        <f>IF(E416=1,
      SUM($E$2:E416)-1,
"")</f>
        <v>413</v>
      </c>
      <c r="B416" s="6" t="s">
        <v>171</v>
      </c>
      <c r="C416" s="14">
        <v>45177</v>
      </c>
      <c r="D416" s="15">
        <v>107.27</v>
      </c>
      <c r="E416" s="7">
        <f t="shared" si="6"/>
        <v>1</v>
      </c>
    </row>
    <row r="417" spans="1:5" x14ac:dyDescent="0.25">
      <c r="A417" s="7">
        <f>IF(E417=1,
      SUM($E$2:E417)-1,
"")</f>
        <v>414</v>
      </c>
      <c r="B417" s="6" t="s">
        <v>105</v>
      </c>
      <c r="C417" s="14">
        <v>44944</v>
      </c>
      <c r="D417" s="15">
        <v>42.37</v>
      </c>
      <c r="E417" s="7">
        <f t="shared" si="6"/>
        <v>1</v>
      </c>
    </row>
    <row r="418" spans="1:5" x14ac:dyDescent="0.25">
      <c r="A418" s="7">
        <f>IF(E418=1,
      SUM($E$2:E418)-1,
"")</f>
        <v>415</v>
      </c>
      <c r="B418" s="6" t="s">
        <v>401</v>
      </c>
      <c r="C418" s="14">
        <v>45112</v>
      </c>
      <c r="D418" s="15">
        <v>135.46</v>
      </c>
      <c r="E418" s="7">
        <f t="shared" si="6"/>
        <v>1</v>
      </c>
    </row>
    <row r="419" spans="1:5" x14ac:dyDescent="0.25">
      <c r="A419" s="7">
        <f>IF(E419=1,
      SUM($E$2:E419)-1,
"")</f>
        <v>416</v>
      </c>
      <c r="B419" s="6" t="s">
        <v>402</v>
      </c>
      <c r="C419" s="14">
        <v>45202</v>
      </c>
      <c r="D419" s="15">
        <v>119.27</v>
      </c>
      <c r="E419" s="7">
        <f t="shared" si="6"/>
        <v>1</v>
      </c>
    </row>
    <row r="420" spans="1:5" x14ac:dyDescent="0.25">
      <c r="A420" s="7">
        <f>IF(E420=1,
      SUM($E$2:E420)-1,
"")</f>
        <v>417</v>
      </c>
      <c r="B420" s="6" t="s">
        <v>242</v>
      </c>
      <c r="C420" s="14">
        <v>45211</v>
      </c>
      <c r="D420" s="15">
        <v>88.99</v>
      </c>
      <c r="E420" s="7">
        <f t="shared" si="6"/>
        <v>1</v>
      </c>
    </row>
    <row r="421" spans="1:5" x14ac:dyDescent="0.25">
      <c r="A421" s="7">
        <f>IF(E421=1,
      SUM($E$2:E421)-1,
"")</f>
        <v>418</v>
      </c>
      <c r="B421" s="6" t="s">
        <v>104</v>
      </c>
      <c r="C421" s="14">
        <v>44969</v>
      </c>
      <c r="D421" s="15">
        <v>94.5</v>
      </c>
      <c r="E421" s="7">
        <f t="shared" si="6"/>
        <v>1</v>
      </c>
    </row>
    <row r="422" spans="1:5" x14ac:dyDescent="0.25">
      <c r="A422" s="7">
        <f>IF(E422=1,
      SUM($E$2:E422)-1,
"")</f>
        <v>419</v>
      </c>
      <c r="B422" s="6" t="s">
        <v>174</v>
      </c>
      <c r="C422" s="14">
        <v>45179</v>
      </c>
      <c r="D422" s="15">
        <v>137.62</v>
      </c>
      <c r="E422" s="7">
        <f t="shared" si="6"/>
        <v>1</v>
      </c>
    </row>
    <row r="423" spans="1:5" x14ac:dyDescent="0.25">
      <c r="A423" s="7">
        <f>IF(E423=1,
      SUM($E$2:E423)-1,
"")</f>
        <v>420</v>
      </c>
      <c r="B423" s="6" t="s">
        <v>403</v>
      </c>
      <c r="C423" s="14">
        <v>45036</v>
      </c>
      <c r="D423" s="15">
        <v>76.14</v>
      </c>
      <c r="E423" s="7">
        <f t="shared" si="6"/>
        <v>1</v>
      </c>
    </row>
    <row r="424" spans="1:5" x14ac:dyDescent="0.25">
      <c r="A424" s="7">
        <f>IF(E424=1,
      SUM($E$2:E424)-1,
"")</f>
        <v>421</v>
      </c>
      <c r="B424" s="6" t="s">
        <v>404</v>
      </c>
      <c r="C424" s="14">
        <v>45235</v>
      </c>
      <c r="D424" s="15">
        <v>138.83000000000001</v>
      </c>
      <c r="E424" s="7">
        <f t="shared" si="6"/>
        <v>1</v>
      </c>
    </row>
    <row r="425" spans="1:5" x14ac:dyDescent="0.25">
      <c r="A425" s="7">
        <f>IF(E425=1,
      SUM($E$2:E425)-1,
"")</f>
        <v>422</v>
      </c>
      <c r="B425" s="6" t="s">
        <v>395</v>
      </c>
      <c r="C425" s="14">
        <v>45139</v>
      </c>
      <c r="D425" s="15">
        <v>92.44</v>
      </c>
      <c r="E425" s="7">
        <f t="shared" si="6"/>
        <v>1</v>
      </c>
    </row>
    <row r="426" spans="1:5" x14ac:dyDescent="0.25">
      <c r="A426" s="7">
        <f>IF(E426=1,
      SUM($E$2:E426)-1,
"")</f>
        <v>423</v>
      </c>
      <c r="B426" s="6" t="s">
        <v>208</v>
      </c>
      <c r="C426" s="14">
        <v>44928</v>
      </c>
      <c r="D426" s="15">
        <v>122.68</v>
      </c>
      <c r="E426" s="7">
        <f t="shared" si="6"/>
        <v>1</v>
      </c>
    </row>
    <row r="427" spans="1:5" x14ac:dyDescent="0.25">
      <c r="A427" s="7">
        <f>IF(E427=1,
      SUM($E$2:E427)-1,
"")</f>
        <v>424</v>
      </c>
      <c r="B427" s="6" t="s">
        <v>217</v>
      </c>
      <c r="C427" s="14">
        <v>45177</v>
      </c>
      <c r="D427" s="15">
        <v>102.6</v>
      </c>
      <c r="E427" s="7">
        <f t="shared" si="6"/>
        <v>1</v>
      </c>
    </row>
    <row r="428" spans="1:5" x14ac:dyDescent="0.25">
      <c r="A428" s="7">
        <f>IF(E428=1,
      SUM($E$2:E428)-1,
"")</f>
        <v>425</v>
      </c>
      <c r="B428" s="6" t="s">
        <v>405</v>
      </c>
      <c r="C428" s="14">
        <v>44950</v>
      </c>
      <c r="D428" s="15">
        <v>167</v>
      </c>
      <c r="E428" s="7">
        <f t="shared" si="6"/>
        <v>1</v>
      </c>
    </row>
    <row r="429" spans="1:5" x14ac:dyDescent="0.25">
      <c r="A429" s="7">
        <f>IF(E429=1,
      SUM($E$2:E429)-1,
"")</f>
        <v>426</v>
      </c>
      <c r="B429" s="6" t="s">
        <v>328</v>
      </c>
      <c r="C429" s="14">
        <v>45027</v>
      </c>
      <c r="D429" s="15">
        <v>73.38</v>
      </c>
      <c r="E429" s="7">
        <f t="shared" si="6"/>
        <v>1</v>
      </c>
    </row>
    <row r="430" spans="1:5" x14ac:dyDescent="0.25">
      <c r="A430" s="7">
        <f>IF(E430=1,
      SUM($E$2:E430)-1,
"")</f>
        <v>427</v>
      </c>
      <c r="B430" s="6" t="s">
        <v>276</v>
      </c>
      <c r="C430" s="14">
        <v>44978</v>
      </c>
      <c r="D430" s="15">
        <v>82.8</v>
      </c>
      <c r="E430" s="7">
        <f t="shared" si="6"/>
        <v>1</v>
      </c>
    </row>
    <row r="431" spans="1:5" x14ac:dyDescent="0.25">
      <c r="A431" s="7">
        <f>IF(E431=1,
      SUM($E$2:E431)-1,
"")</f>
        <v>428</v>
      </c>
      <c r="B431" s="6" t="s">
        <v>222</v>
      </c>
      <c r="C431" s="14">
        <v>45090</v>
      </c>
      <c r="D431" s="15">
        <v>54.82</v>
      </c>
      <c r="E431" s="7">
        <f t="shared" si="6"/>
        <v>1</v>
      </c>
    </row>
    <row r="432" spans="1:5" x14ac:dyDescent="0.25">
      <c r="A432" s="7">
        <f>IF(E432=1,
      SUM($E$2:E432)-1,
"")</f>
        <v>429</v>
      </c>
      <c r="B432" s="6" t="s">
        <v>406</v>
      </c>
      <c r="C432" s="14">
        <v>45252</v>
      </c>
      <c r="D432" s="15">
        <v>67.099999999999994</v>
      </c>
      <c r="E432" s="7">
        <f t="shared" si="6"/>
        <v>1</v>
      </c>
    </row>
    <row r="433" spans="1:5" x14ac:dyDescent="0.25">
      <c r="A433" s="7">
        <f>IF(E433=1,
      SUM($E$2:E433)-1,
"")</f>
        <v>430</v>
      </c>
      <c r="B433" s="6" t="s">
        <v>106</v>
      </c>
      <c r="C433" s="14">
        <v>45188</v>
      </c>
      <c r="D433" s="15">
        <v>121.39</v>
      </c>
      <c r="E433" s="7">
        <f t="shared" si="6"/>
        <v>1</v>
      </c>
    </row>
    <row r="434" spans="1:5" x14ac:dyDescent="0.25">
      <c r="A434" s="7">
        <f>IF(E434=1,
      SUM($E$2:E434)-1,
"")</f>
        <v>431</v>
      </c>
      <c r="B434" s="6" t="s">
        <v>347</v>
      </c>
      <c r="C434" s="14">
        <v>45100</v>
      </c>
      <c r="D434" s="15">
        <v>148</v>
      </c>
      <c r="E434" s="7">
        <f t="shared" si="6"/>
        <v>1</v>
      </c>
    </row>
    <row r="435" spans="1:5" x14ac:dyDescent="0.25">
      <c r="A435" s="7">
        <f>IF(E435=1,
      SUM($E$2:E435)-1,
"")</f>
        <v>432</v>
      </c>
      <c r="B435" s="6" t="s">
        <v>407</v>
      </c>
      <c r="C435" s="14">
        <v>45015</v>
      </c>
      <c r="D435" s="15">
        <v>124.79</v>
      </c>
      <c r="E435" s="7">
        <f t="shared" si="6"/>
        <v>1</v>
      </c>
    </row>
    <row r="436" spans="1:5" x14ac:dyDescent="0.25">
      <c r="A436" s="7">
        <f>IF(E436=1,
      SUM($E$2:E436)-1,
"")</f>
        <v>433</v>
      </c>
      <c r="B436" s="6" t="s">
        <v>408</v>
      </c>
      <c r="C436" s="14">
        <v>44939</v>
      </c>
      <c r="D436" s="15">
        <v>99.84</v>
      </c>
      <c r="E436" s="7">
        <f t="shared" si="6"/>
        <v>1</v>
      </c>
    </row>
    <row r="437" spans="1:5" x14ac:dyDescent="0.25">
      <c r="A437" s="7">
        <f>IF(E437=1,
      SUM($E$2:E437)-1,
"")</f>
        <v>434</v>
      </c>
      <c r="B437" s="6" t="s">
        <v>409</v>
      </c>
      <c r="C437" s="14">
        <v>45056</v>
      </c>
      <c r="D437" s="15">
        <v>73.19</v>
      </c>
      <c r="E437" s="7">
        <f t="shared" si="6"/>
        <v>1</v>
      </c>
    </row>
    <row r="438" spans="1:5" x14ac:dyDescent="0.25">
      <c r="A438" s="7">
        <f>IF(E438=1,
      SUM($E$2:E438)-1,
"")</f>
        <v>435</v>
      </c>
      <c r="B438" s="6" t="s">
        <v>108</v>
      </c>
      <c r="C438" s="14">
        <v>45072</v>
      </c>
      <c r="D438" s="15">
        <v>126.95</v>
      </c>
      <c r="E438" s="7">
        <f t="shared" si="6"/>
        <v>1</v>
      </c>
    </row>
    <row r="439" spans="1:5" x14ac:dyDescent="0.25">
      <c r="A439" s="7">
        <f>IF(E439=1,
      SUM($E$2:E439)-1,
"")</f>
        <v>436</v>
      </c>
      <c r="B439" s="6" t="s">
        <v>410</v>
      </c>
      <c r="C439" s="14">
        <v>45225</v>
      </c>
      <c r="D439" s="15">
        <v>71.540000000000006</v>
      </c>
      <c r="E439" s="7">
        <f t="shared" si="6"/>
        <v>1</v>
      </c>
    </row>
    <row r="440" spans="1:5" x14ac:dyDescent="0.25">
      <c r="A440" s="7">
        <f>IF(E440=1,
      SUM($E$2:E440)-1,
"")</f>
        <v>437</v>
      </c>
      <c r="B440" s="6" t="s">
        <v>411</v>
      </c>
      <c r="C440" s="14">
        <v>45096</v>
      </c>
      <c r="D440" s="15">
        <v>59.53</v>
      </c>
      <c r="E440" s="7">
        <f t="shared" si="6"/>
        <v>1</v>
      </c>
    </row>
    <row r="441" spans="1:5" x14ac:dyDescent="0.25">
      <c r="A441" s="7">
        <f>IF(E441=1,
      SUM($E$2:E441)-1,
"")</f>
        <v>438</v>
      </c>
      <c r="B441" s="6" t="s">
        <v>412</v>
      </c>
      <c r="C441" s="14">
        <v>45037</v>
      </c>
      <c r="D441" s="15">
        <v>90.75</v>
      </c>
      <c r="E441" s="7">
        <f t="shared" si="6"/>
        <v>1</v>
      </c>
    </row>
    <row r="442" spans="1:5" x14ac:dyDescent="0.25">
      <c r="A442" s="7">
        <f>IF(E442=1,
      SUM($E$2:E442)-1,
"")</f>
        <v>439</v>
      </c>
      <c r="B442" s="6" t="s">
        <v>413</v>
      </c>
      <c r="C442" s="14">
        <v>45154</v>
      </c>
      <c r="D442" s="15">
        <v>38.979999999999997</v>
      </c>
      <c r="E442" s="7">
        <f t="shared" si="6"/>
        <v>1</v>
      </c>
    </row>
    <row r="443" spans="1:5" x14ac:dyDescent="0.25">
      <c r="A443" s="7">
        <f>IF(E443=1,
      SUM($E$2:E443)-1,
"")</f>
        <v>440</v>
      </c>
      <c r="B443" s="6" t="s">
        <v>414</v>
      </c>
      <c r="C443" s="14">
        <v>44981</v>
      </c>
      <c r="D443" s="15">
        <v>58.56</v>
      </c>
      <c r="E443" s="7">
        <f t="shared" si="6"/>
        <v>1</v>
      </c>
    </row>
    <row r="444" spans="1:5" x14ac:dyDescent="0.25">
      <c r="A444" s="7">
        <f>IF(E444=1,
      SUM($E$2:E444)-1,
"")</f>
        <v>441</v>
      </c>
      <c r="B444" s="6" t="s">
        <v>124</v>
      </c>
      <c r="C444" s="14">
        <v>45144</v>
      </c>
      <c r="D444" s="15">
        <v>156.58000000000001</v>
      </c>
      <c r="E444" s="7">
        <f t="shared" si="6"/>
        <v>1</v>
      </c>
    </row>
    <row r="445" spans="1:5" x14ac:dyDescent="0.25">
      <c r="A445" s="7">
        <f>IF(E445=1,
      SUM($E$2:E445)-1,
"")</f>
        <v>442</v>
      </c>
      <c r="B445" s="6" t="s">
        <v>415</v>
      </c>
      <c r="C445" s="14">
        <v>45194</v>
      </c>
      <c r="D445" s="15">
        <v>53</v>
      </c>
      <c r="E445" s="7">
        <f t="shared" si="6"/>
        <v>1</v>
      </c>
    </row>
    <row r="446" spans="1:5" x14ac:dyDescent="0.25">
      <c r="A446" s="7">
        <f>IF(E446=1,
      SUM($E$2:E446)-1,
"")</f>
        <v>443</v>
      </c>
      <c r="B446" s="6" t="s">
        <v>151</v>
      </c>
      <c r="C446" s="14">
        <v>45217</v>
      </c>
      <c r="D446" s="15">
        <v>64.36</v>
      </c>
      <c r="E446" s="7">
        <f t="shared" si="6"/>
        <v>1</v>
      </c>
    </row>
    <row r="447" spans="1:5" x14ac:dyDescent="0.25">
      <c r="A447" s="7">
        <f>IF(E447=1,
      SUM($E$2:E447)-1,
"")</f>
        <v>444</v>
      </c>
      <c r="B447" s="6" t="s">
        <v>283</v>
      </c>
      <c r="C447" s="14">
        <v>45011</v>
      </c>
      <c r="D447" s="15">
        <v>102.15</v>
      </c>
      <c r="E447" s="7">
        <f t="shared" si="6"/>
        <v>1</v>
      </c>
    </row>
    <row r="448" spans="1:5" x14ac:dyDescent="0.25">
      <c r="A448" s="7">
        <f>IF(E448=1,
      SUM($E$2:E448)-1,
"")</f>
        <v>445</v>
      </c>
      <c r="B448" s="6" t="s">
        <v>416</v>
      </c>
      <c r="C448" s="14">
        <v>45184</v>
      </c>
      <c r="D448" s="15">
        <v>103.72</v>
      </c>
      <c r="E448" s="7">
        <f t="shared" si="6"/>
        <v>1</v>
      </c>
    </row>
    <row r="449" spans="1:5" x14ac:dyDescent="0.25">
      <c r="A449" s="7">
        <f>IF(E449=1,
      SUM($E$2:E449)-1,
"")</f>
        <v>446</v>
      </c>
      <c r="B449" s="6" t="s">
        <v>417</v>
      </c>
      <c r="C449" s="14">
        <v>45105</v>
      </c>
      <c r="D449" s="15">
        <v>92.96</v>
      </c>
      <c r="E449" s="7">
        <f t="shared" si="6"/>
        <v>1</v>
      </c>
    </row>
    <row r="450" spans="1:5" x14ac:dyDescent="0.25">
      <c r="A450" s="7">
        <f>IF(E450=1,
      SUM($E$2:E450)-1,
"")</f>
        <v>447</v>
      </c>
      <c r="B450" s="6" t="s">
        <v>104</v>
      </c>
      <c r="C450" s="14">
        <v>45094</v>
      </c>
      <c r="D450" s="15">
        <v>39.9</v>
      </c>
      <c r="E450" s="7">
        <f t="shared" ref="E450:E513" si="7">IF(D450&gt;0,1,0)</f>
        <v>1</v>
      </c>
    </row>
    <row r="451" spans="1:5" x14ac:dyDescent="0.25">
      <c r="A451" s="7">
        <f>IF(E451=1,
      SUM($E$2:E451)-1,
"")</f>
        <v>448</v>
      </c>
      <c r="B451" s="6" t="s">
        <v>275</v>
      </c>
      <c r="C451" s="14">
        <v>44990</v>
      </c>
      <c r="D451" s="15">
        <v>125.45</v>
      </c>
      <c r="E451" s="7">
        <f t="shared" si="7"/>
        <v>1</v>
      </c>
    </row>
    <row r="452" spans="1:5" x14ac:dyDescent="0.25">
      <c r="A452" s="7">
        <f>IF(E452=1,
      SUM($E$2:E452)-1,
"")</f>
        <v>449</v>
      </c>
      <c r="B452" s="6" t="s">
        <v>339</v>
      </c>
      <c r="C452" s="14">
        <v>44966</v>
      </c>
      <c r="D452" s="15">
        <v>86.71</v>
      </c>
      <c r="E452" s="7">
        <f t="shared" si="7"/>
        <v>1</v>
      </c>
    </row>
    <row r="453" spans="1:5" x14ac:dyDescent="0.25">
      <c r="A453" s="7">
        <f>IF(E453=1,
      SUM($E$2:E453)-1,
"")</f>
        <v>450</v>
      </c>
      <c r="B453" s="6" t="s">
        <v>418</v>
      </c>
      <c r="C453" s="14">
        <v>45139</v>
      </c>
      <c r="D453" s="15">
        <v>136.61000000000001</v>
      </c>
      <c r="E453" s="7">
        <f t="shared" si="7"/>
        <v>1</v>
      </c>
    </row>
    <row r="454" spans="1:5" x14ac:dyDescent="0.25">
      <c r="A454" s="7">
        <f>IF(E454=1,
      SUM($E$2:E454)-1,
"")</f>
        <v>451</v>
      </c>
      <c r="B454" s="6" t="s">
        <v>185</v>
      </c>
      <c r="C454" s="14">
        <v>45253</v>
      </c>
      <c r="D454" s="15">
        <v>80.66</v>
      </c>
      <c r="E454" s="7">
        <f t="shared" si="7"/>
        <v>1</v>
      </c>
    </row>
    <row r="455" spans="1:5" x14ac:dyDescent="0.25">
      <c r="A455" s="7">
        <f>IF(E455=1,
      SUM($E$2:E455)-1,
"")</f>
        <v>452</v>
      </c>
      <c r="B455" s="6" t="s">
        <v>419</v>
      </c>
      <c r="C455" s="14">
        <v>45160</v>
      </c>
      <c r="D455" s="15">
        <v>129.47</v>
      </c>
      <c r="E455" s="7">
        <f t="shared" si="7"/>
        <v>1</v>
      </c>
    </row>
    <row r="456" spans="1:5" x14ac:dyDescent="0.25">
      <c r="A456" s="7">
        <f>IF(E456=1,
      SUM($E$2:E456)-1,
"")</f>
        <v>453</v>
      </c>
      <c r="B456" s="6" t="s">
        <v>420</v>
      </c>
      <c r="C456" s="14">
        <v>45161</v>
      </c>
      <c r="D456" s="15">
        <v>138.88</v>
      </c>
      <c r="E456" s="7">
        <f t="shared" si="7"/>
        <v>1</v>
      </c>
    </row>
    <row r="457" spans="1:5" x14ac:dyDescent="0.25">
      <c r="A457" s="7">
        <f>IF(E457=1,
      SUM($E$2:E457)-1,
"")</f>
        <v>454</v>
      </c>
      <c r="B457" s="6" t="s">
        <v>374</v>
      </c>
      <c r="C457" s="14">
        <v>45014</v>
      </c>
      <c r="D457" s="15">
        <v>85.99</v>
      </c>
      <c r="E457" s="7">
        <f t="shared" si="7"/>
        <v>1</v>
      </c>
    </row>
    <row r="458" spans="1:5" x14ac:dyDescent="0.25">
      <c r="A458" s="7">
        <f>IF(E458=1,
      SUM($E$2:E458)-1,
"")</f>
        <v>455</v>
      </c>
      <c r="B458" s="6" t="s">
        <v>421</v>
      </c>
      <c r="C458" s="14">
        <v>44931</v>
      </c>
      <c r="D458" s="15">
        <v>126.41</v>
      </c>
      <c r="E458" s="7">
        <f t="shared" si="7"/>
        <v>1</v>
      </c>
    </row>
    <row r="459" spans="1:5" x14ac:dyDescent="0.25">
      <c r="A459" s="7">
        <f>IF(E459=1,
      SUM($E$2:E459)-1,
"")</f>
        <v>456</v>
      </c>
      <c r="B459" s="6" t="s">
        <v>174</v>
      </c>
      <c r="C459" s="14">
        <v>45209</v>
      </c>
      <c r="D459" s="15">
        <v>60.14</v>
      </c>
      <c r="E459" s="7">
        <f t="shared" si="7"/>
        <v>1</v>
      </c>
    </row>
    <row r="460" spans="1:5" x14ac:dyDescent="0.25">
      <c r="A460" s="7">
        <f>IF(E460=1,
      SUM($E$2:E460)-1,
"")</f>
        <v>457</v>
      </c>
      <c r="B460" s="6" t="s">
        <v>377</v>
      </c>
      <c r="C460" s="14">
        <v>45051</v>
      </c>
      <c r="D460" s="15">
        <v>107.91</v>
      </c>
      <c r="E460" s="7">
        <f t="shared" si="7"/>
        <v>1</v>
      </c>
    </row>
    <row r="461" spans="1:5" x14ac:dyDescent="0.25">
      <c r="A461" s="7">
        <f>IF(E461=1,
      SUM($E$2:E461)-1,
"")</f>
        <v>458</v>
      </c>
      <c r="B461" s="6" t="s">
        <v>422</v>
      </c>
      <c r="C461" s="14">
        <v>45177</v>
      </c>
      <c r="D461" s="15">
        <v>136.66999999999999</v>
      </c>
      <c r="E461" s="7">
        <f t="shared" si="7"/>
        <v>1</v>
      </c>
    </row>
    <row r="462" spans="1:5" x14ac:dyDescent="0.25">
      <c r="A462" s="7">
        <f>IF(E462=1,
      SUM($E$2:E462)-1,
"")</f>
        <v>459</v>
      </c>
      <c r="B462" s="6" t="s">
        <v>233</v>
      </c>
      <c r="C462" s="14">
        <v>45184</v>
      </c>
      <c r="D462" s="15">
        <v>115.55</v>
      </c>
      <c r="E462" s="7">
        <f t="shared" si="7"/>
        <v>1</v>
      </c>
    </row>
    <row r="463" spans="1:5" x14ac:dyDescent="0.25">
      <c r="A463" s="7">
        <f>IF(E463=1,
      SUM($E$2:E463)-1,
"")</f>
        <v>460</v>
      </c>
      <c r="B463" s="6" t="s">
        <v>102</v>
      </c>
      <c r="C463" s="14">
        <v>45072</v>
      </c>
      <c r="D463" s="15">
        <v>172.19</v>
      </c>
      <c r="E463" s="7">
        <f t="shared" si="7"/>
        <v>1</v>
      </c>
    </row>
    <row r="464" spans="1:5" x14ac:dyDescent="0.25">
      <c r="A464" s="7">
        <f>IF(E464=1,
      SUM($E$2:E464)-1,
"")</f>
        <v>461</v>
      </c>
      <c r="B464" s="6" t="s">
        <v>423</v>
      </c>
      <c r="C464" s="14">
        <v>45252</v>
      </c>
      <c r="D464" s="15">
        <v>117.23</v>
      </c>
      <c r="E464" s="7">
        <f t="shared" si="7"/>
        <v>1</v>
      </c>
    </row>
    <row r="465" spans="1:5" x14ac:dyDescent="0.25">
      <c r="A465" s="7">
        <f>IF(E465=1,
      SUM($E$2:E465)-1,
"")</f>
        <v>462</v>
      </c>
      <c r="B465" s="6" t="s">
        <v>424</v>
      </c>
      <c r="C465" s="14">
        <v>45146</v>
      </c>
      <c r="D465" s="15">
        <v>89.04</v>
      </c>
      <c r="E465" s="7">
        <f t="shared" si="7"/>
        <v>1</v>
      </c>
    </row>
    <row r="466" spans="1:5" x14ac:dyDescent="0.25">
      <c r="A466" s="7">
        <f>IF(E466=1,
      SUM($E$2:E466)-1,
"")</f>
        <v>463</v>
      </c>
      <c r="B466" s="6" t="s">
        <v>425</v>
      </c>
      <c r="C466" s="14">
        <v>45181</v>
      </c>
      <c r="D466" s="15">
        <v>185.23</v>
      </c>
      <c r="E466" s="7">
        <f t="shared" si="7"/>
        <v>1</v>
      </c>
    </row>
    <row r="467" spans="1:5" x14ac:dyDescent="0.25">
      <c r="A467" s="7">
        <f>IF(E467=1,
      SUM($E$2:E467)-1,
"")</f>
        <v>464</v>
      </c>
      <c r="B467" s="6" t="s">
        <v>426</v>
      </c>
      <c r="C467" s="14">
        <v>45190</v>
      </c>
      <c r="D467" s="15">
        <v>149.01</v>
      </c>
      <c r="E467" s="7">
        <f t="shared" si="7"/>
        <v>1</v>
      </c>
    </row>
    <row r="468" spans="1:5" x14ac:dyDescent="0.25">
      <c r="A468" s="7">
        <f>IF(E468=1,
      SUM($E$2:E468)-1,
"")</f>
        <v>465</v>
      </c>
      <c r="B468" s="6" t="s">
        <v>314</v>
      </c>
      <c r="C468" s="14">
        <v>45247</v>
      </c>
      <c r="D468" s="15">
        <v>51.91</v>
      </c>
      <c r="E468" s="7">
        <f t="shared" si="7"/>
        <v>1</v>
      </c>
    </row>
    <row r="469" spans="1:5" x14ac:dyDescent="0.25">
      <c r="A469" s="7">
        <f>IF(E469=1,
      SUM($E$2:E469)-1,
"")</f>
        <v>466</v>
      </c>
      <c r="B469" s="6" t="s">
        <v>427</v>
      </c>
      <c r="C469" s="14">
        <v>44969</v>
      </c>
      <c r="D469" s="15">
        <v>76.48</v>
      </c>
      <c r="E469" s="7">
        <f t="shared" si="7"/>
        <v>1</v>
      </c>
    </row>
    <row r="470" spans="1:5" x14ac:dyDescent="0.25">
      <c r="A470" s="7">
        <f>IF(E470=1,
      SUM($E$2:E470)-1,
"")</f>
        <v>467</v>
      </c>
      <c r="B470" s="6" t="s">
        <v>164</v>
      </c>
      <c r="C470" s="14">
        <v>45022</v>
      </c>
      <c r="D470" s="15">
        <v>68.86</v>
      </c>
      <c r="E470" s="7">
        <f t="shared" si="7"/>
        <v>1</v>
      </c>
    </row>
    <row r="471" spans="1:5" x14ac:dyDescent="0.25">
      <c r="A471" s="7">
        <f>IF(E471=1,
      SUM($E$2:E471)-1,
"")</f>
        <v>468</v>
      </c>
      <c r="B471" s="6" t="s">
        <v>428</v>
      </c>
      <c r="C471" s="14">
        <v>45098</v>
      </c>
      <c r="D471" s="15">
        <v>119.37</v>
      </c>
      <c r="E471" s="7">
        <f t="shared" si="7"/>
        <v>1</v>
      </c>
    </row>
    <row r="472" spans="1:5" x14ac:dyDescent="0.25">
      <c r="A472" s="7">
        <f>IF(E472=1,
      SUM($E$2:E472)-1,
"")</f>
        <v>469</v>
      </c>
      <c r="B472" s="6" t="s">
        <v>89</v>
      </c>
      <c r="C472" s="14">
        <v>45013</v>
      </c>
      <c r="D472" s="15">
        <v>117.13</v>
      </c>
      <c r="E472" s="7">
        <f t="shared" si="7"/>
        <v>1</v>
      </c>
    </row>
    <row r="473" spans="1:5" x14ac:dyDescent="0.25">
      <c r="A473" s="7">
        <f>IF(E473=1,
      SUM($E$2:E473)-1,
"")</f>
        <v>470</v>
      </c>
      <c r="B473" s="6" t="s">
        <v>429</v>
      </c>
      <c r="C473" s="14">
        <v>45010</v>
      </c>
      <c r="D473" s="15">
        <v>116.9</v>
      </c>
      <c r="E473" s="7">
        <f t="shared" si="7"/>
        <v>1</v>
      </c>
    </row>
    <row r="474" spans="1:5" x14ac:dyDescent="0.25">
      <c r="A474" s="7">
        <f>IF(E474=1,
      SUM($E$2:E474)-1,
"")</f>
        <v>471</v>
      </c>
      <c r="B474" s="6" t="s">
        <v>229</v>
      </c>
      <c r="C474" s="14">
        <v>45253</v>
      </c>
      <c r="D474" s="15">
        <v>51.1</v>
      </c>
      <c r="E474" s="7">
        <f t="shared" si="7"/>
        <v>1</v>
      </c>
    </row>
    <row r="475" spans="1:5" x14ac:dyDescent="0.25">
      <c r="A475" s="7">
        <f>IF(E475=1,
      SUM($E$2:E475)-1,
"")</f>
        <v>472</v>
      </c>
      <c r="B475" s="6" t="s">
        <v>249</v>
      </c>
      <c r="C475" s="14">
        <v>45104</v>
      </c>
      <c r="D475" s="15">
        <v>80.86</v>
      </c>
      <c r="E475" s="7">
        <f t="shared" si="7"/>
        <v>1</v>
      </c>
    </row>
    <row r="476" spans="1:5" x14ac:dyDescent="0.25">
      <c r="A476" s="7">
        <f>IF(E476=1,
      SUM($E$2:E476)-1,
"")</f>
        <v>473</v>
      </c>
      <c r="B476" s="6" t="s">
        <v>287</v>
      </c>
      <c r="C476" s="14">
        <v>45129</v>
      </c>
      <c r="D476" s="15">
        <v>95.52</v>
      </c>
      <c r="E476" s="7">
        <f t="shared" si="7"/>
        <v>1</v>
      </c>
    </row>
    <row r="477" spans="1:5" x14ac:dyDescent="0.25">
      <c r="A477" s="7">
        <f>IF(E477=1,
      SUM($E$2:E477)-1,
"")</f>
        <v>474</v>
      </c>
      <c r="B477" s="6" t="s">
        <v>375</v>
      </c>
      <c r="C477" s="14">
        <v>45269</v>
      </c>
      <c r="D477" s="15">
        <v>45.34</v>
      </c>
      <c r="E477" s="7">
        <f t="shared" si="7"/>
        <v>1</v>
      </c>
    </row>
    <row r="478" spans="1:5" x14ac:dyDescent="0.25">
      <c r="A478" s="7">
        <f>IF(E478=1,
      SUM($E$2:E478)-1,
"")</f>
        <v>475</v>
      </c>
      <c r="B478" s="6" t="s">
        <v>330</v>
      </c>
      <c r="C478" s="14">
        <v>45269</v>
      </c>
      <c r="D478" s="15">
        <v>73.849999999999994</v>
      </c>
      <c r="E478" s="7">
        <f t="shared" si="7"/>
        <v>1</v>
      </c>
    </row>
    <row r="479" spans="1:5" x14ac:dyDescent="0.25">
      <c r="A479" s="7">
        <f>IF(E479=1,
      SUM($E$2:E479)-1,
"")</f>
        <v>476</v>
      </c>
      <c r="B479" s="6" t="s">
        <v>344</v>
      </c>
      <c r="C479" s="14">
        <v>45289</v>
      </c>
      <c r="D479" s="15">
        <v>140.69</v>
      </c>
      <c r="E479" s="7">
        <f t="shared" si="7"/>
        <v>1</v>
      </c>
    </row>
    <row r="480" spans="1:5" x14ac:dyDescent="0.25">
      <c r="A480" s="7">
        <f>IF(E480=1,
      SUM($E$2:E480)-1,
"")</f>
        <v>477</v>
      </c>
      <c r="B480" s="6" t="s">
        <v>305</v>
      </c>
      <c r="C480" s="14">
        <v>44970</v>
      </c>
      <c r="D480" s="15">
        <v>53.38</v>
      </c>
      <c r="E480" s="7">
        <f t="shared" si="7"/>
        <v>1</v>
      </c>
    </row>
    <row r="481" spans="1:5" x14ac:dyDescent="0.25">
      <c r="A481" s="7">
        <f>IF(E481=1,
      SUM($E$2:E481)-1,
"")</f>
        <v>478</v>
      </c>
      <c r="B481" s="6" t="s">
        <v>430</v>
      </c>
      <c r="C481" s="14">
        <v>45003</v>
      </c>
      <c r="D481" s="15">
        <v>143.66</v>
      </c>
      <c r="E481" s="7">
        <f t="shared" si="7"/>
        <v>1</v>
      </c>
    </row>
    <row r="482" spans="1:5" x14ac:dyDescent="0.25">
      <c r="A482" s="7">
        <f>IF(E482=1,
      SUM($E$2:E482)-1,
"")</f>
        <v>479</v>
      </c>
      <c r="B482" s="6" t="s">
        <v>431</v>
      </c>
      <c r="C482" s="14">
        <v>45112</v>
      </c>
      <c r="D482" s="15">
        <v>132.72999999999999</v>
      </c>
      <c r="E482" s="7">
        <f t="shared" si="7"/>
        <v>1</v>
      </c>
    </row>
    <row r="483" spans="1:5" x14ac:dyDescent="0.25">
      <c r="A483" s="7">
        <f>IF(E483=1,
      SUM($E$2:E483)-1,
"")</f>
        <v>480</v>
      </c>
      <c r="B483" s="6" t="s">
        <v>432</v>
      </c>
      <c r="C483" s="14">
        <v>45045</v>
      </c>
      <c r="D483" s="15">
        <v>91.28</v>
      </c>
      <c r="E483" s="7">
        <f t="shared" si="7"/>
        <v>1</v>
      </c>
    </row>
    <row r="484" spans="1:5" x14ac:dyDescent="0.25">
      <c r="A484" s="7">
        <f>IF(E484=1,
      SUM($E$2:E484)-1,
"")</f>
        <v>481</v>
      </c>
      <c r="B484" s="6" t="s">
        <v>229</v>
      </c>
      <c r="C484" s="14">
        <v>45177</v>
      </c>
      <c r="D484" s="15">
        <v>80.53</v>
      </c>
      <c r="E484" s="7">
        <f t="shared" si="7"/>
        <v>1</v>
      </c>
    </row>
    <row r="485" spans="1:5" x14ac:dyDescent="0.25">
      <c r="A485" s="7">
        <f>IF(E485=1,
      SUM($E$2:E485)-1,
"")</f>
        <v>482</v>
      </c>
      <c r="B485" s="6" t="s">
        <v>118</v>
      </c>
      <c r="C485" s="14">
        <v>45014</v>
      </c>
      <c r="D485" s="15">
        <v>124.95</v>
      </c>
      <c r="E485" s="7">
        <f t="shared" si="7"/>
        <v>1</v>
      </c>
    </row>
    <row r="486" spans="1:5" x14ac:dyDescent="0.25">
      <c r="A486" s="7">
        <f>IF(E486=1,
      SUM($E$2:E486)-1,
"")</f>
        <v>483</v>
      </c>
      <c r="B486" s="6" t="s">
        <v>433</v>
      </c>
      <c r="C486" s="14">
        <v>44928</v>
      </c>
      <c r="D486" s="15">
        <v>76.37</v>
      </c>
      <c r="E486" s="7">
        <f t="shared" si="7"/>
        <v>1</v>
      </c>
    </row>
    <row r="487" spans="1:5" x14ac:dyDescent="0.25">
      <c r="A487" s="7">
        <f>IF(E487=1,
      SUM($E$2:E487)-1,
"")</f>
        <v>484</v>
      </c>
      <c r="B487" s="6" t="s">
        <v>434</v>
      </c>
      <c r="C487" s="14">
        <v>45224</v>
      </c>
      <c r="D487" s="15">
        <v>77.86</v>
      </c>
      <c r="E487" s="7">
        <f t="shared" si="7"/>
        <v>1</v>
      </c>
    </row>
    <row r="488" spans="1:5" x14ac:dyDescent="0.25">
      <c r="A488" s="7">
        <f>IF(E488=1,
      SUM($E$2:E488)-1,
"")</f>
        <v>485</v>
      </c>
      <c r="B488" s="6" t="s">
        <v>435</v>
      </c>
      <c r="C488" s="14">
        <v>44942</v>
      </c>
      <c r="D488" s="15">
        <v>99.28</v>
      </c>
      <c r="E488" s="7">
        <f t="shared" si="7"/>
        <v>1</v>
      </c>
    </row>
    <row r="489" spans="1:5" x14ac:dyDescent="0.25">
      <c r="A489" s="7">
        <f>IF(E489=1,
      SUM($E$2:E489)-1,
"")</f>
        <v>486</v>
      </c>
      <c r="B489" s="6" t="s">
        <v>109</v>
      </c>
      <c r="C489" s="14">
        <v>45039</v>
      </c>
      <c r="D489" s="15">
        <v>36.090000000000003</v>
      </c>
      <c r="E489" s="7">
        <f t="shared" si="7"/>
        <v>1</v>
      </c>
    </row>
    <row r="490" spans="1:5" x14ac:dyDescent="0.25">
      <c r="A490" s="7">
        <f>IF(E490=1,
      SUM($E$2:E490)-1,
"")</f>
        <v>487</v>
      </c>
      <c r="B490" s="6" t="s">
        <v>436</v>
      </c>
      <c r="C490" s="14">
        <v>45112</v>
      </c>
      <c r="D490" s="15">
        <v>56.5</v>
      </c>
      <c r="E490" s="7">
        <f t="shared" si="7"/>
        <v>1</v>
      </c>
    </row>
    <row r="491" spans="1:5" x14ac:dyDescent="0.25">
      <c r="A491" s="7">
        <f>IF(E491=1,
      SUM($E$2:E491)-1,
"")</f>
        <v>488</v>
      </c>
      <c r="B491" s="6" t="s">
        <v>437</v>
      </c>
      <c r="C491" s="14">
        <v>44975</v>
      </c>
      <c r="D491" s="15">
        <v>90.53</v>
      </c>
      <c r="E491" s="7">
        <f t="shared" si="7"/>
        <v>1</v>
      </c>
    </row>
    <row r="492" spans="1:5" x14ac:dyDescent="0.25">
      <c r="A492" s="7">
        <f>IF(E492=1,
      SUM($E$2:E492)-1,
"")</f>
        <v>489</v>
      </c>
      <c r="B492" s="6" t="s">
        <v>438</v>
      </c>
      <c r="C492" s="14">
        <v>45124</v>
      </c>
      <c r="D492" s="15">
        <v>114.27</v>
      </c>
      <c r="E492" s="7">
        <f t="shared" si="7"/>
        <v>1</v>
      </c>
    </row>
    <row r="493" spans="1:5" x14ac:dyDescent="0.25">
      <c r="A493" s="7">
        <f>IF(E493=1,
      SUM($E$2:E493)-1,
"")</f>
        <v>490</v>
      </c>
      <c r="B493" s="6" t="s">
        <v>105</v>
      </c>
      <c r="C493" s="14">
        <v>44980</v>
      </c>
      <c r="D493" s="15">
        <v>75.95</v>
      </c>
      <c r="E493" s="7">
        <f t="shared" si="7"/>
        <v>1</v>
      </c>
    </row>
    <row r="494" spans="1:5" x14ac:dyDescent="0.25">
      <c r="A494" s="7">
        <f>IF(E494=1,
      SUM($E$2:E494)-1,
"")</f>
        <v>491</v>
      </c>
      <c r="B494" s="6" t="s">
        <v>439</v>
      </c>
      <c r="C494" s="14">
        <v>45044</v>
      </c>
      <c r="D494" s="15">
        <v>94.07</v>
      </c>
      <c r="E494" s="7">
        <f t="shared" si="7"/>
        <v>1</v>
      </c>
    </row>
    <row r="495" spans="1:5" x14ac:dyDescent="0.25">
      <c r="A495" s="7">
        <f>IF(E495=1,
      SUM($E$2:E495)-1,
"")</f>
        <v>492</v>
      </c>
      <c r="B495" s="6" t="s">
        <v>440</v>
      </c>
      <c r="C495" s="14">
        <v>45105</v>
      </c>
      <c r="D495" s="15">
        <v>51.6</v>
      </c>
      <c r="E495" s="7">
        <f t="shared" si="7"/>
        <v>1</v>
      </c>
    </row>
    <row r="496" spans="1:5" x14ac:dyDescent="0.25">
      <c r="A496" s="7">
        <f>IF(E496=1,
      SUM($E$2:E496)-1,
"")</f>
        <v>493</v>
      </c>
      <c r="B496" s="6" t="s">
        <v>441</v>
      </c>
      <c r="C496" s="14">
        <v>45239</v>
      </c>
      <c r="D496" s="15">
        <v>127.97</v>
      </c>
      <c r="E496" s="7">
        <f t="shared" si="7"/>
        <v>1</v>
      </c>
    </row>
    <row r="497" spans="1:5" x14ac:dyDescent="0.25">
      <c r="A497" s="7">
        <f>IF(E497=1,
      SUM($E$2:E497)-1,
"")</f>
        <v>494</v>
      </c>
      <c r="B497" s="6" t="s">
        <v>442</v>
      </c>
      <c r="C497" s="14">
        <v>44967</v>
      </c>
      <c r="D497" s="15">
        <v>106.6</v>
      </c>
      <c r="E497" s="7">
        <f t="shared" si="7"/>
        <v>1</v>
      </c>
    </row>
    <row r="498" spans="1:5" x14ac:dyDescent="0.25">
      <c r="A498" s="7">
        <f>IF(E498=1,
      SUM($E$2:E498)-1,
"")</f>
        <v>495</v>
      </c>
      <c r="B498" s="6" t="s">
        <v>443</v>
      </c>
      <c r="C498" s="14">
        <v>44936</v>
      </c>
      <c r="D498" s="15">
        <v>109.26</v>
      </c>
      <c r="E498" s="7">
        <f t="shared" si="7"/>
        <v>1</v>
      </c>
    </row>
    <row r="499" spans="1:5" x14ac:dyDescent="0.25">
      <c r="A499" s="7">
        <f>IF(E499=1,
      SUM($E$2:E499)-1,
"")</f>
        <v>496</v>
      </c>
      <c r="B499" s="6" t="s">
        <v>444</v>
      </c>
      <c r="C499" s="14">
        <v>44980</v>
      </c>
      <c r="D499" s="15">
        <v>114.65</v>
      </c>
      <c r="E499" s="7">
        <f t="shared" si="7"/>
        <v>1</v>
      </c>
    </row>
    <row r="500" spans="1:5" x14ac:dyDescent="0.25">
      <c r="A500" s="7">
        <f>IF(E500=1,
      SUM($E$2:E500)-1,
"")</f>
        <v>497</v>
      </c>
      <c r="B500" s="6" t="s">
        <v>160</v>
      </c>
      <c r="C500" s="14">
        <v>45155</v>
      </c>
      <c r="D500" s="15">
        <v>102.34</v>
      </c>
      <c r="E500" s="7">
        <f t="shared" si="7"/>
        <v>1</v>
      </c>
    </row>
    <row r="501" spans="1:5" x14ac:dyDescent="0.25">
      <c r="A501" s="7">
        <f>IF(E501=1,
      SUM($E$2:E501)-1,
"")</f>
        <v>498</v>
      </c>
      <c r="B501" s="6" t="s">
        <v>445</v>
      </c>
      <c r="C501" s="14">
        <v>45125</v>
      </c>
      <c r="D501" s="15">
        <v>85.49</v>
      </c>
      <c r="E501" s="7">
        <f t="shared" si="7"/>
        <v>1</v>
      </c>
    </row>
    <row r="502" spans="1:5" x14ac:dyDescent="0.25">
      <c r="A502" s="7">
        <f>IF(E502=1,
      SUM($E$2:E502)-1,
"")</f>
        <v>499</v>
      </c>
      <c r="B502" s="6" t="s">
        <v>440</v>
      </c>
      <c r="C502" s="14">
        <v>45190</v>
      </c>
      <c r="D502" s="15">
        <v>133.88999999999999</v>
      </c>
      <c r="E502" s="7">
        <f t="shared" si="7"/>
        <v>1</v>
      </c>
    </row>
    <row r="503" spans="1:5" x14ac:dyDescent="0.25">
      <c r="A503" s="7">
        <f>IF(E503=1,
      SUM($E$2:E503)-1,
"")</f>
        <v>500</v>
      </c>
      <c r="B503" s="6" t="s">
        <v>91</v>
      </c>
      <c r="C503" s="14">
        <v>45208</v>
      </c>
      <c r="D503" s="15">
        <v>104.71</v>
      </c>
      <c r="E503" s="7">
        <f t="shared" si="7"/>
        <v>1</v>
      </c>
    </row>
    <row r="504" spans="1:5" x14ac:dyDescent="0.25">
      <c r="A504" s="7">
        <f>IF(E504=1,
      SUM($E$2:E504)-1,
"")</f>
        <v>501</v>
      </c>
      <c r="B504" s="6" t="s">
        <v>446</v>
      </c>
      <c r="C504" s="14">
        <v>44976</v>
      </c>
      <c r="D504" s="15">
        <v>95.03</v>
      </c>
      <c r="E504" s="7">
        <f t="shared" si="7"/>
        <v>1</v>
      </c>
    </row>
    <row r="505" spans="1:5" x14ac:dyDescent="0.25">
      <c r="A505" s="7">
        <f>IF(E505=1,
      SUM($E$2:E505)-1,
"")</f>
        <v>502</v>
      </c>
      <c r="B505" s="6" t="s">
        <v>187</v>
      </c>
      <c r="C505" s="14">
        <v>45081</v>
      </c>
      <c r="D505" s="15">
        <v>99.74</v>
      </c>
      <c r="E505" s="7">
        <f t="shared" si="7"/>
        <v>1</v>
      </c>
    </row>
    <row r="506" spans="1:5" x14ac:dyDescent="0.25">
      <c r="A506" s="7">
        <f>IF(E506=1,
      SUM($E$2:E506)-1,
"")</f>
        <v>503</v>
      </c>
      <c r="B506" s="6" t="s">
        <v>447</v>
      </c>
      <c r="C506" s="14">
        <v>45290</v>
      </c>
      <c r="D506" s="15">
        <v>99.1</v>
      </c>
      <c r="E506" s="7">
        <f t="shared" si="7"/>
        <v>1</v>
      </c>
    </row>
    <row r="507" spans="1:5" x14ac:dyDescent="0.25">
      <c r="A507" s="7">
        <f>IF(E507=1,
      SUM($E$2:E507)-1,
"")</f>
        <v>504</v>
      </c>
      <c r="B507" s="6" t="s">
        <v>448</v>
      </c>
      <c r="C507" s="14">
        <v>45114</v>
      </c>
      <c r="D507" s="15">
        <v>94.73</v>
      </c>
      <c r="E507" s="7">
        <f t="shared" si="7"/>
        <v>1</v>
      </c>
    </row>
    <row r="508" spans="1:5" x14ac:dyDescent="0.25">
      <c r="A508" s="7">
        <f>IF(E508=1,
      SUM($E$2:E508)-1,
"")</f>
        <v>505</v>
      </c>
      <c r="B508" s="6" t="s">
        <v>152</v>
      </c>
      <c r="C508" s="14">
        <v>44951</v>
      </c>
      <c r="D508" s="15">
        <v>113.38</v>
      </c>
      <c r="E508" s="7">
        <f t="shared" si="7"/>
        <v>1</v>
      </c>
    </row>
    <row r="509" spans="1:5" x14ac:dyDescent="0.25">
      <c r="A509" s="7">
        <f>IF(E509=1,
      SUM($E$2:E509)-1,
"")</f>
        <v>506</v>
      </c>
      <c r="B509" s="6" t="s">
        <v>449</v>
      </c>
      <c r="C509" s="14">
        <v>44990</v>
      </c>
      <c r="D509" s="15">
        <v>71.92</v>
      </c>
      <c r="E509" s="7">
        <f t="shared" si="7"/>
        <v>1</v>
      </c>
    </row>
    <row r="510" spans="1:5" x14ac:dyDescent="0.25">
      <c r="A510" s="7">
        <f>IF(E510=1,
      SUM($E$2:E510)-1,
"")</f>
        <v>507</v>
      </c>
      <c r="B510" s="6" t="s">
        <v>450</v>
      </c>
      <c r="C510" s="14">
        <v>44961</v>
      </c>
      <c r="D510" s="15">
        <v>74.12</v>
      </c>
      <c r="E510" s="7">
        <f t="shared" si="7"/>
        <v>1</v>
      </c>
    </row>
    <row r="511" spans="1:5" x14ac:dyDescent="0.25">
      <c r="A511" s="7">
        <f>IF(E511=1,
      SUM($E$2:E511)-1,
"")</f>
        <v>508</v>
      </c>
      <c r="B511" s="6" t="s">
        <v>451</v>
      </c>
      <c r="C511" s="14">
        <v>45255</v>
      </c>
      <c r="D511" s="15">
        <v>116.78</v>
      </c>
      <c r="E511" s="7">
        <f t="shared" si="7"/>
        <v>1</v>
      </c>
    </row>
    <row r="512" spans="1:5" x14ac:dyDescent="0.25">
      <c r="A512" s="7">
        <f>IF(E512=1,
      SUM($E$2:E512)-1,
"")</f>
        <v>509</v>
      </c>
      <c r="B512" s="6" t="s">
        <v>452</v>
      </c>
      <c r="C512" s="14">
        <v>45054</v>
      </c>
      <c r="D512" s="15">
        <v>95.64</v>
      </c>
      <c r="E512" s="7">
        <f t="shared" si="7"/>
        <v>1</v>
      </c>
    </row>
    <row r="513" spans="1:5" x14ac:dyDescent="0.25">
      <c r="A513" s="7">
        <f>IF(E513=1,
      SUM($E$2:E513)-1,
"")</f>
        <v>510</v>
      </c>
      <c r="B513" s="6" t="s">
        <v>453</v>
      </c>
      <c r="C513" s="14">
        <v>45124</v>
      </c>
      <c r="D513" s="15">
        <v>129.13999999999999</v>
      </c>
      <c r="E513" s="7">
        <f t="shared" si="7"/>
        <v>1</v>
      </c>
    </row>
    <row r="514" spans="1:5" x14ac:dyDescent="0.25">
      <c r="A514" s="7">
        <f>IF(E514=1,
      SUM($E$2:E514)-1,
"")</f>
        <v>511</v>
      </c>
      <c r="B514" s="6" t="s">
        <v>214</v>
      </c>
      <c r="C514" s="14">
        <v>44950</v>
      </c>
      <c r="D514" s="15">
        <v>112.27</v>
      </c>
      <c r="E514" s="7">
        <f t="shared" ref="E514:E577" si="8">IF(D514&gt;0,1,0)</f>
        <v>1</v>
      </c>
    </row>
    <row r="515" spans="1:5" x14ac:dyDescent="0.25">
      <c r="A515" s="7">
        <f>IF(E515=1,
      SUM($E$2:E515)-1,
"")</f>
        <v>512</v>
      </c>
      <c r="B515" s="6" t="s">
        <v>101</v>
      </c>
      <c r="C515" s="14">
        <v>44979</v>
      </c>
      <c r="D515" s="15">
        <v>83.42</v>
      </c>
      <c r="E515" s="7">
        <f t="shared" si="8"/>
        <v>1</v>
      </c>
    </row>
    <row r="516" spans="1:5" x14ac:dyDescent="0.25">
      <c r="A516" s="7">
        <f>IF(E516=1,
      SUM($E$2:E516)-1,
"")</f>
        <v>513</v>
      </c>
      <c r="B516" s="6" t="s">
        <v>454</v>
      </c>
      <c r="C516" s="14">
        <v>44987</v>
      </c>
      <c r="D516" s="15">
        <v>117.25</v>
      </c>
      <c r="E516" s="7">
        <f t="shared" si="8"/>
        <v>1</v>
      </c>
    </row>
    <row r="517" spans="1:5" x14ac:dyDescent="0.25">
      <c r="A517" s="7">
        <f>IF(E517=1,
      SUM($E$2:E517)-1,
"")</f>
        <v>514</v>
      </c>
      <c r="B517" s="6" t="s">
        <v>455</v>
      </c>
      <c r="C517" s="14">
        <v>45263</v>
      </c>
      <c r="D517" s="15">
        <v>135.91999999999999</v>
      </c>
      <c r="E517" s="7">
        <f t="shared" si="8"/>
        <v>1</v>
      </c>
    </row>
    <row r="518" spans="1:5" x14ac:dyDescent="0.25">
      <c r="A518" s="7">
        <f>IF(E518=1,
      SUM($E$2:E518)-1,
"")</f>
        <v>515</v>
      </c>
      <c r="B518" s="6" t="s">
        <v>389</v>
      </c>
      <c r="C518" s="14">
        <v>45103</v>
      </c>
      <c r="D518" s="15">
        <v>113.41</v>
      </c>
      <c r="E518" s="7">
        <f t="shared" si="8"/>
        <v>1</v>
      </c>
    </row>
    <row r="519" spans="1:5" x14ac:dyDescent="0.25">
      <c r="A519" s="7">
        <f>IF(E519=1,
      SUM($E$2:E519)-1,
"")</f>
        <v>516</v>
      </c>
      <c r="B519" s="6" t="s">
        <v>354</v>
      </c>
      <c r="C519" s="14">
        <v>44936</v>
      </c>
      <c r="D519" s="15">
        <v>119.97</v>
      </c>
      <c r="E519" s="7">
        <f t="shared" si="8"/>
        <v>1</v>
      </c>
    </row>
    <row r="520" spans="1:5" x14ac:dyDescent="0.25">
      <c r="A520" s="7">
        <f>IF(E520=1,
      SUM($E$2:E520)-1,
"")</f>
        <v>517</v>
      </c>
      <c r="B520" s="6" t="s">
        <v>245</v>
      </c>
      <c r="C520" s="14">
        <v>45268</v>
      </c>
      <c r="D520" s="15">
        <v>94.85</v>
      </c>
      <c r="E520" s="7">
        <f t="shared" si="8"/>
        <v>1</v>
      </c>
    </row>
    <row r="521" spans="1:5" x14ac:dyDescent="0.25">
      <c r="A521" s="7">
        <f>IF(E521=1,
      SUM($E$2:E521)-1,
"")</f>
        <v>518</v>
      </c>
      <c r="B521" s="6" t="s">
        <v>456</v>
      </c>
      <c r="C521" s="14">
        <v>45181</v>
      </c>
      <c r="D521" s="15">
        <v>129.79</v>
      </c>
      <c r="E521" s="7">
        <f t="shared" si="8"/>
        <v>1</v>
      </c>
    </row>
    <row r="522" spans="1:5" x14ac:dyDescent="0.25">
      <c r="A522" s="7">
        <f>IF(E522=1,
      SUM($E$2:E522)-1,
"")</f>
        <v>519</v>
      </c>
      <c r="B522" s="6" t="s">
        <v>457</v>
      </c>
      <c r="C522" s="14">
        <v>45087</v>
      </c>
      <c r="D522" s="15">
        <v>82.58</v>
      </c>
      <c r="E522" s="7">
        <f t="shared" si="8"/>
        <v>1</v>
      </c>
    </row>
    <row r="523" spans="1:5" x14ac:dyDescent="0.25">
      <c r="A523" s="7">
        <f>IF(E523=1,
      SUM($E$2:E523)-1,
"")</f>
        <v>520</v>
      </c>
      <c r="B523" s="6" t="s">
        <v>458</v>
      </c>
      <c r="C523" s="14">
        <v>45108</v>
      </c>
      <c r="D523" s="15">
        <v>110.16</v>
      </c>
      <c r="E523" s="7">
        <f t="shared" si="8"/>
        <v>1</v>
      </c>
    </row>
    <row r="524" spans="1:5" x14ac:dyDescent="0.25">
      <c r="A524" s="7">
        <f>IF(E524=1,
      SUM($E$2:E524)-1,
"")</f>
        <v>521</v>
      </c>
      <c r="B524" s="6" t="s">
        <v>459</v>
      </c>
      <c r="C524" s="14">
        <v>45246</v>
      </c>
      <c r="D524" s="15">
        <v>177.09</v>
      </c>
      <c r="E524" s="7">
        <f t="shared" si="8"/>
        <v>1</v>
      </c>
    </row>
    <row r="525" spans="1:5" x14ac:dyDescent="0.25">
      <c r="A525" s="7">
        <f>IF(E525=1,
      SUM($E$2:E525)-1,
"")</f>
        <v>522</v>
      </c>
      <c r="B525" s="6" t="s">
        <v>164</v>
      </c>
      <c r="C525" s="14">
        <v>45065</v>
      </c>
      <c r="D525" s="15">
        <v>116.17</v>
      </c>
      <c r="E525" s="7">
        <f t="shared" si="8"/>
        <v>1</v>
      </c>
    </row>
    <row r="526" spans="1:5" x14ac:dyDescent="0.25">
      <c r="A526" s="7">
        <f>IF(E526=1,
      SUM($E$2:E526)-1,
"")</f>
        <v>523</v>
      </c>
      <c r="B526" s="6" t="s">
        <v>116</v>
      </c>
      <c r="C526" s="14">
        <v>45254</v>
      </c>
      <c r="D526" s="15">
        <v>87.38</v>
      </c>
      <c r="E526" s="7">
        <f t="shared" si="8"/>
        <v>1</v>
      </c>
    </row>
    <row r="527" spans="1:5" x14ac:dyDescent="0.25">
      <c r="A527" s="7">
        <f>IF(E527=1,
      SUM($E$2:E527)-1,
"")</f>
        <v>524</v>
      </c>
      <c r="B527" s="6" t="s">
        <v>460</v>
      </c>
      <c r="C527" s="14">
        <v>45277</v>
      </c>
      <c r="D527" s="15">
        <v>87.3</v>
      </c>
      <c r="E527" s="7">
        <f t="shared" si="8"/>
        <v>1</v>
      </c>
    </row>
    <row r="528" spans="1:5" x14ac:dyDescent="0.25">
      <c r="A528" s="7">
        <f>IF(E528=1,
      SUM($E$2:E528)-1,
"")</f>
        <v>525</v>
      </c>
      <c r="B528" s="6" t="s">
        <v>461</v>
      </c>
      <c r="C528" s="14">
        <v>45271</v>
      </c>
      <c r="D528" s="15">
        <v>97.86</v>
      </c>
      <c r="E528" s="7">
        <f t="shared" si="8"/>
        <v>1</v>
      </c>
    </row>
    <row r="529" spans="1:5" x14ac:dyDescent="0.25">
      <c r="A529" s="7">
        <f>IF(E529=1,
      SUM($E$2:E529)-1,
"")</f>
        <v>526</v>
      </c>
      <c r="B529" s="6" t="s">
        <v>462</v>
      </c>
      <c r="C529" s="14">
        <v>45080</v>
      </c>
      <c r="D529" s="15">
        <v>125.54</v>
      </c>
      <c r="E529" s="7">
        <f t="shared" si="8"/>
        <v>1</v>
      </c>
    </row>
    <row r="530" spans="1:5" x14ac:dyDescent="0.25">
      <c r="A530" s="7">
        <f>IF(E530=1,
      SUM($E$2:E530)-1,
"")</f>
        <v>527</v>
      </c>
      <c r="B530" s="6" t="s">
        <v>463</v>
      </c>
      <c r="C530" s="14">
        <v>44983</v>
      </c>
      <c r="D530" s="15">
        <v>104.37</v>
      </c>
      <c r="E530" s="7">
        <f t="shared" si="8"/>
        <v>1</v>
      </c>
    </row>
    <row r="531" spans="1:5" x14ac:dyDescent="0.25">
      <c r="A531" s="7">
        <f>IF(E531=1,
      SUM($E$2:E531)-1,
"")</f>
        <v>528</v>
      </c>
      <c r="B531" s="6" t="s">
        <v>464</v>
      </c>
      <c r="C531" s="14">
        <v>45144</v>
      </c>
      <c r="D531" s="15">
        <v>80.540000000000006</v>
      </c>
      <c r="E531" s="7">
        <f t="shared" si="8"/>
        <v>1</v>
      </c>
    </row>
    <row r="532" spans="1:5" x14ac:dyDescent="0.25">
      <c r="A532" s="7">
        <f>IF(E532=1,
      SUM($E$2:E532)-1,
"")</f>
        <v>529</v>
      </c>
      <c r="B532" s="6" t="s">
        <v>465</v>
      </c>
      <c r="C532" s="14">
        <v>45052</v>
      </c>
      <c r="D532" s="15">
        <v>80.489999999999995</v>
      </c>
      <c r="E532" s="7">
        <f t="shared" si="8"/>
        <v>1</v>
      </c>
    </row>
    <row r="533" spans="1:5" x14ac:dyDescent="0.25">
      <c r="A533" s="7">
        <f>IF(E533=1,
      SUM($E$2:E533)-1,
"")</f>
        <v>530</v>
      </c>
      <c r="B533" s="6" t="s">
        <v>264</v>
      </c>
      <c r="C533" s="14">
        <v>45021</v>
      </c>
      <c r="D533" s="15">
        <v>104.56</v>
      </c>
      <c r="E533" s="7">
        <f t="shared" si="8"/>
        <v>1</v>
      </c>
    </row>
    <row r="534" spans="1:5" x14ac:dyDescent="0.25">
      <c r="A534" s="7">
        <f>IF(E534=1,
      SUM($E$2:E534)-1,
"")</f>
        <v>531</v>
      </c>
      <c r="B534" s="6" t="s">
        <v>466</v>
      </c>
      <c r="C534" s="14">
        <v>45234</v>
      </c>
      <c r="D534" s="15">
        <v>101.27</v>
      </c>
      <c r="E534" s="7">
        <f t="shared" si="8"/>
        <v>1</v>
      </c>
    </row>
    <row r="535" spans="1:5" x14ac:dyDescent="0.25">
      <c r="A535" s="7">
        <f>IF(E535=1,
      SUM($E$2:E535)-1,
"")</f>
        <v>532</v>
      </c>
      <c r="B535" s="6" t="s">
        <v>277</v>
      </c>
      <c r="C535" s="14">
        <v>45006</v>
      </c>
      <c r="D535" s="15">
        <v>113.65</v>
      </c>
      <c r="E535" s="7">
        <f t="shared" si="8"/>
        <v>1</v>
      </c>
    </row>
    <row r="536" spans="1:5" x14ac:dyDescent="0.25">
      <c r="A536" s="7">
        <f>IF(E536=1,
      SUM($E$2:E536)-1,
"")</f>
        <v>533</v>
      </c>
      <c r="B536" s="6" t="s">
        <v>467</v>
      </c>
      <c r="C536" s="14">
        <v>45091</v>
      </c>
      <c r="D536" s="15">
        <v>127.52</v>
      </c>
      <c r="E536" s="7">
        <f t="shared" si="8"/>
        <v>1</v>
      </c>
    </row>
    <row r="537" spans="1:5" x14ac:dyDescent="0.25">
      <c r="A537" s="7">
        <f>IF(E537=1,
      SUM($E$2:E537)-1,
"")</f>
        <v>534</v>
      </c>
      <c r="B537" s="6" t="s">
        <v>468</v>
      </c>
      <c r="C537" s="14">
        <v>45261</v>
      </c>
      <c r="D537" s="15">
        <v>181.82</v>
      </c>
      <c r="E537" s="7">
        <f t="shared" si="8"/>
        <v>1</v>
      </c>
    </row>
    <row r="538" spans="1:5" x14ac:dyDescent="0.25">
      <c r="A538" s="7">
        <f>IF(E538=1,
      SUM($E$2:E538)-1,
"")</f>
        <v>535</v>
      </c>
      <c r="B538" s="6" t="s">
        <v>263</v>
      </c>
      <c r="C538" s="14">
        <v>45131</v>
      </c>
      <c r="D538" s="15">
        <v>56.14</v>
      </c>
      <c r="E538" s="7">
        <f t="shared" si="8"/>
        <v>1</v>
      </c>
    </row>
    <row r="539" spans="1:5" x14ac:dyDescent="0.25">
      <c r="A539" s="7">
        <f>IF(E539=1,
      SUM($E$2:E539)-1,
"")</f>
        <v>536</v>
      </c>
      <c r="B539" s="6" t="s">
        <v>469</v>
      </c>
      <c r="C539" s="14">
        <v>45038</v>
      </c>
      <c r="D539" s="15">
        <v>120.61</v>
      </c>
      <c r="E539" s="7">
        <f t="shared" si="8"/>
        <v>1</v>
      </c>
    </row>
    <row r="540" spans="1:5" x14ac:dyDescent="0.25">
      <c r="A540" s="7">
        <f>IF(E540=1,
      SUM($E$2:E540)-1,
"")</f>
        <v>537</v>
      </c>
      <c r="B540" s="6" t="s">
        <v>470</v>
      </c>
      <c r="C540" s="14">
        <v>45039</v>
      </c>
      <c r="D540" s="15">
        <v>102.95</v>
      </c>
      <c r="E540" s="7">
        <f t="shared" si="8"/>
        <v>1</v>
      </c>
    </row>
    <row r="541" spans="1:5" x14ac:dyDescent="0.25">
      <c r="A541" s="7">
        <f>IF(E541=1,
      SUM($E$2:E541)-1,
"")</f>
        <v>538</v>
      </c>
      <c r="B541" s="6" t="s">
        <v>471</v>
      </c>
      <c r="C541" s="14">
        <v>45284</v>
      </c>
      <c r="D541" s="15">
        <v>44.66</v>
      </c>
      <c r="E541" s="7">
        <f t="shared" si="8"/>
        <v>1</v>
      </c>
    </row>
    <row r="542" spans="1:5" x14ac:dyDescent="0.25">
      <c r="A542" s="7">
        <f>IF(E542=1,
      SUM($E$2:E542)-1,
"")</f>
        <v>539</v>
      </c>
      <c r="B542" s="6" t="s">
        <v>151</v>
      </c>
      <c r="C542" s="14">
        <v>45154</v>
      </c>
      <c r="D542" s="15">
        <v>137.49</v>
      </c>
      <c r="E542" s="7">
        <f t="shared" si="8"/>
        <v>1</v>
      </c>
    </row>
    <row r="543" spans="1:5" x14ac:dyDescent="0.25">
      <c r="A543" s="7">
        <f>IF(E543=1,
      SUM($E$2:E543)-1,
"")</f>
        <v>540</v>
      </c>
      <c r="B543" s="6" t="s">
        <v>424</v>
      </c>
      <c r="C543" s="14">
        <v>45283</v>
      </c>
      <c r="D543" s="15">
        <v>112.64</v>
      </c>
      <c r="E543" s="7">
        <f t="shared" si="8"/>
        <v>1</v>
      </c>
    </row>
    <row r="544" spans="1:5" x14ac:dyDescent="0.25">
      <c r="A544" s="7">
        <f>IF(E544=1,
      SUM($E$2:E544)-1,
"")</f>
        <v>541</v>
      </c>
      <c r="B544" s="6" t="s">
        <v>472</v>
      </c>
      <c r="C544" s="14">
        <v>45079</v>
      </c>
      <c r="D544" s="15">
        <v>123.99</v>
      </c>
      <c r="E544" s="7">
        <f t="shared" si="8"/>
        <v>1</v>
      </c>
    </row>
    <row r="545" spans="1:5" x14ac:dyDescent="0.25">
      <c r="A545" s="7">
        <f>IF(E545=1,
      SUM($E$2:E545)-1,
"")</f>
        <v>542</v>
      </c>
      <c r="B545" s="6" t="s">
        <v>473</v>
      </c>
      <c r="C545" s="14">
        <v>45020</v>
      </c>
      <c r="D545" s="15">
        <v>49.02</v>
      </c>
      <c r="E545" s="7">
        <f t="shared" si="8"/>
        <v>1</v>
      </c>
    </row>
    <row r="546" spans="1:5" x14ac:dyDescent="0.25">
      <c r="A546" s="7">
        <f>IF(E546=1,
      SUM($E$2:E546)-1,
"")</f>
        <v>543</v>
      </c>
      <c r="B546" s="6" t="s">
        <v>474</v>
      </c>
      <c r="C546" s="14">
        <v>44969</v>
      </c>
      <c r="D546" s="15">
        <v>93.39</v>
      </c>
      <c r="E546" s="7">
        <f t="shared" si="8"/>
        <v>1</v>
      </c>
    </row>
    <row r="547" spans="1:5" x14ac:dyDescent="0.25">
      <c r="A547" s="7">
        <f>IF(E547=1,
      SUM($E$2:E547)-1,
"")</f>
        <v>544</v>
      </c>
      <c r="B547" s="6" t="s">
        <v>407</v>
      </c>
      <c r="C547" s="14">
        <v>45245</v>
      </c>
      <c r="D547" s="15">
        <v>67.62</v>
      </c>
      <c r="E547" s="7">
        <f t="shared" si="8"/>
        <v>1</v>
      </c>
    </row>
    <row r="548" spans="1:5" x14ac:dyDescent="0.25">
      <c r="A548" s="7">
        <f>IF(E548=1,
      SUM($E$2:E548)-1,
"")</f>
        <v>545</v>
      </c>
      <c r="B548" s="6" t="s">
        <v>475</v>
      </c>
      <c r="C548" s="14">
        <v>45182</v>
      </c>
      <c r="D548" s="15">
        <v>164.89</v>
      </c>
      <c r="E548" s="7">
        <f t="shared" si="8"/>
        <v>1</v>
      </c>
    </row>
    <row r="549" spans="1:5" x14ac:dyDescent="0.25">
      <c r="A549" s="7">
        <f>IF(E549=1,
      SUM($E$2:E549)-1,
"")</f>
        <v>546</v>
      </c>
      <c r="B549" s="6" t="s">
        <v>476</v>
      </c>
      <c r="C549" s="14">
        <v>45140</v>
      </c>
      <c r="D549" s="15">
        <v>134.34</v>
      </c>
      <c r="E549" s="7">
        <f t="shared" si="8"/>
        <v>1</v>
      </c>
    </row>
    <row r="550" spans="1:5" x14ac:dyDescent="0.25">
      <c r="A550" s="7">
        <f>IF(E550=1,
      SUM($E$2:E550)-1,
"")</f>
        <v>547</v>
      </c>
      <c r="B550" s="6" t="s">
        <v>146</v>
      </c>
      <c r="C550" s="14">
        <v>45170</v>
      </c>
      <c r="D550" s="15">
        <v>79.569999999999993</v>
      </c>
      <c r="E550" s="7">
        <f t="shared" si="8"/>
        <v>1</v>
      </c>
    </row>
    <row r="551" spans="1:5" x14ac:dyDescent="0.25">
      <c r="A551" s="7">
        <f>IF(E551=1,
      SUM($E$2:E551)-1,
"")</f>
        <v>548</v>
      </c>
      <c r="B551" s="6" t="s">
        <v>477</v>
      </c>
      <c r="C551" s="14">
        <v>44936</v>
      </c>
      <c r="D551" s="15">
        <v>53.9</v>
      </c>
      <c r="E551" s="7">
        <f t="shared" si="8"/>
        <v>1</v>
      </c>
    </row>
    <row r="552" spans="1:5" x14ac:dyDescent="0.25">
      <c r="A552" s="7">
        <f>IF(E552=1,
      SUM($E$2:E552)-1,
"")</f>
        <v>549</v>
      </c>
      <c r="B552" s="6" t="s">
        <v>478</v>
      </c>
      <c r="C552" s="14">
        <v>45191</v>
      </c>
      <c r="D552" s="15">
        <v>105.82</v>
      </c>
      <c r="E552" s="7">
        <f t="shared" si="8"/>
        <v>1</v>
      </c>
    </row>
    <row r="553" spans="1:5" x14ac:dyDescent="0.25">
      <c r="A553" s="7">
        <f>IF(E553=1,
      SUM($E$2:E553)-1,
"")</f>
        <v>550</v>
      </c>
      <c r="B553" s="6" t="s">
        <v>479</v>
      </c>
      <c r="C553" s="14">
        <v>45052</v>
      </c>
      <c r="D553" s="15">
        <v>132.77000000000001</v>
      </c>
      <c r="E553" s="7">
        <f t="shared" si="8"/>
        <v>1</v>
      </c>
    </row>
    <row r="554" spans="1:5" x14ac:dyDescent="0.25">
      <c r="A554" s="7">
        <f>IF(E554=1,
      SUM($E$2:E554)-1,
"")</f>
        <v>551</v>
      </c>
      <c r="B554" s="6" t="s">
        <v>177</v>
      </c>
      <c r="C554" s="14">
        <v>44972</v>
      </c>
      <c r="D554" s="15">
        <v>47.95</v>
      </c>
      <c r="E554" s="7">
        <f t="shared" si="8"/>
        <v>1</v>
      </c>
    </row>
    <row r="555" spans="1:5" x14ac:dyDescent="0.25">
      <c r="A555" s="7">
        <f>IF(E555=1,
      SUM($E$2:E555)-1,
"")</f>
        <v>552</v>
      </c>
      <c r="B555" s="6" t="s">
        <v>480</v>
      </c>
      <c r="C555" s="14">
        <v>45102</v>
      </c>
      <c r="D555" s="15">
        <v>72.05</v>
      </c>
      <c r="E555" s="7">
        <f t="shared" si="8"/>
        <v>1</v>
      </c>
    </row>
    <row r="556" spans="1:5" x14ac:dyDescent="0.25">
      <c r="A556" s="7">
        <f>IF(E556=1,
      SUM($E$2:E556)-1,
"")</f>
        <v>553</v>
      </c>
      <c r="B556" s="6" t="s">
        <v>449</v>
      </c>
      <c r="C556" s="14">
        <v>45076</v>
      </c>
      <c r="D556" s="15">
        <v>66.83</v>
      </c>
      <c r="E556" s="7">
        <f t="shared" si="8"/>
        <v>1</v>
      </c>
    </row>
    <row r="557" spans="1:5" x14ac:dyDescent="0.25">
      <c r="A557" s="7">
        <f>IF(E557=1,
      SUM($E$2:E557)-1,
"")</f>
        <v>554</v>
      </c>
      <c r="B557" s="6" t="s">
        <v>481</v>
      </c>
      <c r="C557" s="14">
        <v>45242</v>
      </c>
      <c r="D557" s="15">
        <v>126.01</v>
      </c>
      <c r="E557" s="7">
        <f t="shared" si="8"/>
        <v>1</v>
      </c>
    </row>
    <row r="558" spans="1:5" x14ac:dyDescent="0.25">
      <c r="A558" s="7">
        <f>IF(E558=1,
      SUM($E$2:E558)-1,
"")</f>
        <v>555</v>
      </c>
      <c r="B558" s="6" t="s">
        <v>482</v>
      </c>
      <c r="C558" s="14">
        <v>45001</v>
      </c>
      <c r="D558" s="15">
        <v>88.91</v>
      </c>
      <c r="E558" s="7">
        <f t="shared" si="8"/>
        <v>1</v>
      </c>
    </row>
    <row r="559" spans="1:5" x14ac:dyDescent="0.25">
      <c r="A559" s="7">
        <f>IF(E559=1,
      SUM($E$2:E559)-1,
"")</f>
        <v>556</v>
      </c>
      <c r="B559" s="6" t="s">
        <v>483</v>
      </c>
      <c r="C559" s="14">
        <v>45212</v>
      </c>
      <c r="D559" s="15">
        <v>90.16</v>
      </c>
      <c r="E559" s="7">
        <f t="shared" si="8"/>
        <v>1</v>
      </c>
    </row>
    <row r="560" spans="1:5" x14ac:dyDescent="0.25">
      <c r="A560" s="7">
        <f>IF(E560=1,
      SUM($E$2:E560)-1,
"")</f>
        <v>557</v>
      </c>
      <c r="B560" s="6" t="s">
        <v>252</v>
      </c>
      <c r="C560" s="14">
        <v>45205</v>
      </c>
      <c r="D560" s="15">
        <v>105.24</v>
      </c>
      <c r="E560" s="7">
        <f t="shared" si="8"/>
        <v>1</v>
      </c>
    </row>
    <row r="561" spans="1:5" x14ac:dyDescent="0.25">
      <c r="A561" s="7">
        <f>IF(E561=1,
      SUM($E$2:E561)-1,
"")</f>
        <v>558</v>
      </c>
      <c r="B561" s="6" t="s">
        <v>121</v>
      </c>
      <c r="C561" s="14">
        <v>45099</v>
      </c>
      <c r="D561" s="15">
        <v>73.650000000000006</v>
      </c>
      <c r="E561" s="7">
        <f t="shared" si="8"/>
        <v>1</v>
      </c>
    </row>
    <row r="562" spans="1:5" x14ac:dyDescent="0.25">
      <c r="A562" s="7">
        <f>IF(E562=1,
      SUM($E$2:E562)-1,
"")</f>
        <v>559</v>
      </c>
      <c r="B562" s="6" t="s">
        <v>484</v>
      </c>
      <c r="C562" s="14">
        <v>45189</v>
      </c>
      <c r="D562" s="15">
        <v>56.69</v>
      </c>
      <c r="E562" s="7">
        <f t="shared" si="8"/>
        <v>1</v>
      </c>
    </row>
    <row r="563" spans="1:5" x14ac:dyDescent="0.25">
      <c r="A563" s="7">
        <f>IF(E563=1,
      SUM($E$2:E563)-1,
"")</f>
        <v>560</v>
      </c>
      <c r="B563" s="6" t="s">
        <v>485</v>
      </c>
      <c r="C563" s="14">
        <v>45022</v>
      </c>
      <c r="D563" s="15">
        <v>141.09</v>
      </c>
      <c r="E563" s="7">
        <f t="shared" si="8"/>
        <v>1</v>
      </c>
    </row>
    <row r="564" spans="1:5" x14ac:dyDescent="0.25">
      <c r="A564" s="7">
        <f>IF(E564=1,
      SUM($E$2:E564)-1,
"")</f>
        <v>561</v>
      </c>
      <c r="B564" s="6" t="s">
        <v>107</v>
      </c>
      <c r="C564" s="14">
        <v>45197</v>
      </c>
      <c r="D564" s="15">
        <v>143.87</v>
      </c>
      <c r="E564" s="7">
        <f t="shared" si="8"/>
        <v>1</v>
      </c>
    </row>
    <row r="565" spans="1:5" x14ac:dyDescent="0.25">
      <c r="A565" s="7">
        <f>IF(E565=1,
      SUM($E$2:E565)-1,
"")</f>
        <v>562</v>
      </c>
      <c r="B565" s="6" t="s">
        <v>445</v>
      </c>
      <c r="C565" s="14">
        <v>45095</v>
      </c>
      <c r="D565" s="15">
        <v>105.39</v>
      </c>
      <c r="E565" s="7">
        <f t="shared" si="8"/>
        <v>1</v>
      </c>
    </row>
    <row r="566" spans="1:5" x14ac:dyDescent="0.25">
      <c r="A566" s="7">
        <f>IF(E566=1,
      SUM($E$2:E566)-1,
"")</f>
        <v>563</v>
      </c>
      <c r="B566" s="6" t="s">
        <v>486</v>
      </c>
      <c r="C566" s="14">
        <v>45292</v>
      </c>
      <c r="D566" s="15">
        <v>107.56</v>
      </c>
      <c r="E566" s="7">
        <f t="shared" si="8"/>
        <v>1</v>
      </c>
    </row>
    <row r="567" spans="1:5" x14ac:dyDescent="0.25">
      <c r="A567" s="7">
        <f>IF(E567=1,
      SUM($E$2:E567)-1,
"")</f>
        <v>564</v>
      </c>
      <c r="B567" s="6" t="s">
        <v>487</v>
      </c>
      <c r="C567" s="14">
        <v>45126</v>
      </c>
      <c r="D567" s="15">
        <v>137.83000000000001</v>
      </c>
      <c r="E567" s="7">
        <f t="shared" si="8"/>
        <v>1</v>
      </c>
    </row>
    <row r="568" spans="1:5" x14ac:dyDescent="0.25">
      <c r="A568" s="7">
        <f>IF(E568=1,
      SUM($E$2:E568)-1,
"")</f>
        <v>565</v>
      </c>
      <c r="B568" s="6" t="s">
        <v>302</v>
      </c>
      <c r="C568" s="14">
        <v>45167</v>
      </c>
      <c r="D568" s="15">
        <v>104.7</v>
      </c>
      <c r="E568" s="7">
        <f t="shared" si="8"/>
        <v>1</v>
      </c>
    </row>
    <row r="569" spans="1:5" x14ac:dyDescent="0.25">
      <c r="A569" s="7">
        <f>IF(E569=1,
      SUM($E$2:E569)-1,
"")</f>
        <v>566</v>
      </c>
      <c r="B569" s="6" t="s">
        <v>116</v>
      </c>
      <c r="C569" s="14">
        <v>44980</v>
      </c>
      <c r="D569" s="15">
        <v>87.43</v>
      </c>
      <c r="E569" s="7">
        <f t="shared" si="8"/>
        <v>1</v>
      </c>
    </row>
    <row r="570" spans="1:5" x14ac:dyDescent="0.25">
      <c r="A570" s="7">
        <f>IF(E570=1,
      SUM($E$2:E570)-1,
"")</f>
        <v>567</v>
      </c>
      <c r="B570" s="6" t="s">
        <v>488</v>
      </c>
      <c r="C570" s="14">
        <v>45212</v>
      </c>
      <c r="D570" s="15">
        <v>101.18</v>
      </c>
      <c r="E570" s="7">
        <f t="shared" si="8"/>
        <v>1</v>
      </c>
    </row>
    <row r="571" spans="1:5" x14ac:dyDescent="0.25">
      <c r="A571" s="7">
        <f>IF(E571=1,
      SUM($E$2:E571)-1,
"")</f>
        <v>568</v>
      </c>
      <c r="B571" s="6" t="s">
        <v>120</v>
      </c>
      <c r="C571" s="14">
        <v>45042</v>
      </c>
      <c r="D571" s="15">
        <v>141.80000000000001</v>
      </c>
      <c r="E571" s="7">
        <f t="shared" si="8"/>
        <v>1</v>
      </c>
    </row>
    <row r="572" spans="1:5" x14ac:dyDescent="0.25">
      <c r="A572" s="7">
        <f>IF(E572=1,
      SUM($E$2:E572)-1,
"")</f>
        <v>569</v>
      </c>
      <c r="B572" s="6" t="s">
        <v>381</v>
      </c>
      <c r="C572" s="14">
        <v>45124</v>
      </c>
      <c r="D572" s="15">
        <v>101.6</v>
      </c>
      <c r="E572" s="7">
        <f t="shared" si="8"/>
        <v>1</v>
      </c>
    </row>
    <row r="573" spans="1:5" x14ac:dyDescent="0.25">
      <c r="A573" s="7">
        <f>IF(E573=1,
      SUM($E$2:E573)-1,
"")</f>
        <v>570</v>
      </c>
      <c r="B573" s="6" t="s">
        <v>489</v>
      </c>
      <c r="C573" s="14">
        <v>45220</v>
      </c>
      <c r="D573" s="15">
        <v>79.92</v>
      </c>
      <c r="E573" s="7">
        <f t="shared" si="8"/>
        <v>1</v>
      </c>
    </row>
    <row r="574" spans="1:5" x14ac:dyDescent="0.25">
      <c r="A574" s="7">
        <f>IF(E574=1,
      SUM($E$2:E574)-1,
"")</f>
        <v>571</v>
      </c>
      <c r="B574" s="6" t="s">
        <v>236</v>
      </c>
      <c r="C574" s="14">
        <v>45152</v>
      </c>
      <c r="D574" s="15">
        <v>104.41</v>
      </c>
      <c r="E574" s="7">
        <f t="shared" si="8"/>
        <v>1</v>
      </c>
    </row>
    <row r="575" spans="1:5" x14ac:dyDescent="0.25">
      <c r="A575" s="7">
        <f>IF(E575=1,
      SUM($E$2:E575)-1,
"")</f>
        <v>572</v>
      </c>
      <c r="B575" s="6" t="s">
        <v>433</v>
      </c>
      <c r="C575" s="14">
        <v>45223</v>
      </c>
      <c r="D575" s="15">
        <v>119.69</v>
      </c>
      <c r="E575" s="7">
        <f t="shared" si="8"/>
        <v>1</v>
      </c>
    </row>
    <row r="576" spans="1:5" x14ac:dyDescent="0.25">
      <c r="A576" s="7">
        <f>IF(E576=1,
      SUM($E$2:E576)-1,
"")</f>
        <v>573</v>
      </c>
      <c r="B576" s="6" t="s">
        <v>490</v>
      </c>
      <c r="C576" s="14">
        <v>45031</v>
      </c>
      <c r="D576" s="15">
        <v>116.09</v>
      </c>
      <c r="E576" s="7">
        <f t="shared" si="8"/>
        <v>1</v>
      </c>
    </row>
    <row r="577" spans="1:5" x14ac:dyDescent="0.25">
      <c r="A577" s="7">
        <f>IF(E577=1,
      SUM($E$2:E577)-1,
"")</f>
        <v>574</v>
      </c>
      <c r="B577" s="6" t="s">
        <v>186</v>
      </c>
      <c r="C577" s="14">
        <v>44953</v>
      </c>
      <c r="D577" s="15">
        <v>116.58</v>
      </c>
      <c r="E577" s="7">
        <f t="shared" si="8"/>
        <v>1</v>
      </c>
    </row>
    <row r="578" spans="1:5" x14ac:dyDescent="0.25">
      <c r="A578" s="7">
        <f>IF(E578=1,
      SUM($E$2:E578)-1,
"")</f>
        <v>575</v>
      </c>
      <c r="B578" s="6" t="s">
        <v>368</v>
      </c>
      <c r="C578" s="14">
        <v>44985</v>
      </c>
      <c r="D578" s="15">
        <v>75.2</v>
      </c>
      <c r="E578" s="7">
        <f t="shared" ref="E578:E641" si="9">IF(D578&gt;0,1,0)</f>
        <v>1</v>
      </c>
    </row>
    <row r="579" spans="1:5" x14ac:dyDescent="0.25">
      <c r="A579" s="7">
        <f>IF(E579=1,
      SUM($E$2:E579)-1,
"")</f>
        <v>576</v>
      </c>
      <c r="B579" s="6" t="s">
        <v>274</v>
      </c>
      <c r="C579" s="14">
        <v>45048</v>
      </c>
      <c r="D579" s="15">
        <v>123.1</v>
      </c>
      <c r="E579" s="7">
        <f t="shared" si="9"/>
        <v>1</v>
      </c>
    </row>
    <row r="580" spans="1:5" x14ac:dyDescent="0.25">
      <c r="A580" s="7">
        <f>IF(E580=1,
      SUM($E$2:E580)-1,
"")</f>
        <v>577</v>
      </c>
      <c r="B580" s="6" t="s">
        <v>239</v>
      </c>
      <c r="C580" s="14">
        <v>45290</v>
      </c>
      <c r="D580" s="15">
        <v>100.85</v>
      </c>
      <c r="E580" s="7">
        <f t="shared" si="9"/>
        <v>1</v>
      </c>
    </row>
    <row r="581" spans="1:5" x14ac:dyDescent="0.25">
      <c r="A581" s="7">
        <f>IF(E581=1,
      SUM($E$2:E581)-1,
"")</f>
        <v>578</v>
      </c>
      <c r="B581" s="6" t="s">
        <v>74</v>
      </c>
      <c r="C581" s="14">
        <v>44956</v>
      </c>
      <c r="D581" s="15">
        <v>78.650000000000006</v>
      </c>
      <c r="E581" s="7">
        <f t="shared" si="9"/>
        <v>1</v>
      </c>
    </row>
    <row r="582" spans="1:5" x14ac:dyDescent="0.25">
      <c r="A582" s="7">
        <f>IF(E582=1,
      SUM($E$2:E582)-1,
"")</f>
        <v>579</v>
      </c>
      <c r="B582" s="6" t="s">
        <v>491</v>
      </c>
      <c r="C582" s="14">
        <v>45230</v>
      </c>
      <c r="D582" s="15">
        <v>122.86</v>
      </c>
      <c r="E582" s="7">
        <f t="shared" si="9"/>
        <v>1</v>
      </c>
    </row>
    <row r="583" spans="1:5" x14ac:dyDescent="0.25">
      <c r="A583" s="7">
        <f>IF(E583=1,
      SUM($E$2:E583)-1,
"")</f>
        <v>580</v>
      </c>
      <c r="B583" s="6" t="s">
        <v>492</v>
      </c>
      <c r="C583" s="14">
        <v>45244</v>
      </c>
      <c r="D583" s="15">
        <v>86.39</v>
      </c>
      <c r="E583" s="7">
        <f t="shared" si="9"/>
        <v>1</v>
      </c>
    </row>
    <row r="584" spans="1:5" x14ac:dyDescent="0.25">
      <c r="A584" s="7">
        <f>IF(E584=1,
      SUM($E$2:E584)-1,
"")</f>
        <v>581</v>
      </c>
      <c r="B584" s="6" t="s">
        <v>493</v>
      </c>
      <c r="C584" s="14">
        <v>45217</v>
      </c>
      <c r="D584" s="15">
        <v>52.77</v>
      </c>
      <c r="E584" s="7">
        <f t="shared" si="9"/>
        <v>1</v>
      </c>
    </row>
    <row r="585" spans="1:5" x14ac:dyDescent="0.25">
      <c r="A585" s="7">
        <f>IF(E585=1,
      SUM($E$2:E585)-1,
"")</f>
        <v>582</v>
      </c>
      <c r="B585" s="6" t="s">
        <v>494</v>
      </c>
      <c r="C585" s="14">
        <v>45118</v>
      </c>
      <c r="D585" s="15">
        <v>69.98</v>
      </c>
      <c r="E585" s="7">
        <f t="shared" si="9"/>
        <v>1</v>
      </c>
    </row>
    <row r="586" spans="1:5" x14ac:dyDescent="0.25">
      <c r="A586" s="7">
        <f>IF(E586=1,
      SUM($E$2:E586)-1,
"")</f>
        <v>583</v>
      </c>
      <c r="B586" s="6" t="s">
        <v>332</v>
      </c>
      <c r="C586" s="14">
        <v>45184</v>
      </c>
      <c r="D586" s="15">
        <v>94.55</v>
      </c>
      <c r="E586" s="7">
        <f t="shared" si="9"/>
        <v>1</v>
      </c>
    </row>
    <row r="587" spans="1:5" x14ac:dyDescent="0.25">
      <c r="A587" s="7">
        <f>IF(E587=1,
      SUM($E$2:E587)-1,
"")</f>
        <v>584</v>
      </c>
      <c r="B587" s="6" t="s">
        <v>495</v>
      </c>
      <c r="C587" s="14">
        <v>45110</v>
      </c>
      <c r="D587" s="15">
        <v>117.35</v>
      </c>
      <c r="E587" s="7">
        <f t="shared" si="9"/>
        <v>1</v>
      </c>
    </row>
    <row r="588" spans="1:5" x14ac:dyDescent="0.25">
      <c r="A588" s="7">
        <f>IF(E588=1,
      SUM($E$2:E588)-1,
"")</f>
        <v>585</v>
      </c>
      <c r="B588" s="6" t="s">
        <v>496</v>
      </c>
      <c r="C588" s="14">
        <v>45101</v>
      </c>
      <c r="D588" s="15">
        <v>74.08</v>
      </c>
      <c r="E588" s="7">
        <f t="shared" si="9"/>
        <v>1</v>
      </c>
    </row>
    <row r="589" spans="1:5" x14ac:dyDescent="0.25">
      <c r="A589" s="7">
        <f>IF(E589=1,
      SUM($E$2:E589)-1,
"")</f>
        <v>586</v>
      </c>
      <c r="B589" s="6" t="s">
        <v>462</v>
      </c>
      <c r="C589" s="14">
        <v>45228</v>
      </c>
      <c r="D589" s="15">
        <v>92.78</v>
      </c>
      <c r="E589" s="7">
        <f t="shared" si="9"/>
        <v>1</v>
      </c>
    </row>
    <row r="590" spans="1:5" x14ac:dyDescent="0.25">
      <c r="A590" s="7">
        <f>IF(E590=1,
      SUM($E$2:E590)-1,
"")</f>
        <v>587</v>
      </c>
      <c r="B590" s="6" t="s">
        <v>497</v>
      </c>
      <c r="C590" s="14">
        <v>44956</v>
      </c>
      <c r="D590" s="15">
        <v>63.5</v>
      </c>
      <c r="E590" s="7">
        <f t="shared" si="9"/>
        <v>1</v>
      </c>
    </row>
    <row r="591" spans="1:5" x14ac:dyDescent="0.25">
      <c r="A591" s="7">
        <f>IF(E591=1,
      SUM($E$2:E591)-1,
"")</f>
        <v>588</v>
      </c>
      <c r="B591" s="6" t="s">
        <v>355</v>
      </c>
      <c r="C591" s="14">
        <v>45022</v>
      </c>
      <c r="D591" s="15">
        <v>129.46</v>
      </c>
      <c r="E591" s="7">
        <f t="shared" si="9"/>
        <v>1</v>
      </c>
    </row>
    <row r="592" spans="1:5" x14ac:dyDescent="0.25">
      <c r="A592" s="7">
        <f>IF(E592=1,
      SUM($E$2:E592)-1,
"")</f>
        <v>589</v>
      </c>
      <c r="B592" s="6" t="s">
        <v>352</v>
      </c>
      <c r="C592" s="14">
        <v>45193</v>
      </c>
      <c r="D592" s="15">
        <v>151.52000000000001</v>
      </c>
      <c r="E592" s="7">
        <f t="shared" si="9"/>
        <v>1</v>
      </c>
    </row>
    <row r="593" spans="1:5" x14ac:dyDescent="0.25">
      <c r="A593" s="7">
        <f>IF(E593=1,
      SUM($E$2:E593)-1,
"")</f>
        <v>590</v>
      </c>
      <c r="B593" s="6" t="s">
        <v>498</v>
      </c>
      <c r="C593" s="14">
        <v>45261</v>
      </c>
      <c r="D593" s="15">
        <v>148.28</v>
      </c>
      <c r="E593" s="7">
        <f t="shared" si="9"/>
        <v>1</v>
      </c>
    </row>
    <row r="594" spans="1:5" x14ac:dyDescent="0.25">
      <c r="A594" s="7">
        <f>IF(E594=1,
      SUM($E$2:E594)-1,
"")</f>
        <v>591</v>
      </c>
      <c r="B594" s="6" t="s">
        <v>499</v>
      </c>
      <c r="C594" s="14">
        <v>44941</v>
      </c>
      <c r="D594" s="15">
        <v>128.94999999999999</v>
      </c>
      <c r="E594" s="7">
        <f t="shared" si="9"/>
        <v>1</v>
      </c>
    </row>
    <row r="595" spans="1:5" x14ac:dyDescent="0.25">
      <c r="A595" s="7">
        <f>IF(E595=1,
      SUM($E$2:E595)-1,
"")</f>
        <v>592</v>
      </c>
      <c r="B595" s="6" t="s">
        <v>500</v>
      </c>
      <c r="C595" s="14">
        <v>45165</v>
      </c>
      <c r="D595" s="15">
        <v>125.88</v>
      </c>
      <c r="E595" s="7">
        <f t="shared" si="9"/>
        <v>1</v>
      </c>
    </row>
    <row r="596" spans="1:5" x14ac:dyDescent="0.25">
      <c r="A596" s="7">
        <f>IF(E596=1,
      SUM($E$2:E596)-1,
"")</f>
        <v>593</v>
      </c>
      <c r="B596" s="6" t="s">
        <v>501</v>
      </c>
      <c r="C596" s="14">
        <v>44954</v>
      </c>
      <c r="D596" s="15">
        <v>37.840000000000003</v>
      </c>
      <c r="E596" s="7">
        <f t="shared" si="9"/>
        <v>1</v>
      </c>
    </row>
    <row r="597" spans="1:5" x14ac:dyDescent="0.25">
      <c r="A597" s="7">
        <f>IF(E597=1,
      SUM($E$2:E597)-1,
"")</f>
        <v>594</v>
      </c>
      <c r="B597" s="6" t="s">
        <v>161</v>
      </c>
      <c r="C597" s="14">
        <v>45250</v>
      </c>
      <c r="D597" s="15">
        <v>105.32</v>
      </c>
      <c r="E597" s="7">
        <f t="shared" si="9"/>
        <v>1</v>
      </c>
    </row>
    <row r="598" spans="1:5" x14ac:dyDescent="0.25">
      <c r="A598" s="7">
        <f>IF(E598=1,
      SUM($E$2:E598)-1,
"")</f>
        <v>595</v>
      </c>
      <c r="B598" s="6" t="s">
        <v>411</v>
      </c>
      <c r="C598" s="14">
        <v>45215</v>
      </c>
      <c r="D598" s="15">
        <v>85.12</v>
      </c>
      <c r="E598" s="7">
        <f t="shared" si="9"/>
        <v>1</v>
      </c>
    </row>
    <row r="599" spans="1:5" x14ac:dyDescent="0.25">
      <c r="A599" s="7">
        <f>IF(E599=1,
      SUM($E$2:E599)-1,
"")</f>
        <v>596</v>
      </c>
      <c r="B599" s="6" t="s">
        <v>377</v>
      </c>
      <c r="C599" s="14">
        <v>44979</v>
      </c>
      <c r="D599" s="15">
        <v>126.41</v>
      </c>
      <c r="E599" s="7">
        <f t="shared" si="9"/>
        <v>1</v>
      </c>
    </row>
    <row r="600" spans="1:5" x14ac:dyDescent="0.25">
      <c r="A600" s="7">
        <f>IF(E600=1,
      SUM($E$2:E600)-1,
"")</f>
        <v>597</v>
      </c>
      <c r="B600" s="6" t="s">
        <v>502</v>
      </c>
      <c r="C600" s="14">
        <v>45004</v>
      </c>
      <c r="D600" s="15">
        <v>23.87</v>
      </c>
      <c r="E600" s="7">
        <f t="shared" si="9"/>
        <v>1</v>
      </c>
    </row>
    <row r="601" spans="1:5" x14ac:dyDescent="0.25">
      <c r="A601" s="7">
        <f>IF(E601=1,
      SUM($E$2:E601)-1,
"")</f>
        <v>598</v>
      </c>
      <c r="B601" s="6" t="s">
        <v>382</v>
      </c>
      <c r="C601" s="14">
        <v>45023</v>
      </c>
      <c r="D601" s="15">
        <v>105.79</v>
      </c>
      <c r="E601" s="7">
        <f t="shared" si="9"/>
        <v>1</v>
      </c>
    </row>
    <row r="602" spans="1:5" x14ac:dyDescent="0.25">
      <c r="A602" s="7">
        <f>IF(E602=1,
      SUM($E$2:E602)-1,
"")</f>
        <v>599</v>
      </c>
      <c r="B602" s="6" t="s">
        <v>503</v>
      </c>
      <c r="C602" s="14">
        <v>45131</v>
      </c>
      <c r="D602" s="15">
        <v>93.57</v>
      </c>
      <c r="E602" s="7">
        <f t="shared" si="9"/>
        <v>1</v>
      </c>
    </row>
    <row r="603" spans="1:5" x14ac:dyDescent="0.25">
      <c r="A603" s="7">
        <f>IF(E603=1,
      SUM($E$2:E603)-1,
"")</f>
        <v>600</v>
      </c>
      <c r="B603" s="6" t="s">
        <v>504</v>
      </c>
      <c r="C603" s="14">
        <v>45104</v>
      </c>
      <c r="D603" s="15">
        <v>133.55000000000001</v>
      </c>
      <c r="E603" s="7">
        <f t="shared" si="9"/>
        <v>1</v>
      </c>
    </row>
    <row r="604" spans="1:5" x14ac:dyDescent="0.25">
      <c r="A604" s="7">
        <f>IF(E604=1,
      SUM($E$2:E604)-1,
"")</f>
        <v>601</v>
      </c>
      <c r="B604" s="6" t="s">
        <v>505</v>
      </c>
      <c r="C604" s="14">
        <v>45046</v>
      </c>
      <c r="D604" s="15">
        <v>146.44</v>
      </c>
      <c r="E604" s="7">
        <f t="shared" si="9"/>
        <v>1</v>
      </c>
    </row>
    <row r="605" spans="1:5" x14ac:dyDescent="0.25">
      <c r="A605" s="7">
        <f>IF(E605=1,
      SUM($E$2:E605)-1,
"")</f>
        <v>602</v>
      </c>
      <c r="B605" s="6" t="s">
        <v>506</v>
      </c>
      <c r="C605" s="14">
        <v>45077</v>
      </c>
      <c r="D605" s="15">
        <v>72.13</v>
      </c>
      <c r="E605" s="7">
        <f t="shared" si="9"/>
        <v>1</v>
      </c>
    </row>
    <row r="606" spans="1:5" x14ac:dyDescent="0.25">
      <c r="A606" s="7">
        <f>IF(E606=1,
      SUM($E$2:E606)-1,
"")</f>
        <v>603</v>
      </c>
      <c r="B606" s="6" t="s">
        <v>507</v>
      </c>
      <c r="C606" s="14">
        <v>44978</v>
      </c>
      <c r="D606" s="15">
        <v>73.489999999999995</v>
      </c>
      <c r="E606" s="7">
        <f t="shared" si="9"/>
        <v>1</v>
      </c>
    </row>
    <row r="607" spans="1:5" x14ac:dyDescent="0.25">
      <c r="A607" s="7">
        <f>IF(E607=1,
      SUM($E$2:E607)-1,
"")</f>
        <v>604</v>
      </c>
      <c r="B607" s="6" t="s">
        <v>142</v>
      </c>
      <c r="C607" s="14">
        <v>44954</v>
      </c>
      <c r="D607" s="15">
        <v>106.91</v>
      </c>
      <c r="E607" s="7">
        <f t="shared" si="9"/>
        <v>1</v>
      </c>
    </row>
    <row r="608" spans="1:5" x14ac:dyDescent="0.25">
      <c r="A608" s="7">
        <f>IF(E608=1,
      SUM($E$2:E608)-1,
"")</f>
        <v>605</v>
      </c>
      <c r="B608" s="6" t="s">
        <v>508</v>
      </c>
      <c r="C608" s="14">
        <v>45125</v>
      </c>
      <c r="D608" s="15">
        <v>152.01</v>
      </c>
      <c r="E608" s="7">
        <f t="shared" si="9"/>
        <v>1</v>
      </c>
    </row>
    <row r="609" spans="1:5" x14ac:dyDescent="0.25">
      <c r="A609" s="7">
        <f>IF(E609=1,
      SUM($E$2:E609)-1,
"")</f>
        <v>606</v>
      </c>
      <c r="B609" s="6" t="s">
        <v>509</v>
      </c>
      <c r="C609" s="14">
        <v>44954</v>
      </c>
      <c r="D609" s="15">
        <v>101.8</v>
      </c>
      <c r="E609" s="7">
        <f t="shared" si="9"/>
        <v>1</v>
      </c>
    </row>
    <row r="610" spans="1:5" x14ac:dyDescent="0.25">
      <c r="A610" s="7">
        <f>IF(E610=1,
      SUM($E$2:E610)-1,
"")</f>
        <v>607</v>
      </c>
      <c r="B610" s="6" t="s">
        <v>510</v>
      </c>
      <c r="C610" s="14">
        <v>45100</v>
      </c>
      <c r="D610" s="15">
        <v>61.63</v>
      </c>
      <c r="E610" s="7">
        <f t="shared" si="9"/>
        <v>1</v>
      </c>
    </row>
    <row r="611" spans="1:5" x14ac:dyDescent="0.25">
      <c r="A611" s="7">
        <f>IF(E611=1,
      SUM($E$2:E611)-1,
"")</f>
        <v>608</v>
      </c>
      <c r="B611" s="6" t="s">
        <v>304</v>
      </c>
      <c r="C611" s="14">
        <v>45010</v>
      </c>
      <c r="D611" s="15">
        <v>81.819999999999993</v>
      </c>
      <c r="E611" s="7">
        <f t="shared" si="9"/>
        <v>1</v>
      </c>
    </row>
    <row r="612" spans="1:5" x14ac:dyDescent="0.25">
      <c r="A612" s="7">
        <f>IF(E612=1,
      SUM($E$2:E612)-1,
"")</f>
        <v>609</v>
      </c>
      <c r="B612" s="6" t="s">
        <v>511</v>
      </c>
      <c r="C612" s="14">
        <v>44957</v>
      </c>
      <c r="D612" s="15">
        <v>106.08</v>
      </c>
      <c r="E612" s="7">
        <f t="shared" si="9"/>
        <v>1</v>
      </c>
    </row>
    <row r="613" spans="1:5" x14ac:dyDescent="0.25">
      <c r="A613" s="7">
        <f>IF(E613=1,
      SUM($E$2:E613)-1,
"")</f>
        <v>610</v>
      </c>
      <c r="B613" s="6" t="s">
        <v>512</v>
      </c>
      <c r="C613" s="14">
        <v>45280</v>
      </c>
      <c r="D613" s="15">
        <v>107.21</v>
      </c>
      <c r="E613" s="7">
        <f t="shared" si="9"/>
        <v>1</v>
      </c>
    </row>
    <row r="614" spans="1:5" x14ac:dyDescent="0.25">
      <c r="A614" s="7">
        <f>IF(E614=1,
      SUM($E$2:E614)-1,
"")</f>
        <v>611</v>
      </c>
      <c r="B614" s="6" t="s">
        <v>245</v>
      </c>
      <c r="C614" s="14">
        <v>45053</v>
      </c>
      <c r="D614" s="15">
        <v>78.88</v>
      </c>
      <c r="E614" s="7">
        <f t="shared" si="9"/>
        <v>1</v>
      </c>
    </row>
    <row r="615" spans="1:5" x14ac:dyDescent="0.25">
      <c r="A615" s="7">
        <f>IF(E615=1,
      SUM($E$2:E615)-1,
"")</f>
        <v>612</v>
      </c>
      <c r="B615" s="6" t="s">
        <v>513</v>
      </c>
      <c r="C615" s="14">
        <v>44973</v>
      </c>
      <c r="D615" s="15">
        <v>81.23</v>
      </c>
      <c r="E615" s="7">
        <f t="shared" si="9"/>
        <v>1</v>
      </c>
    </row>
    <row r="616" spans="1:5" x14ac:dyDescent="0.25">
      <c r="A616" s="7">
        <f>IF(E616=1,
      SUM($E$2:E616)-1,
"")</f>
        <v>613</v>
      </c>
      <c r="B616" s="6" t="s">
        <v>357</v>
      </c>
      <c r="C616" s="14">
        <v>45146</v>
      </c>
      <c r="D616" s="15">
        <v>70.55</v>
      </c>
      <c r="E616" s="7">
        <f t="shared" si="9"/>
        <v>1</v>
      </c>
    </row>
    <row r="617" spans="1:5" x14ac:dyDescent="0.25">
      <c r="A617" s="7">
        <f>IF(E617=1,
      SUM($E$2:E617)-1,
"")</f>
        <v>614</v>
      </c>
      <c r="B617" s="6" t="s">
        <v>506</v>
      </c>
      <c r="C617" s="14">
        <v>45089</v>
      </c>
      <c r="D617" s="15">
        <v>134.24</v>
      </c>
      <c r="E617" s="7">
        <f t="shared" si="9"/>
        <v>1</v>
      </c>
    </row>
    <row r="618" spans="1:5" x14ac:dyDescent="0.25">
      <c r="A618" s="7">
        <f>IF(E618=1,
      SUM($E$2:E618)-1,
"")</f>
        <v>615</v>
      </c>
      <c r="B618" s="6" t="s">
        <v>514</v>
      </c>
      <c r="C618" s="14">
        <v>45213</v>
      </c>
      <c r="D618" s="15">
        <v>74.959999999999994</v>
      </c>
      <c r="E618" s="7">
        <f t="shared" si="9"/>
        <v>1</v>
      </c>
    </row>
    <row r="619" spans="1:5" x14ac:dyDescent="0.25">
      <c r="A619" s="7">
        <f>IF(E619=1,
      SUM($E$2:E619)-1,
"")</f>
        <v>616</v>
      </c>
      <c r="B619" s="6" t="s">
        <v>515</v>
      </c>
      <c r="C619" s="14">
        <v>45250</v>
      </c>
      <c r="D619" s="15">
        <v>86.06</v>
      </c>
      <c r="E619" s="7">
        <f t="shared" si="9"/>
        <v>1</v>
      </c>
    </row>
    <row r="620" spans="1:5" x14ac:dyDescent="0.25">
      <c r="A620" s="7">
        <f>IF(E620=1,
      SUM($E$2:E620)-1,
"")</f>
        <v>617</v>
      </c>
      <c r="B620" s="6" t="s">
        <v>516</v>
      </c>
      <c r="C620" s="14">
        <v>45204</v>
      </c>
      <c r="D620" s="15">
        <v>85.2</v>
      </c>
      <c r="E620" s="7">
        <f t="shared" si="9"/>
        <v>1</v>
      </c>
    </row>
    <row r="621" spans="1:5" x14ac:dyDescent="0.25">
      <c r="A621" s="7">
        <f>IF(E621=1,
      SUM($E$2:E621)-1,
"")</f>
        <v>618</v>
      </c>
      <c r="B621" s="6" t="s">
        <v>517</v>
      </c>
      <c r="C621" s="14">
        <v>45145</v>
      </c>
      <c r="D621" s="15">
        <v>51.82</v>
      </c>
      <c r="E621" s="7">
        <f t="shared" si="9"/>
        <v>1</v>
      </c>
    </row>
    <row r="622" spans="1:5" x14ac:dyDescent="0.25">
      <c r="A622" s="7">
        <f>IF(E622=1,
      SUM($E$2:E622)-1,
"")</f>
        <v>619</v>
      </c>
      <c r="B622" s="6" t="s">
        <v>257</v>
      </c>
      <c r="C622" s="14">
        <v>45198</v>
      </c>
      <c r="D622" s="15">
        <v>74.099999999999994</v>
      </c>
      <c r="E622" s="7">
        <f t="shared" si="9"/>
        <v>1</v>
      </c>
    </row>
    <row r="623" spans="1:5" x14ac:dyDescent="0.25">
      <c r="A623" s="7">
        <f>IF(E623=1,
      SUM($E$2:E623)-1,
"")</f>
        <v>620</v>
      </c>
      <c r="B623" s="6" t="s">
        <v>319</v>
      </c>
      <c r="C623" s="14">
        <v>45142</v>
      </c>
      <c r="D623" s="15">
        <v>136.84</v>
      </c>
      <c r="E623" s="7">
        <f t="shared" si="9"/>
        <v>1</v>
      </c>
    </row>
    <row r="624" spans="1:5" x14ac:dyDescent="0.25">
      <c r="A624" s="7">
        <f>IF(E624=1,
      SUM($E$2:E624)-1,
"")</f>
        <v>621</v>
      </c>
      <c r="B624" s="6" t="s">
        <v>518</v>
      </c>
      <c r="C624" s="14">
        <v>45291</v>
      </c>
      <c r="D624" s="15">
        <v>63.72</v>
      </c>
      <c r="E624" s="7">
        <f t="shared" si="9"/>
        <v>1</v>
      </c>
    </row>
    <row r="625" spans="1:5" x14ac:dyDescent="0.25">
      <c r="A625" s="7">
        <f>IF(E625=1,
      SUM($E$2:E625)-1,
"")</f>
        <v>622</v>
      </c>
      <c r="B625" s="6" t="s">
        <v>519</v>
      </c>
      <c r="C625" s="14">
        <v>45271</v>
      </c>
      <c r="D625" s="15">
        <v>71.09</v>
      </c>
      <c r="E625" s="7">
        <f t="shared" si="9"/>
        <v>1</v>
      </c>
    </row>
    <row r="626" spans="1:5" x14ac:dyDescent="0.25">
      <c r="A626" s="7">
        <f>IF(E626=1,
      SUM($E$2:E626)-1,
"")</f>
        <v>623</v>
      </c>
      <c r="B626" s="6" t="s">
        <v>137</v>
      </c>
      <c r="C626" s="14">
        <v>44980</v>
      </c>
      <c r="D626" s="15">
        <v>60.02</v>
      </c>
      <c r="E626" s="7">
        <f t="shared" si="9"/>
        <v>1</v>
      </c>
    </row>
    <row r="627" spans="1:5" x14ac:dyDescent="0.25">
      <c r="A627" s="7">
        <f>IF(E627=1,
      SUM($E$2:E627)-1,
"")</f>
        <v>624</v>
      </c>
      <c r="B627" s="6" t="s">
        <v>520</v>
      </c>
      <c r="C627" s="14">
        <v>44965</v>
      </c>
      <c r="D627" s="15">
        <v>97.28</v>
      </c>
      <c r="E627" s="7">
        <f t="shared" si="9"/>
        <v>1</v>
      </c>
    </row>
    <row r="628" spans="1:5" x14ac:dyDescent="0.25">
      <c r="A628" s="7">
        <f>IF(E628=1,
      SUM($E$2:E628)-1,
"")</f>
        <v>625</v>
      </c>
      <c r="B628" s="6" t="s">
        <v>521</v>
      </c>
      <c r="C628" s="14">
        <v>45286</v>
      </c>
      <c r="D628" s="15">
        <v>156.56</v>
      </c>
      <c r="E628" s="7">
        <f t="shared" si="9"/>
        <v>1</v>
      </c>
    </row>
    <row r="629" spans="1:5" x14ac:dyDescent="0.25">
      <c r="A629" s="7">
        <f>IF(E629=1,
      SUM($E$2:E629)-1,
"")</f>
        <v>626</v>
      </c>
      <c r="B629" s="6" t="s">
        <v>522</v>
      </c>
      <c r="C629" s="14">
        <v>45087</v>
      </c>
      <c r="D629" s="15">
        <v>96.02</v>
      </c>
      <c r="E629" s="7">
        <f t="shared" si="9"/>
        <v>1</v>
      </c>
    </row>
    <row r="630" spans="1:5" x14ac:dyDescent="0.25">
      <c r="A630" s="7">
        <f>IF(E630=1,
      SUM($E$2:E630)-1,
"")</f>
        <v>627</v>
      </c>
      <c r="B630" s="6" t="s">
        <v>370</v>
      </c>
      <c r="C630" s="14">
        <v>45179</v>
      </c>
      <c r="D630" s="15">
        <v>102</v>
      </c>
      <c r="E630" s="7">
        <f t="shared" si="9"/>
        <v>1</v>
      </c>
    </row>
    <row r="631" spans="1:5" x14ac:dyDescent="0.25">
      <c r="A631" s="7">
        <f>IF(E631=1,
      SUM($E$2:E631)-1,
"")</f>
        <v>628</v>
      </c>
      <c r="B631" s="6" t="s">
        <v>523</v>
      </c>
      <c r="C631" s="14">
        <v>45021</v>
      </c>
      <c r="D631" s="15">
        <v>76.14</v>
      </c>
      <c r="E631" s="7">
        <f t="shared" si="9"/>
        <v>1</v>
      </c>
    </row>
    <row r="632" spans="1:5" x14ac:dyDescent="0.25">
      <c r="A632" s="7">
        <f>IF(E632=1,
      SUM($E$2:E632)-1,
"")</f>
        <v>629</v>
      </c>
      <c r="B632" s="6" t="s">
        <v>524</v>
      </c>
      <c r="C632" s="14">
        <v>45210</v>
      </c>
      <c r="D632" s="15">
        <v>98.15</v>
      </c>
      <c r="E632" s="7">
        <f t="shared" si="9"/>
        <v>1</v>
      </c>
    </row>
    <row r="633" spans="1:5" x14ac:dyDescent="0.25">
      <c r="A633" s="7">
        <f>IF(E633=1,
      SUM($E$2:E633)-1,
"")</f>
        <v>630</v>
      </c>
      <c r="B633" s="6" t="s">
        <v>525</v>
      </c>
      <c r="C633" s="14">
        <v>45114</v>
      </c>
      <c r="D633" s="15">
        <v>136.87</v>
      </c>
      <c r="E633" s="7">
        <f t="shared" si="9"/>
        <v>1</v>
      </c>
    </row>
    <row r="634" spans="1:5" x14ac:dyDescent="0.25">
      <c r="A634" s="7">
        <f>IF(E634=1,
      SUM($E$2:E634)-1,
"")</f>
        <v>631</v>
      </c>
      <c r="B634" s="6" t="s">
        <v>526</v>
      </c>
      <c r="C634" s="14">
        <v>45083</v>
      </c>
      <c r="D634" s="15">
        <v>104.29</v>
      </c>
      <c r="E634" s="7">
        <f t="shared" si="9"/>
        <v>1</v>
      </c>
    </row>
    <row r="635" spans="1:5" x14ac:dyDescent="0.25">
      <c r="A635" s="7">
        <f>IF(E635=1,
      SUM($E$2:E635)-1,
"")</f>
        <v>632</v>
      </c>
      <c r="B635" s="6" t="s">
        <v>527</v>
      </c>
      <c r="C635" s="14">
        <v>44965</v>
      </c>
      <c r="D635" s="15">
        <v>163.95</v>
      </c>
      <c r="E635" s="7">
        <f t="shared" si="9"/>
        <v>1</v>
      </c>
    </row>
    <row r="636" spans="1:5" x14ac:dyDescent="0.25">
      <c r="A636" s="7">
        <f>IF(E636=1,
      SUM($E$2:E636)-1,
"")</f>
        <v>633</v>
      </c>
      <c r="B636" s="6" t="s">
        <v>528</v>
      </c>
      <c r="C636" s="14">
        <v>45169</v>
      </c>
      <c r="D636" s="15">
        <v>137.78</v>
      </c>
      <c r="E636" s="7">
        <f t="shared" si="9"/>
        <v>1</v>
      </c>
    </row>
    <row r="637" spans="1:5" x14ac:dyDescent="0.25">
      <c r="A637" s="7">
        <f>IF(E637=1,
      SUM($E$2:E637)-1,
"")</f>
        <v>634</v>
      </c>
      <c r="B637" s="6" t="s">
        <v>529</v>
      </c>
      <c r="C637" s="14">
        <v>45180</v>
      </c>
      <c r="D637" s="15">
        <v>97.41</v>
      </c>
      <c r="E637" s="7">
        <f t="shared" si="9"/>
        <v>1</v>
      </c>
    </row>
    <row r="638" spans="1:5" x14ac:dyDescent="0.25">
      <c r="A638" s="7">
        <f>IF(E638=1,
      SUM($E$2:E638)-1,
"")</f>
        <v>635</v>
      </c>
      <c r="B638" s="6" t="s">
        <v>76</v>
      </c>
      <c r="C638" s="14">
        <v>45281</v>
      </c>
      <c r="D638" s="15">
        <v>96.83</v>
      </c>
      <c r="E638" s="7">
        <f t="shared" si="9"/>
        <v>1</v>
      </c>
    </row>
    <row r="639" spans="1:5" x14ac:dyDescent="0.25">
      <c r="A639" s="7">
        <f>IF(E639=1,
      SUM($E$2:E639)-1,
"")</f>
        <v>636</v>
      </c>
      <c r="B639" s="6" t="s">
        <v>322</v>
      </c>
      <c r="C639" s="14">
        <v>45167</v>
      </c>
      <c r="D639" s="15">
        <v>148.93</v>
      </c>
      <c r="E639" s="7">
        <f t="shared" si="9"/>
        <v>1</v>
      </c>
    </row>
    <row r="640" spans="1:5" x14ac:dyDescent="0.25">
      <c r="A640" s="7">
        <f>IF(E640=1,
      SUM($E$2:E640)-1,
"")</f>
        <v>637</v>
      </c>
      <c r="B640" s="6" t="s">
        <v>348</v>
      </c>
      <c r="C640" s="14">
        <v>45240</v>
      </c>
      <c r="D640" s="15">
        <v>104.12</v>
      </c>
      <c r="E640" s="7">
        <f t="shared" si="9"/>
        <v>1</v>
      </c>
    </row>
    <row r="641" spans="1:5" x14ac:dyDescent="0.25">
      <c r="A641" s="7">
        <f>IF(E641=1,
      SUM($E$2:E641)-1,
"")</f>
        <v>638</v>
      </c>
      <c r="B641" s="6" t="s">
        <v>530</v>
      </c>
      <c r="C641" s="14">
        <v>44962</v>
      </c>
      <c r="D641" s="15">
        <v>142.27000000000001</v>
      </c>
      <c r="E641" s="7">
        <f t="shared" si="9"/>
        <v>1</v>
      </c>
    </row>
    <row r="642" spans="1:5" x14ac:dyDescent="0.25">
      <c r="A642" s="7">
        <f>IF(E642=1,
      SUM($E$2:E642)-1,
"")</f>
        <v>639</v>
      </c>
      <c r="B642" s="6" t="s">
        <v>531</v>
      </c>
      <c r="C642" s="14">
        <v>45010</v>
      </c>
      <c r="D642" s="15">
        <v>160.09</v>
      </c>
      <c r="E642" s="7">
        <f t="shared" ref="E642:E705" si="10">IF(D642&gt;0,1,0)</f>
        <v>1</v>
      </c>
    </row>
    <row r="643" spans="1:5" x14ac:dyDescent="0.25">
      <c r="A643" s="7">
        <f>IF(E643=1,
      SUM($E$2:E643)-1,
"")</f>
        <v>640</v>
      </c>
      <c r="B643" s="6" t="s">
        <v>498</v>
      </c>
      <c r="C643" s="14">
        <v>45153</v>
      </c>
      <c r="D643" s="15">
        <v>93.87</v>
      </c>
      <c r="E643" s="7">
        <f t="shared" si="10"/>
        <v>1</v>
      </c>
    </row>
    <row r="644" spans="1:5" x14ac:dyDescent="0.25">
      <c r="A644" s="7">
        <f>IF(E644=1,
      SUM($E$2:E644)-1,
"")</f>
        <v>641</v>
      </c>
      <c r="B644" s="6" t="s">
        <v>532</v>
      </c>
      <c r="C644" s="14">
        <v>45196</v>
      </c>
      <c r="D644" s="15">
        <v>110.56</v>
      </c>
      <c r="E644" s="7">
        <f t="shared" si="10"/>
        <v>1</v>
      </c>
    </row>
    <row r="645" spans="1:5" x14ac:dyDescent="0.25">
      <c r="A645" s="7">
        <f>IF(E645=1,
      SUM($E$2:E645)-1,
"")</f>
        <v>642</v>
      </c>
      <c r="B645" s="6" t="s">
        <v>316</v>
      </c>
      <c r="C645" s="14">
        <v>45288</v>
      </c>
      <c r="D645" s="15">
        <v>129.4</v>
      </c>
      <c r="E645" s="7">
        <f t="shared" si="10"/>
        <v>1</v>
      </c>
    </row>
    <row r="646" spans="1:5" x14ac:dyDescent="0.25">
      <c r="A646" s="7">
        <f>IF(E646=1,
      SUM($E$2:E646)-1,
"")</f>
        <v>643</v>
      </c>
      <c r="B646" s="6" t="s">
        <v>268</v>
      </c>
      <c r="C646" s="14">
        <v>45236</v>
      </c>
      <c r="D646" s="15">
        <v>123.03</v>
      </c>
      <c r="E646" s="7">
        <f t="shared" si="10"/>
        <v>1</v>
      </c>
    </row>
    <row r="647" spans="1:5" x14ac:dyDescent="0.25">
      <c r="A647" s="7">
        <f>IF(E647=1,
      SUM($E$2:E647)-1,
"")</f>
        <v>644</v>
      </c>
      <c r="B647" s="6" t="s">
        <v>533</v>
      </c>
      <c r="C647" s="14">
        <v>44959</v>
      </c>
      <c r="D647" s="15">
        <v>122.81</v>
      </c>
      <c r="E647" s="7">
        <f t="shared" si="10"/>
        <v>1</v>
      </c>
    </row>
    <row r="648" spans="1:5" x14ac:dyDescent="0.25">
      <c r="A648" s="7">
        <f>IF(E648=1,
      SUM($E$2:E648)-1,
"")</f>
        <v>645</v>
      </c>
      <c r="B648" s="6" t="s">
        <v>534</v>
      </c>
      <c r="C648" s="14">
        <v>45224</v>
      </c>
      <c r="D648" s="15">
        <v>60</v>
      </c>
      <c r="E648" s="7">
        <f t="shared" si="10"/>
        <v>1</v>
      </c>
    </row>
    <row r="649" spans="1:5" x14ac:dyDescent="0.25">
      <c r="A649" s="7">
        <f>IF(E649=1,
      SUM($E$2:E649)-1,
"")</f>
        <v>646</v>
      </c>
      <c r="B649" s="6" t="s">
        <v>535</v>
      </c>
      <c r="C649" s="14">
        <v>45175</v>
      </c>
      <c r="D649" s="15">
        <v>74.55</v>
      </c>
      <c r="E649" s="7">
        <f t="shared" si="10"/>
        <v>1</v>
      </c>
    </row>
    <row r="650" spans="1:5" x14ac:dyDescent="0.25">
      <c r="A650" s="7">
        <f>IF(E650=1,
      SUM($E$2:E650)-1,
"")</f>
        <v>647</v>
      </c>
      <c r="B650" s="6" t="s">
        <v>314</v>
      </c>
      <c r="C650" s="14">
        <v>45234</v>
      </c>
      <c r="D650" s="15">
        <v>85.14</v>
      </c>
      <c r="E650" s="7">
        <f t="shared" si="10"/>
        <v>1</v>
      </c>
    </row>
    <row r="651" spans="1:5" x14ac:dyDescent="0.25">
      <c r="A651" s="7">
        <f>IF(E651=1,
      SUM($E$2:E651)-1,
"")</f>
        <v>648</v>
      </c>
      <c r="B651" s="6" t="s">
        <v>536</v>
      </c>
      <c r="C651" s="14">
        <v>45260</v>
      </c>
      <c r="D651" s="15">
        <v>136.43</v>
      </c>
      <c r="E651" s="7">
        <f t="shared" si="10"/>
        <v>1</v>
      </c>
    </row>
    <row r="652" spans="1:5" x14ac:dyDescent="0.25">
      <c r="A652" s="7">
        <f>IF(E652=1,
      SUM($E$2:E652)-1,
"")</f>
        <v>649</v>
      </c>
      <c r="B652" s="6" t="s">
        <v>496</v>
      </c>
      <c r="C652" s="14">
        <v>44975</v>
      </c>
      <c r="D652" s="15">
        <v>62.94</v>
      </c>
      <c r="E652" s="7">
        <f t="shared" si="10"/>
        <v>1</v>
      </c>
    </row>
    <row r="653" spans="1:5" x14ac:dyDescent="0.25">
      <c r="A653" s="7">
        <f>IF(E653=1,
      SUM($E$2:E653)-1,
"")</f>
        <v>650</v>
      </c>
      <c r="B653" s="6" t="s">
        <v>537</v>
      </c>
      <c r="C653" s="14">
        <v>45243</v>
      </c>
      <c r="D653" s="15">
        <v>145.69999999999999</v>
      </c>
      <c r="E653" s="7">
        <f t="shared" si="10"/>
        <v>1</v>
      </c>
    </row>
    <row r="654" spans="1:5" x14ac:dyDescent="0.25">
      <c r="A654" s="7">
        <f>IF(E654=1,
      SUM($E$2:E654)-1,
"")</f>
        <v>651</v>
      </c>
      <c r="B654" s="6" t="s">
        <v>410</v>
      </c>
      <c r="C654" s="14">
        <v>45274</v>
      </c>
      <c r="D654" s="15">
        <v>123.4</v>
      </c>
      <c r="E654" s="7">
        <f t="shared" si="10"/>
        <v>1</v>
      </c>
    </row>
    <row r="655" spans="1:5" x14ac:dyDescent="0.25">
      <c r="A655" s="7">
        <f>IF(E655=1,
      SUM($E$2:E655)-1,
"")</f>
        <v>652</v>
      </c>
      <c r="B655" s="6" t="s">
        <v>122</v>
      </c>
      <c r="C655" s="14">
        <v>45079</v>
      </c>
      <c r="D655" s="15">
        <v>134.63</v>
      </c>
      <c r="E655" s="7">
        <f t="shared" si="10"/>
        <v>1</v>
      </c>
    </row>
    <row r="656" spans="1:5" x14ac:dyDescent="0.25">
      <c r="A656" s="7">
        <f>IF(E656=1,
      SUM($E$2:E656)-1,
"")</f>
        <v>653</v>
      </c>
      <c r="B656" s="6" t="s">
        <v>374</v>
      </c>
      <c r="C656" s="14">
        <v>45096</v>
      </c>
      <c r="D656" s="15">
        <v>72.11</v>
      </c>
      <c r="E656" s="7">
        <f t="shared" si="10"/>
        <v>1</v>
      </c>
    </row>
    <row r="657" spans="1:5" x14ac:dyDescent="0.25">
      <c r="A657" s="7">
        <f>IF(E657=1,
      SUM($E$2:E657)-1,
"")</f>
        <v>654</v>
      </c>
      <c r="B657" s="6" t="s">
        <v>538</v>
      </c>
      <c r="C657" s="14">
        <v>45246</v>
      </c>
      <c r="D657" s="15">
        <v>102.17</v>
      </c>
      <c r="E657" s="7">
        <f t="shared" si="10"/>
        <v>1</v>
      </c>
    </row>
    <row r="658" spans="1:5" x14ac:dyDescent="0.25">
      <c r="A658" s="7">
        <f>IF(E658=1,
      SUM($E$2:E658)-1,
"")</f>
        <v>655</v>
      </c>
      <c r="B658" s="6" t="s">
        <v>539</v>
      </c>
      <c r="C658" s="14">
        <v>45126</v>
      </c>
      <c r="D658" s="15">
        <v>108.97</v>
      </c>
      <c r="E658" s="7">
        <f t="shared" si="10"/>
        <v>1</v>
      </c>
    </row>
    <row r="659" spans="1:5" x14ac:dyDescent="0.25">
      <c r="A659" s="7">
        <f>IF(E659=1,
      SUM($E$2:E659)-1,
"")</f>
        <v>656</v>
      </c>
      <c r="B659" s="6" t="s">
        <v>240</v>
      </c>
      <c r="C659" s="14">
        <v>45004</v>
      </c>
      <c r="D659" s="15">
        <v>107.65</v>
      </c>
      <c r="E659" s="7">
        <f t="shared" si="10"/>
        <v>1</v>
      </c>
    </row>
    <row r="660" spans="1:5" x14ac:dyDescent="0.25">
      <c r="A660" s="7">
        <f>IF(E660=1,
      SUM($E$2:E660)-1,
"")</f>
        <v>657</v>
      </c>
      <c r="B660" s="6" t="s">
        <v>509</v>
      </c>
      <c r="C660" s="14">
        <v>45152</v>
      </c>
      <c r="D660" s="15">
        <v>108.87</v>
      </c>
      <c r="E660" s="7">
        <f t="shared" si="10"/>
        <v>1</v>
      </c>
    </row>
    <row r="661" spans="1:5" x14ac:dyDescent="0.25">
      <c r="A661" s="7">
        <f>IF(E661=1,
      SUM($E$2:E661)-1,
"")</f>
        <v>658</v>
      </c>
      <c r="B661" s="6" t="s">
        <v>540</v>
      </c>
      <c r="C661" s="14">
        <v>45209</v>
      </c>
      <c r="D661" s="15">
        <v>91.7</v>
      </c>
      <c r="E661" s="7">
        <f t="shared" si="10"/>
        <v>1</v>
      </c>
    </row>
    <row r="662" spans="1:5" x14ac:dyDescent="0.25">
      <c r="A662" s="7">
        <f>IF(E662=1,
      SUM($E$2:E662)-1,
"")</f>
        <v>659</v>
      </c>
      <c r="B662" s="6" t="s">
        <v>541</v>
      </c>
      <c r="C662" s="14">
        <v>45111</v>
      </c>
      <c r="D662" s="15">
        <v>104.06</v>
      </c>
      <c r="E662" s="7">
        <f t="shared" si="10"/>
        <v>1</v>
      </c>
    </row>
    <row r="663" spans="1:5" x14ac:dyDescent="0.25">
      <c r="A663" s="7">
        <f>IF(E663=1,
      SUM($E$2:E663)-1,
"")</f>
        <v>660</v>
      </c>
      <c r="B663" s="6" t="s">
        <v>356</v>
      </c>
      <c r="C663" s="14">
        <v>45214</v>
      </c>
      <c r="D663" s="15">
        <v>131.01</v>
      </c>
      <c r="E663" s="7">
        <f t="shared" si="10"/>
        <v>1</v>
      </c>
    </row>
    <row r="664" spans="1:5" x14ac:dyDescent="0.25">
      <c r="A664" s="7">
        <f>IF(E664=1,
      SUM($E$2:E664)-1,
"")</f>
        <v>661</v>
      </c>
      <c r="B664" s="6" t="s">
        <v>542</v>
      </c>
      <c r="C664" s="14">
        <v>45078</v>
      </c>
      <c r="D664" s="15">
        <v>65</v>
      </c>
      <c r="E664" s="7">
        <f t="shared" si="10"/>
        <v>1</v>
      </c>
    </row>
    <row r="665" spans="1:5" x14ac:dyDescent="0.25">
      <c r="A665" s="7">
        <f>IF(E665=1,
      SUM($E$2:E665)-1,
"")</f>
        <v>662</v>
      </c>
      <c r="B665" s="6" t="s">
        <v>211</v>
      </c>
      <c r="C665" s="14">
        <v>45279</v>
      </c>
      <c r="D665" s="15">
        <v>146.41</v>
      </c>
      <c r="E665" s="7">
        <f t="shared" si="10"/>
        <v>1</v>
      </c>
    </row>
    <row r="666" spans="1:5" x14ac:dyDescent="0.25">
      <c r="A666" s="7">
        <f>IF(E666=1,
      SUM($E$2:E666)-1,
"")</f>
        <v>663</v>
      </c>
      <c r="B666" s="6" t="s">
        <v>372</v>
      </c>
      <c r="C666" s="14">
        <v>45078</v>
      </c>
      <c r="D666" s="15">
        <v>129.46</v>
      </c>
      <c r="E666" s="7">
        <f t="shared" si="10"/>
        <v>1</v>
      </c>
    </row>
    <row r="667" spans="1:5" x14ac:dyDescent="0.25">
      <c r="A667" s="7">
        <f>IF(E667=1,
      SUM($E$2:E667)-1,
"")</f>
        <v>664</v>
      </c>
      <c r="B667" s="6" t="s">
        <v>259</v>
      </c>
      <c r="C667" s="14">
        <v>45165</v>
      </c>
      <c r="D667" s="15">
        <v>71.040000000000006</v>
      </c>
      <c r="E667" s="7">
        <f t="shared" si="10"/>
        <v>1</v>
      </c>
    </row>
    <row r="668" spans="1:5" x14ac:dyDescent="0.25">
      <c r="A668" s="7">
        <f>IF(E668=1,
      SUM($E$2:E668)-1,
"")</f>
        <v>665</v>
      </c>
      <c r="B668" s="6" t="s">
        <v>543</v>
      </c>
      <c r="C668" s="14">
        <v>44983</v>
      </c>
      <c r="D668" s="15">
        <v>111.52</v>
      </c>
      <c r="E668" s="7">
        <f t="shared" si="10"/>
        <v>1</v>
      </c>
    </row>
    <row r="669" spans="1:5" x14ac:dyDescent="0.25">
      <c r="A669" s="7">
        <f>IF(E669=1,
      SUM($E$2:E669)-1,
"")</f>
        <v>666</v>
      </c>
      <c r="B669" s="6" t="s">
        <v>544</v>
      </c>
      <c r="C669" s="14">
        <v>45045</v>
      </c>
      <c r="D669" s="15">
        <v>127.04</v>
      </c>
      <c r="E669" s="7">
        <f t="shared" si="10"/>
        <v>1</v>
      </c>
    </row>
    <row r="670" spans="1:5" x14ac:dyDescent="0.25">
      <c r="A670" s="7">
        <f>IF(E670=1,
      SUM($E$2:E670)-1,
"")</f>
        <v>667</v>
      </c>
      <c r="B670" s="6" t="s">
        <v>545</v>
      </c>
      <c r="C670" s="14">
        <v>45264</v>
      </c>
      <c r="D670" s="15">
        <v>62.94</v>
      </c>
      <c r="E670" s="7">
        <f t="shared" si="10"/>
        <v>1</v>
      </c>
    </row>
    <row r="671" spans="1:5" x14ac:dyDescent="0.25">
      <c r="A671" s="7">
        <f>IF(E671=1,
      SUM($E$2:E671)-1,
"")</f>
        <v>668</v>
      </c>
      <c r="B671" s="6" t="s">
        <v>546</v>
      </c>
      <c r="C671" s="14">
        <v>45013</v>
      </c>
      <c r="D671" s="15">
        <v>101.26</v>
      </c>
      <c r="E671" s="7">
        <f t="shared" si="10"/>
        <v>1</v>
      </c>
    </row>
    <row r="672" spans="1:5" x14ac:dyDescent="0.25">
      <c r="A672" s="7">
        <f>IF(E672=1,
      SUM($E$2:E672)-1,
"")</f>
        <v>669</v>
      </c>
      <c r="B672" s="6" t="s">
        <v>547</v>
      </c>
      <c r="C672" s="14">
        <v>44955</v>
      </c>
      <c r="D672" s="15">
        <v>97.64</v>
      </c>
      <c r="E672" s="7">
        <f t="shared" si="10"/>
        <v>1</v>
      </c>
    </row>
    <row r="673" spans="1:5" x14ac:dyDescent="0.25">
      <c r="A673" s="7">
        <f>IF(E673=1,
      SUM($E$2:E673)-1,
"")</f>
        <v>670</v>
      </c>
      <c r="B673" s="6" t="s">
        <v>331</v>
      </c>
      <c r="C673" s="14">
        <v>44974</v>
      </c>
      <c r="D673" s="15">
        <v>80.63</v>
      </c>
      <c r="E673" s="7">
        <f t="shared" si="10"/>
        <v>1</v>
      </c>
    </row>
    <row r="674" spans="1:5" x14ac:dyDescent="0.25">
      <c r="A674" s="7">
        <f>IF(E674=1,
      SUM($E$2:E674)-1,
"")</f>
        <v>671</v>
      </c>
      <c r="B674" s="6" t="s">
        <v>90</v>
      </c>
      <c r="C674" s="14">
        <v>45091</v>
      </c>
      <c r="D674" s="15">
        <v>102.77</v>
      </c>
      <c r="E674" s="7">
        <f t="shared" si="10"/>
        <v>1</v>
      </c>
    </row>
    <row r="675" spans="1:5" x14ac:dyDescent="0.25">
      <c r="A675" s="7">
        <f>IF(E675=1,
      SUM($E$2:E675)-1,
"")</f>
        <v>672</v>
      </c>
      <c r="B675" s="6" t="s">
        <v>517</v>
      </c>
      <c r="C675" s="14">
        <v>44932</v>
      </c>
      <c r="D675" s="15">
        <v>81.99</v>
      </c>
      <c r="E675" s="7">
        <f t="shared" si="10"/>
        <v>1</v>
      </c>
    </row>
    <row r="676" spans="1:5" x14ac:dyDescent="0.25">
      <c r="A676" s="7">
        <f>IF(E676=1,
      SUM($E$2:E676)-1,
"")</f>
        <v>673</v>
      </c>
      <c r="B676" s="6" t="s">
        <v>548</v>
      </c>
      <c r="C676" s="14">
        <v>45236</v>
      </c>
      <c r="D676" s="15">
        <v>141.22999999999999</v>
      </c>
      <c r="E676" s="7">
        <f t="shared" si="10"/>
        <v>1</v>
      </c>
    </row>
    <row r="677" spans="1:5" x14ac:dyDescent="0.25">
      <c r="A677" s="7">
        <f>IF(E677=1,
      SUM($E$2:E677)-1,
"")</f>
        <v>674</v>
      </c>
      <c r="B677" s="6" t="s">
        <v>549</v>
      </c>
      <c r="C677" s="14">
        <v>45075</v>
      </c>
      <c r="D677" s="15">
        <v>81.2</v>
      </c>
      <c r="E677" s="7">
        <f t="shared" si="10"/>
        <v>1</v>
      </c>
    </row>
    <row r="678" spans="1:5" x14ac:dyDescent="0.25">
      <c r="A678" s="7">
        <f>IF(E678=1,
      SUM($E$2:E678)-1,
"")</f>
        <v>675</v>
      </c>
      <c r="B678" s="6" t="s">
        <v>550</v>
      </c>
      <c r="C678" s="14">
        <v>45231</v>
      </c>
      <c r="D678" s="15">
        <v>123.76</v>
      </c>
      <c r="E678" s="7">
        <f t="shared" si="10"/>
        <v>1</v>
      </c>
    </row>
    <row r="679" spans="1:5" x14ac:dyDescent="0.25">
      <c r="A679" s="7">
        <f>IF(E679=1,
      SUM($E$2:E679)-1,
"")</f>
        <v>676</v>
      </c>
      <c r="B679" s="6" t="s">
        <v>545</v>
      </c>
      <c r="C679" s="14">
        <v>45136</v>
      </c>
      <c r="D679" s="15">
        <v>50.34</v>
      </c>
      <c r="E679" s="7">
        <f t="shared" si="10"/>
        <v>1</v>
      </c>
    </row>
    <row r="680" spans="1:5" x14ac:dyDescent="0.25">
      <c r="A680" s="7">
        <f>IF(E680=1,
      SUM($E$2:E680)-1,
"")</f>
        <v>677</v>
      </c>
      <c r="B680" s="6" t="s">
        <v>377</v>
      </c>
      <c r="C680" s="14">
        <v>45091</v>
      </c>
      <c r="D680" s="15">
        <v>95.15</v>
      </c>
      <c r="E680" s="7">
        <f t="shared" si="10"/>
        <v>1</v>
      </c>
    </row>
    <row r="681" spans="1:5" x14ac:dyDescent="0.25">
      <c r="A681" s="7">
        <f>IF(E681=1,
      SUM($E$2:E681)-1,
"")</f>
        <v>678</v>
      </c>
      <c r="B681" s="6" t="s">
        <v>306</v>
      </c>
      <c r="C681" s="14">
        <v>45276</v>
      </c>
      <c r="D681" s="15">
        <v>100.37</v>
      </c>
      <c r="E681" s="7">
        <f t="shared" si="10"/>
        <v>1</v>
      </c>
    </row>
    <row r="682" spans="1:5" x14ac:dyDescent="0.25">
      <c r="A682" s="7">
        <f>IF(E682=1,
      SUM($E$2:E682)-1,
"")</f>
        <v>679</v>
      </c>
      <c r="B682" s="6" t="s">
        <v>300</v>
      </c>
      <c r="C682" s="14">
        <v>44971</v>
      </c>
      <c r="D682" s="15">
        <v>94.17</v>
      </c>
      <c r="E682" s="7">
        <f t="shared" si="10"/>
        <v>1</v>
      </c>
    </row>
    <row r="683" spans="1:5" x14ac:dyDescent="0.25">
      <c r="A683" s="7">
        <f>IF(E683=1,
      SUM($E$2:E683)-1,
"")</f>
        <v>680</v>
      </c>
      <c r="B683" s="6" t="s">
        <v>238</v>
      </c>
      <c r="C683" s="14">
        <v>45287</v>
      </c>
      <c r="D683" s="15">
        <v>88.11</v>
      </c>
      <c r="E683" s="7">
        <f t="shared" si="10"/>
        <v>1</v>
      </c>
    </row>
    <row r="684" spans="1:5" x14ac:dyDescent="0.25">
      <c r="A684" s="7">
        <f>IF(E684=1,
      SUM($E$2:E684)-1,
"")</f>
        <v>681</v>
      </c>
      <c r="B684" s="6" t="s">
        <v>551</v>
      </c>
      <c r="C684" s="14">
        <v>45235</v>
      </c>
      <c r="D684" s="15">
        <v>79.97</v>
      </c>
      <c r="E684" s="7">
        <f t="shared" si="10"/>
        <v>1</v>
      </c>
    </row>
    <row r="685" spans="1:5" x14ac:dyDescent="0.25">
      <c r="A685" s="7">
        <f>IF(E685=1,
      SUM($E$2:E685)-1,
"")</f>
        <v>682</v>
      </c>
      <c r="B685" s="6" t="s">
        <v>422</v>
      </c>
      <c r="C685" s="14">
        <v>44968</v>
      </c>
      <c r="D685" s="15">
        <v>122.64</v>
      </c>
      <c r="E685" s="7">
        <f t="shared" si="10"/>
        <v>1</v>
      </c>
    </row>
    <row r="686" spans="1:5" x14ac:dyDescent="0.25">
      <c r="A686" s="7">
        <f>IF(E686=1,
      SUM($E$2:E686)-1,
"")</f>
        <v>683</v>
      </c>
      <c r="B686" s="6" t="s">
        <v>552</v>
      </c>
      <c r="C686" s="14">
        <v>44975</v>
      </c>
      <c r="D686" s="15">
        <v>129.97999999999999</v>
      </c>
      <c r="E686" s="7">
        <f t="shared" si="10"/>
        <v>1</v>
      </c>
    </row>
    <row r="687" spans="1:5" x14ac:dyDescent="0.25">
      <c r="A687" s="7">
        <f>IF(E687=1,
      SUM($E$2:E687)-1,
"")</f>
        <v>684</v>
      </c>
      <c r="B687" s="6" t="s">
        <v>187</v>
      </c>
      <c r="C687" s="14">
        <v>45124</v>
      </c>
      <c r="D687" s="15">
        <v>97.54</v>
      </c>
      <c r="E687" s="7">
        <f t="shared" si="10"/>
        <v>1</v>
      </c>
    </row>
    <row r="688" spans="1:5" x14ac:dyDescent="0.25">
      <c r="A688" s="7">
        <f>IF(E688=1,
      SUM($E$2:E688)-1,
"")</f>
        <v>685</v>
      </c>
      <c r="B688" s="6" t="s">
        <v>553</v>
      </c>
      <c r="C688" s="14">
        <v>45211</v>
      </c>
      <c r="D688" s="15">
        <v>67.099999999999994</v>
      </c>
      <c r="E688" s="7">
        <f t="shared" si="10"/>
        <v>1</v>
      </c>
    </row>
    <row r="689" spans="1:5" x14ac:dyDescent="0.25">
      <c r="A689" s="7">
        <f>IF(E689=1,
      SUM($E$2:E689)-1,
"")</f>
        <v>686</v>
      </c>
      <c r="B689" s="6" t="s">
        <v>460</v>
      </c>
      <c r="C689" s="14">
        <v>45074</v>
      </c>
      <c r="D689" s="15">
        <v>153.82</v>
      </c>
      <c r="E689" s="7">
        <f t="shared" si="10"/>
        <v>1</v>
      </c>
    </row>
    <row r="690" spans="1:5" x14ac:dyDescent="0.25">
      <c r="A690" s="7">
        <f>IF(E690=1,
      SUM($E$2:E690)-1,
"")</f>
        <v>687</v>
      </c>
      <c r="B690" s="6" t="s">
        <v>554</v>
      </c>
      <c r="C690" s="14">
        <v>45116</v>
      </c>
      <c r="D690" s="15">
        <v>73.61</v>
      </c>
      <c r="E690" s="7">
        <f t="shared" si="10"/>
        <v>1</v>
      </c>
    </row>
    <row r="691" spans="1:5" x14ac:dyDescent="0.25">
      <c r="A691" s="7">
        <f>IF(E691=1,
      SUM($E$2:E691)-1,
"")</f>
        <v>688</v>
      </c>
      <c r="B691" s="6" t="s">
        <v>305</v>
      </c>
      <c r="C691" s="14">
        <v>45089</v>
      </c>
      <c r="D691" s="15">
        <v>56.22</v>
      </c>
      <c r="E691" s="7">
        <f t="shared" si="10"/>
        <v>1</v>
      </c>
    </row>
    <row r="692" spans="1:5" x14ac:dyDescent="0.25">
      <c r="A692" s="7">
        <f>IF(E692=1,
      SUM($E$2:E692)-1,
"")</f>
        <v>689</v>
      </c>
      <c r="B692" s="6" t="s">
        <v>359</v>
      </c>
      <c r="C692" s="14">
        <v>45222</v>
      </c>
      <c r="D692" s="15">
        <v>39.619999999999997</v>
      </c>
      <c r="E692" s="7">
        <f t="shared" si="10"/>
        <v>1</v>
      </c>
    </row>
    <row r="693" spans="1:5" x14ac:dyDescent="0.25">
      <c r="A693" s="7">
        <f>IF(E693=1,
      SUM($E$2:E693)-1,
"")</f>
        <v>690</v>
      </c>
      <c r="B693" s="6" t="s">
        <v>395</v>
      </c>
      <c r="C693" s="14">
        <v>45027</v>
      </c>
      <c r="D693" s="15">
        <v>102.98</v>
      </c>
      <c r="E693" s="7">
        <f t="shared" si="10"/>
        <v>1</v>
      </c>
    </row>
    <row r="694" spans="1:5" x14ac:dyDescent="0.25">
      <c r="A694" s="7">
        <f>IF(E694=1,
      SUM($E$2:E694)-1,
"")</f>
        <v>691</v>
      </c>
      <c r="B694" s="6" t="s">
        <v>265</v>
      </c>
      <c r="C694" s="14">
        <v>45195</v>
      </c>
      <c r="D694" s="15">
        <v>93.48</v>
      </c>
      <c r="E694" s="7">
        <f t="shared" si="10"/>
        <v>1</v>
      </c>
    </row>
    <row r="695" spans="1:5" x14ac:dyDescent="0.25">
      <c r="A695" s="7">
        <f>IF(E695=1,
      SUM($E$2:E695)-1,
"")</f>
        <v>692</v>
      </c>
      <c r="B695" s="6" t="s">
        <v>113</v>
      </c>
      <c r="C695" s="14">
        <v>44948</v>
      </c>
      <c r="D695" s="15">
        <v>130.93</v>
      </c>
      <c r="E695" s="7">
        <f t="shared" si="10"/>
        <v>1</v>
      </c>
    </row>
    <row r="696" spans="1:5" x14ac:dyDescent="0.25">
      <c r="A696" s="7">
        <f>IF(E696=1,
      SUM($E$2:E696)-1,
"")</f>
        <v>693</v>
      </c>
      <c r="B696" s="6" t="s">
        <v>390</v>
      </c>
      <c r="C696" s="14">
        <v>45002</v>
      </c>
      <c r="D696" s="15">
        <v>118.33</v>
      </c>
      <c r="E696" s="7">
        <f t="shared" si="10"/>
        <v>1</v>
      </c>
    </row>
    <row r="697" spans="1:5" x14ac:dyDescent="0.25">
      <c r="A697" s="7">
        <f>IF(E697=1,
      SUM($E$2:E697)-1,
"")</f>
        <v>694</v>
      </c>
      <c r="B697" s="6" t="s">
        <v>92</v>
      </c>
      <c r="C697" s="14">
        <v>45085</v>
      </c>
      <c r="D697" s="15">
        <v>108.71</v>
      </c>
      <c r="E697" s="7">
        <f t="shared" si="10"/>
        <v>1</v>
      </c>
    </row>
    <row r="698" spans="1:5" x14ac:dyDescent="0.25">
      <c r="A698" s="7">
        <f>IF(E698=1,
      SUM($E$2:E698)-1,
"")</f>
        <v>695</v>
      </c>
      <c r="B698" s="6" t="s">
        <v>513</v>
      </c>
      <c r="C698" s="14">
        <v>45291</v>
      </c>
      <c r="D698" s="15">
        <v>91.86</v>
      </c>
      <c r="E698" s="7">
        <f t="shared" si="10"/>
        <v>1</v>
      </c>
    </row>
    <row r="699" spans="1:5" x14ac:dyDescent="0.25">
      <c r="A699" s="7">
        <f>IF(E699=1,
      SUM($E$2:E699)-1,
"")</f>
        <v>696</v>
      </c>
      <c r="B699" s="6" t="s">
        <v>555</v>
      </c>
      <c r="C699" s="14">
        <v>45169</v>
      </c>
      <c r="D699" s="15">
        <v>133.30000000000001</v>
      </c>
      <c r="E699" s="7">
        <f t="shared" si="10"/>
        <v>1</v>
      </c>
    </row>
    <row r="700" spans="1:5" x14ac:dyDescent="0.25">
      <c r="A700" s="7">
        <f>IF(E700=1,
      SUM($E$2:E700)-1,
"")</f>
        <v>697</v>
      </c>
      <c r="B700" s="6" t="s">
        <v>209</v>
      </c>
      <c r="C700" s="14">
        <v>45013</v>
      </c>
      <c r="D700" s="15">
        <v>156.02000000000001</v>
      </c>
      <c r="E700" s="7">
        <f t="shared" si="10"/>
        <v>1</v>
      </c>
    </row>
    <row r="701" spans="1:5" x14ac:dyDescent="0.25">
      <c r="A701" s="7">
        <f>IF(E701=1,
      SUM($E$2:E701)-1,
"")</f>
        <v>698</v>
      </c>
      <c r="B701" s="6" t="s">
        <v>192</v>
      </c>
      <c r="C701" s="14">
        <v>45219</v>
      </c>
      <c r="D701" s="15">
        <v>130.27000000000001</v>
      </c>
      <c r="E701" s="7">
        <f t="shared" si="10"/>
        <v>1</v>
      </c>
    </row>
    <row r="702" spans="1:5" x14ac:dyDescent="0.25">
      <c r="A702" s="7">
        <f>IF(E702=1,
      SUM($E$2:E702)-1,
"")</f>
        <v>699</v>
      </c>
      <c r="B702" s="6" t="s">
        <v>556</v>
      </c>
      <c r="C702" s="14">
        <v>45127</v>
      </c>
      <c r="D702" s="15">
        <v>86.09</v>
      </c>
      <c r="E702" s="7">
        <f t="shared" si="10"/>
        <v>1</v>
      </c>
    </row>
    <row r="703" spans="1:5" x14ac:dyDescent="0.25">
      <c r="A703" s="7">
        <f>IF(E703=1,
      SUM($E$2:E703)-1,
"")</f>
        <v>700</v>
      </c>
      <c r="B703" s="6" t="s">
        <v>354</v>
      </c>
      <c r="C703" s="14">
        <v>45271</v>
      </c>
      <c r="D703" s="15">
        <v>123.45</v>
      </c>
      <c r="E703" s="7">
        <f t="shared" si="10"/>
        <v>1</v>
      </c>
    </row>
    <row r="704" spans="1:5" x14ac:dyDescent="0.25">
      <c r="A704" s="7">
        <f>IF(E704=1,
      SUM($E$2:E704)-1,
"")</f>
        <v>701</v>
      </c>
      <c r="B704" s="6" t="s">
        <v>399</v>
      </c>
      <c r="C704" s="14">
        <v>45139</v>
      </c>
      <c r="D704" s="15">
        <v>87.94</v>
      </c>
      <c r="E704" s="7">
        <f t="shared" si="10"/>
        <v>1</v>
      </c>
    </row>
    <row r="705" spans="1:5" x14ac:dyDescent="0.25">
      <c r="A705" s="7">
        <f>IF(E705=1,
      SUM($E$2:E705)-1,
"")</f>
        <v>702</v>
      </c>
      <c r="B705" s="6" t="s">
        <v>251</v>
      </c>
      <c r="C705" s="14">
        <v>44998</v>
      </c>
      <c r="D705" s="15">
        <v>66.849999999999994</v>
      </c>
      <c r="E705" s="7">
        <f t="shared" si="10"/>
        <v>1</v>
      </c>
    </row>
    <row r="706" spans="1:5" x14ac:dyDescent="0.25">
      <c r="A706" s="7">
        <f>IF(E706=1,
      SUM($E$2:E706)-1,
"")</f>
        <v>703</v>
      </c>
      <c r="B706" s="6" t="s">
        <v>557</v>
      </c>
      <c r="C706" s="14">
        <v>45074</v>
      </c>
      <c r="D706" s="15">
        <v>73.03</v>
      </c>
      <c r="E706" s="7">
        <f t="shared" ref="E706:E769" si="11">IF(D706&gt;0,1,0)</f>
        <v>1</v>
      </c>
    </row>
    <row r="707" spans="1:5" x14ac:dyDescent="0.25">
      <c r="A707" s="7">
        <f>IF(E707=1,
      SUM($E$2:E707)-1,
"")</f>
        <v>704</v>
      </c>
      <c r="B707" s="6" t="s">
        <v>236</v>
      </c>
      <c r="C707" s="14">
        <v>45136</v>
      </c>
      <c r="D707" s="15">
        <v>89.25</v>
      </c>
      <c r="E707" s="7">
        <f t="shared" si="11"/>
        <v>1</v>
      </c>
    </row>
    <row r="708" spans="1:5" x14ac:dyDescent="0.25">
      <c r="A708" s="7">
        <f>IF(E708=1,
      SUM($E$2:E708)-1,
"")</f>
        <v>705</v>
      </c>
      <c r="B708" s="6" t="s">
        <v>307</v>
      </c>
      <c r="C708" s="14">
        <v>45063</v>
      </c>
      <c r="D708" s="15">
        <v>103.12</v>
      </c>
      <c r="E708" s="7">
        <f t="shared" si="11"/>
        <v>1</v>
      </c>
    </row>
    <row r="709" spans="1:5" x14ac:dyDescent="0.25">
      <c r="A709" s="7">
        <f>IF(E709=1,
      SUM($E$2:E709)-1,
"")</f>
        <v>706</v>
      </c>
      <c r="B709" s="6" t="s">
        <v>558</v>
      </c>
      <c r="C709" s="14">
        <v>45273</v>
      </c>
      <c r="D709" s="15">
        <v>161.82</v>
      </c>
      <c r="E709" s="7">
        <f t="shared" si="11"/>
        <v>1</v>
      </c>
    </row>
    <row r="710" spans="1:5" x14ac:dyDescent="0.25">
      <c r="A710" s="7">
        <f>IF(E710=1,
      SUM($E$2:E710)-1,
"")</f>
        <v>707</v>
      </c>
      <c r="B710" s="6" t="s">
        <v>559</v>
      </c>
      <c r="C710" s="14">
        <v>45252</v>
      </c>
      <c r="D710" s="15">
        <v>73.55</v>
      </c>
      <c r="E710" s="7">
        <f t="shared" si="11"/>
        <v>1</v>
      </c>
    </row>
    <row r="711" spans="1:5" x14ac:dyDescent="0.25">
      <c r="A711" s="7">
        <f>IF(E711=1,
      SUM($E$2:E711)-1,
"")</f>
        <v>708</v>
      </c>
      <c r="B711" s="6" t="s">
        <v>560</v>
      </c>
      <c r="C711" s="14">
        <v>45145</v>
      </c>
      <c r="D711" s="15">
        <v>139.69999999999999</v>
      </c>
      <c r="E711" s="7">
        <f t="shared" si="11"/>
        <v>1</v>
      </c>
    </row>
    <row r="712" spans="1:5" x14ac:dyDescent="0.25">
      <c r="A712" s="7">
        <f>IF(E712=1,
      SUM($E$2:E712)-1,
"")</f>
        <v>709</v>
      </c>
      <c r="B712" s="6" t="s">
        <v>561</v>
      </c>
      <c r="C712" s="14">
        <v>45185</v>
      </c>
      <c r="D712" s="15">
        <v>90.48</v>
      </c>
      <c r="E712" s="7">
        <f t="shared" si="11"/>
        <v>1</v>
      </c>
    </row>
    <row r="713" spans="1:5" x14ac:dyDescent="0.25">
      <c r="A713" s="7">
        <f>IF(E713=1,
      SUM($E$2:E713)-1,
"")</f>
        <v>710</v>
      </c>
      <c r="B713" s="6" t="s">
        <v>562</v>
      </c>
      <c r="C713" s="14">
        <v>45209</v>
      </c>
      <c r="D713" s="15">
        <v>39.51</v>
      </c>
      <c r="E713" s="7">
        <f t="shared" si="11"/>
        <v>1</v>
      </c>
    </row>
    <row r="714" spans="1:5" x14ac:dyDescent="0.25">
      <c r="A714" s="7">
        <f>IF(E714=1,
      SUM($E$2:E714)-1,
"")</f>
        <v>711</v>
      </c>
      <c r="B714" s="6" t="s">
        <v>563</v>
      </c>
      <c r="C714" s="14">
        <v>44971</v>
      </c>
      <c r="D714" s="15">
        <v>84.83</v>
      </c>
      <c r="E714" s="7">
        <f t="shared" si="11"/>
        <v>1</v>
      </c>
    </row>
    <row r="715" spans="1:5" x14ac:dyDescent="0.25">
      <c r="A715" s="7">
        <f>IF(E715=1,
      SUM($E$2:E715)-1,
"")</f>
        <v>712</v>
      </c>
      <c r="B715" s="6" t="s">
        <v>168</v>
      </c>
      <c r="C715" s="14">
        <v>44984</v>
      </c>
      <c r="D715" s="15">
        <v>135.30000000000001</v>
      </c>
      <c r="E715" s="7">
        <f t="shared" si="11"/>
        <v>1</v>
      </c>
    </row>
    <row r="716" spans="1:5" x14ac:dyDescent="0.25">
      <c r="A716" s="7">
        <f>IF(E716=1,
      SUM($E$2:E716)-1,
"")</f>
        <v>713</v>
      </c>
      <c r="B716" s="6" t="s">
        <v>534</v>
      </c>
      <c r="C716" s="14">
        <v>45003</v>
      </c>
      <c r="D716" s="15">
        <v>110.34</v>
      </c>
      <c r="E716" s="7">
        <f t="shared" si="11"/>
        <v>1</v>
      </c>
    </row>
    <row r="717" spans="1:5" x14ac:dyDescent="0.25">
      <c r="A717" s="7">
        <f>IF(E717=1,
      SUM($E$2:E717)-1,
"")</f>
        <v>714</v>
      </c>
      <c r="B717" s="6" t="s">
        <v>564</v>
      </c>
      <c r="C717" s="14">
        <v>44970</v>
      </c>
      <c r="D717" s="15">
        <v>112.13</v>
      </c>
      <c r="E717" s="7">
        <f t="shared" si="11"/>
        <v>1</v>
      </c>
    </row>
    <row r="718" spans="1:5" x14ac:dyDescent="0.25">
      <c r="A718" s="7">
        <f>IF(E718=1,
      SUM($E$2:E718)-1,
"")</f>
        <v>715</v>
      </c>
      <c r="B718" s="6" t="s">
        <v>565</v>
      </c>
      <c r="C718" s="14">
        <v>45159</v>
      </c>
      <c r="D718" s="15">
        <v>139.86000000000001</v>
      </c>
      <c r="E718" s="7">
        <f t="shared" si="11"/>
        <v>1</v>
      </c>
    </row>
    <row r="719" spans="1:5" x14ac:dyDescent="0.25">
      <c r="A719" s="7">
        <f>IF(E719=1,
      SUM($E$2:E719)-1,
"")</f>
        <v>716</v>
      </c>
      <c r="B719" s="6" t="s">
        <v>432</v>
      </c>
      <c r="C719" s="14">
        <v>45086</v>
      </c>
      <c r="D719" s="15">
        <v>68.91</v>
      </c>
      <c r="E719" s="7">
        <f t="shared" si="11"/>
        <v>1</v>
      </c>
    </row>
    <row r="720" spans="1:5" x14ac:dyDescent="0.25">
      <c r="A720" s="7">
        <f>IF(E720=1,
      SUM($E$2:E720)-1,
"")</f>
        <v>717</v>
      </c>
      <c r="B720" s="6" t="s">
        <v>430</v>
      </c>
      <c r="C720" s="14">
        <v>45010</v>
      </c>
      <c r="D720" s="15">
        <v>68.45</v>
      </c>
      <c r="E720" s="7">
        <f t="shared" si="11"/>
        <v>1</v>
      </c>
    </row>
    <row r="721" spans="1:5" x14ac:dyDescent="0.25">
      <c r="A721" s="7">
        <f>IF(E721=1,
      SUM($E$2:E721)-1,
"")</f>
        <v>718</v>
      </c>
      <c r="B721" s="6" t="s">
        <v>144</v>
      </c>
      <c r="C721" s="14">
        <v>45027</v>
      </c>
      <c r="D721" s="15">
        <v>32.090000000000003</v>
      </c>
      <c r="E721" s="7">
        <f t="shared" si="11"/>
        <v>1</v>
      </c>
    </row>
    <row r="722" spans="1:5" x14ac:dyDescent="0.25">
      <c r="A722" s="7">
        <f>IF(E722=1,
      SUM($E$2:E722)-1,
"")</f>
        <v>719</v>
      </c>
      <c r="B722" s="6" t="s">
        <v>109</v>
      </c>
      <c r="C722" s="14">
        <v>45220</v>
      </c>
      <c r="D722" s="15">
        <v>126.31</v>
      </c>
      <c r="E722" s="7">
        <f t="shared" si="11"/>
        <v>1</v>
      </c>
    </row>
    <row r="723" spans="1:5" x14ac:dyDescent="0.25">
      <c r="A723" s="7">
        <f>IF(E723=1,
      SUM($E$2:E723)-1,
"")</f>
        <v>720</v>
      </c>
      <c r="B723" s="6" t="s">
        <v>206</v>
      </c>
      <c r="C723" s="14">
        <v>44941</v>
      </c>
      <c r="D723" s="15">
        <v>116.87</v>
      </c>
      <c r="E723" s="7">
        <f t="shared" si="11"/>
        <v>1</v>
      </c>
    </row>
    <row r="724" spans="1:5" x14ac:dyDescent="0.25">
      <c r="A724" s="7">
        <f>IF(E724=1,
      SUM($E$2:E724)-1,
"")</f>
        <v>721</v>
      </c>
      <c r="B724" s="6" t="s">
        <v>566</v>
      </c>
      <c r="C724" s="14">
        <v>45245</v>
      </c>
      <c r="D724" s="15">
        <v>121.72</v>
      </c>
      <c r="E724" s="7">
        <f t="shared" si="11"/>
        <v>1</v>
      </c>
    </row>
    <row r="725" spans="1:5" x14ac:dyDescent="0.25">
      <c r="A725" s="7">
        <f>IF(E725=1,
      SUM($E$2:E725)-1,
"")</f>
        <v>722</v>
      </c>
      <c r="B725" s="6" t="s">
        <v>153</v>
      </c>
      <c r="C725" s="14">
        <v>44967</v>
      </c>
      <c r="D725" s="15">
        <v>64.510000000000005</v>
      </c>
      <c r="E725" s="7">
        <f t="shared" si="11"/>
        <v>1</v>
      </c>
    </row>
    <row r="726" spans="1:5" x14ac:dyDescent="0.25">
      <c r="A726" s="7">
        <f>IF(E726=1,
      SUM($E$2:E726)-1,
"")</f>
        <v>723</v>
      </c>
      <c r="B726" s="6" t="s">
        <v>177</v>
      </c>
      <c r="C726" s="14">
        <v>45060</v>
      </c>
      <c r="D726" s="15">
        <v>51.87</v>
      </c>
      <c r="E726" s="7">
        <f t="shared" si="11"/>
        <v>1</v>
      </c>
    </row>
    <row r="727" spans="1:5" x14ac:dyDescent="0.25">
      <c r="A727" s="7">
        <f>IF(E727=1,
      SUM($E$2:E727)-1,
"")</f>
        <v>724</v>
      </c>
      <c r="B727" s="6" t="s">
        <v>567</v>
      </c>
      <c r="C727" s="14">
        <v>45193</v>
      </c>
      <c r="D727" s="15">
        <v>60.41</v>
      </c>
      <c r="E727" s="7">
        <f t="shared" si="11"/>
        <v>1</v>
      </c>
    </row>
    <row r="728" spans="1:5" x14ac:dyDescent="0.25">
      <c r="A728" s="7">
        <f>IF(E728=1,
      SUM($E$2:E728)-1,
"")</f>
        <v>725</v>
      </c>
      <c r="B728" s="6" t="s">
        <v>568</v>
      </c>
      <c r="C728" s="14">
        <v>45234</v>
      </c>
      <c r="D728" s="15">
        <v>72.319999999999993</v>
      </c>
      <c r="E728" s="7">
        <f t="shared" si="11"/>
        <v>1</v>
      </c>
    </row>
    <row r="729" spans="1:5" x14ac:dyDescent="0.25">
      <c r="A729" s="7">
        <f>IF(E729=1,
      SUM($E$2:E729)-1,
"")</f>
        <v>726</v>
      </c>
      <c r="B729" s="6" t="s">
        <v>151</v>
      </c>
      <c r="C729" s="14">
        <v>45035</v>
      </c>
      <c r="D729" s="15">
        <v>146.62</v>
      </c>
      <c r="E729" s="7">
        <f t="shared" si="11"/>
        <v>1</v>
      </c>
    </row>
    <row r="730" spans="1:5" x14ac:dyDescent="0.25">
      <c r="A730" s="7">
        <f>IF(E730=1,
      SUM($E$2:E730)-1,
"")</f>
        <v>727</v>
      </c>
      <c r="B730" s="6" t="s">
        <v>569</v>
      </c>
      <c r="C730" s="14">
        <v>45228</v>
      </c>
      <c r="D730" s="15">
        <v>130</v>
      </c>
      <c r="E730" s="7">
        <f t="shared" si="11"/>
        <v>1</v>
      </c>
    </row>
    <row r="731" spans="1:5" x14ac:dyDescent="0.25">
      <c r="A731" s="7">
        <f>IF(E731=1,
      SUM($E$2:E731)-1,
"")</f>
        <v>728</v>
      </c>
      <c r="B731" s="6" t="s">
        <v>188</v>
      </c>
      <c r="C731" s="14">
        <v>45210</v>
      </c>
      <c r="D731" s="15">
        <v>86.25</v>
      </c>
      <c r="E731" s="7">
        <f t="shared" si="11"/>
        <v>1</v>
      </c>
    </row>
    <row r="732" spans="1:5" x14ac:dyDescent="0.25">
      <c r="A732" s="7">
        <f>IF(E732=1,
      SUM($E$2:E732)-1,
"")</f>
        <v>729</v>
      </c>
      <c r="B732" s="6" t="s">
        <v>570</v>
      </c>
      <c r="C732" s="14">
        <v>45139</v>
      </c>
      <c r="D732" s="15">
        <v>108.98</v>
      </c>
      <c r="E732" s="7">
        <f t="shared" si="11"/>
        <v>1</v>
      </c>
    </row>
    <row r="733" spans="1:5" x14ac:dyDescent="0.25">
      <c r="A733" s="7">
        <f>IF(E733=1,
      SUM($E$2:E733)-1,
"")</f>
        <v>730</v>
      </c>
      <c r="B733" s="6" t="s">
        <v>571</v>
      </c>
      <c r="C733" s="14">
        <v>45027</v>
      </c>
      <c r="D733" s="15">
        <v>79.650000000000006</v>
      </c>
      <c r="E733" s="7">
        <f t="shared" si="11"/>
        <v>1</v>
      </c>
    </row>
    <row r="734" spans="1:5" x14ac:dyDescent="0.25">
      <c r="A734" s="7">
        <f>IF(E734=1,
      SUM($E$2:E734)-1,
"")</f>
        <v>731</v>
      </c>
      <c r="B734" s="6" t="s">
        <v>572</v>
      </c>
      <c r="C734" s="14">
        <v>44984</v>
      </c>
      <c r="D734" s="15">
        <v>110.93</v>
      </c>
      <c r="E734" s="7">
        <f t="shared" si="11"/>
        <v>1</v>
      </c>
    </row>
    <row r="735" spans="1:5" x14ac:dyDescent="0.25">
      <c r="A735" s="7">
        <f>IF(E735=1,
      SUM($E$2:E735)-1,
"")</f>
        <v>732</v>
      </c>
      <c r="B735" s="6" t="s">
        <v>573</v>
      </c>
      <c r="C735" s="14">
        <v>45214</v>
      </c>
      <c r="D735" s="15">
        <v>65.86</v>
      </c>
      <c r="E735" s="7">
        <f t="shared" si="11"/>
        <v>1</v>
      </c>
    </row>
    <row r="736" spans="1:5" x14ac:dyDescent="0.25">
      <c r="A736" s="7">
        <f>IF(E736=1,
      SUM($E$2:E736)-1,
"")</f>
        <v>733</v>
      </c>
      <c r="B736" s="6" t="s">
        <v>574</v>
      </c>
      <c r="C736" s="14">
        <v>44978</v>
      </c>
      <c r="D736" s="15">
        <v>122.51</v>
      </c>
      <c r="E736" s="7">
        <f t="shared" si="11"/>
        <v>1</v>
      </c>
    </row>
    <row r="737" spans="1:5" x14ac:dyDescent="0.25">
      <c r="A737" s="7">
        <f>IF(E737=1,
      SUM($E$2:E737)-1,
"")</f>
        <v>734</v>
      </c>
      <c r="B737" s="6" t="s">
        <v>467</v>
      </c>
      <c r="C737" s="14">
        <v>45143</v>
      </c>
      <c r="D737" s="15">
        <v>74.510000000000005</v>
      </c>
      <c r="E737" s="7">
        <f t="shared" si="11"/>
        <v>1</v>
      </c>
    </row>
    <row r="738" spans="1:5" x14ac:dyDescent="0.25">
      <c r="A738" s="7">
        <f>IF(E738=1,
      SUM($E$2:E738)-1,
"")</f>
        <v>735</v>
      </c>
      <c r="B738" s="6" t="s">
        <v>491</v>
      </c>
      <c r="C738" s="14">
        <v>45245</v>
      </c>
      <c r="D738" s="15">
        <v>124.18</v>
      </c>
      <c r="E738" s="7">
        <f t="shared" si="11"/>
        <v>1</v>
      </c>
    </row>
    <row r="739" spans="1:5" x14ac:dyDescent="0.25">
      <c r="A739" s="7">
        <f>IF(E739=1,
      SUM($E$2:E739)-1,
"")</f>
        <v>736</v>
      </c>
      <c r="B739" s="6" t="s">
        <v>575</v>
      </c>
      <c r="C739" s="14">
        <v>45045</v>
      </c>
      <c r="D739" s="15">
        <v>87.18</v>
      </c>
      <c r="E739" s="7">
        <f t="shared" si="11"/>
        <v>1</v>
      </c>
    </row>
    <row r="740" spans="1:5" x14ac:dyDescent="0.25">
      <c r="A740" s="7">
        <f>IF(E740=1,
      SUM($E$2:E740)-1,
"")</f>
        <v>737</v>
      </c>
      <c r="B740" s="6" t="s">
        <v>576</v>
      </c>
      <c r="C740" s="14">
        <v>45015</v>
      </c>
      <c r="D740" s="15">
        <v>76.3</v>
      </c>
      <c r="E740" s="7">
        <f t="shared" si="11"/>
        <v>1</v>
      </c>
    </row>
    <row r="741" spans="1:5" x14ac:dyDescent="0.25">
      <c r="A741" s="7">
        <f>IF(E741=1,
      SUM($E$2:E741)-1,
"")</f>
        <v>738</v>
      </c>
      <c r="B741" s="6" t="s">
        <v>447</v>
      </c>
      <c r="C741" s="14">
        <v>44937</v>
      </c>
      <c r="D741" s="15">
        <v>148.38999999999999</v>
      </c>
      <c r="E741" s="7">
        <f t="shared" si="11"/>
        <v>1</v>
      </c>
    </row>
    <row r="742" spans="1:5" x14ac:dyDescent="0.25">
      <c r="A742" s="7">
        <f>IF(E742=1,
      SUM($E$2:E742)-1,
"")</f>
        <v>739</v>
      </c>
      <c r="B742" s="6" t="s">
        <v>193</v>
      </c>
      <c r="C742" s="14">
        <v>45195</v>
      </c>
      <c r="D742" s="15">
        <v>105.31</v>
      </c>
      <c r="E742" s="7">
        <f t="shared" si="11"/>
        <v>1</v>
      </c>
    </row>
    <row r="743" spans="1:5" x14ac:dyDescent="0.25">
      <c r="A743" s="7">
        <f>IF(E743=1,
      SUM($E$2:E743)-1,
"")</f>
        <v>740</v>
      </c>
      <c r="B743" s="6" t="s">
        <v>577</v>
      </c>
      <c r="C743" s="14">
        <v>45268</v>
      </c>
      <c r="D743" s="15">
        <v>90.33</v>
      </c>
      <c r="E743" s="7">
        <f t="shared" si="11"/>
        <v>1</v>
      </c>
    </row>
    <row r="744" spans="1:5" x14ac:dyDescent="0.25">
      <c r="A744" s="7">
        <f>IF(E744=1,
      SUM($E$2:E744)-1,
"")</f>
        <v>741</v>
      </c>
      <c r="B744" s="6" t="s">
        <v>578</v>
      </c>
      <c r="C744" s="14">
        <v>45009</v>
      </c>
      <c r="D744" s="15">
        <v>122.75</v>
      </c>
      <c r="E744" s="7">
        <f t="shared" si="11"/>
        <v>1</v>
      </c>
    </row>
    <row r="745" spans="1:5" x14ac:dyDescent="0.25">
      <c r="A745" s="7">
        <f>IF(E745=1,
      SUM($E$2:E745)-1,
"")</f>
        <v>742</v>
      </c>
      <c r="B745" s="6" t="s">
        <v>579</v>
      </c>
      <c r="C745" s="14">
        <v>44992</v>
      </c>
      <c r="D745" s="15">
        <v>59.8</v>
      </c>
      <c r="E745" s="7">
        <f t="shared" si="11"/>
        <v>1</v>
      </c>
    </row>
    <row r="746" spans="1:5" x14ac:dyDescent="0.25">
      <c r="A746" s="7">
        <f>IF(E746=1,
      SUM($E$2:E746)-1,
"")</f>
        <v>743</v>
      </c>
      <c r="B746" s="6" t="s">
        <v>387</v>
      </c>
      <c r="C746" s="14">
        <v>45225</v>
      </c>
      <c r="D746" s="15">
        <v>133.21</v>
      </c>
      <c r="E746" s="7">
        <f t="shared" si="11"/>
        <v>1</v>
      </c>
    </row>
    <row r="747" spans="1:5" x14ac:dyDescent="0.25">
      <c r="A747" s="7">
        <f>IF(E747=1,
      SUM($E$2:E747)-1,
"")</f>
        <v>744</v>
      </c>
      <c r="B747" s="6" t="s">
        <v>580</v>
      </c>
      <c r="C747" s="14">
        <v>45286</v>
      </c>
      <c r="D747" s="15">
        <v>95.82</v>
      </c>
      <c r="E747" s="7">
        <f t="shared" si="11"/>
        <v>1</v>
      </c>
    </row>
    <row r="748" spans="1:5" x14ac:dyDescent="0.25">
      <c r="A748" s="7">
        <f>IF(E748=1,
      SUM($E$2:E748)-1,
"")</f>
        <v>745</v>
      </c>
      <c r="B748" s="6" t="s">
        <v>104</v>
      </c>
      <c r="C748" s="14">
        <v>44988</v>
      </c>
      <c r="D748" s="15">
        <v>118.02</v>
      </c>
      <c r="E748" s="7">
        <f t="shared" si="11"/>
        <v>1</v>
      </c>
    </row>
    <row r="749" spans="1:5" x14ac:dyDescent="0.25">
      <c r="A749" s="7">
        <f>IF(E749=1,
      SUM($E$2:E749)-1,
"")</f>
        <v>746</v>
      </c>
      <c r="B749" s="6" t="s">
        <v>581</v>
      </c>
      <c r="C749" s="14">
        <v>45156</v>
      </c>
      <c r="D749" s="15">
        <v>53.56</v>
      </c>
      <c r="E749" s="7">
        <f t="shared" si="11"/>
        <v>1</v>
      </c>
    </row>
    <row r="750" spans="1:5" x14ac:dyDescent="0.25">
      <c r="A750" s="7">
        <f>IF(E750=1,
      SUM($E$2:E750)-1,
"")</f>
        <v>747</v>
      </c>
      <c r="B750" s="6" t="s">
        <v>582</v>
      </c>
      <c r="C750" s="14">
        <v>45129</v>
      </c>
      <c r="D750" s="15">
        <v>88.53</v>
      </c>
      <c r="E750" s="7">
        <f t="shared" si="11"/>
        <v>1</v>
      </c>
    </row>
    <row r="751" spans="1:5" x14ac:dyDescent="0.25">
      <c r="A751" s="7">
        <f>IF(E751=1,
      SUM($E$2:E751)-1,
"")</f>
        <v>748</v>
      </c>
      <c r="B751" s="6" t="s">
        <v>583</v>
      </c>
      <c r="C751" s="14">
        <v>45210</v>
      </c>
      <c r="D751" s="15">
        <v>100.14</v>
      </c>
      <c r="E751" s="7">
        <f t="shared" si="11"/>
        <v>1</v>
      </c>
    </row>
    <row r="752" spans="1:5" x14ac:dyDescent="0.25">
      <c r="A752" s="7">
        <f>IF(E752=1,
      SUM($E$2:E752)-1,
"")</f>
        <v>749</v>
      </c>
      <c r="B752" s="6" t="s">
        <v>584</v>
      </c>
      <c r="C752" s="14">
        <v>45155</v>
      </c>
      <c r="D752" s="15">
        <v>130.91</v>
      </c>
      <c r="E752" s="7">
        <f t="shared" si="11"/>
        <v>1</v>
      </c>
    </row>
    <row r="753" spans="1:5" x14ac:dyDescent="0.25">
      <c r="A753" s="7">
        <f>IF(E753=1,
      SUM($E$2:E753)-1,
"")</f>
        <v>750</v>
      </c>
      <c r="B753" s="6" t="s">
        <v>585</v>
      </c>
      <c r="C753" s="14">
        <v>45220</v>
      </c>
      <c r="D753" s="15">
        <v>120.41</v>
      </c>
      <c r="E753" s="7">
        <f t="shared" si="11"/>
        <v>1</v>
      </c>
    </row>
    <row r="754" spans="1:5" x14ac:dyDescent="0.25">
      <c r="A754" s="7">
        <f>IF(E754=1,
      SUM($E$2:E754)-1,
"")</f>
        <v>751</v>
      </c>
      <c r="B754" s="6" t="s">
        <v>384</v>
      </c>
      <c r="C754" s="14">
        <v>45056</v>
      </c>
      <c r="D754" s="15">
        <v>88.23</v>
      </c>
      <c r="E754" s="7">
        <f t="shared" si="11"/>
        <v>1</v>
      </c>
    </row>
    <row r="755" spans="1:5" x14ac:dyDescent="0.25">
      <c r="A755" s="7">
        <f>IF(E755=1,
      SUM($E$2:E755)-1,
"")</f>
        <v>752</v>
      </c>
      <c r="B755" s="6" t="s">
        <v>102</v>
      </c>
      <c r="C755" s="14">
        <v>45247</v>
      </c>
      <c r="D755" s="15">
        <v>109.54</v>
      </c>
      <c r="E755" s="7">
        <f t="shared" si="11"/>
        <v>1</v>
      </c>
    </row>
    <row r="756" spans="1:5" x14ac:dyDescent="0.25">
      <c r="A756" s="7">
        <f>IF(E756=1,
      SUM($E$2:E756)-1,
"")</f>
        <v>753</v>
      </c>
      <c r="B756" s="6" t="s">
        <v>235</v>
      </c>
      <c r="C756" s="14">
        <v>45187</v>
      </c>
      <c r="D756" s="15">
        <v>137.69999999999999</v>
      </c>
      <c r="E756" s="7">
        <f t="shared" si="11"/>
        <v>1</v>
      </c>
    </row>
    <row r="757" spans="1:5" x14ac:dyDescent="0.25">
      <c r="A757" s="7">
        <f>IF(E757=1,
      SUM($E$2:E757)-1,
"")</f>
        <v>754</v>
      </c>
      <c r="B757" s="6" t="s">
        <v>586</v>
      </c>
      <c r="C757" s="14">
        <v>45005</v>
      </c>
      <c r="D757" s="15">
        <v>94</v>
      </c>
      <c r="E757" s="7">
        <f t="shared" si="11"/>
        <v>1</v>
      </c>
    </row>
    <row r="758" spans="1:5" x14ac:dyDescent="0.25">
      <c r="A758" s="7">
        <f>IF(E758=1,
      SUM($E$2:E758)-1,
"")</f>
        <v>755</v>
      </c>
      <c r="B758" s="6" t="s">
        <v>229</v>
      </c>
      <c r="C758" s="14">
        <v>45031</v>
      </c>
      <c r="D758" s="15">
        <v>90.73</v>
      </c>
      <c r="E758" s="7">
        <f t="shared" si="11"/>
        <v>1</v>
      </c>
    </row>
    <row r="759" spans="1:5" x14ac:dyDescent="0.25">
      <c r="A759" s="7">
        <f>IF(E759=1,
      SUM($E$2:E759)-1,
"")</f>
        <v>756</v>
      </c>
      <c r="B759" s="6" t="s">
        <v>587</v>
      </c>
      <c r="C759" s="14">
        <v>45117</v>
      </c>
      <c r="D759" s="15">
        <v>43.31</v>
      </c>
      <c r="E759" s="7">
        <f t="shared" si="11"/>
        <v>1</v>
      </c>
    </row>
    <row r="760" spans="1:5" x14ac:dyDescent="0.25">
      <c r="A760" s="7">
        <f>IF(E760=1,
      SUM($E$2:E760)-1,
"")</f>
        <v>757</v>
      </c>
      <c r="B760" s="6" t="s">
        <v>588</v>
      </c>
      <c r="C760" s="14">
        <v>45127</v>
      </c>
      <c r="D760" s="15">
        <v>91.63</v>
      </c>
      <c r="E760" s="7">
        <f t="shared" si="11"/>
        <v>1</v>
      </c>
    </row>
    <row r="761" spans="1:5" x14ac:dyDescent="0.25">
      <c r="A761" s="7">
        <f>IF(E761=1,
      SUM($E$2:E761)-1,
"")</f>
        <v>758</v>
      </c>
      <c r="B761" s="6" t="s">
        <v>525</v>
      </c>
      <c r="C761" s="14">
        <v>45148</v>
      </c>
      <c r="D761" s="15">
        <v>47.81</v>
      </c>
      <c r="E761" s="7">
        <f t="shared" si="11"/>
        <v>1</v>
      </c>
    </row>
    <row r="762" spans="1:5" x14ac:dyDescent="0.25">
      <c r="A762" s="7">
        <f>IF(E762=1,
      SUM($E$2:E762)-1,
"")</f>
        <v>759</v>
      </c>
      <c r="B762" s="6" t="s">
        <v>257</v>
      </c>
      <c r="C762" s="14">
        <v>44963</v>
      </c>
      <c r="D762" s="15">
        <v>96.57</v>
      </c>
      <c r="E762" s="7">
        <f t="shared" si="11"/>
        <v>1</v>
      </c>
    </row>
    <row r="763" spans="1:5" x14ac:dyDescent="0.25">
      <c r="A763" s="7">
        <f>IF(E763=1,
      SUM($E$2:E763)-1,
"")</f>
        <v>760</v>
      </c>
      <c r="B763" s="6" t="s">
        <v>92</v>
      </c>
      <c r="C763" s="14">
        <v>45010</v>
      </c>
      <c r="D763" s="15">
        <v>129.63999999999999</v>
      </c>
      <c r="E763" s="7">
        <f t="shared" si="11"/>
        <v>1</v>
      </c>
    </row>
    <row r="764" spans="1:5" x14ac:dyDescent="0.25">
      <c r="A764" s="7">
        <f>IF(E764=1,
      SUM($E$2:E764)-1,
"")</f>
        <v>761</v>
      </c>
      <c r="B764" s="6" t="s">
        <v>450</v>
      </c>
      <c r="C764" s="14">
        <v>45239</v>
      </c>
      <c r="D764" s="15">
        <v>36.409999999999997</v>
      </c>
      <c r="E764" s="7">
        <f t="shared" si="11"/>
        <v>1</v>
      </c>
    </row>
    <row r="765" spans="1:5" x14ac:dyDescent="0.25">
      <c r="A765" s="7">
        <f>IF(E765=1,
      SUM($E$2:E765)-1,
"")</f>
        <v>762</v>
      </c>
      <c r="B765" s="6" t="s">
        <v>121</v>
      </c>
      <c r="C765" s="14">
        <v>45115</v>
      </c>
      <c r="D765" s="15">
        <v>137.03</v>
      </c>
      <c r="E765" s="7">
        <f t="shared" si="11"/>
        <v>1</v>
      </c>
    </row>
    <row r="766" spans="1:5" x14ac:dyDescent="0.25">
      <c r="A766" s="7">
        <f>IF(E766=1,
      SUM($E$2:E766)-1,
"")</f>
        <v>763</v>
      </c>
      <c r="B766" s="6" t="s">
        <v>317</v>
      </c>
      <c r="C766" s="14">
        <v>45049</v>
      </c>
      <c r="D766" s="15">
        <v>90.09</v>
      </c>
      <c r="E766" s="7">
        <f t="shared" si="11"/>
        <v>1</v>
      </c>
    </row>
    <row r="767" spans="1:5" x14ac:dyDescent="0.25">
      <c r="A767" s="7">
        <f>IF(E767=1,
      SUM($E$2:E767)-1,
"")</f>
        <v>764</v>
      </c>
      <c r="B767" s="6" t="s">
        <v>375</v>
      </c>
      <c r="C767" s="14">
        <v>44952</v>
      </c>
      <c r="D767" s="15">
        <v>99.19</v>
      </c>
      <c r="E767" s="7">
        <f t="shared" si="11"/>
        <v>1</v>
      </c>
    </row>
    <row r="768" spans="1:5" x14ac:dyDescent="0.25">
      <c r="A768" s="7">
        <f>IF(E768=1,
      SUM($E$2:E768)-1,
"")</f>
        <v>765</v>
      </c>
      <c r="B768" s="6" t="s">
        <v>220</v>
      </c>
      <c r="C768" s="14">
        <v>45166</v>
      </c>
      <c r="D768" s="15">
        <v>84.93</v>
      </c>
      <c r="E768" s="7">
        <f t="shared" si="11"/>
        <v>1</v>
      </c>
    </row>
    <row r="769" spans="1:5" x14ac:dyDescent="0.25">
      <c r="A769" s="7">
        <f>IF(E769=1,
      SUM($E$2:E769)-1,
"")</f>
        <v>766</v>
      </c>
      <c r="B769" s="6" t="s">
        <v>589</v>
      </c>
      <c r="C769" s="14">
        <v>45022</v>
      </c>
      <c r="D769" s="15">
        <v>48.6</v>
      </c>
      <c r="E769" s="7">
        <f t="shared" si="11"/>
        <v>1</v>
      </c>
    </row>
    <row r="770" spans="1:5" x14ac:dyDescent="0.25">
      <c r="A770" s="7">
        <f>IF(E770=1,
      SUM($E$2:E770)-1,
"")</f>
        <v>767</v>
      </c>
      <c r="B770" s="6" t="s">
        <v>590</v>
      </c>
      <c r="C770" s="14">
        <v>45161</v>
      </c>
      <c r="D770" s="15">
        <v>76.510000000000005</v>
      </c>
      <c r="E770" s="7">
        <f t="shared" ref="E770:E833" si="12">IF(D770&gt;0,1,0)</f>
        <v>1</v>
      </c>
    </row>
    <row r="771" spans="1:5" x14ac:dyDescent="0.25">
      <c r="A771" s="7">
        <f>IF(E771=1,
      SUM($E$2:E771)-1,
"")</f>
        <v>768</v>
      </c>
      <c r="B771" s="6" t="s">
        <v>264</v>
      </c>
      <c r="C771" s="14">
        <v>45200</v>
      </c>
      <c r="D771" s="15">
        <v>162.91999999999999</v>
      </c>
      <c r="E771" s="7">
        <f t="shared" si="12"/>
        <v>1</v>
      </c>
    </row>
    <row r="772" spans="1:5" x14ac:dyDescent="0.25">
      <c r="A772" s="7">
        <f>IF(E772=1,
      SUM($E$2:E772)-1,
"")</f>
        <v>769</v>
      </c>
      <c r="B772" s="6" t="s">
        <v>591</v>
      </c>
      <c r="C772" s="14">
        <v>45220</v>
      </c>
      <c r="D772" s="15">
        <v>67.12</v>
      </c>
      <c r="E772" s="7">
        <f t="shared" si="12"/>
        <v>1</v>
      </c>
    </row>
    <row r="773" spans="1:5" x14ac:dyDescent="0.25">
      <c r="A773" s="7">
        <f>IF(E773=1,
      SUM($E$2:E773)-1,
"")</f>
        <v>770</v>
      </c>
      <c r="B773" s="6" t="s">
        <v>189</v>
      </c>
      <c r="C773" s="14">
        <v>45045</v>
      </c>
      <c r="D773" s="15">
        <v>52.34</v>
      </c>
      <c r="E773" s="7">
        <f t="shared" si="12"/>
        <v>1</v>
      </c>
    </row>
    <row r="774" spans="1:5" x14ac:dyDescent="0.25">
      <c r="A774" s="7">
        <f>IF(E774=1,
      SUM($E$2:E774)-1,
"")</f>
        <v>771</v>
      </c>
      <c r="B774" s="6" t="s">
        <v>462</v>
      </c>
      <c r="C774" s="14">
        <v>44945</v>
      </c>
      <c r="D774" s="15">
        <v>104.24</v>
      </c>
      <c r="E774" s="7">
        <f t="shared" si="12"/>
        <v>1</v>
      </c>
    </row>
    <row r="775" spans="1:5" x14ac:dyDescent="0.25">
      <c r="A775" s="7">
        <f>IF(E775=1,
      SUM($E$2:E775)-1,
"")</f>
        <v>772</v>
      </c>
      <c r="B775" s="6" t="s">
        <v>592</v>
      </c>
      <c r="C775" s="14">
        <v>45020</v>
      </c>
      <c r="D775" s="15">
        <v>97.43</v>
      </c>
      <c r="E775" s="7">
        <f t="shared" si="12"/>
        <v>1</v>
      </c>
    </row>
    <row r="776" spans="1:5" x14ac:dyDescent="0.25">
      <c r="A776" s="7">
        <f>IF(E776=1,
      SUM($E$2:E776)-1,
"")</f>
        <v>773</v>
      </c>
      <c r="B776" s="6" t="s">
        <v>275</v>
      </c>
      <c r="C776" s="14">
        <v>45250</v>
      </c>
      <c r="D776" s="15">
        <v>90.3</v>
      </c>
      <c r="E776" s="7">
        <f t="shared" si="12"/>
        <v>1</v>
      </c>
    </row>
    <row r="777" spans="1:5" x14ac:dyDescent="0.25">
      <c r="A777" s="7">
        <f>IF(E777=1,
      SUM($E$2:E777)-1,
"")</f>
        <v>774</v>
      </c>
      <c r="B777" s="6" t="s">
        <v>593</v>
      </c>
      <c r="C777" s="14">
        <v>45252</v>
      </c>
      <c r="D777" s="15">
        <v>100.43</v>
      </c>
      <c r="E777" s="7">
        <f t="shared" si="12"/>
        <v>1</v>
      </c>
    </row>
    <row r="778" spans="1:5" x14ac:dyDescent="0.25">
      <c r="A778" s="7">
        <f>IF(E778=1,
      SUM($E$2:E778)-1,
"")</f>
        <v>775</v>
      </c>
      <c r="B778" s="6" t="s">
        <v>369</v>
      </c>
      <c r="C778" s="14">
        <v>45123</v>
      </c>
      <c r="D778" s="15">
        <v>119.33</v>
      </c>
      <c r="E778" s="7">
        <f t="shared" si="12"/>
        <v>1</v>
      </c>
    </row>
    <row r="779" spans="1:5" x14ac:dyDescent="0.25">
      <c r="A779" s="7">
        <f>IF(E779=1,
      SUM($E$2:E779)-1,
"")</f>
        <v>776</v>
      </c>
      <c r="B779" s="6" t="s">
        <v>594</v>
      </c>
      <c r="C779" s="14">
        <v>45081</v>
      </c>
      <c r="D779" s="15">
        <v>82.39</v>
      </c>
      <c r="E779" s="7">
        <f t="shared" si="12"/>
        <v>1</v>
      </c>
    </row>
    <row r="780" spans="1:5" x14ac:dyDescent="0.25">
      <c r="A780" s="7">
        <f>IF(E780=1,
      SUM($E$2:E780)-1,
"")</f>
        <v>777</v>
      </c>
      <c r="B780" s="6" t="s">
        <v>595</v>
      </c>
      <c r="C780" s="14">
        <v>45125</v>
      </c>
      <c r="D780" s="15">
        <v>105.83</v>
      </c>
      <c r="E780" s="7">
        <f t="shared" si="12"/>
        <v>1</v>
      </c>
    </row>
    <row r="781" spans="1:5" x14ac:dyDescent="0.25">
      <c r="A781" s="7">
        <f>IF(E781=1,
      SUM($E$2:E781)-1,
"")</f>
        <v>778</v>
      </c>
      <c r="B781" s="6" t="s">
        <v>596</v>
      </c>
      <c r="C781" s="14">
        <v>45254</v>
      </c>
      <c r="D781" s="15">
        <v>130.72</v>
      </c>
      <c r="E781" s="7">
        <f t="shared" si="12"/>
        <v>1</v>
      </c>
    </row>
    <row r="782" spans="1:5" x14ac:dyDescent="0.25">
      <c r="A782" s="7">
        <f>IF(E782=1,
      SUM($E$2:E782)-1,
"")</f>
        <v>779</v>
      </c>
      <c r="B782" s="6" t="s">
        <v>580</v>
      </c>
      <c r="C782" s="14">
        <v>45048</v>
      </c>
      <c r="D782" s="15">
        <v>70.14</v>
      </c>
      <c r="E782" s="7">
        <f t="shared" si="12"/>
        <v>1</v>
      </c>
    </row>
    <row r="783" spans="1:5" x14ac:dyDescent="0.25">
      <c r="A783" s="7">
        <f>IF(E783=1,
      SUM($E$2:E783)-1,
"")</f>
        <v>780</v>
      </c>
      <c r="B783" s="6" t="s">
        <v>486</v>
      </c>
      <c r="C783" s="14">
        <v>45142</v>
      </c>
      <c r="D783" s="15">
        <v>30.33</v>
      </c>
      <c r="E783" s="7">
        <f t="shared" si="12"/>
        <v>1</v>
      </c>
    </row>
    <row r="784" spans="1:5" x14ac:dyDescent="0.25">
      <c r="A784" s="7">
        <f>IF(E784=1,
      SUM($E$2:E784)-1,
"")</f>
        <v>781</v>
      </c>
      <c r="B784" s="6" t="s">
        <v>564</v>
      </c>
      <c r="C784" s="14">
        <v>45182</v>
      </c>
      <c r="D784" s="15">
        <v>120.12</v>
      </c>
      <c r="E784" s="7">
        <f t="shared" si="12"/>
        <v>1</v>
      </c>
    </row>
    <row r="785" spans="1:5" x14ac:dyDescent="0.25">
      <c r="A785" s="7">
        <f>IF(E785=1,
      SUM($E$2:E785)-1,
"")</f>
        <v>782</v>
      </c>
      <c r="B785" s="6" t="s">
        <v>266</v>
      </c>
      <c r="C785" s="14">
        <v>45246</v>
      </c>
      <c r="D785" s="15">
        <v>175.09</v>
      </c>
      <c r="E785" s="7">
        <f t="shared" si="12"/>
        <v>1</v>
      </c>
    </row>
    <row r="786" spans="1:5" x14ac:dyDescent="0.25">
      <c r="A786" s="7">
        <f>IF(E786=1,
      SUM($E$2:E786)-1,
"")</f>
        <v>783</v>
      </c>
      <c r="B786" s="6" t="s">
        <v>597</v>
      </c>
      <c r="C786" s="14">
        <v>45230</v>
      </c>
      <c r="D786" s="15">
        <v>99.78</v>
      </c>
      <c r="E786" s="7">
        <f t="shared" si="12"/>
        <v>1</v>
      </c>
    </row>
    <row r="787" spans="1:5" x14ac:dyDescent="0.25">
      <c r="A787" s="7">
        <f>IF(E787=1,
      SUM($E$2:E787)-1,
"")</f>
        <v>784</v>
      </c>
      <c r="B787" s="6" t="s">
        <v>598</v>
      </c>
      <c r="C787" s="14">
        <v>45068</v>
      </c>
      <c r="D787" s="15">
        <v>106.06</v>
      </c>
      <c r="E787" s="7">
        <f t="shared" si="12"/>
        <v>1</v>
      </c>
    </row>
    <row r="788" spans="1:5" x14ac:dyDescent="0.25">
      <c r="A788" s="7">
        <f>IF(E788=1,
      SUM($E$2:E788)-1,
"")</f>
        <v>785</v>
      </c>
      <c r="B788" s="6" t="s">
        <v>542</v>
      </c>
      <c r="C788" s="14">
        <v>45224</v>
      </c>
      <c r="D788" s="15">
        <v>91.13</v>
      </c>
      <c r="E788" s="7">
        <f t="shared" si="12"/>
        <v>1</v>
      </c>
    </row>
    <row r="789" spans="1:5" x14ac:dyDescent="0.25">
      <c r="A789" s="7">
        <f>IF(E789=1,
      SUM($E$2:E789)-1,
"")</f>
        <v>786</v>
      </c>
      <c r="B789" s="6" t="s">
        <v>599</v>
      </c>
      <c r="C789" s="14">
        <v>44994</v>
      </c>
      <c r="D789" s="15">
        <v>147.63999999999999</v>
      </c>
      <c r="E789" s="7">
        <f t="shared" si="12"/>
        <v>1</v>
      </c>
    </row>
    <row r="790" spans="1:5" x14ac:dyDescent="0.25">
      <c r="A790" s="7">
        <f>IF(E790=1,
      SUM($E$2:E790)-1,
"")</f>
        <v>787</v>
      </c>
      <c r="B790" s="6" t="s">
        <v>600</v>
      </c>
      <c r="C790" s="14">
        <v>45003</v>
      </c>
      <c r="D790" s="15">
        <v>97.67</v>
      </c>
      <c r="E790" s="7">
        <f t="shared" si="12"/>
        <v>1</v>
      </c>
    </row>
    <row r="791" spans="1:5" x14ac:dyDescent="0.25">
      <c r="A791" s="7">
        <f>IF(E791=1,
      SUM($E$2:E791)-1,
"")</f>
        <v>788</v>
      </c>
      <c r="B791" s="6" t="s">
        <v>301</v>
      </c>
      <c r="C791" s="14">
        <v>44997</v>
      </c>
      <c r="D791" s="15">
        <v>94.4</v>
      </c>
      <c r="E791" s="7">
        <f t="shared" si="12"/>
        <v>1</v>
      </c>
    </row>
    <row r="792" spans="1:5" x14ac:dyDescent="0.25">
      <c r="A792" s="7">
        <f>IF(E792=1,
      SUM($E$2:E792)-1,
"")</f>
        <v>789</v>
      </c>
      <c r="B792" s="6" t="s">
        <v>601</v>
      </c>
      <c r="C792" s="14">
        <v>45090</v>
      </c>
      <c r="D792" s="15">
        <v>127.33</v>
      </c>
      <c r="E792" s="7">
        <f t="shared" si="12"/>
        <v>1</v>
      </c>
    </row>
    <row r="793" spans="1:5" x14ac:dyDescent="0.25">
      <c r="A793" s="7">
        <f>IF(E793=1,
      SUM($E$2:E793)-1,
"")</f>
        <v>790</v>
      </c>
      <c r="B793" s="6" t="s">
        <v>530</v>
      </c>
      <c r="C793" s="14">
        <v>45232</v>
      </c>
      <c r="D793" s="15">
        <v>85.47</v>
      </c>
      <c r="E793" s="7">
        <f t="shared" si="12"/>
        <v>1</v>
      </c>
    </row>
    <row r="794" spans="1:5" x14ac:dyDescent="0.25">
      <c r="A794" s="7">
        <f>IF(E794=1,
      SUM($E$2:E794)-1,
"")</f>
        <v>791</v>
      </c>
      <c r="B794" s="6" t="s">
        <v>602</v>
      </c>
      <c r="C794" s="14">
        <v>44975</v>
      </c>
      <c r="D794" s="15">
        <v>61.46</v>
      </c>
      <c r="E794" s="7">
        <f t="shared" si="12"/>
        <v>1</v>
      </c>
    </row>
    <row r="795" spans="1:5" x14ac:dyDescent="0.25">
      <c r="A795" s="7">
        <f>IF(E795=1,
      SUM($E$2:E795)-1,
"")</f>
        <v>792</v>
      </c>
      <c r="B795" s="6" t="s">
        <v>148</v>
      </c>
      <c r="C795" s="14">
        <v>44979</v>
      </c>
      <c r="D795" s="15">
        <v>126.47</v>
      </c>
      <c r="E795" s="7">
        <f t="shared" si="12"/>
        <v>1</v>
      </c>
    </row>
    <row r="796" spans="1:5" x14ac:dyDescent="0.25">
      <c r="A796" s="7">
        <f>IF(E796=1,
      SUM($E$2:E796)-1,
"")</f>
        <v>793</v>
      </c>
      <c r="B796" s="6" t="s">
        <v>269</v>
      </c>
      <c r="C796" s="14">
        <v>45132</v>
      </c>
      <c r="D796" s="15">
        <v>82.25</v>
      </c>
      <c r="E796" s="7">
        <f t="shared" si="12"/>
        <v>1</v>
      </c>
    </row>
    <row r="797" spans="1:5" x14ac:dyDescent="0.25">
      <c r="A797" s="7">
        <f>IF(E797=1,
      SUM($E$2:E797)-1,
"")</f>
        <v>794</v>
      </c>
      <c r="B797" s="6" t="s">
        <v>603</v>
      </c>
      <c r="C797" s="14">
        <v>44962</v>
      </c>
      <c r="D797" s="15">
        <v>70.739999999999995</v>
      </c>
      <c r="E797" s="7">
        <f t="shared" si="12"/>
        <v>1</v>
      </c>
    </row>
    <row r="798" spans="1:5" x14ac:dyDescent="0.25">
      <c r="A798" s="7">
        <f>IF(E798=1,
      SUM($E$2:E798)-1,
"")</f>
        <v>795</v>
      </c>
      <c r="B798" s="6" t="s">
        <v>444</v>
      </c>
      <c r="C798" s="14">
        <v>45277</v>
      </c>
      <c r="D798" s="15">
        <v>163</v>
      </c>
      <c r="E798" s="7">
        <f t="shared" si="12"/>
        <v>1</v>
      </c>
    </row>
    <row r="799" spans="1:5" x14ac:dyDescent="0.25">
      <c r="A799" s="7">
        <f>IF(E799=1,
      SUM($E$2:E799)-1,
"")</f>
        <v>796</v>
      </c>
      <c r="B799" s="6" t="s">
        <v>604</v>
      </c>
      <c r="C799" s="14">
        <v>44955</v>
      </c>
      <c r="D799" s="15">
        <v>94.64</v>
      </c>
      <c r="E799" s="7">
        <f t="shared" si="12"/>
        <v>1</v>
      </c>
    </row>
    <row r="800" spans="1:5" x14ac:dyDescent="0.25">
      <c r="A800" s="7">
        <f>IF(E800=1,
      SUM($E$2:E800)-1,
"")</f>
        <v>797</v>
      </c>
      <c r="B800" s="6" t="s">
        <v>256</v>
      </c>
      <c r="C800" s="14">
        <v>45199</v>
      </c>
      <c r="D800" s="15">
        <v>114.83</v>
      </c>
      <c r="E800" s="7">
        <f t="shared" si="12"/>
        <v>1</v>
      </c>
    </row>
    <row r="801" spans="1:5" x14ac:dyDescent="0.25">
      <c r="A801" s="7">
        <f>IF(E801=1,
      SUM($E$2:E801)-1,
"")</f>
        <v>798</v>
      </c>
      <c r="B801" s="6" t="s">
        <v>605</v>
      </c>
      <c r="C801" s="14">
        <v>44989</v>
      </c>
      <c r="D801" s="15">
        <v>100.89</v>
      </c>
      <c r="E801" s="7">
        <f t="shared" si="12"/>
        <v>1</v>
      </c>
    </row>
    <row r="802" spans="1:5" x14ac:dyDescent="0.25">
      <c r="A802" s="7">
        <f>IF(E802=1,
      SUM($E$2:E802)-1,
"")</f>
        <v>799</v>
      </c>
      <c r="B802" s="6" t="s">
        <v>277</v>
      </c>
      <c r="C802" s="14">
        <v>45155</v>
      </c>
      <c r="D802" s="15">
        <v>73.41</v>
      </c>
      <c r="E802" s="7">
        <f t="shared" si="12"/>
        <v>1</v>
      </c>
    </row>
    <row r="803" spans="1:5" x14ac:dyDescent="0.25">
      <c r="A803" s="7">
        <f>IF(E803=1,
      SUM($E$2:E803)-1,
"")</f>
        <v>800</v>
      </c>
      <c r="B803" s="6" t="s">
        <v>147</v>
      </c>
      <c r="C803" s="14">
        <v>44955</v>
      </c>
      <c r="D803" s="15">
        <v>120.68</v>
      </c>
      <c r="E803" s="7">
        <f t="shared" si="12"/>
        <v>1</v>
      </c>
    </row>
    <row r="804" spans="1:5" x14ac:dyDescent="0.25">
      <c r="A804" s="7">
        <f>IF(E804=1,
      SUM($E$2:E804)-1,
"")</f>
        <v>801</v>
      </c>
      <c r="B804" s="6" t="s">
        <v>338</v>
      </c>
      <c r="C804" s="14">
        <v>45255</v>
      </c>
      <c r="D804" s="15">
        <v>109.44</v>
      </c>
      <c r="E804" s="7">
        <f t="shared" si="12"/>
        <v>1</v>
      </c>
    </row>
    <row r="805" spans="1:5" x14ac:dyDescent="0.25">
      <c r="A805" s="7">
        <f>IF(E805=1,
      SUM($E$2:E805)-1,
"")</f>
        <v>802</v>
      </c>
      <c r="B805" s="6" t="s">
        <v>522</v>
      </c>
      <c r="C805" s="14">
        <v>45166</v>
      </c>
      <c r="D805" s="15">
        <v>80.22</v>
      </c>
      <c r="E805" s="7">
        <f t="shared" si="12"/>
        <v>1</v>
      </c>
    </row>
    <row r="806" spans="1:5" x14ac:dyDescent="0.25">
      <c r="A806" s="7">
        <f>IF(E806=1,
      SUM($E$2:E806)-1,
"")</f>
        <v>803</v>
      </c>
      <c r="B806" s="6" t="s">
        <v>536</v>
      </c>
      <c r="C806" s="14">
        <v>45018</v>
      </c>
      <c r="D806" s="15">
        <v>113</v>
      </c>
      <c r="E806" s="7">
        <f t="shared" si="12"/>
        <v>1</v>
      </c>
    </row>
    <row r="807" spans="1:5" x14ac:dyDescent="0.25">
      <c r="A807" s="7">
        <f>IF(E807=1,
      SUM($E$2:E807)-1,
"")</f>
        <v>804</v>
      </c>
      <c r="B807" s="6" t="s">
        <v>229</v>
      </c>
      <c r="C807" s="14">
        <v>45129</v>
      </c>
      <c r="D807" s="15">
        <v>84.57</v>
      </c>
      <c r="E807" s="7">
        <f t="shared" si="12"/>
        <v>1</v>
      </c>
    </row>
    <row r="808" spans="1:5" x14ac:dyDescent="0.25">
      <c r="A808" s="7">
        <f>IF(E808=1,
      SUM($E$2:E808)-1,
"")</f>
        <v>805</v>
      </c>
      <c r="B808" s="6" t="s">
        <v>599</v>
      </c>
      <c r="C808" s="14">
        <v>44974</v>
      </c>
      <c r="D808" s="15">
        <v>66.87</v>
      </c>
      <c r="E808" s="7">
        <f t="shared" si="12"/>
        <v>1</v>
      </c>
    </row>
    <row r="809" spans="1:5" x14ac:dyDescent="0.25">
      <c r="A809" s="7">
        <f>IF(E809=1,
      SUM($E$2:E809)-1,
"")</f>
        <v>806</v>
      </c>
      <c r="B809" s="6" t="s">
        <v>606</v>
      </c>
      <c r="C809" s="14">
        <v>45216</v>
      </c>
      <c r="D809" s="15">
        <v>63.83</v>
      </c>
      <c r="E809" s="7">
        <f t="shared" si="12"/>
        <v>1</v>
      </c>
    </row>
    <row r="810" spans="1:5" x14ac:dyDescent="0.25">
      <c r="A810" s="7">
        <f>IF(E810=1,
      SUM($E$2:E810)-1,
"")</f>
        <v>807</v>
      </c>
      <c r="B810" s="6" t="s">
        <v>607</v>
      </c>
      <c r="C810" s="14">
        <v>45119</v>
      </c>
      <c r="D810" s="15">
        <v>108.1</v>
      </c>
      <c r="E810" s="7">
        <f t="shared" si="12"/>
        <v>1</v>
      </c>
    </row>
    <row r="811" spans="1:5" x14ac:dyDescent="0.25">
      <c r="A811" s="7">
        <f>IF(E811=1,
      SUM($E$2:E811)-1,
"")</f>
        <v>808</v>
      </c>
      <c r="B811" s="6" t="s">
        <v>608</v>
      </c>
      <c r="C811" s="14">
        <v>44935</v>
      </c>
      <c r="D811" s="15">
        <v>88.52</v>
      </c>
      <c r="E811" s="7">
        <f t="shared" si="12"/>
        <v>1</v>
      </c>
    </row>
    <row r="812" spans="1:5" x14ac:dyDescent="0.25">
      <c r="A812" s="7">
        <f>IF(E812=1,
      SUM($E$2:E812)-1,
"")</f>
        <v>809</v>
      </c>
      <c r="B812" s="6" t="s">
        <v>609</v>
      </c>
      <c r="C812" s="14">
        <v>44972</v>
      </c>
      <c r="D812" s="15">
        <v>145.05000000000001</v>
      </c>
      <c r="E812" s="7">
        <f t="shared" si="12"/>
        <v>1</v>
      </c>
    </row>
    <row r="813" spans="1:5" x14ac:dyDescent="0.25">
      <c r="A813" s="7">
        <f>IF(E813=1,
      SUM($E$2:E813)-1,
"")</f>
        <v>810</v>
      </c>
      <c r="B813" s="6" t="s">
        <v>610</v>
      </c>
      <c r="C813" s="14">
        <v>45202</v>
      </c>
      <c r="D813" s="15">
        <v>98.71</v>
      </c>
      <c r="E813" s="7">
        <f t="shared" si="12"/>
        <v>1</v>
      </c>
    </row>
    <row r="814" spans="1:5" x14ac:dyDescent="0.25">
      <c r="A814" s="7">
        <f>IF(E814=1,
      SUM($E$2:E814)-1,
"")</f>
        <v>811</v>
      </c>
      <c r="B814" s="6" t="s">
        <v>143</v>
      </c>
      <c r="C814" s="14">
        <v>45055</v>
      </c>
      <c r="D814" s="15">
        <v>76.44</v>
      </c>
      <c r="E814" s="7">
        <f t="shared" si="12"/>
        <v>1</v>
      </c>
    </row>
    <row r="815" spans="1:5" x14ac:dyDescent="0.25">
      <c r="A815" s="7">
        <f>IF(E815=1,
      SUM($E$2:E815)-1,
"")</f>
        <v>812</v>
      </c>
      <c r="B815" s="6" t="s">
        <v>361</v>
      </c>
      <c r="C815" s="14">
        <v>45029</v>
      </c>
      <c r="D815" s="15">
        <v>104.73</v>
      </c>
      <c r="E815" s="7">
        <f t="shared" si="12"/>
        <v>1</v>
      </c>
    </row>
    <row r="816" spans="1:5" x14ac:dyDescent="0.25">
      <c r="A816" s="7">
        <f>IF(E816=1,
      SUM($E$2:E816)-1,
"")</f>
        <v>813</v>
      </c>
      <c r="B816" s="6" t="s">
        <v>338</v>
      </c>
      <c r="C816" s="14">
        <v>45114</v>
      </c>
      <c r="D816" s="15">
        <v>61.17</v>
      </c>
      <c r="E816" s="7">
        <f t="shared" si="12"/>
        <v>1</v>
      </c>
    </row>
    <row r="817" spans="1:5" x14ac:dyDescent="0.25">
      <c r="A817" s="7">
        <f>IF(E817=1,
      SUM($E$2:E817)-1,
"")</f>
        <v>814</v>
      </c>
      <c r="B817" s="6" t="s">
        <v>611</v>
      </c>
      <c r="C817" s="14">
        <v>45084</v>
      </c>
      <c r="D817" s="15">
        <v>97.48</v>
      </c>
      <c r="E817" s="7">
        <f t="shared" si="12"/>
        <v>1</v>
      </c>
    </row>
    <row r="818" spans="1:5" x14ac:dyDescent="0.25">
      <c r="A818" s="7">
        <f>IF(E818=1,
      SUM($E$2:E818)-1,
"")</f>
        <v>815</v>
      </c>
      <c r="B818" s="6" t="s">
        <v>459</v>
      </c>
      <c r="C818" s="14">
        <v>45220</v>
      </c>
      <c r="D818" s="15">
        <v>109.58</v>
      </c>
      <c r="E818" s="7">
        <f t="shared" si="12"/>
        <v>1</v>
      </c>
    </row>
    <row r="819" spans="1:5" x14ac:dyDescent="0.25">
      <c r="A819" s="7">
        <f>IF(E819=1,
      SUM($E$2:E819)-1,
"")</f>
        <v>816</v>
      </c>
      <c r="B819" s="6" t="s">
        <v>612</v>
      </c>
      <c r="C819" s="14">
        <v>45186</v>
      </c>
      <c r="D819" s="15">
        <v>105.87</v>
      </c>
      <c r="E819" s="7">
        <f t="shared" si="12"/>
        <v>1</v>
      </c>
    </row>
    <row r="820" spans="1:5" x14ac:dyDescent="0.25">
      <c r="A820" s="7">
        <f>IF(E820=1,
      SUM($E$2:E820)-1,
"")</f>
        <v>817</v>
      </c>
      <c r="B820" s="6" t="s">
        <v>613</v>
      </c>
      <c r="C820" s="14">
        <v>44948</v>
      </c>
      <c r="D820" s="15">
        <v>139.08000000000001</v>
      </c>
      <c r="E820" s="7">
        <f t="shared" si="12"/>
        <v>1</v>
      </c>
    </row>
    <row r="821" spans="1:5" x14ac:dyDescent="0.25">
      <c r="A821" s="7">
        <f>IF(E821=1,
      SUM($E$2:E821)-1,
"")</f>
        <v>818</v>
      </c>
      <c r="B821" s="6" t="s">
        <v>614</v>
      </c>
      <c r="C821" s="14">
        <v>44998</v>
      </c>
      <c r="D821" s="15">
        <v>177.93</v>
      </c>
      <c r="E821" s="7">
        <f t="shared" si="12"/>
        <v>1</v>
      </c>
    </row>
    <row r="822" spans="1:5" x14ac:dyDescent="0.25">
      <c r="A822" s="7">
        <f>IF(E822=1,
      SUM($E$2:E822)-1,
"")</f>
        <v>819</v>
      </c>
      <c r="B822" s="6" t="s">
        <v>615</v>
      </c>
      <c r="C822" s="14">
        <v>45009</v>
      </c>
      <c r="D822" s="15">
        <v>120.14</v>
      </c>
      <c r="E822" s="7">
        <f t="shared" si="12"/>
        <v>1</v>
      </c>
    </row>
    <row r="823" spans="1:5" x14ac:dyDescent="0.25">
      <c r="A823" s="7">
        <f>IF(E823=1,
      SUM($E$2:E823)-1,
"")</f>
        <v>820</v>
      </c>
      <c r="B823" s="6" t="s">
        <v>616</v>
      </c>
      <c r="C823" s="14">
        <v>44940</v>
      </c>
      <c r="D823" s="15">
        <v>135.36000000000001</v>
      </c>
      <c r="E823" s="7">
        <f t="shared" si="12"/>
        <v>1</v>
      </c>
    </row>
    <row r="824" spans="1:5" x14ac:dyDescent="0.25">
      <c r="A824" s="7">
        <f>IF(E824=1,
      SUM($E$2:E824)-1,
"")</f>
        <v>821</v>
      </c>
      <c r="B824" s="6" t="s">
        <v>242</v>
      </c>
      <c r="C824" s="14">
        <v>45111</v>
      </c>
      <c r="D824" s="15">
        <v>176.3</v>
      </c>
      <c r="E824" s="7">
        <f t="shared" si="12"/>
        <v>1</v>
      </c>
    </row>
    <row r="825" spans="1:5" x14ac:dyDescent="0.25">
      <c r="A825" s="7">
        <f>IF(E825=1,
      SUM($E$2:E825)-1,
"")</f>
        <v>822</v>
      </c>
      <c r="B825" s="6" t="s">
        <v>549</v>
      </c>
      <c r="C825" s="14">
        <v>45256</v>
      </c>
      <c r="D825" s="15">
        <v>69.81</v>
      </c>
      <c r="E825" s="7">
        <f t="shared" si="12"/>
        <v>1</v>
      </c>
    </row>
    <row r="826" spans="1:5" x14ac:dyDescent="0.25">
      <c r="A826" s="7">
        <f>IF(E826=1,
      SUM($E$2:E826)-1,
"")</f>
        <v>823</v>
      </c>
      <c r="B826" s="6" t="s">
        <v>514</v>
      </c>
      <c r="C826" s="14">
        <v>45156</v>
      </c>
      <c r="D826" s="15">
        <v>103.92</v>
      </c>
      <c r="E826" s="7">
        <f t="shared" si="12"/>
        <v>1</v>
      </c>
    </row>
    <row r="827" spans="1:5" x14ac:dyDescent="0.25">
      <c r="A827" s="7">
        <f>IF(E827=1,
      SUM($E$2:E827)-1,
"")</f>
        <v>824</v>
      </c>
      <c r="B827" s="6" t="s">
        <v>617</v>
      </c>
      <c r="C827" s="14">
        <v>44955</v>
      </c>
      <c r="D827" s="15">
        <v>85.66</v>
      </c>
      <c r="E827" s="7">
        <f t="shared" si="12"/>
        <v>1</v>
      </c>
    </row>
    <row r="828" spans="1:5" x14ac:dyDescent="0.25">
      <c r="A828" s="7">
        <f>IF(E828=1,
      SUM($E$2:E828)-1,
"")</f>
        <v>825</v>
      </c>
      <c r="B828" s="6" t="s">
        <v>398</v>
      </c>
      <c r="C828" s="14">
        <v>45237</v>
      </c>
      <c r="D828" s="15">
        <v>125.28</v>
      </c>
      <c r="E828" s="7">
        <f t="shared" si="12"/>
        <v>1</v>
      </c>
    </row>
    <row r="829" spans="1:5" x14ac:dyDescent="0.25">
      <c r="A829" s="7">
        <f>IF(E829=1,
      SUM($E$2:E829)-1,
"")</f>
        <v>826</v>
      </c>
      <c r="B829" s="6" t="s">
        <v>85</v>
      </c>
      <c r="C829" s="14">
        <v>45106</v>
      </c>
      <c r="D829" s="15">
        <v>108.15</v>
      </c>
      <c r="E829" s="7">
        <f t="shared" si="12"/>
        <v>1</v>
      </c>
    </row>
    <row r="830" spans="1:5" x14ac:dyDescent="0.25">
      <c r="A830" s="7">
        <f>IF(E830=1,
      SUM($E$2:E830)-1,
"")</f>
        <v>827</v>
      </c>
      <c r="B830" s="6" t="s">
        <v>618</v>
      </c>
      <c r="C830" s="14">
        <v>44952</v>
      </c>
      <c r="D830" s="15">
        <v>75.45</v>
      </c>
      <c r="E830" s="7">
        <f t="shared" si="12"/>
        <v>1</v>
      </c>
    </row>
    <row r="831" spans="1:5" x14ac:dyDescent="0.25">
      <c r="A831" s="7">
        <f>IF(E831=1,
      SUM($E$2:E831)-1,
"")</f>
        <v>828</v>
      </c>
      <c r="B831" s="6" t="s">
        <v>619</v>
      </c>
      <c r="C831" s="14">
        <v>45035</v>
      </c>
      <c r="D831" s="15">
        <v>100.33</v>
      </c>
      <c r="E831" s="7">
        <f t="shared" si="12"/>
        <v>1</v>
      </c>
    </row>
    <row r="832" spans="1:5" x14ac:dyDescent="0.25">
      <c r="A832" s="7">
        <f>IF(E832=1,
      SUM($E$2:E832)-1,
"")</f>
        <v>829</v>
      </c>
      <c r="B832" s="6" t="s">
        <v>620</v>
      </c>
      <c r="C832" s="14">
        <v>45235</v>
      </c>
      <c r="D832" s="15">
        <v>131.41</v>
      </c>
      <c r="E832" s="7">
        <f t="shared" si="12"/>
        <v>1</v>
      </c>
    </row>
    <row r="833" spans="1:5" x14ac:dyDescent="0.25">
      <c r="A833" s="7">
        <f>IF(E833=1,
      SUM($E$2:E833)-1,
"")</f>
        <v>830</v>
      </c>
      <c r="B833" s="6" t="s">
        <v>621</v>
      </c>
      <c r="C833" s="14">
        <v>44930</v>
      </c>
      <c r="D833" s="15">
        <v>60.89</v>
      </c>
      <c r="E833" s="7">
        <f t="shared" si="12"/>
        <v>1</v>
      </c>
    </row>
    <row r="834" spans="1:5" x14ac:dyDescent="0.25">
      <c r="A834" s="7">
        <f>IF(E834=1,
      SUM($E$2:E834)-1,
"")</f>
        <v>831</v>
      </c>
      <c r="B834" s="6" t="s">
        <v>516</v>
      </c>
      <c r="C834" s="14">
        <v>45170</v>
      </c>
      <c r="D834" s="15">
        <v>76.08</v>
      </c>
      <c r="E834" s="7">
        <f t="shared" ref="E834:E897" si="13">IF(D834&gt;0,1,0)</f>
        <v>1</v>
      </c>
    </row>
    <row r="835" spans="1:5" x14ac:dyDescent="0.25">
      <c r="A835" s="7">
        <f>IF(E835=1,
      SUM($E$2:E835)-1,
"")</f>
        <v>832</v>
      </c>
      <c r="B835" s="6" t="s">
        <v>622</v>
      </c>
      <c r="C835" s="14">
        <v>45105</v>
      </c>
      <c r="D835" s="15">
        <v>71.58</v>
      </c>
      <c r="E835" s="7">
        <f t="shared" si="13"/>
        <v>1</v>
      </c>
    </row>
    <row r="836" spans="1:5" x14ac:dyDescent="0.25">
      <c r="A836" s="7">
        <f>IF(E836=1,
      SUM($E$2:E836)-1,
"")</f>
        <v>833</v>
      </c>
      <c r="B836" s="6" t="s">
        <v>376</v>
      </c>
      <c r="C836" s="14">
        <v>45063</v>
      </c>
      <c r="D836" s="15">
        <v>109.79</v>
      </c>
      <c r="E836" s="7">
        <f t="shared" si="13"/>
        <v>1</v>
      </c>
    </row>
    <row r="837" spans="1:5" x14ac:dyDescent="0.25">
      <c r="A837" s="7">
        <f>IF(E837=1,
      SUM($E$2:E837)-1,
"")</f>
        <v>834</v>
      </c>
      <c r="B837" s="6" t="s">
        <v>623</v>
      </c>
      <c r="C837" s="14">
        <v>45125</v>
      </c>
      <c r="D837" s="15">
        <v>137.22</v>
      </c>
      <c r="E837" s="7">
        <f t="shared" si="13"/>
        <v>1</v>
      </c>
    </row>
    <row r="838" spans="1:5" x14ac:dyDescent="0.25">
      <c r="A838" s="7">
        <f>IF(E838=1,
      SUM($E$2:E838)-1,
"")</f>
        <v>835</v>
      </c>
      <c r="B838" s="6" t="s">
        <v>624</v>
      </c>
      <c r="C838" s="14">
        <v>45179</v>
      </c>
      <c r="D838" s="15">
        <v>39.71</v>
      </c>
      <c r="E838" s="7">
        <f t="shared" si="13"/>
        <v>1</v>
      </c>
    </row>
    <row r="839" spans="1:5" x14ac:dyDescent="0.25">
      <c r="A839" s="7">
        <f>IF(E839=1,
      SUM($E$2:E839)-1,
"")</f>
        <v>836</v>
      </c>
      <c r="B839" s="6" t="s">
        <v>98</v>
      </c>
      <c r="C839" s="14">
        <v>45041</v>
      </c>
      <c r="D839" s="15">
        <v>102.83</v>
      </c>
      <c r="E839" s="7">
        <f t="shared" si="13"/>
        <v>1</v>
      </c>
    </row>
    <row r="840" spans="1:5" x14ac:dyDescent="0.25">
      <c r="A840" s="7">
        <f>IF(E840=1,
      SUM($E$2:E840)-1,
"")</f>
        <v>837</v>
      </c>
      <c r="B840" s="6" t="s">
        <v>625</v>
      </c>
      <c r="C840" s="14">
        <v>45186</v>
      </c>
      <c r="D840" s="15">
        <v>72.27</v>
      </c>
      <c r="E840" s="7">
        <f t="shared" si="13"/>
        <v>1</v>
      </c>
    </row>
    <row r="841" spans="1:5" x14ac:dyDescent="0.25">
      <c r="A841" s="7">
        <f>IF(E841=1,
      SUM($E$2:E841)-1,
"")</f>
        <v>838</v>
      </c>
      <c r="B841" s="6" t="s">
        <v>109</v>
      </c>
      <c r="C841" s="14">
        <v>45256</v>
      </c>
      <c r="D841" s="15">
        <v>130.16</v>
      </c>
      <c r="E841" s="7">
        <f t="shared" si="13"/>
        <v>1</v>
      </c>
    </row>
    <row r="842" spans="1:5" x14ac:dyDescent="0.25">
      <c r="A842" s="7">
        <f>IF(E842=1,
      SUM($E$2:E842)-1,
"")</f>
        <v>839</v>
      </c>
      <c r="B842" s="6" t="s">
        <v>413</v>
      </c>
      <c r="C842" s="14">
        <v>44958</v>
      </c>
      <c r="D842" s="15">
        <v>92.89</v>
      </c>
      <c r="E842" s="7">
        <f t="shared" si="13"/>
        <v>1</v>
      </c>
    </row>
    <row r="843" spans="1:5" x14ac:dyDescent="0.25">
      <c r="A843" s="7">
        <f>IF(E843=1,
      SUM($E$2:E843)-1,
"")</f>
        <v>840</v>
      </c>
      <c r="B843" s="6" t="s">
        <v>626</v>
      </c>
      <c r="C843" s="14">
        <v>45201</v>
      </c>
      <c r="D843" s="15">
        <v>103.92</v>
      </c>
      <c r="E843" s="7">
        <f t="shared" si="13"/>
        <v>1</v>
      </c>
    </row>
    <row r="844" spans="1:5" x14ac:dyDescent="0.25">
      <c r="A844" s="7">
        <f>IF(E844=1,
      SUM($E$2:E844)-1,
"")</f>
        <v>841</v>
      </c>
      <c r="B844" s="6" t="s">
        <v>627</v>
      </c>
      <c r="C844" s="14">
        <v>45275</v>
      </c>
      <c r="D844" s="15">
        <v>99.96</v>
      </c>
      <c r="E844" s="7">
        <f t="shared" si="13"/>
        <v>1</v>
      </c>
    </row>
    <row r="845" spans="1:5" x14ac:dyDescent="0.25">
      <c r="A845" s="7">
        <f>IF(E845=1,
      SUM($E$2:E845)-1,
"")</f>
        <v>842</v>
      </c>
      <c r="B845" s="6" t="s">
        <v>628</v>
      </c>
      <c r="C845" s="14">
        <v>44939</v>
      </c>
      <c r="D845" s="15">
        <v>133.72999999999999</v>
      </c>
      <c r="E845" s="7">
        <f t="shared" si="13"/>
        <v>1</v>
      </c>
    </row>
    <row r="846" spans="1:5" x14ac:dyDescent="0.25">
      <c r="A846" s="7">
        <f>IF(E846=1,
      SUM($E$2:E846)-1,
"")</f>
        <v>843</v>
      </c>
      <c r="B846" s="6" t="s">
        <v>561</v>
      </c>
      <c r="C846" s="14">
        <v>45230</v>
      </c>
      <c r="D846" s="15">
        <v>161.46</v>
      </c>
      <c r="E846" s="7">
        <f t="shared" si="13"/>
        <v>1</v>
      </c>
    </row>
    <row r="847" spans="1:5" x14ac:dyDescent="0.25">
      <c r="A847" s="7">
        <f>IF(E847=1,
      SUM($E$2:E847)-1,
"")</f>
        <v>844</v>
      </c>
      <c r="B847" s="6" t="s">
        <v>629</v>
      </c>
      <c r="C847" s="14">
        <v>45143</v>
      </c>
      <c r="D847" s="15">
        <v>65.959999999999994</v>
      </c>
      <c r="E847" s="7">
        <f t="shared" si="13"/>
        <v>1</v>
      </c>
    </row>
    <row r="848" spans="1:5" x14ac:dyDescent="0.25">
      <c r="A848" s="7">
        <f>IF(E848=1,
      SUM($E$2:E848)-1,
"")</f>
        <v>845</v>
      </c>
      <c r="B848" s="6" t="s">
        <v>245</v>
      </c>
      <c r="C848" s="14">
        <v>45154</v>
      </c>
      <c r="D848" s="15">
        <v>71.42</v>
      </c>
      <c r="E848" s="7">
        <f t="shared" si="13"/>
        <v>1</v>
      </c>
    </row>
    <row r="849" spans="1:5" x14ac:dyDescent="0.25">
      <c r="A849" s="7">
        <f>IF(E849=1,
      SUM($E$2:E849)-1,
"")</f>
        <v>846</v>
      </c>
      <c r="B849" s="6" t="s">
        <v>360</v>
      </c>
      <c r="C849" s="14">
        <v>45107</v>
      </c>
      <c r="D849" s="15">
        <v>109.64</v>
      </c>
      <c r="E849" s="7">
        <f t="shared" si="13"/>
        <v>1</v>
      </c>
    </row>
    <row r="850" spans="1:5" x14ac:dyDescent="0.25">
      <c r="A850" s="7">
        <f>IF(E850=1,
      SUM($E$2:E850)-1,
"")</f>
        <v>847</v>
      </c>
      <c r="B850" s="6" t="s">
        <v>244</v>
      </c>
      <c r="C850" s="14">
        <v>45108</v>
      </c>
      <c r="D850" s="15">
        <v>75.510000000000005</v>
      </c>
      <c r="E850" s="7">
        <f t="shared" si="13"/>
        <v>1</v>
      </c>
    </row>
    <row r="851" spans="1:5" x14ac:dyDescent="0.25">
      <c r="A851" s="7">
        <f>IF(E851=1,
      SUM($E$2:E851)-1,
"")</f>
        <v>848</v>
      </c>
      <c r="B851" s="6" t="s">
        <v>514</v>
      </c>
      <c r="C851" s="14">
        <v>45088</v>
      </c>
      <c r="D851" s="15">
        <v>128.01</v>
      </c>
      <c r="E851" s="7">
        <f t="shared" si="13"/>
        <v>1</v>
      </c>
    </row>
    <row r="852" spans="1:5" x14ac:dyDescent="0.25">
      <c r="A852" s="7">
        <f>IF(E852=1,
      SUM($E$2:E852)-1,
"")</f>
        <v>849</v>
      </c>
      <c r="B852" s="6" t="s">
        <v>630</v>
      </c>
      <c r="C852" s="14">
        <v>45033</v>
      </c>
      <c r="D852" s="15">
        <v>132.82</v>
      </c>
      <c r="E852" s="7">
        <f t="shared" si="13"/>
        <v>1</v>
      </c>
    </row>
    <row r="853" spans="1:5" x14ac:dyDescent="0.25">
      <c r="A853" s="7">
        <f>IF(E853=1,
      SUM($E$2:E853)-1,
"")</f>
        <v>850</v>
      </c>
      <c r="B853" s="6" t="s">
        <v>631</v>
      </c>
      <c r="C853" s="14">
        <v>45079</v>
      </c>
      <c r="D853" s="15">
        <v>83.6</v>
      </c>
      <c r="E853" s="7">
        <f t="shared" si="13"/>
        <v>1</v>
      </c>
    </row>
    <row r="854" spans="1:5" x14ac:dyDescent="0.25">
      <c r="A854" s="7">
        <f>IF(E854=1,
      SUM($E$2:E854)-1,
"")</f>
        <v>851</v>
      </c>
      <c r="B854" s="6" t="s">
        <v>632</v>
      </c>
      <c r="C854" s="14">
        <v>45037</v>
      </c>
      <c r="D854" s="15">
        <v>77.09</v>
      </c>
      <c r="E854" s="7">
        <f t="shared" si="13"/>
        <v>1</v>
      </c>
    </row>
    <row r="855" spans="1:5" x14ac:dyDescent="0.25">
      <c r="A855" s="7">
        <f>IF(E855=1,
      SUM($E$2:E855)-1,
"")</f>
        <v>852</v>
      </c>
      <c r="B855" s="6" t="s">
        <v>633</v>
      </c>
      <c r="C855" s="14">
        <v>45158</v>
      </c>
      <c r="D855" s="15">
        <v>91.76</v>
      </c>
      <c r="E855" s="7">
        <f t="shared" si="13"/>
        <v>1</v>
      </c>
    </row>
    <row r="856" spans="1:5" x14ac:dyDescent="0.25">
      <c r="A856" s="7">
        <f>IF(E856=1,
      SUM($E$2:E856)-1,
"")</f>
        <v>853</v>
      </c>
      <c r="B856" s="6" t="s">
        <v>388</v>
      </c>
      <c r="C856" s="14">
        <v>45232</v>
      </c>
      <c r="D856" s="15">
        <v>103.12</v>
      </c>
      <c r="E856" s="7">
        <f t="shared" si="13"/>
        <v>1</v>
      </c>
    </row>
    <row r="857" spans="1:5" x14ac:dyDescent="0.25">
      <c r="A857" s="7">
        <f>IF(E857=1,
      SUM($E$2:E857)-1,
"")</f>
        <v>854</v>
      </c>
      <c r="B857" s="6" t="s">
        <v>634</v>
      </c>
      <c r="C857" s="14">
        <v>44930</v>
      </c>
      <c r="D857" s="15">
        <v>109.45</v>
      </c>
      <c r="E857" s="7">
        <f t="shared" si="13"/>
        <v>1</v>
      </c>
    </row>
    <row r="858" spans="1:5" x14ac:dyDescent="0.25">
      <c r="A858" s="7">
        <f>IF(E858=1,
      SUM($E$2:E858)-1,
"")</f>
        <v>855</v>
      </c>
      <c r="B858" s="6" t="s">
        <v>202</v>
      </c>
      <c r="C858" s="14">
        <v>44983</v>
      </c>
      <c r="D858" s="15">
        <v>32.42</v>
      </c>
      <c r="E858" s="7">
        <f t="shared" si="13"/>
        <v>1</v>
      </c>
    </row>
    <row r="859" spans="1:5" x14ac:dyDescent="0.25">
      <c r="A859" s="7">
        <f>IF(E859=1,
      SUM($E$2:E859)-1,
"")</f>
        <v>856</v>
      </c>
      <c r="B859" s="6" t="s">
        <v>635</v>
      </c>
      <c r="C859" s="14">
        <v>45205</v>
      </c>
      <c r="D859" s="15">
        <v>70.98</v>
      </c>
      <c r="E859" s="7">
        <f t="shared" si="13"/>
        <v>1</v>
      </c>
    </row>
    <row r="860" spans="1:5" x14ac:dyDescent="0.25">
      <c r="A860" s="7">
        <f>IF(E860=1,
      SUM($E$2:E860)-1,
"")</f>
        <v>857</v>
      </c>
      <c r="B860" s="6" t="s">
        <v>414</v>
      </c>
      <c r="C860" s="14">
        <v>44969</v>
      </c>
      <c r="D860" s="15">
        <v>87.88</v>
      </c>
      <c r="E860" s="7">
        <f t="shared" si="13"/>
        <v>1</v>
      </c>
    </row>
    <row r="861" spans="1:5" x14ac:dyDescent="0.25">
      <c r="A861" s="7">
        <f>IF(E861=1,
      SUM($E$2:E861)-1,
"")</f>
        <v>858</v>
      </c>
      <c r="B861" s="6" t="s">
        <v>636</v>
      </c>
      <c r="C861" s="14">
        <v>45086</v>
      </c>
      <c r="D861" s="15">
        <v>76.09</v>
      </c>
      <c r="E861" s="7">
        <f t="shared" si="13"/>
        <v>1</v>
      </c>
    </row>
    <row r="862" spans="1:5" x14ac:dyDescent="0.25">
      <c r="A862" s="7">
        <f>IF(E862=1,
      SUM($E$2:E862)-1,
"")</f>
        <v>859</v>
      </c>
      <c r="B862" s="6" t="s">
        <v>486</v>
      </c>
      <c r="C862" s="14">
        <v>45164</v>
      </c>
      <c r="D862" s="15">
        <v>14.06</v>
      </c>
      <c r="E862" s="7">
        <f t="shared" si="13"/>
        <v>1</v>
      </c>
    </row>
    <row r="863" spans="1:5" x14ac:dyDescent="0.25">
      <c r="A863" s="7">
        <f>IF(E863=1,
      SUM($E$2:E863)-1,
"")</f>
        <v>860</v>
      </c>
      <c r="B863" s="6" t="s">
        <v>637</v>
      </c>
      <c r="C863" s="14">
        <v>44982</v>
      </c>
      <c r="D863" s="15">
        <v>43.35</v>
      </c>
      <c r="E863" s="7">
        <f t="shared" si="13"/>
        <v>1</v>
      </c>
    </row>
    <row r="864" spans="1:5" x14ac:dyDescent="0.25">
      <c r="A864" s="7">
        <f>IF(E864=1,
      SUM($E$2:E864)-1,
"")</f>
        <v>861</v>
      </c>
      <c r="B864" s="6" t="s">
        <v>502</v>
      </c>
      <c r="C864" s="14">
        <v>45290</v>
      </c>
      <c r="D864" s="15">
        <v>60.84</v>
      </c>
      <c r="E864" s="7">
        <f t="shared" si="13"/>
        <v>1</v>
      </c>
    </row>
    <row r="865" spans="1:5" x14ac:dyDescent="0.25">
      <c r="A865" s="7">
        <f>IF(E865=1,
      SUM($E$2:E865)-1,
"")</f>
        <v>862</v>
      </c>
      <c r="B865" s="6" t="s">
        <v>115</v>
      </c>
      <c r="C865" s="14">
        <v>45051</v>
      </c>
      <c r="D865" s="15">
        <v>96.54</v>
      </c>
      <c r="E865" s="7">
        <f t="shared" si="13"/>
        <v>1</v>
      </c>
    </row>
    <row r="866" spans="1:5" x14ac:dyDescent="0.25">
      <c r="A866" s="7">
        <f>IF(E866=1,
      SUM($E$2:E866)-1,
"")</f>
        <v>863</v>
      </c>
      <c r="B866" s="6" t="s">
        <v>638</v>
      </c>
      <c r="C866" s="14">
        <v>45172</v>
      </c>
      <c r="D866" s="15">
        <v>86.91</v>
      </c>
      <c r="E866" s="7">
        <f t="shared" si="13"/>
        <v>1</v>
      </c>
    </row>
    <row r="867" spans="1:5" x14ac:dyDescent="0.25">
      <c r="A867" s="7">
        <f>IF(E867=1,
      SUM($E$2:E867)-1,
"")</f>
        <v>864</v>
      </c>
      <c r="B867" s="6" t="s">
        <v>189</v>
      </c>
      <c r="C867" s="14">
        <v>45191</v>
      </c>
      <c r="D867" s="15">
        <v>81.05</v>
      </c>
      <c r="E867" s="7">
        <f t="shared" si="13"/>
        <v>1</v>
      </c>
    </row>
    <row r="868" spans="1:5" x14ac:dyDescent="0.25">
      <c r="A868" s="7">
        <f>IF(E868=1,
      SUM($E$2:E868)-1,
"")</f>
        <v>865</v>
      </c>
      <c r="B868" s="6" t="s">
        <v>639</v>
      </c>
      <c r="C868" s="14">
        <v>45255</v>
      </c>
      <c r="D868" s="15">
        <v>123.9</v>
      </c>
      <c r="E868" s="7">
        <f t="shared" si="13"/>
        <v>1</v>
      </c>
    </row>
    <row r="869" spans="1:5" x14ac:dyDescent="0.25">
      <c r="A869" s="7">
        <f>IF(E869=1,
      SUM($E$2:E869)-1,
"")</f>
        <v>866</v>
      </c>
      <c r="B869" s="6" t="s">
        <v>640</v>
      </c>
      <c r="C869" s="14">
        <v>44952</v>
      </c>
      <c r="D869" s="15">
        <v>123.88</v>
      </c>
      <c r="E869" s="7">
        <f t="shared" si="13"/>
        <v>1</v>
      </c>
    </row>
    <row r="870" spans="1:5" x14ac:dyDescent="0.25">
      <c r="A870" s="7">
        <f>IF(E870=1,
      SUM($E$2:E870)-1,
"")</f>
        <v>867</v>
      </c>
      <c r="B870" s="6" t="s">
        <v>641</v>
      </c>
      <c r="C870" s="14">
        <v>45160</v>
      </c>
      <c r="D870" s="15">
        <v>104.5</v>
      </c>
      <c r="E870" s="7">
        <f t="shared" si="13"/>
        <v>1</v>
      </c>
    </row>
    <row r="871" spans="1:5" x14ac:dyDescent="0.25">
      <c r="A871" s="7">
        <f>IF(E871=1,
      SUM($E$2:E871)-1,
"")</f>
        <v>868</v>
      </c>
      <c r="B871" s="6" t="s">
        <v>642</v>
      </c>
      <c r="C871" s="14">
        <v>45091</v>
      </c>
      <c r="D871" s="15">
        <v>103.6</v>
      </c>
      <c r="E871" s="7">
        <f t="shared" si="13"/>
        <v>1</v>
      </c>
    </row>
    <row r="872" spans="1:5" x14ac:dyDescent="0.25">
      <c r="A872" s="7">
        <f>IF(E872=1,
      SUM($E$2:E872)-1,
"")</f>
        <v>869</v>
      </c>
      <c r="B872" s="6" t="s">
        <v>178</v>
      </c>
      <c r="C872" s="14">
        <v>44945</v>
      </c>
      <c r="D872" s="15">
        <v>74.3</v>
      </c>
      <c r="E872" s="7">
        <f t="shared" si="13"/>
        <v>1</v>
      </c>
    </row>
    <row r="873" spans="1:5" x14ac:dyDescent="0.25">
      <c r="A873" s="7">
        <f>IF(E873=1,
      SUM($E$2:E873)-1,
"")</f>
        <v>870</v>
      </c>
      <c r="B873" s="6" t="s">
        <v>362</v>
      </c>
      <c r="C873" s="14">
        <v>45272</v>
      </c>
      <c r="D873" s="15">
        <v>77.89</v>
      </c>
      <c r="E873" s="7">
        <f t="shared" si="13"/>
        <v>1</v>
      </c>
    </row>
    <row r="874" spans="1:5" x14ac:dyDescent="0.25">
      <c r="A874" s="7">
        <f>IF(E874=1,
      SUM($E$2:E874)-1,
"")</f>
        <v>871</v>
      </c>
      <c r="B874" s="6" t="s">
        <v>504</v>
      </c>
      <c r="C874" s="14">
        <v>45051</v>
      </c>
      <c r="D874" s="15">
        <v>48.77</v>
      </c>
      <c r="E874" s="7">
        <f t="shared" si="13"/>
        <v>1</v>
      </c>
    </row>
    <row r="875" spans="1:5" x14ac:dyDescent="0.25">
      <c r="A875" s="7">
        <f>IF(E875=1,
      SUM($E$2:E875)-1,
"")</f>
        <v>872</v>
      </c>
      <c r="B875" s="6" t="s">
        <v>600</v>
      </c>
      <c r="C875" s="14">
        <v>45184</v>
      </c>
      <c r="D875" s="15">
        <v>92.48</v>
      </c>
      <c r="E875" s="7">
        <f t="shared" si="13"/>
        <v>1</v>
      </c>
    </row>
    <row r="876" spans="1:5" x14ac:dyDescent="0.25">
      <c r="A876" s="7">
        <f>IF(E876=1,
      SUM($E$2:E876)-1,
"")</f>
        <v>873</v>
      </c>
      <c r="B876" s="6" t="s">
        <v>125</v>
      </c>
      <c r="C876" s="14">
        <v>44990</v>
      </c>
      <c r="D876" s="15">
        <v>123.57</v>
      </c>
      <c r="E876" s="7">
        <f t="shared" si="13"/>
        <v>1</v>
      </c>
    </row>
    <row r="877" spans="1:5" x14ac:dyDescent="0.25">
      <c r="A877" s="7">
        <f>IF(E877=1,
      SUM($E$2:E877)-1,
"")</f>
        <v>874</v>
      </c>
      <c r="B877" s="6" t="s">
        <v>643</v>
      </c>
      <c r="C877" s="14">
        <v>45209</v>
      </c>
      <c r="D877" s="15">
        <v>140.63</v>
      </c>
      <c r="E877" s="7">
        <f t="shared" si="13"/>
        <v>1</v>
      </c>
    </row>
    <row r="878" spans="1:5" x14ac:dyDescent="0.25">
      <c r="A878" s="7">
        <f>IF(E878=1,
      SUM($E$2:E878)-1,
"")</f>
        <v>875</v>
      </c>
      <c r="B878" s="6" t="s">
        <v>134</v>
      </c>
      <c r="C878" s="14">
        <v>45210</v>
      </c>
      <c r="D878" s="15">
        <v>92.66</v>
      </c>
      <c r="E878" s="7">
        <f t="shared" si="13"/>
        <v>1</v>
      </c>
    </row>
    <row r="879" spans="1:5" x14ac:dyDescent="0.25">
      <c r="A879" s="7">
        <f>IF(E879=1,
      SUM($E$2:E879)-1,
"")</f>
        <v>876</v>
      </c>
      <c r="B879" s="6" t="s">
        <v>644</v>
      </c>
      <c r="C879" s="14">
        <v>45002</v>
      </c>
      <c r="D879" s="15">
        <v>114.75</v>
      </c>
      <c r="E879" s="7">
        <f t="shared" si="13"/>
        <v>1</v>
      </c>
    </row>
    <row r="880" spans="1:5" x14ac:dyDescent="0.25">
      <c r="A880" s="7">
        <f>IF(E880=1,
      SUM($E$2:E880)-1,
"")</f>
        <v>877</v>
      </c>
      <c r="B880" s="6" t="s">
        <v>645</v>
      </c>
      <c r="C880" s="14">
        <v>45224</v>
      </c>
      <c r="D880" s="15">
        <v>14.32</v>
      </c>
      <c r="E880" s="7">
        <f t="shared" si="13"/>
        <v>1</v>
      </c>
    </row>
    <row r="881" spans="1:5" x14ac:dyDescent="0.25">
      <c r="A881" s="7">
        <f>IF(E881=1,
      SUM($E$2:E881)-1,
"")</f>
        <v>878</v>
      </c>
      <c r="B881" s="6" t="s">
        <v>247</v>
      </c>
      <c r="C881" s="14">
        <v>45164</v>
      </c>
      <c r="D881" s="15">
        <v>87.01</v>
      </c>
      <c r="E881" s="7">
        <f t="shared" si="13"/>
        <v>1</v>
      </c>
    </row>
    <row r="882" spans="1:5" x14ac:dyDescent="0.25">
      <c r="A882" s="7">
        <f>IF(E882=1,
      SUM($E$2:E882)-1,
"")</f>
        <v>879</v>
      </c>
      <c r="B882" s="6" t="s">
        <v>646</v>
      </c>
      <c r="C882" s="14">
        <v>45097</v>
      </c>
      <c r="D882" s="15">
        <v>86.31</v>
      </c>
      <c r="E882" s="7">
        <f t="shared" si="13"/>
        <v>1</v>
      </c>
    </row>
    <row r="883" spans="1:5" x14ac:dyDescent="0.25">
      <c r="A883" s="7">
        <f>IF(E883=1,
      SUM($E$2:E883)-1,
"")</f>
        <v>880</v>
      </c>
      <c r="B883" s="6" t="s">
        <v>459</v>
      </c>
      <c r="C883" s="14">
        <v>45153</v>
      </c>
      <c r="D883" s="15">
        <v>144.74</v>
      </c>
      <c r="E883" s="7">
        <f t="shared" si="13"/>
        <v>1</v>
      </c>
    </row>
    <row r="884" spans="1:5" x14ac:dyDescent="0.25">
      <c r="A884" s="7">
        <f>IF(E884=1,
      SUM($E$2:E884)-1,
"")</f>
        <v>881</v>
      </c>
      <c r="B884" s="6" t="s">
        <v>647</v>
      </c>
      <c r="C884" s="14">
        <v>45010</v>
      </c>
      <c r="D884" s="15">
        <v>111.79</v>
      </c>
      <c r="E884" s="7">
        <f t="shared" si="13"/>
        <v>1</v>
      </c>
    </row>
    <row r="885" spans="1:5" x14ac:dyDescent="0.25">
      <c r="A885" s="7">
        <f>IF(E885=1,
      SUM($E$2:E885)-1,
"")</f>
        <v>882</v>
      </c>
      <c r="B885" s="6" t="s">
        <v>648</v>
      </c>
      <c r="C885" s="14">
        <v>44981</v>
      </c>
      <c r="D885" s="15">
        <v>114.83</v>
      </c>
      <c r="E885" s="7">
        <f t="shared" si="13"/>
        <v>1</v>
      </c>
    </row>
    <row r="886" spans="1:5" x14ac:dyDescent="0.25">
      <c r="A886" s="7">
        <f>IF(E886=1,
      SUM($E$2:E886)-1,
"")</f>
        <v>883</v>
      </c>
      <c r="B886" s="6" t="s">
        <v>649</v>
      </c>
      <c r="C886" s="14">
        <v>45059</v>
      </c>
      <c r="D886" s="15">
        <v>113.27</v>
      </c>
      <c r="E886" s="7">
        <f t="shared" si="13"/>
        <v>1</v>
      </c>
    </row>
    <row r="887" spans="1:5" x14ac:dyDescent="0.25">
      <c r="A887" s="7">
        <f>IF(E887=1,
      SUM($E$2:E887)-1,
"")</f>
        <v>884</v>
      </c>
      <c r="B887" s="6" t="s">
        <v>628</v>
      </c>
      <c r="C887" s="14">
        <v>45270</v>
      </c>
      <c r="D887" s="15">
        <v>101.36</v>
      </c>
      <c r="E887" s="7">
        <f t="shared" si="13"/>
        <v>1</v>
      </c>
    </row>
    <row r="888" spans="1:5" x14ac:dyDescent="0.25">
      <c r="A888" s="7">
        <f>IF(E888=1,
      SUM($E$2:E888)-1,
"")</f>
        <v>885</v>
      </c>
      <c r="B888" s="6" t="s">
        <v>566</v>
      </c>
      <c r="C888" s="14">
        <v>45140</v>
      </c>
      <c r="D888" s="15">
        <v>145.97</v>
      </c>
      <c r="E888" s="7">
        <f t="shared" si="13"/>
        <v>1</v>
      </c>
    </row>
    <row r="889" spans="1:5" x14ac:dyDescent="0.25">
      <c r="A889" s="7">
        <f>IF(E889=1,
      SUM($E$2:E889)-1,
"")</f>
        <v>886</v>
      </c>
      <c r="B889" s="6" t="s">
        <v>314</v>
      </c>
      <c r="C889" s="14">
        <v>45016</v>
      </c>
      <c r="D889" s="15">
        <v>30.84</v>
      </c>
      <c r="E889" s="7">
        <f t="shared" si="13"/>
        <v>1</v>
      </c>
    </row>
    <row r="890" spans="1:5" x14ac:dyDescent="0.25">
      <c r="A890" s="7">
        <f>IF(E890=1,
      SUM($E$2:E890)-1,
"")</f>
        <v>887</v>
      </c>
      <c r="B890" s="6" t="s">
        <v>319</v>
      </c>
      <c r="C890" s="14">
        <v>45232</v>
      </c>
      <c r="D890" s="15">
        <v>104.39</v>
      </c>
      <c r="E890" s="7">
        <f t="shared" si="13"/>
        <v>1</v>
      </c>
    </row>
    <row r="891" spans="1:5" x14ac:dyDescent="0.25">
      <c r="A891" s="7">
        <f>IF(E891=1,
      SUM($E$2:E891)-1,
"")</f>
        <v>888</v>
      </c>
      <c r="B891" s="6" t="s">
        <v>506</v>
      </c>
      <c r="C891" s="14">
        <v>44974</v>
      </c>
      <c r="D891" s="15">
        <v>133.88999999999999</v>
      </c>
      <c r="E891" s="7">
        <f t="shared" si="13"/>
        <v>1</v>
      </c>
    </row>
    <row r="892" spans="1:5" x14ac:dyDescent="0.25">
      <c r="A892" s="7">
        <f>IF(E892=1,
      SUM($E$2:E892)-1,
"")</f>
        <v>889</v>
      </c>
      <c r="B892" s="6" t="s">
        <v>346</v>
      </c>
      <c r="C892" s="14">
        <v>45241</v>
      </c>
      <c r="D892" s="15">
        <v>43.26</v>
      </c>
      <c r="E892" s="7">
        <f t="shared" si="13"/>
        <v>1</v>
      </c>
    </row>
    <row r="893" spans="1:5" x14ac:dyDescent="0.25">
      <c r="A893" s="7">
        <f>IF(E893=1,
      SUM($E$2:E893)-1,
"")</f>
        <v>890</v>
      </c>
      <c r="B893" s="6" t="s">
        <v>117</v>
      </c>
      <c r="C893" s="14">
        <v>44949</v>
      </c>
      <c r="D893" s="15">
        <v>125.14</v>
      </c>
      <c r="E893" s="7">
        <f t="shared" si="13"/>
        <v>1</v>
      </c>
    </row>
    <row r="894" spans="1:5" x14ac:dyDescent="0.25">
      <c r="A894" s="7">
        <f>IF(E894=1,
      SUM($E$2:E894)-1,
"")</f>
        <v>891</v>
      </c>
      <c r="B894" s="6" t="s">
        <v>175</v>
      </c>
      <c r="C894" s="14">
        <v>45140</v>
      </c>
      <c r="D894" s="15">
        <v>77.17</v>
      </c>
      <c r="E894" s="7">
        <f t="shared" si="13"/>
        <v>1</v>
      </c>
    </row>
    <row r="895" spans="1:5" x14ac:dyDescent="0.25">
      <c r="A895" s="7">
        <f>IF(E895=1,
      SUM($E$2:E895)-1,
"")</f>
        <v>892</v>
      </c>
      <c r="B895" s="6" t="s">
        <v>421</v>
      </c>
      <c r="C895" s="14">
        <v>45056</v>
      </c>
      <c r="D895" s="15">
        <v>103.29</v>
      </c>
      <c r="E895" s="7">
        <f t="shared" si="13"/>
        <v>1</v>
      </c>
    </row>
    <row r="896" spans="1:5" x14ac:dyDescent="0.25">
      <c r="A896" s="7">
        <f>IF(E896=1,
      SUM($E$2:E896)-1,
"")</f>
        <v>893</v>
      </c>
      <c r="B896" s="6" t="s">
        <v>650</v>
      </c>
      <c r="C896" s="14">
        <v>44982</v>
      </c>
      <c r="D896" s="15">
        <v>76.59</v>
      </c>
      <c r="E896" s="7">
        <f t="shared" si="13"/>
        <v>1</v>
      </c>
    </row>
    <row r="897" spans="1:5" x14ac:dyDescent="0.25">
      <c r="A897" s="7">
        <f>IF(E897=1,
      SUM($E$2:E897)-1,
"")</f>
        <v>894</v>
      </c>
      <c r="B897" s="6" t="s">
        <v>651</v>
      </c>
      <c r="C897" s="14">
        <v>44991</v>
      </c>
      <c r="D897" s="15">
        <v>128.77000000000001</v>
      </c>
      <c r="E897" s="7">
        <f t="shared" si="13"/>
        <v>1</v>
      </c>
    </row>
    <row r="898" spans="1:5" x14ac:dyDescent="0.25">
      <c r="A898" s="7">
        <f>IF(E898=1,
      SUM($E$2:E898)-1,
"")</f>
        <v>895</v>
      </c>
      <c r="B898" s="6" t="s">
        <v>616</v>
      </c>
      <c r="C898" s="14">
        <v>45261</v>
      </c>
      <c r="D898" s="15">
        <v>91.35</v>
      </c>
      <c r="E898" s="7">
        <f t="shared" ref="E898:E961" si="14">IF(D898&gt;0,1,0)</f>
        <v>1</v>
      </c>
    </row>
    <row r="899" spans="1:5" x14ac:dyDescent="0.25">
      <c r="A899" s="7">
        <f>IF(E899=1,
      SUM($E$2:E899)-1,
"")</f>
        <v>896</v>
      </c>
      <c r="B899" s="6" t="s">
        <v>652</v>
      </c>
      <c r="C899" s="14">
        <v>45238</v>
      </c>
      <c r="D899" s="15">
        <v>125.37</v>
      </c>
      <c r="E899" s="7">
        <f t="shared" si="14"/>
        <v>1</v>
      </c>
    </row>
    <row r="900" spans="1:5" x14ac:dyDescent="0.25">
      <c r="A900" s="7">
        <f>IF(E900=1,
      SUM($E$2:E900)-1,
"")</f>
        <v>897</v>
      </c>
      <c r="B900" s="6" t="s">
        <v>310</v>
      </c>
      <c r="C900" s="14">
        <v>44941</v>
      </c>
      <c r="D900" s="15">
        <v>113.06</v>
      </c>
      <c r="E900" s="7">
        <f t="shared" si="14"/>
        <v>1</v>
      </c>
    </row>
    <row r="901" spans="1:5" x14ac:dyDescent="0.25">
      <c r="A901" s="7">
        <f>IF(E901=1,
      SUM($E$2:E901)-1,
"")</f>
        <v>898</v>
      </c>
      <c r="B901" s="6" t="s">
        <v>286</v>
      </c>
      <c r="C901" s="14">
        <v>45257</v>
      </c>
      <c r="D901" s="15">
        <v>76.19</v>
      </c>
      <c r="E901" s="7">
        <f t="shared" si="14"/>
        <v>1</v>
      </c>
    </row>
    <row r="902" spans="1:5" x14ac:dyDescent="0.25">
      <c r="A902" s="7">
        <f>IF(E902=1,
      SUM($E$2:E902)-1,
"")</f>
        <v>899</v>
      </c>
      <c r="B902" s="6" t="s">
        <v>278</v>
      </c>
      <c r="C902" s="14">
        <v>45183</v>
      </c>
      <c r="D902" s="15">
        <v>115.06</v>
      </c>
      <c r="E902" s="7">
        <f t="shared" si="14"/>
        <v>1</v>
      </c>
    </row>
    <row r="903" spans="1:5" x14ac:dyDescent="0.25">
      <c r="A903" s="7">
        <f>IF(E903=1,
      SUM($E$2:E903)-1,
"")</f>
        <v>900</v>
      </c>
      <c r="B903" s="6" t="s">
        <v>121</v>
      </c>
      <c r="C903" s="14">
        <v>45116</v>
      </c>
      <c r="D903" s="15">
        <v>80.09</v>
      </c>
      <c r="E903" s="7">
        <f t="shared" si="14"/>
        <v>1</v>
      </c>
    </row>
    <row r="904" spans="1:5" x14ac:dyDescent="0.25">
      <c r="A904" s="7">
        <f>IF(E904=1,
      SUM($E$2:E904)-1,
"")</f>
        <v>901</v>
      </c>
      <c r="B904" s="6" t="s">
        <v>129</v>
      </c>
      <c r="C904" s="14">
        <v>44931</v>
      </c>
      <c r="D904" s="15">
        <v>101.92</v>
      </c>
      <c r="E904" s="7">
        <f t="shared" si="14"/>
        <v>1</v>
      </c>
    </row>
    <row r="905" spans="1:5" x14ac:dyDescent="0.25">
      <c r="A905" s="7">
        <f>IF(E905=1,
      SUM($E$2:E905)-1,
"")</f>
        <v>902</v>
      </c>
      <c r="B905" s="6" t="s">
        <v>435</v>
      </c>
      <c r="C905" s="14">
        <v>44979</v>
      </c>
      <c r="D905" s="15">
        <v>90.8</v>
      </c>
      <c r="E905" s="7">
        <f t="shared" si="14"/>
        <v>1</v>
      </c>
    </row>
    <row r="906" spans="1:5" x14ac:dyDescent="0.25">
      <c r="A906" s="7">
        <f>IF(E906=1,
      SUM($E$2:E906)-1,
"")</f>
        <v>903</v>
      </c>
      <c r="B906" s="6" t="s">
        <v>653</v>
      </c>
      <c r="C906" s="14">
        <v>44998</v>
      </c>
      <c r="D906" s="15">
        <v>127</v>
      </c>
      <c r="E906" s="7">
        <f t="shared" si="14"/>
        <v>1</v>
      </c>
    </row>
    <row r="907" spans="1:5" x14ac:dyDescent="0.25">
      <c r="A907" s="7">
        <f>IF(E907=1,
      SUM($E$2:E907)-1,
"")</f>
        <v>904</v>
      </c>
      <c r="B907" s="6" t="s">
        <v>589</v>
      </c>
      <c r="C907" s="14">
        <v>44957</v>
      </c>
      <c r="D907" s="15">
        <v>116.21</v>
      </c>
      <c r="E907" s="7">
        <f t="shared" si="14"/>
        <v>1</v>
      </c>
    </row>
    <row r="908" spans="1:5" x14ac:dyDescent="0.25">
      <c r="A908" s="7">
        <f>IF(E908=1,
      SUM($E$2:E908)-1,
"")</f>
        <v>905</v>
      </c>
      <c r="B908" s="6" t="s">
        <v>654</v>
      </c>
      <c r="C908" s="14">
        <v>45196</v>
      </c>
      <c r="D908" s="15">
        <v>99.08</v>
      </c>
      <c r="E908" s="7">
        <f t="shared" si="14"/>
        <v>1</v>
      </c>
    </row>
    <row r="909" spans="1:5" x14ac:dyDescent="0.25">
      <c r="A909" s="7">
        <f>IF(E909=1,
      SUM($E$2:E909)-1,
"")</f>
        <v>906</v>
      </c>
      <c r="B909" s="6" t="s">
        <v>655</v>
      </c>
      <c r="C909" s="14">
        <v>45080</v>
      </c>
      <c r="D909" s="15">
        <v>79.430000000000007</v>
      </c>
      <c r="E909" s="7">
        <f t="shared" si="14"/>
        <v>1</v>
      </c>
    </row>
    <row r="910" spans="1:5" x14ac:dyDescent="0.25">
      <c r="A910" s="7">
        <f>IF(E910=1,
      SUM($E$2:E910)-1,
"")</f>
        <v>907</v>
      </c>
      <c r="B910" s="6" t="s">
        <v>354</v>
      </c>
      <c r="C910" s="14">
        <v>44976</v>
      </c>
      <c r="D910" s="15">
        <v>61.93</v>
      </c>
      <c r="E910" s="7">
        <f t="shared" si="14"/>
        <v>1</v>
      </c>
    </row>
    <row r="911" spans="1:5" x14ac:dyDescent="0.25">
      <c r="A911" s="7">
        <f>IF(E911=1,
      SUM($E$2:E911)-1,
"")</f>
        <v>908</v>
      </c>
      <c r="B911" s="6" t="s">
        <v>656</v>
      </c>
      <c r="C911" s="14">
        <v>45156</v>
      </c>
      <c r="D911" s="15">
        <v>104.07</v>
      </c>
      <c r="E911" s="7">
        <f t="shared" si="14"/>
        <v>1</v>
      </c>
    </row>
    <row r="912" spans="1:5" x14ac:dyDescent="0.25">
      <c r="A912" s="7">
        <f>IF(E912=1,
      SUM($E$2:E912)-1,
"")</f>
        <v>909</v>
      </c>
      <c r="B912" s="6" t="s">
        <v>510</v>
      </c>
      <c r="C912" s="14">
        <v>45287</v>
      </c>
      <c r="D912" s="15">
        <v>81.03</v>
      </c>
      <c r="E912" s="7">
        <f t="shared" si="14"/>
        <v>1</v>
      </c>
    </row>
    <row r="913" spans="1:5" x14ac:dyDescent="0.25">
      <c r="A913" s="7">
        <f>IF(E913=1,
      SUM($E$2:E913)-1,
"")</f>
        <v>910</v>
      </c>
      <c r="B913" s="6" t="s">
        <v>657</v>
      </c>
      <c r="C913" s="14">
        <v>45184</v>
      </c>
      <c r="D913" s="15">
        <v>43.66</v>
      </c>
      <c r="E913" s="7">
        <f t="shared" si="14"/>
        <v>1</v>
      </c>
    </row>
    <row r="914" spans="1:5" x14ac:dyDescent="0.25">
      <c r="A914" s="7">
        <f>IF(E914=1,
      SUM($E$2:E914)-1,
"")</f>
        <v>911</v>
      </c>
      <c r="B914" s="6" t="s">
        <v>506</v>
      </c>
      <c r="C914" s="14">
        <v>45258</v>
      </c>
      <c r="D914" s="15">
        <v>60.1</v>
      </c>
      <c r="E914" s="7">
        <f t="shared" si="14"/>
        <v>1</v>
      </c>
    </row>
    <row r="915" spans="1:5" x14ac:dyDescent="0.25">
      <c r="A915" s="7">
        <f>IF(E915=1,
      SUM($E$2:E915)-1,
"")</f>
        <v>912</v>
      </c>
      <c r="B915" s="6" t="s">
        <v>168</v>
      </c>
      <c r="C915" s="14">
        <v>45254</v>
      </c>
      <c r="D915" s="15">
        <v>148.78</v>
      </c>
      <c r="E915" s="7">
        <f t="shared" si="14"/>
        <v>1</v>
      </c>
    </row>
    <row r="916" spans="1:5" x14ac:dyDescent="0.25">
      <c r="A916" s="7">
        <f>IF(E916=1,
      SUM($E$2:E916)-1,
"")</f>
        <v>913</v>
      </c>
      <c r="B916" s="6" t="s">
        <v>469</v>
      </c>
      <c r="C916" s="14">
        <v>45143</v>
      </c>
      <c r="D916" s="15">
        <v>80.2</v>
      </c>
      <c r="E916" s="7">
        <f t="shared" si="14"/>
        <v>1</v>
      </c>
    </row>
    <row r="917" spans="1:5" x14ac:dyDescent="0.25">
      <c r="A917" s="7">
        <f>IF(E917=1,
      SUM($E$2:E917)-1,
"")</f>
        <v>914</v>
      </c>
      <c r="B917" s="6" t="s">
        <v>299</v>
      </c>
      <c r="C917" s="14">
        <v>45175</v>
      </c>
      <c r="D917" s="15">
        <v>132.46</v>
      </c>
      <c r="E917" s="7">
        <f t="shared" si="14"/>
        <v>1</v>
      </c>
    </row>
    <row r="918" spans="1:5" x14ac:dyDescent="0.25">
      <c r="A918" s="7">
        <f>IF(E918=1,
      SUM($E$2:E918)-1,
"")</f>
        <v>915</v>
      </c>
      <c r="B918" s="6" t="s">
        <v>649</v>
      </c>
      <c r="C918" s="14">
        <v>45032</v>
      </c>
      <c r="D918" s="15">
        <v>89.3</v>
      </c>
      <c r="E918" s="7">
        <f t="shared" si="14"/>
        <v>1</v>
      </c>
    </row>
    <row r="919" spans="1:5" x14ac:dyDescent="0.25">
      <c r="A919" s="7">
        <f>IF(E919=1,
      SUM($E$2:E919)-1,
"")</f>
        <v>916</v>
      </c>
      <c r="B919" s="6" t="s">
        <v>421</v>
      </c>
      <c r="C919" s="14">
        <v>45206</v>
      </c>
      <c r="D919" s="15">
        <v>137.19</v>
      </c>
      <c r="E919" s="7">
        <f t="shared" si="14"/>
        <v>1</v>
      </c>
    </row>
    <row r="920" spans="1:5" x14ac:dyDescent="0.25">
      <c r="A920" s="7">
        <f>IF(E920=1,
      SUM($E$2:E920)-1,
"")</f>
        <v>917</v>
      </c>
      <c r="B920" s="6" t="s">
        <v>658</v>
      </c>
      <c r="C920" s="14">
        <v>45217</v>
      </c>
      <c r="D920" s="15">
        <v>135.01</v>
      </c>
      <c r="E920" s="7">
        <f t="shared" si="14"/>
        <v>1</v>
      </c>
    </row>
    <row r="921" spans="1:5" x14ac:dyDescent="0.25">
      <c r="A921" s="7">
        <f>IF(E921=1,
      SUM($E$2:E921)-1,
"")</f>
        <v>918</v>
      </c>
      <c r="B921" s="6" t="s">
        <v>659</v>
      </c>
      <c r="C921" s="14">
        <v>44980</v>
      </c>
      <c r="D921" s="15">
        <v>75.23</v>
      </c>
      <c r="E921" s="7">
        <f t="shared" si="14"/>
        <v>1</v>
      </c>
    </row>
    <row r="922" spans="1:5" x14ac:dyDescent="0.25">
      <c r="A922" s="7">
        <f>IF(E922=1,
      SUM($E$2:E922)-1,
"")</f>
        <v>919</v>
      </c>
      <c r="B922" s="6" t="s">
        <v>660</v>
      </c>
      <c r="C922" s="14">
        <v>45079</v>
      </c>
      <c r="D922" s="15">
        <v>40.36</v>
      </c>
      <c r="E922" s="7">
        <f t="shared" si="14"/>
        <v>1</v>
      </c>
    </row>
    <row r="923" spans="1:5" x14ac:dyDescent="0.25">
      <c r="A923" s="7">
        <f>IF(E923=1,
      SUM($E$2:E923)-1,
"")</f>
        <v>920</v>
      </c>
      <c r="B923" s="6" t="s">
        <v>661</v>
      </c>
      <c r="C923" s="14">
        <v>45008</v>
      </c>
      <c r="D923" s="15">
        <v>42.9</v>
      </c>
      <c r="E923" s="7">
        <f t="shared" si="14"/>
        <v>1</v>
      </c>
    </row>
    <row r="924" spans="1:5" x14ac:dyDescent="0.25">
      <c r="A924" s="7">
        <f>IF(E924=1,
      SUM($E$2:E924)-1,
"")</f>
        <v>921</v>
      </c>
      <c r="B924" s="6" t="s">
        <v>662</v>
      </c>
      <c r="C924" s="14">
        <v>45054</v>
      </c>
      <c r="D924" s="15">
        <v>75.739999999999995</v>
      </c>
      <c r="E924" s="7">
        <f t="shared" si="14"/>
        <v>1</v>
      </c>
    </row>
    <row r="925" spans="1:5" x14ac:dyDescent="0.25">
      <c r="A925" s="7">
        <f>IF(E925=1,
      SUM($E$2:E925)-1,
"")</f>
        <v>922</v>
      </c>
      <c r="B925" s="6" t="s">
        <v>325</v>
      </c>
      <c r="C925" s="14">
        <v>45128</v>
      </c>
      <c r="D925" s="15">
        <v>156.69</v>
      </c>
      <c r="E925" s="7">
        <f t="shared" si="14"/>
        <v>1</v>
      </c>
    </row>
    <row r="926" spans="1:5" x14ac:dyDescent="0.25">
      <c r="A926" s="7">
        <f>IF(E926=1,
      SUM($E$2:E926)-1,
"")</f>
        <v>923</v>
      </c>
      <c r="B926" s="6" t="s">
        <v>190</v>
      </c>
      <c r="C926" s="14">
        <v>45206</v>
      </c>
      <c r="D926" s="15">
        <v>87.68</v>
      </c>
      <c r="E926" s="7">
        <f t="shared" si="14"/>
        <v>1</v>
      </c>
    </row>
    <row r="927" spans="1:5" x14ac:dyDescent="0.25">
      <c r="A927" s="7">
        <f>IF(E927=1,
      SUM($E$2:E927)-1,
"")</f>
        <v>924</v>
      </c>
      <c r="B927" s="6" t="s">
        <v>663</v>
      </c>
      <c r="C927" s="14">
        <v>45152</v>
      </c>
      <c r="D927" s="15">
        <v>104.36</v>
      </c>
      <c r="E927" s="7">
        <f t="shared" si="14"/>
        <v>1</v>
      </c>
    </row>
    <row r="928" spans="1:5" x14ac:dyDescent="0.25">
      <c r="A928" s="7">
        <f>IF(E928=1,
      SUM($E$2:E928)-1,
"")</f>
        <v>925</v>
      </c>
      <c r="B928" s="6" t="s">
        <v>582</v>
      </c>
      <c r="C928" s="14">
        <v>45133</v>
      </c>
      <c r="D928" s="15">
        <v>139.1</v>
      </c>
      <c r="E928" s="7">
        <f t="shared" si="14"/>
        <v>1</v>
      </c>
    </row>
    <row r="929" spans="1:5" x14ac:dyDescent="0.25">
      <c r="A929" s="7">
        <f>IF(E929=1,
      SUM($E$2:E929)-1,
"")</f>
        <v>926</v>
      </c>
      <c r="B929" s="6" t="s">
        <v>391</v>
      </c>
      <c r="C929" s="14">
        <v>45247</v>
      </c>
      <c r="D929" s="15">
        <v>103.31</v>
      </c>
      <c r="E929" s="7">
        <f t="shared" si="14"/>
        <v>1</v>
      </c>
    </row>
    <row r="930" spans="1:5" x14ac:dyDescent="0.25">
      <c r="A930" s="7">
        <f>IF(E930=1,
      SUM($E$2:E930)-1,
"")</f>
        <v>927</v>
      </c>
      <c r="B930" s="6" t="s">
        <v>377</v>
      </c>
      <c r="C930" s="14">
        <v>45181</v>
      </c>
      <c r="D930" s="15">
        <v>102.28</v>
      </c>
      <c r="E930" s="7">
        <f t="shared" si="14"/>
        <v>1</v>
      </c>
    </row>
    <row r="931" spans="1:5" x14ac:dyDescent="0.25">
      <c r="A931" s="7">
        <f>IF(E931=1,
      SUM($E$2:E931)-1,
"")</f>
        <v>928</v>
      </c>
      <c r="B931" s="6" t="s">
        <v>664</v>
      </c>
      <c r="C931" s="14">
        <v>45248</v>
      </c>
      <c r="D931" s="15">
        <v>118.68</v>
      </c>
      <c r="E931" s="7">
        <f t="shared" si="14"/>
        <v>1</v>
      </c>
    </row>
    <row r="932" spans="1:5" x14ac:dyDescent="0.25">
      <c r="A932" s="7">
        <f>IF(E932=1,
      SUM($E$2:E932)-1,
"")</f>
        <v>929</v>
      </c>
      <c r="B932" s="6" t="s">
        <v>665</v>
      </c>
      <c r="C932" s="14">
        <v>45046</v>
      </c>
      <c r="D932" s="15">
        <v>108.67</v>
      </c>
      <c r="E932" s="7">
        <f t="shared" si="14"/>
        <v>1</v>
      </c>
    </row>
    <row r="933" spans="1:5" x14ac:dyDescent="0.25">
      <c r="A933" s="7">
        <f>IF(E933=1,
      SUM($E$2:E933)-1,
"")</f>
        <v>930</v>
      </c>
      <c r="B933" s="6" t="s">
        <v>166</v>
      </c>
      <c r="C933" s="14">
        <v>45189</v>
      </c>
      <c r="D933" s="15">
        <v>97.02</v>
      </c>
      <c r="E933" s="7">
        <f t="shared" si="14"/>
        <v>1</v>
      </c>
    </row>
    <row r="934" spans="1:5" x14ac:dyDescent="0.25">
      <c r="A934" s="7">
        <f>IF(E934=1,
      SUM($E$2:E934)-1,
"")</f>
        <v>931</v>
      </c>
      <c r="B934" s="6" t="s">
        <v>496</v>
      </c>
      <c r="C934" s="14">
        <v>45208</v>
      </c>
      <c r="D934" s="15">
        <v>78.36</v>
      </c>
      <c r="E934" s="7">
        <f t="shared" si="14"/>
        <v>1</v>
      </c>
    </row>
    <row r="935" spans="1:5" x14ac:dyDescent="0.25">
      <c r="A935" s="7">
        <f>IF(E935=1,
      SUM($E$2:E935)-1,
"")</f>
        <v>932</v>
      </c>
      <c r="B935" s="6" t="s">
        <v>301</v>
      </c>
      <c r="C935" s="14">
        <v>45159</v>
      </c>
      <c r="D935" s="15">
        <v>102.35</v>
      </c>
      <c r="E935" s="7">
        <f t="shared" si="14"/>
        <v>1</v>
      </c>
    </row>
    <row r="936" spans="1:5" x14ac:dyDescent="0.25">
      <c r="A936" s="7">
        <f>IF(E936=1,
      SUM($E$2:E936)-1,
"")</f>
        <v>933</v>
      </c>
      <c r="B936" s="6" t="s">
        <v>487</v>
      </c>
      <c r="C936" s="14">
        <v>45185</v>
      </c>
      <c r="D936" s="15">
        <v>132.83000000000001</v>
      </c>
      <c r="E936" s="7">
        <f t="shared" si="14"/>
        <v>1</v>
      </c>
    </row>
    <row r="937" spans="1:5" x14ac:dyDescent="0.25">
      <c r="A937" s="7">
        <f>IF(E937=1,
      SUM($E$2:E937)-1,
"")</f>
        <v>934</v>
      </c>
      <c r="B937" s="6" t="s">
        <v>666</v>
      </c>
      <c r="C937" s="14">
        <v>45275</v>
      </c>
      <c r="D937" s="15">
        <v>153.46</v>
      </c>
      <c r="E937" s="7">
        <f t="shared" si="14"/>
        <v>1</v>
      </c>
    </row>
    <row r="938" spans="1:5" x14ac:dyDescent="0.25">
      <c r="A938" s="7">
        <f>IF(E938=1,
      SUM($E$2:E938)-1,
"")</f>
        <v>935</v>
      </c>
      <c r="B938" s="6" t="s">
        <v>476</v>
      </c>
      <c r="C938" s="14">
        <v>45199</v>
      </c>
      <c r="D938" s="15">
        <v>108.77</v>
      </c>
      <c r="E938" s="7">
        <f t="shared" si="14"/>
        <v>1</v>
      </c>
    </row>
    <row r="939" spans="1:5" x14ac:dyDescent="0.25">
      <c r="A939" s="7">
        <f>IF(E939=1,
      SUM($E$2:E939)-1,
"")</f>
        <v>936</v>
      </c>
      <c r="B939" s="6" t="s">
        <v>362</v>
      </c>
      <c r="C939" s="14">
        <v>45143</v>
      </c>
      <c r="D939" s="15">
        <v>122.65</v>
      </c>
      <c r="E939" s="7">
        <f t="shared" si="14"/>
        <v>1</v>
      </c>
    </row>
    <row r="940" spans="1:5" x14ac:dyDescent="0.25">
      <c r="A940" s="7">
        <f>IF(E940=1,
      SUM($E$2:E940)-1,
"")</f>
        <v>937</v>
      </c>
      <c r="B940" s="6" t="s">
        <v>515</v>
      </c>
      <c r="C940" s="14">
        <v>45047</v>
      </c>
      <c r="D940" s="15">
        <v>108.09</v>
      </c>
      <c r="E940" s="7">
        <f t="shared" si="14"/>
        <v>1</v>
      </c>
    </row>
    <row r="941" spans="1:5" x14ac:dyDescent="0.25">
      <c r="A941" s="7">
        <f>IF(E941=1,
      SUM($E$2:E941)-1,
"")</f>
        <v>938</v>
      </c>
      <c r="B941" s="6" t="s">
        <v>89</v>
      </c>
      <c r="C941" s="14">
        <v>45004</v>
      </c>
      <c r="D941" s="15">
        <v>97.38</v>
      </c>
      <c r="E941" s="7">
        <f t="shared" si="14"/>
        <v>1</v>
      </c>
    </row>
    <row r="942" spans="1:5" x14ac:dyDescent="0.25">
      <c r="A942" s="7">
        <f>IF(E942=1,
      SUM($E$2:E942)-1,
"")</f>
        <v>939</v>
      </c>
      <c r="B942" s="6" t="s">
        <v>160</v>
      </c>
      <c r="C942" s="14">
        <v>45084</v>
      </c>
      <c r="D942" s="15">
        <v>115.43</v>
      </c>
      <c r="E942" s="7">
        <f t="shared" si="14"/>
        <v>1</v>
      </c>
    </row>
    <row r="943" spans="1:5" x14ac:dyDescent="0.25">
      <c r="A943" s="7">
        <f>IF(E943=1,
      SUM($E$2:E943)-1,
"")</f>
        <v>940</v>
      </c>
      <c r="B943" s="6" t="s">
        <v>661</v>
      </c>
      <c r="C943" s="14">
        <v>45167</v>
      </c>
      <c r="D943" s="15">
        <v>135.68</v>
      </c>
      <c r="E943" s="7">
        <f t="shared" si="14"/>
        <v>1</v>
      </c>
    </row>
    <row r="944" spans="1:5" x14ac:dyDescent="0.25">
      <c r="A944" s="7">
        <f>IF(E944=1,
      SUM($E$2:E944)-1,
"")</f>
        <v>941</v>
      </c>
      <c r="B944" s="6" t="s">
        <v>288</v>
      </c>
      <c r="C944" s="14">
        <v>45058</v>
      </c>
      <c r="D944" s="15">
        <v>73.41</v>
      </c>
      <c r="E944" s="7">
        <f t="shared" si="14"/>
        <v>1</v>
      </c>
    </row>
    <row r="945" spans="1:5" x14ac:dyDescent="0.25">
      <c r="A945" s="7">
        <f>IF(E945=1,
      SUM($E$2:E945)-1,
"")</f>
        <v>942</v>
      </c>
      <c r="B945" s="6" t="s">
        <v>498</v>
      </c>
      <c r="C945" s="14">
        <v>45171</v>
      </c>
      <c r="D945" s="15">
        <v>56.46</v>
      </c>
      <c r="E945" s="7">
        <f t="shared" si="14"/>
        <v>1</v>
      </c>
    </row>
    <row r="946" spans="1:5" x14ac:dyDescent="0.25">
      <c r="A946" s="7">
        <f>IF(E946=1,
      SUM($E$2:E946)-1,
"")</f>
        <v>943</v>
      </c>
      <c r="B946" s="6" t="s">
        <v>475</v>
      </c>
      <c r="C946" s="14">
        <v>45155</v>
      </c>
      <c r="D946" s="15">
        <v>84.01</v>
      </c>
      <c r="E946" s="7">
        <f t="shared" si="14"/>
        <v>1</v>
      </c>
    </row>
    <row r="947" spans="1:5" x14ac:dyDescent="0.25">
      <c r="A947" s="7">
        <f>IF(E947=1,
      SUM($E$2:E947)-1,
"")</f>
        <v>944</v>
      </c>
      <c r="B947" s="6" t="s">
        <v>272</v>
      </c>
      <c r="C947" s="14">
        <v>45178</v>
      </c>
      <c r="D947" s="15">
        <v>106.35</v>
      </c>
      <c r="E947" s="7">
        <f t="shared" si="14"/>
        <v>1</v>
      </c>
    </row>
    <row r="948" spans="1:5" x14ac:dyDescent="0.25">
      <c r="A948" s="7">
        <f>IF(E948=1,
      SUM($E$2:E948)-1,
"")</f>
        <v>945</v>
      </c>
      <c r="B948" s="6" t="s">
        <v>667</v>
      </c>
      <c r="C948" s="14">
        <v>45131</v>
      </c>
      <c r="D948" s="15">
        <v>126.1</v>
      </c>
      <c r="E948" s="7">
        <f t="shared" si="14"/>
        <v>1</v>
      </c>
    </row>
    <row r="949" spans="1:5" x14ac:dyDescent="0.25">
      <c r="A949" s="7">
        <f>IF(E949=1,
      SUM($E$2:E949)-1,
"")</f>
        <v>946</v>
      </c>
      <c r="B949" s="6" t="s">
        <v>565</v>
      </c>
      <c r="C949" s="14">
        <v>45092</v>
      </c>
      <c r="D949" s="15">
        <v>70.31</v>
      </c>
      <c r="E949" s="7">
        <f t="shared" si="14"/>
        <v>1</v>
      </c>
    </row>
    <row r="950" spans="1:5" x14ac:dyDescent="0.25">
      <c r="A950" s="7">
        <f>IF(E950=1,
      SUM($E$2:E950)-1,
"")</f>
        <v>947</v>
      </c>
      <c r="B950" s="6" t="s">
        <v>668</v>
      </c>
      <c r="C950" s="14">
        <v>45059</v>
      </c>
      <c r="D950" s="15">
        <v>25.34</v>
      </c>
      <c r="E950" s="7">
        <f t="shared" si="14"/>
        <v>1</v>
      </c>
    </row>
    <row r="951" spans="1:5" x14ac:dyDescent="0.25">
      <c r="A951" s="7">
        <f>IF(E951=1,
      SUM($E$2:E951)-1,
"")</f>
        <v>948</v>
      </c>
      <c r="B951" s="6" t="s">
        <v>317</v>
      </c>
      <c r="C951" s="14">
        <v>45265</v>
      </c>
      <c r="D951" s="15">
        <v>84.72</v>
      </c>
      <c r="E951" s="7">
        <f t="shared" si="14"/>
        <v>1</v>
      </c>
    </row>
    <row r="952" spans="1:5" x14ac:dyDescent="0.25">
      <c r="A952" s="7">
        <f>IF(E952=1,
      SUM($E$2:E952)-1,
"")</f>
        <v>949</v>
      </c>
      <c r="B952" s="6" t="s">
        <v>669</v>
      </c>
      <c r="C952" s="14">
        <v>45282</v>
      </c>
      <c r="D952" s="15">
        <v>94.18</v>
      </c>
      <c r="E952" s="7">
        <f t="shared" si="14"/>
        <v>1</v>
      </c>
    </row>
    <row r="953" spans="1:5" x14ac:dyDescent="0.25">
      <c r="A953" s="7">
        <f>IF(E953=1,
      SUM($E$2:E953)-1,
"")</f>
        <v>950</v>
      </c>
      <c r="B953" s="6" t="s">
        <v>386</v>
      </c>
      <c r="C953" s="14">
        <v>45087</v>
      </c>
      <c r="D953" s="15">
        <v>65.13</v>
      </c>
      <c r="E953" s="7">
        <f t="shared" si="14"/>
        <v>1</v>
      </c>
    </row>
    <row r="954" spans="1:5" x14ac:dyDescent="0.25">
      <c r="A954" s="7">
        <f>IF(E954=1,
      SUM($E$2:E954)-1,
"")</f>
        <v>951</v>
      </c>
      <c r="B954" s="6" t="s">
        <v>670</v>
      </c>
      <c r="C954" s="14">
        <v>45126</v>
      </c>
      <c r="D954" s="15">
        <v>77.319999999999993</v>
      </c>
      <c r="E954" s="7">
        <f t="shared" si="14"/>
        <v>1</v>
      </c>
    </row>
    <row r="955" spans="1:5" x14ac:dyDescent="0.25">
      <c r="A955" s="7">
        <f>IF(E955=1,
      SUM($E$2:E955)-1,
"")</f>
        <v>952</v>
      </c>
      <c r="B955" s="6" t="s">
        <v>474</v>
      </c>
      <c r="C955" s="14">
        <v>45046</v>
      </c>
      <c r="D955" s="15">
        <v>126.02</v>
      </c>
      <c r="E955" s="7">
        <f t="shared" si="14"/>
        <v>1</v>
      </c>
    </row>
    <row r="956" spans="1:5" x14ac:dyDescent="0.25">
      <c r="A956" s="7">
        <f>IF(E956=1,
      SUM($E$2:E956)-1,
"")</f>
        <v>953</v>
      </c>
      <c r="B956" s="6" t="s">
        <v>465</v>
      </c>
      <c r="C956" s="14">
        <v>45246</v>
      </c>
      <c r="D956" s="15">
        <v>102.34</v>
      </c>
      <c r="E956" s="7">
        <f t="shared" si="14"/>
        <v>1</v>
      </c>
    </row>
    <row r="957" spans="1:5" x14ac:dyDescent="0.25">
      <c r="A957" s="7">
        <f>IF(E957=1,
      SUM($E$2:E957)-1,
"")</f>
        <v>954</v>
      </c>
      <c r="B957" s="6" t="s">
        <v>671</v>
      </c>
      <c r="C957" s="14">
        <v>45047</v>
      </c>
      <c r="D957" s="15">
        <v>110.37</v>
      </c>
      <c r="E957" s="7">
        <f t="shared" si="14"/>
        <v>1</v>
      </c>
    </row>
    <row r="958" spans="1:5" x14ac:dyDescent="0.25">
      <c r="A958" s="7">
        <f>IF(E958=1,
      SUM($E$2:E958)-1,
"")</f>
        <v>955</v>
      </c>
      <c r="B958" s="6" t="s">
        <v>89</v>
      </c>
      <c r="C958" s="14">
        <v>45166</v>
      </c>
      <c r="D958" s="15">
        <v>89.33</v>
      </c>
      <c r="E958" s="7">
        <f t="shared" si="14"/>
        <v>1</v>
      </c>
    </row>
    <row r="959" spans="1:5" x14ac:dyDescent="0.25">
      <c r="A959" s="7">
        <f>IF(E959=1,
      SUM($E$2:E959)-1,
"")</f>
        <v>956</v>
      </c>
      <c r="B959" s="6" t="s">
        <v>672</v>
      </c>
      <c r="C959" s="14">
        <v>45146</v>
      </c>
      <c r="D959" s="15">
        <v>77.38</v>
      </c>
      <c r="E959" s="7">
        <f t="shared" si="14"/>
        <v>1</v>
      </c>
    </row>
    <row r="960" spans="1:5" x14ac:dyDescent="0.25">
      <c r="A960" s="7">
        <f>IF(E960=1,
      SUM($E$2:E960)-1,
"")</f>
        <v>957</v>
      </c>
      <c r="B960" s="6" t="s">
        <v>83</v>
      </c>
      <c r="C960" s="14">
        <v>45175</v>
      </c>
      <c r="D960" s="15">
        <v>89.11</v>
      </c>
      <c r="E960" s="7">
        <f t="shared" si="14"/>
        <v>1</v>
      </c>
    </row>
    <row r="961" spans="1:5" x14ac:dyDescent="0.25">
      <c r="A961" s="7">
        <f>IF(E961=1,
      SUM($E$2:E961)-1,
"")</f>
        <v>958</v>
      </c>
      <c r="B961" s="6" t="s">
        <v>278</v>
      </c>
      <c r="C961" s="14">
        <v>45141</v>
      </c>
      <c r="D961" s="15">
        <v>114.97</v>
      </c>
      <c r="E961" s="7">
        <f t="shared" si="14"/>
        <v>1</v>
      </c>
    </row>
    <row r="962" spans="1:5" x14ac:dyDescent="0.25">
      <c r="A962" s="7">
        <f>IF(E962=1,
      SUM($E$2:E962)-1,
"")</f>
        <v>959</v>
      </c>
      <c r="B962" s="6" t="s">
        <v>582</v>
      </c>
      <c r="C962" s="14">
        <v>45221</v>
      </c>
      <c r="D962" s="15">
        <v>55.26</v>
      </c>
      <c r="E962" s="7">
        <f t="shared" ref="E962:E1025" si="15">IF(D962&gt;0,1,0)</f>
        <v>1</v>
      </c>
    </row>
    <row r="963" spans="1:5" x14ac:dyDescent="0.25">
      <c r="A963" s="7">
        <f>IF(E963=1,
      SUM($E$2:E963)-1,
"")</f>
        <v>960</v>
      </c>
      <c r="B963" s="6" t="s">
        <v>568</v>
      </c>
      <c r="C963" s="14">
        <v>44930</v>
      </c>
      <c r="D963" s="15">
        <v>149.51</v>
      </c>
      <c r="E963" s="7">
        <f t="shared" si="15"/>
        <v>1</v>
      </c>
    </row>
    <row r="964" spans="1:5" x14ac:dyDescent="0.25">
      <c r="A964" s="7">
        <f>IF(E964=1,
      SUM($E$2:E964)-1,
"")</f>
        <v>961</v>
      </c>
      <c r="B964" s="6" t="s">
        <v>202</v>
      </c>
      <c r="C964" s="14">
        <v>45156</v>
      </c>
      <c r="D964" s="15">
        <v>117.25</v>
      </c>
      <c r="E964" s="7">
        <f t="shared" si="15"/>
        <v>1</v>
      </c>
    </row>
    <row r="965" spans="1:5" x14ac:dyDescent="0.25">
      <c r="A965" s="7">
        <f>IF(E965=1,
      SUM($E$2:E965)-1,
"")</f>
        <v>962</v>
      </c>
      <c r="B965" s="6" t="s">
        <v>483</v>
      </c>
      <c r="C965" s="14">
        <v>45118</v>
      </c>
      <c r="D965" s="15">
        <v>83.92</v>
      </c>
      <c r="E965" s="7">
        <f t="shared" si="15"/>
        <v>1</v>
      </c>
    </row>
    <row r="966" spans="1:5" x14ac:dyDescent="0.25">
      <c r="A966" s="7">
        <f>IF(E966=1,
      SUM($E$2:E966)-1,
"")</f>
        <v>963</v>
      </c>
      <c r="B966" s="6" t="s">
        <v>138</v>
      </c>
      <c r="C966" s="14">
        <v>45004</v>
      </c>
      <c r="D966" s="15">
        <v>124.4</v>
      </c>
      <c r="E966" s="7">
        <f t="shared" si="15"/>
        <v>1</v>
      </c>
    </row>
    <row r="967" spans="1:5" x14ac:dyDescent="0.25">
      <c r="A967" s="7">
        <f>IF(E967=1,
      SUM($E$2:E967)-1,
"")</f>
        <v>964</v>
      </c>
      <c r="B967" s="6" t="s">
        <v>673</v>
      </c>
      <c r="C967" s="14">
        <v>45274</v>
      </c>
      <c r="D967" s="15">
        <v>136.66999999999999</v>
      </c>
      <c r="E967" s="7">
        <f t="shared" si="15"/>
        <v>1</v>
      </c>
    </row>
    <row r="968" spans="1:5" x14ac:dyDescent="0.25">
      <c r="A968" s="7">
        <f>IF(E968=1,
      SUM($E$2:E968)-1,
"")</f>
        <v>965</v>
      </c>
      <c r="B968" s="6" t="s">
        <v>674</v>
      </c>
      <c r="C968" s="14">
        <v>45098</v>
      </c>
      <c r="D968" s="15">
        <v>90.09</v>
      </c>
      <c r="E968" s="7">
        <f t="shared" si="15"/>
        <v>1</v>
      </c>
    </row>
    <row r="969" spans="1:5" x14ac:dyDescent="0.25">
      <c r="A969" s="7">
        <f>IF(E969=1,
      SUM($E$2:E969)-1,
"")</f>
        <v>966</v>
      </c>
      <c r="B969" s="6" t="s">
        <v>675</v>
      </c>
      <c r="C969" s="14">
        <v>44963</v>
      </c>
      <c r="D969" s="15">
        <v>93.5</v>
      </c>
      <c r="E969" s="7">
        <f t="shared" si="15"/>
        <v>1</v>
      </c>
    </row>
    <row r="970" spans="1:5" x14ac:dyDescent="0.25">
      <c r="A970" s="7">
        <f>IF(E970=1,
      SUM($E$2:E970)-1,
"")</f>
        <v>967</v>
      </c>
      <c r="B970" s="6" t="s">
        <v>584</v>
      </c>
      <c r="C970" s="14">
        <v>45118</v>
      </c>
      <c r="D970" s="15">
        <v>144.80000000000001</v>
      </c>
      <c r="E970" s="7">
        <f t="shared" si="15"/>
        <v>1</v>
      </c>
    </row>
    <row r="971" spans="1:5" x14ac:dyDescent="0.25">
      <c r="A971" s="7">
        <f>IF(E971=1,
      SUM($E$2:E971)-1,
"")</f>
        <v>968</v>
      </c>
      <c r="B971" s="6" t="s">
        <v>194</v>
      </c>
      <c r="C971" s="14">
        <v>44939</v>
      </c>
      <c r="D971" s="15">
        <v>163.57</v>
      </c>
      <c r="E971" s="7">
        <f t="shared" si="15"/>
        <v>1</v>
      </c>
    </row>
    <row r="972" spans="1:5" x14ac:dyDescent="0.25">
      <c r="A972" s="7">
        <f>IF(E972=1,
      SUM($E$2:E972)-1,
"")</f>
        <v>969</v>
      </c>
      <c r="B972" s="6" t="s">
        <v>676</v>
      </c>
      <c r="C972" s="14">
        <v>45152</v>
      </c>
      <c r="D972" s="15">
        <v>100.88</v>
      </c>
      <c r="E972" s="7">
        <f t="shared" si="15"/>
        <v>1</v>
      </c>
    </row>
    <row r="973" spans="1:5" x14ac:dyDescent="0.25">
      <c r="A973" s="7">
        <f>IF(E973=1,
      SUM($E$2:E973)-1,
"")</f>
        <v>970</v>
      </c>
      <c r="B973" s="6" t="s">
        <v>526</v>
      </c>
      <c r="C973" s="14">
        <v>45047</v>
      </c>
      <c r="D973" s="15">
        <v>65.25</v>
      </c>
      <c r="E973" s="7">
        <f t="shared" si="15"/>
        <v>1</v>
      </c>
    </row>
    <row r="974" spans="1:5" x14ac:dyDescent="0.25">
      <c r="A974" s="7">
        <f>IF(E974=1,
      SUM($E$2:E974)-1,
"")</f>
        <v>971</v>
      </c>
      <c r="B974" s="6" t="s">
        <v>677</v>
      </c>
      <c r="C974" s="14">
        <v>45200</v>
      </c>
      <c r="D974" s="15">
        <v>85.88</v>
      </c>
      <c r="E974" s="7">
        <f t="shared" si="15"/>
        <v>1</v>
      </c>
    </row>
    <row r="975" spans="1:5" x14ac:dyDescent="0.25">
      <c r="A975" s="7">
        <f>IF(E975=1,
      SUM($E$2:E975)-1,
"")</f>
        <v>972</v>
      </c>
      <c r="B975" s="6" t="s">
        <v>678</v>
      </c>
      <c r="C975" s="14">
        <v>45054</v>
      </c>
      <c r="D975" s="15">
        <v>130.99</v>
      </c>
      <c r="E975" s="7">
        <f t="shared" si="15"/>
        <v>1</v>
      </c>
    </row>
    <row r="976" spans="1:5" x14ac:dyDescent="0.25">
      <c r="A976" s="7">
        <f>IF(E976=1,
      SUM($E$2:E976)-1,
"")</f>
        <v>973</v>
      </c>
      <c r="B976" s="6" t="s">
        <v>480</v>
      </c>
      <c r="C976" s="14">
        <v>45088</v>
      </c>
      <c r="D976" s="15">
        <v>69.09</v>
      </c>
      <c r="E976" s="7">
        <f t="shared" si="15"/>
        <v>1</v>
      </c>
    </row>
    <row r="977" spans="1:5" x14ac:dyDescent="0.25">
      <c r="A977" s="7">
        <f>IF(E977=1,
      SUM($E$2:E977)-1,
"")</f>
        <v>974</v>
      </c>
      <c r="B977" s="6" t="s">
        <v>679</v>
      </c>
      <c r="C977" s="14">
        <v>45245</v>
      </c>
      <c r="D977" s="15">
        <v>93.75</v>
      </c>
      <c r="E977" s="7">
        <f t="shared" si="15"/>
        <v>1</v>
      </c>
    </row>
    <row r="978" spans="1:5" x14ac:dyDescent="0.25">
      <c r="A978" s="7">
        <f>IF(E978=1,
      SUM($E$2:E978)-1,
"")</f>
        <v>975</v>
      </c>
      <c r="B978" s="6" t="s">
        <v>218</v>
      </c>
      <c r="C978" s="14">
        <v>45048</v>
      </c>
      <c r="D978" s="15">
        <v>108.78</v>
      </c>
      <c r="E978" s="7">
        <f t="shared" si="15"/>
        <v>1</v>
      </c>
    </row>
    <row r="979" spans="1:5" x14ac:dyDescent="0.25">
      <c r="A979" s="7">
        <f>IF(E979=1,
      SUM($E$2:E979)-1,
"")</f>
        <v>976</v>
      </c>
      <c r="B979" s="6" t="s">
        <v>354</v>
      </c>
      <c r="C979" s="14">
        <v>44973</v>
      </c>
      <c r="D979" s="15">
        <v>72.319999999999993</v>
      </c>
      <c r="E979" s="7">
        <f t="shared" si="15"/>
        <v>1</v>
      </c>
    </row>
    <row r="980" spans="1:5" x14ac:dyDescent="0.25">
      <c r="A980" s="7">
        <f>IF(E980=1,
      SUM($E$2:E980)-1,
"")</f>
        <v>977</v>
      </c>
      <c r="B980" s="6" t="s">
        <v>680</v>
      </c>
      <c r="C980" s="14">
        <v>44976</v>
      </c>
      <c r="D980" s="15">
        <v>132.88999999999999</v>
      </c>
      <c r="E980" s="7">
        <f t="shared" si="15"/>
        <v>1</v>
      </c>
    </row>
    <row r="981" spans="1:5" x14ac:dyDescent="0.25">
      <c r="A981" s="7">
        <f>IF(E981=1,
      SUM($E$2:E981)-1,
"")</f>
        <v>978</v>
      </c>
      <c r="B981" s="6" t="s">
        <v>250</v>
      </c>
      <c r="C981" s="14">
        <v>44998</v>
      </c>
      <c r="D981" s="15">
        <v>120.82</v>
      </c>
      <c r="E981" s="7">
        <f t="shared" si="15"/>
        <v>1</v>
      </c>
    </row>
    <row r="982" spans="1:5" x14ac:dyDescent="0.25">
      <c r="A982" s="7">
        <f>IF(E982=1,
      SUM($E$2:E982)-1,
"")</f>
        <v>979</v>
      </c>
      <c r="B982" s="6" t="s">
        <v>675</v>
      </c>
      <c r="C982" s="14">
        <v>45165</v>
      </c>
      <c r="D982" s="15">
        <v>160.29</v>
      </c>
      <c r="E982" s="7">
        <f t="shared" si="15"/>
        <v>1</v>
      </c>
    </row>
    <row r="983" spans="1:5" x14ac:dyDescent="0.25">
      <c r="A983" s="7">
        <f>IF(E983=1,
      SUM($E$2:E983)-1,
"")</f>
        <v>980</v>
      </c>
      <c r="B983" s="6" t="s">
        <v>337</v>
      </c>
      <c r="C983" s="14">
        <v>44949</v>
      </c>
      <c r="D983" s="15">
        <v>123.44</v>
      </c>
      <c r="E983" s="7">
        <f t="shared" si="15"/>
        <v>1</v>
      </c>
    </row>
    <row r="984" spans="1:5" x14ac:dyDescent="0.25">
      <c r="A984" s="7">
        <f>IF(E984=1,
      SUM($E$2:E984)-1,
"")</f>
        <v>981</v>
      </c>
      <c r="B984" s="6" t="s">
        <v>681</v>
      </c>
      <c r="C984" s="14">
        <v>45011</v>
      </c>
      <c r="D984" s="15">
        <v>71.17</v>
      </c>
      <c r="E984" s="7">
        <f t="shared" si="15"/>
        <v>1</v>
      </c>
    </row>
    <row r="985" spans="1:5" x14ac:dyDescent="0.25">
      <c r="A985" s="7">
        <f>IF(E985=1,
      SUM($E$2:E985)-1,
"")</f>
        <v>982</v>
      </c>
      <c r="B985" s="6" t="s">
        <v>682</v>
      </c>
      <c r="C985" s="14">
        <v>45276</v>
      </c>
      <c r="D985" s="15">
        <v>115.91</v>
      </c>
      <c r="E985" s="7">
        <f t="shared" si="15"/>
        <v>1</v>
      </c>
    </row>
    <row r="986" spans="1:5" x14ac:dyDescent="0.25">
      <c r="A986" s="7">
        <f>IF(E986=1,
      SUM($E$2:E986)-1,
"")</f>
        <v>983</v>
      </c>
      <c r="B986" s="6" t="s">
        <v>683</v>
      </c>
      <c r="C986" s="14">
        <v>45222</v>
      </c>
      <c r="D986" s="15">
        <v>129.63999999999999</v>
      </c>
      <c r="E986" s="7">
        <f t="shared" si="15"/>
        <v>1</v>
      </c>
    </row>
    <row r="987" spans="1:5" x14ac:dyDescent="0.25">
      <c r="A987" s="7">
        <f>IF(E987=1,
      SUM($E$2:E987)-1,
"")</f>
        <v>984</v>
      </c>
      <c r="B987" s="6" t="s">
        <v>233</v>
      </c>
      <c r="C987" s="14">
        <v>45024</v>
      </c>
      <c r="D987" s="15">
        <v>131.18</v>
      </c>
      <c r="E987" s="7">
        <f t="shared" si="15"/>
        <v>1</v>
      </c>
    </row>
    <row r="988" spans="1:5" x14ac:dyDescent="0.25">
      <c r="A988" s="7">
        <f>IF(E988=1,
      SUM($E$2:E988)-1,
"")</f>
        <v>985</v>
      </c>
      <c r="B988" s="6" t="s">
        <v>109</v>
      </c>
      <c r="C988" s="14">
        <v>44968</v>
      </c>
      <c r="D988" s="15">
        <v>76.69</v>
      </c>
      <c r="E988" s="7">
        <f t="shared" si="15"/>
        <v>1</v>
      </c>
    </row>
    <row r="989" spans="1:5" x14ac:dyDescent="0.25">
      <c r="A989" s="7">
        <f>IF(E989=1,
      SUM($E$2:E989)-1,
"")</f>
        <v>986</v>
      </c>
      <c r="B989" s="6" t="s">
        <v>159</v>
      </c>
      <c r="C989" s="14">
        <v>45011</v>
      </c>
      <c r="D989" s="15">
        <v>73.11</v>
      </c>
      <c r="E989" s="7">
        <f t="shared" si="15"/>
        <v>1</v>
      </c>
    </row>
    <row r="990" spans="1:5" x14ac:dyDescent="0.25">
      <c r="A990" s="7">
        <f>IF(E990=1,
      SUM($E$2:E990)-1,
"")</f>
        <v>987</v>
      </c>
      <c r="B990" s="6" t="s">
        <v>684</v>
      </c>
      <c r="C990" s="14">
        <v>44988</v>
      </c>
      <c r="D990" s="15">
        <v>65.81</v>
      </c>
      <c r="E990" s="7">
        <f t="shared" si="15"/>
        <v>1</v>
      </c>
    </row>
    <row r="991" spans="1:5" x14ac:dyDescent="0.25">
      <c r="A991" s="7">
        <f>IF(E991=1,
      SUM($E$2:E991)-1,
"")</f>
        <v>988</v>
      </c>
      <c r="B991" s="6" t="s">
        <v>407</v>
      </c>
      <c r="C991" s="14">
        <v>45286</v>
      </c>
      <c r="D991" s="15">
        <v>148.13999999999999</v>
      </c>
      <c r="E991" s="7">
        <f t="shared" si="15"/>
        <v>1</v>
      </c>
    </row>
    <row r="992" spans="1:5" x14ac:dyDescent="0.25">
      <c r="A992" s="7">
        <f>IF(E992=1,
      SUM($E$2:E992)-1,
"")</f>
        <v>989</v>
      </c>
      <c r="B992" s="6" t="s">
        <v>439</v>
      </c>
      <c r="C992" s="14">
        <v>44979</v>
      </c>
      <c r="D992" s="15">
        <v>118.69</v>
      </c>
      <c r="E992" s="7">
        <f t="shared" si="15"/>
        <v>1</v>
      </c>
    </row>
    <row r="993" spans="1:5" x14ac:dyDescent="0.25">
      <c r="A993" s="7">
        <f>IF(E993=1,
      SUM($E$2:E993)-1,
"")</f>
        <v>990</v>
      </c>
      <c r="B993" s="6" t="s">
        <v>685</v>
      </c>
      <c r="C993" s="14">
        <v>44988</v>
      </c>
      <c r="D993" s="15">
        <v>75.36</v>
      </c>
      <c r="E993" s="7">
        <f t="shared" si="15"/>
        <v>1</v>
      </c>
    </row>
    <row r="994" spans="1:5" x14ac:dyDescent="0.25">
      <c r="A994" s="7">
        <f>IF(E994=1,
      SUM($E$2:E994)-1,
"")</f>
        <v>991</v>
      </c>
      <c r="B994" s="6" t="s">
        <v>658</v>
      </c>
      <c r="C994" s="14">
        <v>45190</v>
      </c>
      <c r="D994" s="15">
        <v>103.82</v>
      </c>
      <c r="E994" s="7">
        <f t="shared" si="15"/>
        <v>1</v>
      </c>
    </row>
    <row r="995" spans="1:5" x14ac:dyDescent="0.25">
      <c r="A995" s="7">
        <f>IF(E995=1,
      SUM($E$2:E995)-1,
"")</f>
        <v>992</v>
      </c>
      <c r="B995" s="6" t="s">
        <v>464</v>
      </c>
      <c r="C995" s="14">
        <v>44984</v>
      </c>
      <c r="D995" s="15">
        <v>96.29</v>
      </c>
      <c r="E995" s="7">
        <f t="shared" si="15"/>
        <v>1</v>
      </c>
    </row>
    <row r="996" spans="1:5" x14ac:dyDescent="0.25">
      <c r="A996" s="7">
        <f>IF(E996=1,
      SUM($E$2:E996)-1,
"")</f>
        <v>993</v>
      </c>
      <c r="B996" s="6" t="s">
        <v>686</v>
      </c>
      <c r="C996" s="14">
        <v>45100</v>
      </c>
      <c r="D996" s="15">
        <v>70.819999999999993</v>
      </c>
      <c r="E996" s="7">
        <f t="shared" si="15"/>
        <v>1</v>
      </c>
    </row>
    <row r="997" spans="1:5" x14ac:dyDescent="0.25">
      <c r="A997" s="7">
        <f>IF(E997=1,
      SUM($E$2:E997)-1,
"")</f>
        <v>994</v>
      </c>
      <c r="B997" s="6" t="s">
        <v>687</v>
      </c>
      <c r="C997" s="14">
        <v>45052</v>
      </c>
      <c r="D997" s="15">
        <v>101.09</v>
      </c>
      <c r="E997" s="7">
        <f t="shared" si="15"/>
        <v>1</v>
      </c>
    </row>
    <row r="998" spans="1:5" x14ac:dyDescent="0.25">
      <c r="A998" s="7">
        <f>IF(E998=1,
      SUM($E$2:E998)-1,
"")</f>
        <v>995</v>
      </c>
      <c r="B998" s="6" t="s">
        <v>655</v>
      </c>
      <c r="C998" s="14">
        <v>45231</v>
      </c>
      <c r="D998" s="15">
        <v>105.72</v>
      </c>
      <c r="E998" s="7">
        <f t="shared" si="15"/>
        <v>1</v>
      </c>
    </row>
    <row r="999" spans="1:5" x14ac:dyDescent="0.25">
      <c r="A999" s="7">
        <f>IF(E999=1,
      SUM($E$2:E999)-1,
"")</f>
        <v>996</v>
      </c>
      <c r="B999" s="6" t="s">
        <v>275</v>
      </c>
      <c r="C999" s="14">
        <v>45276</v>
      </c>
      <c r="D999" s="15">
        <v>157.94</v>
      </c>
      <c r="E999" s="7">
        <f t="shared" si="15"/>
        <v>1</v>
      </c>
    </row>
    <row r="1000" spans="1:5" x14ac:dyDescent="0.25">
      <c r="A1000" s="7">
        <f>IF(E1000=1,
      SUM($E$2:E1000)-1,
"")</f>
        <v>997</v>
      </c>
      <c r="B1000" s="6" t="s">
        <v>140</v>
      </c>
      <c r="C1000" s="14">
        <v>45122</v>
      </c>
      <c r="D1000" s="15">
        <v>80.33</v>
      </c>
      <c r="E1000" s="7">
        <f t="shared" si="15"/>
        <v>1</v>
      </c>
    </row>
    <row r="1001" spans="1:5" x14ac:dyDescent="0.25">
      <c r="A1001" s="7">
        <f>IF(E1001=1,
      SUM($E$2:E1001)-1,
"")</f>
        <v>998</v>
      </c>
      <c r="B1001" s="6" t="s">
        <v>688</v>
      </c>
      <c r="C1001" s="14">
        <v>45268</v>
      </c>
      <c r="D1001" s="15">
        <v>48.72</v>
      </c>
      <c r="E1001" s="7">
        <f t="shared" si="15"/>
        <v>1</v>
      </c>
    </row>
    <row r="1002" spans="1:5" x14ac:dyDescent="0.25">
      <c r="A1002" s="7">
        <f>IF(E1002=1,
      SUM($E$2:E1002)-1,
"")</f>
        <v>999</v>
      </c>
      <c r="B1002" s="6" t="s">
        <v>493</v>
      </c>
      <c r="C1002" s="14">
        <v>45042</v>
      </c>
      <c r="D1002" s="15">
        <v>68.53</v>
      </c>
      <c r="E1002" s="7">
        <f t="shared" si="15"/>
        <v>1</v>
      </c>
    </row>
    <row r="1003" spans="1:5" x14ac:dyDescent="0.25">
      <c r="A1003" s="7">
        <f>IF(E1003=1,
      SUM($E$2:E1003)-1,
"")</f>
        <v>1000</v>
      </c>
      <c r="B1003" s="6" t="s">
        <v>239</v>
      </c>
      <c r="C1003" s="14">
        <v>45040</v>
      </c>
      <c r="D1003" s="15">
        <v>73.22</v>
      </c>
      <c r="E1003" s="7">
        <f t="shared" si="15"/>
        <v>1</v>
      </c>
    </row>
    <row r="1004" spans="1:5" x14ac:dyDescent="0.25">
      <c r="A1004" s="7">
        <f>IF(E1004=1,
      SUM($E$2:E1004)-1,
"")</f>
        <v>1001</v>
      </c>
      <c r="B1004" s="6" t="s">
        <v>689</v>
      </c>
      <c r="C1004" s="14">
        <v>45086</v>
      </c>
      <c r="D1004" s="15">
        <v>87.19</v>
      </c>
      <c r="E1004" s="7">
        <f t="shared" si="15"/>
        <v>1</v>
      </c>
    </row>
    <row r="1005" spans="1:5" x14ac:dyDescent="0.25">
      <c r="A1005" s="7">
        <f>IF(E1005=1,
      SUM($E$2:E1005)-1,
"")</f>
        <v>1002</v>
      </c>
      <c r="B1005" s="6" t="s">
        <v>402</v>
      </c>
      <c r="C1005" s="14">
        <v>45264</v>
      </c>
      <c r="D1005" s="15">
        <v>68.599999999999994</v>
      </c>
      <c r="E1005" s="7">
        <f t="shared" si="15"/>
        <v>1</v>
      </c>
    </row>
    <row r="1006" spans="1:5" x14ac:dyDescent="0.25">
      <c r="A1006" s="7">
        <f>IF(E1006=1,
      SUM($E$2:E1006)-1,
"")</f>
        <v>1003</v>
      </c>
      <c r="B1006" s="6" t="s">
        <v>298</v>
      </c>
      <c r="C1006" s="14">
        <v>45176</v>
      </c>
      <c r="D1006" s="15">
        <v>124.66</v>
      </c>
      <c r="E1006" s="7">
        <f t="shared" si="15"/>
        <v>1</v>
      </c>
    </row>
    <row r="1007" spans="1:5" x14ac:dyDescent="0.25">
      <c r="A1007" s="7">
        <f>IF(E1007=1,
      SUM($E$2:E1007)-1,
"")</f>
        <v>1004</v>
      </c>
      <c r="B1007" s="6" t="s">
        <v>198</v>
      </c>
      <c r="C1007" s="14">
        <v>45011</v>
      </c>
      <c r="D1007" s="15">
        <v>66.52</v>
      </c>
      <c r="E1007" s="7">
        <f t="shared" si="15"/>
        <v>1</v>
      </c>
    </row>
    <row r="1008" spans="1:5" x14ac:dyDescent="0.25">
      <c r="A1008" s="7">
        <f>IF(E1008=1,
      SUM($E$2:E1008)-1,
"")</f>
        <v>1005</v>
      </c>
      <c r="B1008" s="6" t="s">
        <v>690</v>
      </c>
      <c r="C1008" s="14">
        <v>45149</v>
      </c>
      <c r="D1008" s="15">
        <v>100.6</v>
      </c>
      <c r="E1008" s="7">
        <f t="shared" si="15"/>
        <v>1</v>
      </c>
    </row>
    <row r="1009" spans="1:5" x14ac:dyDescent="0.25">
      <c r="A1009" s="7">
        <f>IF(E1009=1,
      SUM($E$2:E1009)-1,
"")</f>
        <v>1006</v>
      </c>
      <c r="B1009" s="6" t="s">
        <v>691</v>
      </c>
      <c r="C1009" s="14">
        <v>45268</v>
      </c>
      <c r="D1009" s="15">
        <v>160.01</v>
      </c>
      <c r="E1009" s="7">
        <f t="shared" si="15"/>
        <v>1</v>
      </c>
    </row>
    <row r="1010" spans="1:5" x14ac:dyDescent="0.25">
      <c r="A1010" s="7">
        <f>IF(E1010=1,
      SUM($E$2:E1010)-1,
"")</f>
        <v>1007</v>
      </c>
      <c r="B1010" s="6" t="s">
        <v>692</v>
      </c>
      <c r="C1010" s="14">
        <v>44983</v>
      </c>
      <c r="D1010" s="15">
        <v>116.61</v>
      </c>
      <c r="E1010" s="7">
        <f t="shared" si="15"/>
        <v>1</v>
      </c>
    </row>
    <row r="1011" spans="1:5" x14ac:dyDescent="0.25">
      <c r="A1011" s="7">
        <f>IF(E1011=1,
      SUM($E$2:E1011)-1,
"")</f>
        <v>1008</v>
      </c>
      <c r="B1011" s="6" t="s">
        <v>598</v>
      </c>
      <c r="C1011" s="14">
        <v>45137</v>
      </c>
      <c r="D1011" s="15">
        <v>113.52</v>
      </c>
      <c r="E1011" s="7">
        <f t="shared" si="15"/>
        <v>1</v>
      </c>
    </row>
    <row r="1012" spans="1:5" x14ac:dyDescent="0.25">
      <c r="A1012" s="7">
        <f>IF(E1012=1,
      SUM($E$2:E1012)-1,
"")</f>
        <v>1009</v>
      </c>
      <c r="B1012" s="6" t="s">
        <v>358</v>
      </c>
      <c r="C1012" s="14">
        <v>45220</v>
      </c>
      <c r="D1012" s="15">
        <v>155.72</v>
      </c>
      <c r="E1012" s="7">
        <f t="shared" si="15"/>
        <v>1</v>
      </c>
    </row>
    <row r="1013" spans="1:5" x14ac:dyDescent="0.25">
      <c r="A1013" s="7">
        <f>IF(E1013=1,
      SUM($E$2:E1013)-1,
"")</f>
        <v>1010</v>
      </c>
      <c r="B1013" s="6" t="s">
        <v>693</v>
      </c>
      <c r="C1013" s="14">
        <v>45173</v>
      </c>
      <c r="D1013" s="15">
        <v>137.37</v>
      </c>
      <c r="E1013" s="7">
        <f t="shared" si="15"/>
        <v>1</v>
      </c>
    </row>
    <row r="1014" spans="1:5" x14ac:dyDescent="0.25">
      <c r="A1014" s="7">
        <f>IF(E1014=1,
      SUM($E$2:E1014)-1,
"")</f>
        <v>1011</v>
      </c>
      <c r="B1014" s="6" t="s">
        <v>694</v>
      </c>
      <c r="C1014" s="14">
        <v>44981</v>
      </c>
      <c r="D1014" s="15">
        <v>116.95</v>
      </c>
      <c r="E1014" s="7">
        <f t="shared" si="15"/>
        <v>1</v>
      </c>
    </row>
    <row r="1015" spans="1:5" x14ac:dyDescent="0.25">
      <c r="A1015" s="7">
        <f>IF(E1015=1,
      SUM($E$2:E1015)-1,
"")</f>
        <v>1012</v>
      </c>
      <c r="B1015" s="6" t="s">
        <v>204</v>
      </c>
      <c r="C1015" s="14">
        <v>44972</v>
      </c>
      <c r="D1015" s="15">
        <v>90.68</v>
      </c>
      <c r="E1015" s="7">
        <f t="shared" si="15"/>
        <v>1</v>
      </c>
    </row>
    <row r="1016" spans="1:5" x14ac:dyDescent="0.25">
      <c r="A1016" s="7">
        <f>IF(E1016=1,
      SUM($E$2:E1016)-1,
"")</f>
        <v>1013</v>
      </c>
      <c r="B1016" s="6" t="s">
        <v>189</v>
      </c>
      <c r="C1016" s="14">
        <v>45200</v>
      </c>
      <c r="D1016" s="15">
        <v>99.32</v>
      </c>
      <c r="E1016" s="7">
        <f t="shared" si="15"/>
        <v>1</v>
      </c>
    </row>
    <row r="1017" spans="1:5" x14ac:dyDescent="0.25">
      <c r="A1017" s="7">
        <f>IF(E1017=1,
      SUM($E$2:E1017)-1,
"")</f>
        <v>1014</v>
      </c>
      <c r="B1017" s="6" t="s">
        <v>449</v>
      </c>
      <c r="C1017" s="14">
        <v>45207</v>
      </c>
      <c r="D1017" s="15">
        <v>97.86</v>
      </c>
      <c r="E1017" s="7">
        <f t="shared" si="15"/>
        <v>1</v>
      </c>
    </row>
    <row r="1018" spans="1:5" x14ac:dyDescent="0.25">
      <c r="A1018" s="7">
        <f>IF(E1018=1,
      SUM($E$2:E1018)-1,
"")</f>
        <v>1015</v>
      </c>
      <c r="B1018" s="6" t="s">
        <v>297</v>
      </c>
      <c r="C1018" s="14">
        <v>44957</v>
      </c>
      <c r="D1018" s="15">
        <v>87.96</v>
      </c>
      <c r="E1018" s="7">
        <f t="shared" si="15"/>
        <v>1</v>
      </c>
    </row>
    <row r="1019" spans="1:5" x14ac:dyDescent="0.25">
      <c r="A1019" s="7">
        <f>IF(E1019=1,
      SUM($E$2:E1019)-1,
"")</f>
        <v>1016</v>
      </c>
      <c r="B1019" s="6" t="s">
        <v>244</v>
      </c>
      <c r="C1019" s="14">
        <v>44929</v>
      </c>
      <c r="D1019" s="15">
        <v>106.36</v>
      </c>
      <c r="E1019" s="7">
        <f t="shared" si="15"/>
        <v>1</v>
      </c>
    </row>
    <row r="1020" spans="1:5" x14ac:dyDescent="0.25">
      <c r="A1020" s="7">
        <f>IF(E1020=1,
      SUM($E$2:E1020)-1,
"")</f>
        <v>1017</v>
      </c>
      <c r="B1020" s="6" t="s">
        <v>586</v>
      </c>
      <c r="C1020" s="14">
        <v>45175</v>
      </c>
      <c r="D1020" s="15">
        <v>110.52</v>
      </c>
      <c r="E1020" s="7">
        <f t="shared" si="15"/>
        <v>1</v>
      </c>
    </row>
    <row r="1021" spans="1:5" x14ac:dyDescent="0.25">
      <c r="A1021" s="7">
        <f>IF(E1021=1,
      SUM($E$2:E1021)-1,
"")</f>
        <v>1018</v>
      </c>
      <c r="B1021" s="6" t="s">
        <v>250</v>
      </c>
      <c r="C1021" s="14">
        <v>45060</v>
      </c>
      <c r="D1021" s="15">
        <v>62.66</v>
      </c>
      <c r="E1021" s="7">
        <f t="shared" si="15"/>
        <v>1</v>
      </c>
    </row>
    <row r="1022" spans="1:5" x14ac:dyDescent="0.25">
      <c r="A1022" s="7">
        <f>IF(E1022=1,
      SUM($E$2:E1022)-1,
"")</f>
        <v>1019</v>
      </c>
      <c r="B1022" s="6" t="s">
        <v>354</v>
      </c>
      <c r="C1022" s="14">
        <v>45094</v>
      </c>
      <c r="D1022" s="15">
        <v>148.96</v>
      </c>
      <c r="E1022" s="7">
        <f t="shared" si="15"/>
        <v>1</v>
      </c>
    </row>
    <row r="1023" spans="1:5" x14ac:dyDescent="0.25">
      <c r="A1023" s="7">
        <f>IF(E1023=1,
      SUM($E$2:E1023)-1,
"")</f>
        <v>1020</v>
      </c>
      <c r="B1023" s="6" t="s">
        <v>333</v>
      </c>
      <c r="C1023" s="14">
        <v>45087</v>
      </c>
      <c r="D1023" s="15">
        <v>112.29</v>
      </c>
      <c r="E1023" s="7">
        <f t="shared" si="15"/>
        <v>1</v>
      </c>
    </row>
    <row r="1024" spans="1:5" x14ac:dyDescent="0.25">
      <c r="A1024" s="7">
        <f>IF(E1024=1,
      SUM($E$2:E1024)-1,
"")</f>
        <v>1021</v>
      </c>
      <c r="B1024" s="6" t="s">
        <v>695</v>
      </c>
      <c r="C1024" s="14">
        <v>44954</v>
      </c>
      <c r="D1024" s="15">
        <v>92.12</v>
      </c>
      <c r="E1024" s="7">
        <f t="shared" si="15"/>
        <v>1</v>
      </c>
    </row>
    <row r="1025" spans="1:5" x14ac:dyDescent="0.25">
      <c r="A1025" s="7">
        <f>IF(E1025=1,
      SUM($E$2:E1025)-1,
"")</f>
        <v>1022</v>
      </c>
      <c r="B1025" s="6" t="s">
        <v>229</v>
      </c>
      <c r="C1025" s="14">
        <v>45146</v>
      </c>
      <c r="D1025" s="15">
        <v>106.64</v>
      </c>
      <c r="E1025" s="7">
        <f t="shared" si="15"/>
        <v>1</v>
      </c>
    </row>
    <row r="1026" spans="1:5" x14ac:dyDescent="0.25">
      <c r="A1026" s="7">
        <f>IF(E1026=1,
      SUM($E$2:E1026)-1,
"")</f>
        <v>1023</v>
      </c>
      <c r="B1026" s="6" t="s">
        <v>115</v>
      </c>
      <c r="C1026" s="14">
        <v>45022</v>
      </c>
      <c r="D1026" s="15">
        <v>127.91</v>
      </c>
      <c r="E1026" s="7">
        <f t="shared" ref="E1026:E1089" si="16">IF(D1026&gt;0,1,0)</f>
        <v>1</v>
      </c>
    </row>
    <row r="1027" spans="1:5" x14ac:dyDescent="0.25">
      <c r="A1027" s="7">
        <f>IF(E1027=1,
      SUM($E$2:E1027)-1,
"")</f>
        <v>1024</v>
      </c>
      <c r="B1027" s="6" t="s">
        <v>281</v>
      </c>
      <c r="C1027" s="14">
        <v>45154</v>
      </c>
      <c r="D1027" s="15">
        <v>56</v>
      </c>
      <c r="E1027" s="7">
        <f t="shared" si="16"/>
        <v>1</v>
      </c>
    </row>
    <row r="1028" spans="1:5" x14ac:dyDescent="0.25">
      <c r="A1028" s="7">
        <f>IF(E1028=1,
      SUM($E$2:E1028)-1,
"")</f>
        <v>1025</v>
      </c>
      <c r="B1028" s="6" t="s">
        <v>696</v>
      </c>
      <c r="C1028" s="14">
        <v>45112</v>
      </c>
      <c r="D1028" s="15">
        <v>96.85</v>
      </c>
      <c r="E1028" s="7">
        <f t="shared" si="16"/>
        <v>1</v>
      </c>
    </row>
    <row r="1029" spans="1:5" x14ac:dyDescent="0.25">
      <c r="A1029" s="7">
        <f>IF(E1029=1,
      SUM($E$2:E1029)-1,
"")</f>
        <v>1026</v>
      </c>
      <c r="B1029" s="6" t="s">
        <v>497</v>
      </c>
      <c r="C1029" s="14">
        <v>45263</v>
      </c>
      <c r="D1029" s="15">
        <v>64.42</v>
      </c>
      <c r="E1029" s="7">
        <f t="shared" si="16"/>
        <v>1</v>
      </c>
    </row>
    <row r="1030" spans="1:5" x14ac:dyDescent="0.25">
      <c r="A1030" s="7">
        <f>IF(E1030=1,
      SUM($E$2:E1030)-1,
"")</f>
        <v>1027</v>
      </c>
      <c r="B1030" s="6" t="s">
        <v>429</v>
      </c>
      <c r="C1030" s="14">
        <v>45236</v>
      </c>
      <c r="D1030" s="15">
        <v>179.71</v>
      </c>
      <c r="E1030" s="7">
        <f t="shared" si="16"/>
        <v>1</v>
      </c>
    </row>
    <row r="1031" spans="1:5" x14ac:dyDescent="0.25">
      <c r="A1031" s="7">
        <f>IF(E1031=1,
      SUM($E$2:E1031)-1,
"")</f>
        <v>1028</v>
      </c>
      <c r="B1031" s="6" t="s">
        <v>117</v>
      </c>
      <c r="C1031" s="14">
        <v>45061</v>
      </c>
      <c r="D1031" s="15">
        <v>104.15</v>
      </c>
      <c r="E1031" s="7">
        <f t="shared" si="16"/>
        <v>1</v>
      </c>
    </row>
    <row r="1032" spans="1:5" x14ac:dyDescent="0.25">
      <c r="A1032" s="7">
        <f>IF(E1032=1,
      SUM($E$2:E1032)-1,
"")</f>
        <v>1029</v>
      </c>
      <c r="B1032" s="6" t="s">
        <v>697</v>
      </c>
      <c r="C1032" s="14">
        <v>45147</v>
      </c>
      <c r="D1032" s="15">
        <v>64.67</v>
      </c>
      <c r="E1032" s="7">
        <f t="shared" si="16"/>
        <v>1</v>
      </c>
    </row>
    <row r="1033" spans="1:5" x14ac:dyDescent="0.25">
      <c r="A1033" s="7">
        <f>IF(E1033=1,
      SUM($E$2:E1033)-1,
"")</f>
        <v>1030</v>
      </c>
      <c r="B1033" s="6" t="s">
        <v>685</v>
      </c>
      <c r="C1033" s="14">
        <v>45245</v>
      </c>
      <c r="D1033" s="15">
        <v>207.98</v>
      </c>
      <c r="E1033" s="7">
        <f t="shared" si="16"/>
        <v>1</v>
      </c>
    </row>
    <row r="1034" spans="1:5" x14ac:dyDescent="0.25">
      <c r="A1034" s="7">
        <f>IF(E1034=1,
      SUM($E$2:E1034)-1,
"")</f>
        <v>1031</v>
      </c>
      <c r="B1034" s="6" t="s">
        <v>173</v>
      </c>
      <c r="C1034" s="14">
        <v>45099</v>
      </c>
      <c r="D1034" s="15">
        <v>83.92</v>
      </c>
      <c r="E1034" s="7">
        <f t="shared" si="16"/>
        <v>1</v>
      </c>
    </row>
    <row r="1035" spans="1:5" x14ac:dyDescent="0.25">
      <c r="A1035" s="7">
        <f>IF(E1035=1,
      SUM($E$2:E1035)-1,
"")</f>
        <v>1032</v>
      </c>
      <c r="B1035" s="6" t="s">
        <v>698</v>
      </c>
      <c r="C1035" s="14">
        <v>45069</v>
      </c>
      <c r="D1035" s="15">
        <v>93.73</v>
      </c>
      <c r="E1035" s="7">
        <f t="shared" si="16"/>
        <v>1</v>
      </c>
    </row>
    <row r="1036" spans="1:5" x14ac:dyDescent="0.25">
      <c r="A1036" s="7">
        <f>IF(E1036=1,
      SUM($E$2:E1036)-1,
"")</f>
        <v>1033</v>
      </c>
      <c r="B1036" s="6" t="s">
        <v>699</v>
      </c>
      <c r="C1036" s="14">
        <v>45157</v>
      </c>
      <c r="D1036" s="15">
        <v>95.9</v>
      </c>
      <c r="E1036" s="7">
        <f t="shared" si="16"/>
        <v>1</v>
      </c>
    </row>
    <row r="1037" spans="1:5" x14ac:dyDescent="0.25">
      <c r="A1037" s="7">
        <f>IF(E1037=1,
      SUM($E$2:E1037)-1,
"")</f>
        <v>1034</v>
      </c>
      <c r="B1037" s="6" t="s">
        <v>345</v>
      </c>
      <c r="C1037" s="14">
        <v>45271</v>
      </c>
      <c r="D1037" s="15">
        <v>74.56</v>
      </c>
      <c r="E1037" s="7">
        <f t="shared" si="16"/>
        <v>1</v>
      </c>
    </row>
    <row r="1038" spans="1:5" x14ac:dyDescent="0.25">
      <c r="A1038" s="7">
        <f>IF(E1038=1,
      SUM($E$2:E1038)-1,
"")</f>
        <v>1035</v>
      </c>
      <c r="B1038" s="6" t="s">
        <v>700</v>
      </c>
      <c r="C1038" s="14">
        <v>45287</v>
      </c>
      <c r="D1038" s="15">
        <v>107.42</v>
      </c>
      <c r="E1038" s="7">
        <f t="shared" si="16"/>
        <v>1</v>
      </c>
    </row>
    <row r="1039" spans="1:5" x14ac:dyDescent="0.25">
      <c r="A1039" s="7">
        <f>IF(E1039=1,
      SUM($E$2:E1039)-1,
"")</f>
        <v>1036</v>
      </c>
      <c r="B1039" s="6" t="s">
        <v>544</v>
      </c>
      <c r="C1039" s="14">
        <v>45089</v>
      </c>
      <c r="D1039" s="15">
        <v>33.68</v>
      </c>
      <c r="E1039" s="7">
        <f t="shared" si="16"/>
        <v>1</v>
      </c>
    </row>
    <row r="1040" spans="1:5" x14ac:dyDescent="0.25">
      <c r="A1040" s="7">
        <f>IF(E1040=1,
      SUM($E$2:E1040)-1,
"")</f>
        <v>1037</v>
      </c>
      <c r="B1040" s="6" t="s">
        <v>316</v>
      </c>
      <c r="C1040" s="14">
        <v>45054</v>
      </c>
      <c r="D1040" s="15">
        <v>132.58000000000001</v>
      </c>
      <c r="E1040" s="7">
        <f t="shared" si="16"/>
        <v>1</v>
      </c>
    </row>
    <row r="1041" spans="1:5" x14ac:dyDescent="0.25">
      <c r="A1041" s="7">
        <f>IF(E1041=1,
      SUM($E$2:E1041)-1,
"")</f>
        <v>1038</v>
      </c>
      <c r="B1041" s="6" t="s">
        <v>143</v>
      </c>
      <c r="C1041" s="14">
        <v>45108</v>
      </c>
      <c r="D1041" s="15">
        <v>66.17</v>
      </c>
      <c r="E1041" s="7">
        <f t="shared" si="16"/>
        <v>1</v>
      </c>
    </row>
    <row r="1042" spans="1:5" x14ac:dyDescent="0.25">
      <c r="A1042" s="7">
        <f>IF(E1042=1,
      SUM($E$2:E1042)-1,
"")</f>
        <v>1039</v>
      </c>
      <c r="B1042" s="6" t="s">
        <v>294</v>
      </c>
      <c r="C1042" s="14">
        <v>44933</v>
      </c>
      <c r="D1042" s="15">
        <v>87.54</v>
      </c>
      <c r="E1042" s="7">
        <f t="shared" si="16"/>
        <v>1</v>
      </c>
    </row>
    <row r="1043" spans="1:5" x14ac:dyDescent="0.25">
      <c r="A1043" s="7">
        <f>IF(E1043=1,
      SUM($E$2:E1043)-1,
"")</f>
        <v>1040</v>
      </c>
      <c r="B1043" s="6" t="s">
        <v>645</v>
      </c>
      <c r="C1043" s="14">
        <v>45001</v>
      </c>
      <c r="D1043" s="15">
        <v>122.55</v>
      </c>
      <c r="E1043" s="7">
        <f t="shared" si="16"/>
        <v>1</v>
      </c>
    </row>
    <row r="1044" spans="1:5" x14ac:dyDescent="0.25">
      <c r="A1044" s="7">
        <f>IF(E1044=1,
      SUM($E$2:E1044)-1,
"")</f>
        <v>1041</v>
      </c>
      <c r="B1044" s="6" t="s">
        <v>701</v>
      </c>
      <c r="C1044" s="14">
        <v>44958</v>
      </c>
      <c r="D1044" s="15">
        <v>93.87</v>
      </c>
      <c r="E1044" s="7">
        <f t="shared" si="16"/>
        <v>1</v>
      </c>
    </row>
    <row r="1045" spans="1:5" x14ac:dyDescent="0.25">
      <c r="A1045" s="7">
        <f>IF(E1045=1,
      SUM($E$2:E1045)-1,
"")</f>
        <v>1042</v>
      </c>
      <c r="B1045" s="6" t="s">
        <v>702</v>
      </c>
      <c r="C1045" s="14">
        <v>45073</v>
      </c>
      <c r="D1045" s="15">
        <v>95.09</v>
      </c>
      <c r="E1045" s="7">
        <f t="shared" si="16"/>
        <v>1</v>
      </c>
    </row>
    <row r="1046" spans="1:5" x14ac:dyDescent="0.25">
      <c r="A1046" s="7">
        <f>IF(E1046=1,
      SUM($E$2:E1046)-1,
"")</f>
        <v>1043</v>
      </c>
      <c r="B1046" s="6" t="s">
        <v>679</v>
      </c>
      <c r="C1046" s="14">
        <v>45177</v>
      </c>
      <c r="D1046" s="15">
        <v>69.64</v>
      </c>
      <c r="E1046" s="7">
        <f t="shared" si="16"/>
        <v>1</v>
      </c>
    </row>
    <row r="1047" spans="1:5" x14ac:dyDescent="0.25">
      <c r="A1047" s="7">
        <f>IF(E1047=1,
      SUM($E$2:E1047)-1,
"")</f>
        <v>1044</v>
      </c>
      <c r="B1047" s="6" t="s">
        <v>703</v>
      </c>
      <c r="C1047" s="14">
        <v>44980</v>
      </c>
      <c r="D1047" s="15">
        <v>162.87</v>
      </c>
      <c r="E1047" s="7">
        <f t="shared" si="16"/>
        <v>1</v>
      </c>
    </row>
    <row r="1048" spans="1:5" x14ac:dyDescent="0.25">
      <c r="A1048" s="7">
        <f>IF(E1048=1,
      SUM($E$2:E1048)-1,
"")</f>
        <v>1045</v>
      </c>
      <c r="B1048" s="6" t="s">
        <v>704</v>
      </c>
      <c r="C1048" s="14">
        <v>45244</v>
      </c>
      <c r="D1048" s="15">
        <v>115.94</v>
      </c>
      <c r="E1048" s="7">
        <f t="shared" si="16"/>
        <v>1</v>
      </c>
    </row>
    <row r="1049" spans="1:5" x14ac:dyDescent="0.25">
      <c r="A1049" s="7">
        <f>IF(E1049=1,
      SUM($E$2:E1049)-1,
"")</f>
        <v>1046</v>
      </c>
      <c r="B1049" s="6" t="s">
        <v>585</v>
      </c>
      <c r="C1049" s="14">
        <v>45120</v>
      </c>
      <c r="D1049" s="15">
        <v>67.52</v>
      </c>
      <c r="E1049" s="7">
        <f t="shared" si="16"/>
        <v>1</v>
      </c>
    </row>
    <row r="1050" spans="1:5" x14ac:dyDescent="0.25">
      <c r="A1050" s="7">
        <f>IF(E1050=1,
      SUM($E$2:E1050)-1,
"")</f>
        <v>1047</v>
      </c>
      <c r="B1050" s="6" t="s">
        <v>396</v>
      </c>
      <c r="C1050" s="14">
        <v>45211</v>
      </c>
      <c r="D1050" s="15">
        <v>105.35</v>
      </c>
      <c r="E1050" s="7">
        <f t="shared" si="16"/>
        <v>1</v>
      </c>
    </row>
    <row r="1051" spans="1:5" x14ac:dyDescent="0.25">
      <c r="A1051" s="7">
        <f>IF(E1051=1,
      SUM($E$2:E1051)-1,
"")</f>
        <v>1048</v>
      </c>
      <c r="B1051" s="6" t="s">
        <v>652</v>
      </c>
      <c r="C1051" s="14">
        <v>44971</v>
      </c>
      <c r="D1051" s="15">
        <v>65.400000000000006</v>
      </c>
      <c r="E1051" s="7">
        <f t="shared" si="16"/>
        <v>1</v>
      </c>
    </row>
    <row r="1052" spans="1:5" x14ac:dyDescent="0.25">
      <c r="A1052" s="7">
        <f>IF(E1052=1,
      SUM($E$2:E1052)-1,
"")</f>
        <v>1049</v>
      </c>
      <c r="B1052" s="6" t="s">
        <v>481</v>
      </c>
      <c r="C1052" s="14">
        <v>44960</v>
      </c>
      <c r="D1052" s="15">
        <v>151.66999999999999</v>
      </c>
      <c r="E1052" s="7">
        <f t="shared" si="16"/>
        <v>1</v>
      </c>
    </row>
    <row r="1053" spans="1:5" x14ac:dyDescent="0.25">
      <c r="A1053" s="7">
        <f>IF(E1053=1,
      SUM($E$2:E1053)-1,
"")</f>
        <v>1050</v>
      </c>
      <c r="B1053" s="6" t="s">
        <v>469</v>
      </c>
      <c r="C1053" s="14">
        <v>45248</v>
      </c>
      <c r="D1053" s="15">
        <v>105.99</v>
      </c>
      <c r="E1053" s="7">
        <f t="shared" si="16"/>
        <v>1</v>
      </c>
    </row>
    <row r="1054" spans="1:5" x14ac:dyDescent="0.25">
      <c r="A1054" s="7">
        <f>IF(E1054=1,
      SUM($E$2:E1054)-1,
"")</f>
        <v>1051</v>
      </c>
      <c r="B1054" s="6" t="s">
        <v>705</v>
      </c>
      <c r="C1054" s="14">
        <v>44958</v>
      </c>
      <c r="D1054" s="15">
        <v>70.73</v>
      </c>
      <c r="E1054" s="7">
        <f t="shared" si="16"/>
        <v>1</v>
      </c>
    </row>
    <row r="1055" spans="1:5" x14ac:dyDescent="0.25">
      <c r="A1055" s="7">
        <f>IF(E1055=1,
      SUM($E$2:E1055)-1,
"")</f>
        <v>1052</v>
      </c>
      <c r="B1055" s="6" t="s">
        <v>162</v>
      </c>
      <c r="C1055" s="14">
        <v>45273</v>
      </c>
      <c r="D1055" s="15">
        <v>120.93</v>
      </c>
      <c r="E1055" s="7">
        <f t="shared" si="16"/>
        <v>1</v>
      </c>
    </row>
    <row r="1056" spans="1:5" x14ac:dyDescent="0.25">
      <c r="A1056" s="7">
        <f>IF(E1056=1,
      SUM($E$2:E1056)-1,
"")</f>
        <v>1053</v>
      </c>
      <c r="B1056" s="6" t="s">
        <v>706</v>
      </c>
      <c r="C1056" s="14">
        <v>45072</v>
      </c>
      <c r="D1056" s="15">
        <v>91.66</v>
      </c>
      <c r="E1056" s="7">
        <f t="shared" si="16"/>
        <v>1</v>
      </c>
    </row>
    <row r="1057" spans="1:5" x14ac:dyDescent="0.25">
      <c r="A1057" s="7">
        <f>IF(E1057=1,
      SUM($E$2:E1057)-1,
"")</f>
        <v>1054</v>
      </c>
      <c r="B1057" s="6" t="s">
        <v>707</v>
      </c>
      <c r="C1057" s="14">
        <v>45170</v>
      </c>
      <c r="D1057" s="15">
        <v>61.35</v>
      </c>
      <c r="E1057" s="7">
        <f t="shared" si="16"/>
        <v>1</v>
      </c>
    </row>
    <row r="1058" spans="1:5" x14ac:dyDescent="0.25">
      <c r="A1058" s="7">
        <f>IF(E1058=1,
      SUM($E$2:E1058)-1,
"")</f>
        <v>1055</v>
      </c>
      <c r="B1058" s="6" t="s">
        <v>369</v>
      </c>
      <c r="C1058" s="14">
        <v>45059</v>
      </c>
      <c r="D1058" s="15">
        <v>111.43</v>
      </c>
      <c r="E1058" s="7">
        <f t="shared" si="16"/>
        <v>1</v>
      </c>
    </row>
    <row r="1059" spans="1:5" x14ac:dyDescent="0.25">
      <c r="A1059" s="7">
        <f>IF(E1059=1,
      SUM($E$2:E1059)-1,
"")</f>
        <v>1056</v>
      </c>
      <c r="B1059" s="6" t="s">
        <v>520</v>
      </c>
      <c r="C1059" s="14">
        <v>45072</v>
      </c>
      <c r="D1059" s="15">
        <v>110.59</v>
      </c>
      <c r="E1059" s="7">
        <f t="shared" si="16"/>
        <v>1</v>
      </c>
    </row>
    <row r="1060" spans="1:5" x14ac:dyDescent="0.25">
      <c r="A1060" s="7">
        <f>IF(E1060=1,
      SUM($E$2:E1060)-1,
"")</f>
        <v>1057</v>
      </c>
      <c r="B1060" s="6" t="s">
        <v>479</v>
      </c>
      <c r="C1060" s="14">
        <v>44970</v>
      </c>
      <c r="D1060" s="15">
        <v>134.13</v>
      </c>
      <c r="E1060" s="7">
        <f t="shared" si="16"/>
        <v>1</v>
      </c>
    </row>
    <row r="1061" spans="1:5" x14ac:dyDescent="0.25">
      <c r="A1061" s="7">
        <f>IF(E1061=1,
      SUM($E$2:E1061)-1,
"")</f>
        <v>1058</v>
      </c>
      <c r="B1061" s="6" t="s">
        <v>708</v>
      </c>
      <c r="C1061" s="14">
        <v>44954</v>
      </c>
      <c r="D1061" s="15">
        <v>101.94</v>
      </c>
      <c r="E1061" s="7">
        <f t="shared" si="16"/>
        <v>1</v>
      </c>
    </row>
    <row r="1062" spans="1:5" x14ac:dyDescent="0.25">
      <c r="A1062" s="7">
        <f>IF(E1062=1,
      SUM($E$2:E1062)-1,
"")</f>
        <v>1059</v>
      </c>
      <c r="B1062" s="6" t="s">
        <v>278</v>
      </c>
      <c r="C1062" s="14">
        <v>45290</v>
      </c>
      <c r="D1062" s="15">
        <v>103.21</v>
      </c>
      <c r="E1062" s="7">
        <f t="shared" si="16"/>
        <v>1</v>
      </c>
    </row>
    <row r="1063" spans="1:5" x14ac:dyDescent="0.25">
      <c r="A1063" s="7">
        <f>IF(E1063=1,
      SUM($E$2:E1063)-1,
"")</f>
        <v>1060</v>
      </c>
      <c r="B1063" s="6" t="s">
        <v>709</v>
      </c>
      <c r="C1063" s="14">
        <v>45111</v>
      </c>
      <c r="D1063" s="15">
        <v>104.8</v>
      </c>
      <c r="E1063" s="7">
        <f t="shared" si="16"/>
        <v>1</v>
      </c>
    </row>
    <row r="1064" spans="1:5" x14ac:dyDescent="0.25">
      <c r="A1064" s="7">
        <f>IF(E1064=1,
      SUM($E$2:E1064)-1,
"")</f>
        <v>1061</v>
      </c>
      <c r="B1064" s="6" t="s">
        <v>79</v>
      </c>
      <c r="C1064" s="14">
        <v>45087</v>
      </c>
      <c r="D1064" s="15">
        <v>147.86000000000001</v>
      </c>
      <c r="E1064" s="7">
        <f t="shared" si="16"/>
        <v>1</v>
      </c>
    </row>
    <row r="1065" spans="1:5" x14ac:dyDescent="0.25">
      <c r="A1065" s="7">
        <f>IF(E1065=1,
      SUM($E$2:E1065)-1,
"")</f>
        <v>1062</v>
      </c>
      <c r="B1065" s="6" t="s">
        <v>356</v>
      </c>
      <c r="C1065" s="14">
        <v>44973</v>
      </c>
      <c r="D1065" s="15">
        <v>90.7</v>
      </c>
      <c r="E1065" s="7">
        <f t="shared" si="16"/>
        <v>1</v>
      </c>
    </row>
    <row r="1066" spans="1:5" x14ac:dyDescent="0.25">
      <c r="A1066" s="7">
        <f>IF(E1066=1,
      SUM($E$2:E1066)-1,
"")</f>
        <v>1063</v>
      </c>
      <c r="B1066" s="6" t="s">
        <v>531</v>
      </c>
      <c r="C1066" s="14">
        <v>45253</v>
      </c>
      <c r="D1066" s="15">
        <v>114.08</v>
      </c>
      <c r="E1066" s="7">
        <f t="shared" si="16"/>
        <v>1</v>
      </c>
    </row>
    <row r="1067" spans="1:5" x14ac:dyDescent="0.25">
      <c r="A1067" s="7">
        <f>IF(E1067=1,
      SUM($E$2:E1067)-1,
"")</f>
        <v>1064</v>
      </c>
      <c r="B1067" s="6" t="s">
        <v>710</v>
      </c>
      <c r="C1067" s="14">
        <v>45234</v>
      </c>
      <c r="D1067" s="15">
        <v>118.5</v>
      </c>
      <c r="E1067" s="7">
        <f t="shared" si="16"/>
        <v>1</v>
      </c>
    </row>
    <row r="1068" spans="1:5" x14ac:dyDescent="0.25">
      <c r="A1068" s="7">
        <f>IF(E1068=1,
      SUM($E$2:E1068)-1,
"")</f>
        <v>1065</v>
      </c>
      <c r="B1068" s="6" t="s">
        <v>711</v>
      </c>
      <c r="C1068" s="14">
        <v>45231</v>
      </c>
      <c r="D1068" s="15">
        <v>110.49</v>
      </c>
      <c r="E1068" s="7">
        <f t="shared" si="16"/>
        <v>1</v>
      </c>
    </row>
    <row r="1069" spans="1:5" x14ac:dyDescent="0.25">
      <c r="A1069" s="7">
        <f>IF(E1069=1,
      SUM($E$2:E1069)-1,
"")</f>
        <v>1066</v>
      </c>
      <c r="B1069" s="6" t="s">
        <v>415</v>
      </c>
      <c r="C1069" s="14">
        <v>45161</v>
      </c>
      <c r="D1069" s="15">
        <v>89.56</v>
      </c>
      <c r="E1069" s="7">
        <f t="shared" si="16"/>
        <v>1</v>
      </c>
    </row>
    <row r="1070" spans="1:5" x14ac:dyDescent="0.25">
      <c r="A1070" s="7">
        <f>IF(E1070=1,
      SUM($E$2:E1070)-1,
"")</f>
        <v>1067</v>
      </c>
      <c r="B1070" s="6" t="s">
        <v>518</v>
      </c>
      <c r="C1070" s="14">
        <v>45233</v>
      </c>
      <c r="D1070" s="15">
        <v>103.62</v>
      </c>
      <c r="E1070" s="7">
        <f t="shared" si="16"/>
        <v>1</v>
      </c>
    </row>
    <row r="1071" spans="1:5" x14ac:dyDescent="0.25">
      <c r="A1071" s="7">
        <f>IF(E1071=1,
      SUM($E$2:E1071)-1,
"")</f>
        <v>1068</v>
      </c>
      <c r="B1071" s="6" t="s">
        <v>345</v>
      </c>
      <c r="C1071" s="14">
        <v>44962</v>
      </c>
      <c r="D1071" s="15">
        <v>97.19</v>
      </c>
      <c r="E1071" s="7">
        <f t="shared" si="16"/>
        <v>1</v>
      </c>
    </row>
    <row r="1072" spans="1:5" x14ac:dyDescent="0.25">
      <c r="A1072" s="7">
        <f>IF(E1072=1,
      SUM($E$2:E1072)-1,
"")</f>
        <v>1069</v>
      </c>
      <c r="B1072" s="6" t="s">
        <v>608</v>
      </c>
      <c r="C1072" s="14">
        <v>45171</v>
      </c>
      <c r="D1072" s="15">
        <v>158.78</v>
      </c>
      <c r="E1072" s="7">
        <f t="shared" si="16"/>
        <v>1</v>
      </c>
    </row>
    <row r="1073" spans="1:5" x14ac:dyDescent="0.25">
      <c r="A1073" s="7">
        <f>IF(E1073=1,
      SUM($E$2:E1073)-1,
"")</f>
        <v>1070</v>
      </c>
      <c r="B1073" s="6" t="s">
        <v>712</v>
      </c>
      <c r="C1073" s="14">
        <v>45186</v>
      </c>
      <c r="D1073" s="15">
        <v>86.27</v>
      </c>
      <c r="E1073" s="7">
        <f t="shared" si="16"/>
        <v>1</v>
      </c>
    </row>
    <row r="1074" spans="1:5" x14ac:dyDescent="0.25">
      <c r="A1074" s="7">
        <f>IF(E1074=1,
      SUM($E$2:E1074)-1,
"")</f>
        <v>1071</v>
      </c>
      <c r="B1074" s="6" t="s">
        <v>307</v>
      </c>
      <c r="C1074" s="14">
        <v>45197</v>
      </c>
      <c r="D1074" s="15">
        <v>72.62</v>
      </c>
      <c r="E1074" s="7">
        <f t="shared" si="16"/>
        <v>1</v>
      </c>
    </row>
    <row r="1075" spans="1:5" x14ac:dyDescent="0.25">
      <c r="A1075" s="7">
        <f>IF(E1075=1,
      SUM($E$2:E1075)-1,
"")</f>
        <v>1072</v>
      </c>
      <c r="B1075" s="6" t="s">
        <v>234</v>
      </c>
      <c r="C1075" s="14">
        <v>44946</v>
      </c>
      <c r="D1075" s="15">
        <v>99.81</v>
      </c>
      <c r="E1075" s="7">
        <f t="shared" si="16"/>
        <v>1</v>
      </c>
    </row>
    <row r="1076" spans="1:5" x14ac:dyDescent="0.25">
      <c r="A1076" s="7">
        <f>IF(E1076=1,
      SUM($E$2:E1076)-1,
"")</f>
        <v>1073</v>
      </c>
      <c r="B1076" s="6" t="s">
        <v>381</v>
      </c>
      <c r="C1076" s="14">
        <v>45058</v>
      </c>
      <c r="D1076" s="15">
        <v>97.7</v>
      </c>
      <c r="E1076" s="7">
        <f t="shared" si="16"/>
        <v>1</v>
      </c>
    </row>
    <row r="1077" spans="1:5" x14ac:dyDescent="0.25">
      <c r="A1077" s="7">
        <f>IF(E1077=1,
      SUM($E$2:E1077)-1,
"")</f>
        <v>1074</v>
      </c>
      <c r="B1077" s="6" t="s">
        <v>713</v>
      </c>
      <c r="C1077" s="14">
        <v>45231</v>
      </c>
      <c r="D1077" s="15">
        <v>105.91</v>
      </c>
      <c r="E1077" s="7">
        <f t="shared" si="16"/>
        <v>1</v>
      </c>
    </row>
    <row r="1078" spans="1:5" x14ac:dyDescent="0.25">
      <c r="A1078" s="7">
        <f>IF(E1078=1,
      SUM($E$2:E1078)-1,
"")</f>
        <v>1075</v>
      </c>
      <c r="B1078" s="6" t="s">
        <v>714</v>
      </c>
      <c r="C1078" s="14">
        <v>45037</v>
      </c>
      <c r="D1078" s="15">
        <v>86.28</v>
      </c>
      <c r="E1078" s="7">
        <f t="shared" si="16"/>
        <v>1</v>
      </c>
    </row>
    <row r="1079" spans="1:5" x14ac:dyDescent="0.25">
      <c r="A1079" s="7">
        <f>IF(E1079=1,
      SUM($E$2:E1079)-1,
"")</f>
        <v>1076</v>
      </c>
      <c r="B1079" s="6" t="s">
        <v>363</v>
      </c>
      <c r="C1079" s="14">
        <v>45244</v>
      </c>
      <c r="D1079" s="15">
        <v>103.31</v>
      </c>
      <c r="E1079" s="7">
        <f t="shared" si="16"/>
        <v>1</v>
      </c>
    </row>
    <row r="1080" spans="1:5" x14ac:dyDescent="0.25">
      <c r="A1080" s="7">
        <f>IF(E1080=1,
      SUM($E$2:E1080)-1,
"")</f>
        <v>1077</v>
      </c>
      <c r="B1080" s="6" t="s">
        <v>259</v>
      </c>
      <c r="C1080" s="14">
        <v>44945</v>
      </c>
      <c r="D1080" s="15">
        <v>103.89</v>
      </c>
      <c r="E1080" s="7">
        <f t="shared" si="16"/>
        <v>1</v>
      </c>
    </row>
    <row r="1081" spans="1:5" x14ac:dyDescent="0.25">
      <c r="A1081" s="7">
        <f>IF(E1081=1,
      SUM($E$2:E1081)-1,
"")</f>
        <v>1078</v>
      </c>
      <c r="B1081" s="6" t="s">
        <v>715</v>
      </c>
      <c r="C1081" s="14">
        <v>45134</v>
      </c>
      <c r="D1081" s="15">
        <v>127.18</v>
      </c>
      <c r="E1081" s="7">
        <f t="shared" si="16"/>
        <v>1</v>
      </c>
    </row>
    <row r="1082" spans="1:5" x14ac:dyDescent="0.25">
      <c r="A1082" s="7">
        <f>IF(E1082=1,
      SUM($E$2:E1082)-1,
"")</f>
        <v>1079</v>
      </c>
      <c r="B1082" s="6" t="s">
        <v>468</v>
      </c>
      <c r="C1082" s="14">
        <v>45169</v>
      </c>
      <c r="D1082" s="15">
        <v>102.79</v>
      </c>
      <c r="E1082" s="7">
        <f t="shared" si="16"/>
        <v>1</v>
      </c>
    </row>
    <row r="1083" spans="1:5" x14ac:dyDescent="0.25">
      <c r="A1083" s="7">
        <f>IF(E1083=1,
      SUM($E$2:E1083)-1,
"")</f>
        <v>1080</v>
      </c>
      <c r="B1083" s="6" t="s">
        <v>328</v>
      </c>
      <c r="C1083" s="14">
        <v>44976</v>
      </c>
      <c r="D1083" s="15">
        <v>103.07</v>
      </c>
      <c r="E1083" s="7">
        <f t="shared" si="16"/>
        <v>1</v>
      </c>
    </row>
    <row r="1084" spans="1:5" x14ac:dyDescent="0.25">
      <c r="A1084" s="7">
        <f>IF(E1084=1,
      SUM($E$2:E1084)-1,
"")</f>
        <v>1081</v>
      </c>
      <c r="B1084" s="6" t="s">
        <v>367</v>
      </c>
      <c r="C1084" s="14">
        <v>45086</v>
      </c>
      <c r="D1084" s="15">
        <v>115.49</v>
      </c>
      <c r="E1084" s="7">
        <f t="shared" si="16"/>
        <v>1</v>
      </c>
    </row>
    <row r="1085" spans="1:5" x14ac:dyDescent="0.25">
      <c r="A1085" s="7">
        <f>IF(E1085=1,
      SUM($E$2:E1085)-1,
"")</f>
        <v>1082</v>
      </c>
      <c r="B1085" s="6" t="s">
        <v>241</v>
      </c>
      <c r="C1085" s="14">
        <v>45245</v>
      </c>
      <c r="D1085" s="15">
        <v>126.03</v>
      </c>
      <c r="E1085" s="7">
        <f t="shared" si="16"/>
        <v>1</v>
      </c>
    </row>
    <row r="1086" spans="1:5" x14ac:dyDescent="0.25">
      <c r="A1086" s="7">
        <f>IF(E1086=1,
      SUM($E$2:E1086)-1,
"")</f>
        <v>1083</v>
      </c>
      <c r="B1086" s="6" t="s">
        <v>716</v>
      </c>
      <c r="C1086" s="14">
        <v>45157</v>
      </c>
      <c r="D1086" s="15">
        <v>70.489999999999995</v>
      </c>
      <c r="E1086" s="7">
        <f t="shared" si="16"/>
        <v>1</v>
      </c>
    </row>
    <row r="1087" spans="1:5" x14ac:dyDescent="0.25">
      <c r="A1087" s="7">
        <f>IF(E1087=1,
      SUM($E$2:E1087)-1,
"")</f>
        <v>1084</v>
      </c>
      <c r="B1087" s="6" t="s">
        <v>717</v>
      </c>
      <c r="C1087" s="14">
        <v>45092</v>
      </c>
      <c r="D1087" s="15">
        <v>62.43</v>
      </c>
      <c r="E1087" s="7">
        <f t="shared" si="16"/>
        <v>1</v>
      </c>
    </row>
    <row r="1088" spans="1:5" x14ac:dyDescent="0.25">
      <c r="A1088" s="7">
        <f>IF(E1088=1,
      SUM($E$2:E1088)-1,
"")</f>
        <v>1085</v>
      </c>
      <c r="B1088" s="6" t="s">
        <v>246</v>
      </c>
      <c r="C1088" s="14">
        <v>45043</v>
      </c>
      <c r="D1088" s="15">
        <v>150.86000000000001</v>
      </c>
      <c r="E1088" s="7">
        <f t="shared" si="16"/>
        <v>1</v>
      </c>
    </row>
    <row r="1089" spans="1:5" x14ac:dyDescent="0.25">
      <c r="A1089" s="7">
        <f>IF(E1089=1,
      SUM($E$2:E1089)-1,
"")</f>
        <v>1086</v>
      </c>
      <c r="B1089" s="6" t="s">
        <v>663</v>
      </c>
      <c r="C1089" s="14">
        <v>44979</v>
      </c>
      <c r="D1089" s="15">
        <v>121.12</v>
      </c>
      <c r="E1089" s="7">
        <f t="shared" si="16"/>
        <v>1</v>
      </c>
    </row>
    <row r="1090" spans="1:5" x14ac:dyDescent="0.25">
      <c r="A1090" s="7">
        <f>IF(E1090=1,
      SUM($E$2:E1090)-1,
"")</f>
        <v>1087</v>
      </c>
      <c r="B1090" s="6" t="s">
        <v>693</v>
      </c>
      <c r="C1090" s="14">
        <v>44936</v>
      </c>
      <c r="D1090" s="15">
        <v>93.42</v>
      </c>
      <c r="E1090" s="7">
        <f t="shared" ref="E1090:E1153" si="17">IF(D1090&gt;0,1,0)</f>
        <v>1</v>
      </c>
    </row>
    <row r="1091" spans="1:5" x14ac:dyDescent="0.25">
      <c r="A1091" s="7">
        <f>IF(E1091=1,
      SUM($E$2:E1091)-1,
"")</f>
        <v>1088</v>
      </c>
      <c r="B1091" s="6" t="s">
        <v>718</v>
      </c>
      <c r="C1091" s="14">
        <v>44975</v>
      </c>
      <c r="D1091" s="15">
        <v>100.59</v>
      </c>
      <c r="E1091" s="7">
        <f t="shared" si="17"/>
        <v>1</v>
      </c>
    </row>
    <row r="1092" spans="1:5" x14ac:dyDescent="0.25">
      <c r="A1092" s="7">
        <f>IF(E1092=1,
      SUM($E$2:E1092)-1,
"")</f>
        <v>1089</v>
      </c>
      <c r="B1092" s="6" t="s">
        <v>270</v>
      </c>
      <c r="C1092" s="14">
        <v>44998</v>
      </c>
      <c r="D1092" s="15">
        <v>88.22</v>
      </c>
      <c r="E1092" s="7">
        <f t="shared" si="17"/>
        <v>1</v>
      </c>
    </row>
    <row r="1093" spans="1:5" x14ac:dyDescent="0.25">
      <c r="A1093" s="7">
        <f>IF(E1093=1,
      SUM($E$2:E1093)-1,
"")</f>
        <v>1090</v>
      </c>
      <c r="B1093" s="6" t="s">
        <v>577</v>
      </c>
      <c r="C1093" s="14">
        <v>44979</v>
      </c>
      <c r="D1093" s="15">
        <v>106.34</v>
      </c>
      <c r="E1093" s="7">
        <f t="shared" si="17"/>
        <v>1</v>
      </c>
    </row>
    <row r="1094" spans="1:5" x14ac:dyDescent="0.25">
      <c r="A1094" s="7">
        <f>IF(E1094=1,
      SUM($E$2:E1094)-1,
"")</f>
        <v>1091</v>
      </c>
      <c r="B1094" s="6" t="s">
        <v>532</v>
      </c>
      <c r="C1094" s="14">
        <v>45084</v>
      </c>
      <c r="D1094" s="15">
        <v>70.84</v>
      </c>
      <c r="E1094" s="7">
        <f t="shared" si="17"/>
        <v>1</v>
      </c>
    </row>
    <row r="1095" spans="1:5" x14ac:dyDescent="0.25">
      <c r="A1095" s="7">
        <f>IF(E1095=1,
      SUM($E$2:E1095)-1,
"")</f>
        <v>1092</v>
      </c>
      <c r="B1095" s="6" t="s">
        <v>74</v>
      </c>
      <c r="C1095" s="14">
        <v>44938</v>
      </c>
      <c r="D1095" s="15">
        <v>125.21</v>
      </c>
      <c r="E1095" s="7">
        <f t="shared" si="17"/>
        <v>1</v>
      </c>
    </row>
    <row r="1096" spans="1:5" x14ac:dyDescent="0.25">
      <c r="A1096" s="7">
        <f>IF(E1096=1,
      SUM($E$2:E1096)-1,
"")</f>
        <v>1093</v>
      </c>
      <c r="B1096" s="6" t="s">
        <v>388</v>
      </c>
      <c r="C1096" s="14">
        <v>45082</v>
      </c>
      <c r="D1096" s="15">
        <v>105.26</v>
      </c>
      <c r="E1096" s="7">
        <f t="shared" si="17"/>
        <v>1</v>
      </c>
    </row>
    <row r="1097" spans="1:5" x14ac:dyDescent="0.25">
      <c r="A1097" s="7">
        <f>IF(E1097=1,
      SUM($E$2:E1097)-1,
"")</f>
        <v>1094</v>
      </c>
      <c r="B1097" s="6" t="s">
        <v>526</v>
      </c>
      <c r="C1097" s="14">
        <v>45101</v>
      </c>
      <c r="D1097" s="15">
        <v>106.35</v>
      </c>
      <c r="E1097" s="7">
        <f t="shared" si="17"/>
        <v>1</v>
      </c>
    </row>
    <row r="1098" spans="1:5" x14ac:dyDescent="0.25">
      <c r="A1098" s="7">
        <f>IF(E1098=1,
      SUM($E$2:E1098)-1,
"")</f>
        <v>1095</v>
      </c>
      <c r="B1098" s="6" t="s">
        <v>190</v>
      </c>
      <c r="C1098" s="14">
        <v>45249</v>
      </c>
      <c r="D1098" s="15">
        <v>73.180000000000007</v>
      </c>
      <c r="E1098" s="7">
        <f t="shared" si="17"/>
        <v>1</v>
      </c>
    </row>
    <row r="1099" spans="1:5" x14ac:dyDescent="0.25">
      <c r="A1099" s="7">
        <f>IF(E1099=1,
      SUM($E$2:E1099)-1,
"")</f>
        <v>1096</v>
      </c>
      <c r="B1099" s="6" t="s">
        <v>719</v>
      </c>
      <c r="C1099" s="14">
        <v>45264</v>
      </c>
      <c r="D1099" s="15">
        <v>115.73</v>
      </c>
      <c r="E1099" s="7">
        <f t="shared" si="17"/>
        <v>1</v>
      </c>
    </row>
    <row r="1100" spans="1:5" x14ac:dyDescent="0.25">
      <c r="A1100" s="7">
        <f>IF(E1100=1,
      SUM($E$2:E1100)-1,
"")</f>
        <v>1097</v>
      </c>
      <c r="B1100" s="6" t="s">
        <v>100</v>
      </c>
      <c r="C1100" s="14">
        <v>45234</v>
      </c>
      <c r="D1100" s="15">
        <v>73.87</v>
      </c>
      <c r="E1100" s="7">
        <f t="shared" si="17"/>
        <v>1</v>
      </c>
    </row>
    <row r="1101" spans="1:5" x14ac:dyDescent="0.25">
      <c r="A1101" s="7">
        <f>IF(E1101=1,
      SUM($E$2:E1101)-1,
"")</f>
        <v>1098</v>
      </c>
      <c r="B1101" s="6" t="s">
        <v>712</v>
      </c>
      <c r="C1101" s="14">
        <v>45222</v>
      </c>
      <c r="D1101" s="15">
        <v>79.239999999999995</v>
      </c>
      <c r="E1101" s="7">
        <f t="shared" si="17"/>
        <v>1</v>
      </c>
    </row>
    <row r="1102" spans="1:5" x14ac:dyDescent="0.25">
      <c r="A1102" s="7">
        <f>IF(E1102=1,
      SUM($E$2:E1102)-1,
"")</f>
        <v>1099</v>
      </c>
      <c r="B1102" s="6" t="s">
        <v>720</v>
      </c>
      <c r="C1102" s="14">
        <v>45201</v>
      </c>
      <c r="D1102" s="15">
        <v>102.63</v>
      </c>
      <c r="E1102" s="7">
        <f t="shared" si="17"/>
        <v>1</v>
      </c>
    </row>
    <row r="1103" spans="1:5" x14ac:dyDescent="0.25">
      <c r="A1103" s="7">
        <f>IF(E1103=1,
      SUM($E$2:E1103)-1,
"")</f>
        <v>1100</v>
      </c>
      <c r="B1103" s="6" t="s">
        <v>721</v>
      </c>
      <c r="C1103" s="14">
        <v>45028</v>
      </c>
      <c r="D1103" s="15">
        <v>175.22</v>
      </c>
      <c r="E1103" s="7">
        <f t="shared" si="17"/>
        <v>1</v>
      </c>
    </row>
    <row r="1104" spans="1:5" x14ac:dyDescent="0.25">
      <c r="A1104" s="7">
        <f>IF(E1104=1,
      SUM($E$2:E1104)-1,
"")</f>
        <v>1101</v>
      </c>
      <c r="B1104" s="6" t="s">
        <v>275</v>
      </c>
      <c r="C1104" s="14">
        <v>45073</v>
      </c>
      <c r="D1104" s="15">
        <v>105.14</v>
      </c>
      <c r="E1104" s="7">
        <f t="shared" si="17"/>
        <v>1</v>
      </c>
    </row>
    <row r="1105" spans="1:5" x14ac:dyDescent="0.25">
      <c r="A1105" s="7">
        <f>IF(E1105=1,
      SUM($E$2:E1105)-1,
"")</f>
        <v>1102</v>
      </c>
      <c r="B1105" s="6" t="s">
        <v>722</v>
      </c>
      <c r="C1105" s="14">
        <v>45078</v>
      </c>
      <c r="D1105" s="15">
        <v>22.94</v>
      </c>
      <c r="E1105" s="7">
        <f t="shared" si="17"/>
        <v>1</v>
      </c>
    </row>
    <row r="1106" spans="1:5" x14ac:dyDescent="0.25">
      <c r="A1106" s="7">
        <f>IF(E1106=1,
      SUM($E$2:E1106)-1,
"")</f>
        <v>1103</v>
      </c>
      <c r="B1106" s="6" t="s">
        <v>723</v>
      </c>
      <c r="C1106" s="14">
        <v>45016</v>
      </c>
      <c r="D1106" s="15">
        <v>80.72</v>
      </c>
      <c r="E1106" s="7">
        <f t="shared" si="17"/>
        <v>1</v>
      </c>
    </row>
    <row r="1107" spans="1:5" x14ac:dyDescent="0.25">
      <c r="A1107" s="7">
        <f>IF(E1107=1,
      SUM($E$2:E1107)-1,
"")</f>
        <v>1104</v>
      </c>
      <c r="B1107" s="6" t="s">
        <v>532</v>
      </c>
      <c r="C1107" s="14">
        <v>45229</v>
      </c>
      <c r="D1107" s="15">
        <v>120.51</v>
      </c>
      <c r="E1107" s="7">
        <f t="shared" si="17"/>
        <v>1</v>
      </c>
    </row>
    <row r="1108" spans="1:5" x14ac:dyDescent="0.25">
      <c r="A1108" s="7">
        <f>IF(E1108=1,
      SUM($E$2:E1108)-1,
"")</f>
        <v>1105</v>
      </c>
      <c r="B1108" s="6" t="s">
        <v>527</v>
      </c>
      <c r="C1108" s="14">
        <v>44947</v>
      </c>
      <c r="D1108" s="15">
        <v>66.150000000000006</v>
      </c>
      <c r="E1108" s="7">
        <f t="shared" si="17"/>
        <v>1</v>
      </c>
    </row>
    <row r="1109" spans="1:5" x14ac:dyDescent="0.25">
      <c r="A1109" s="7">
        <f>IF(E1109=1,
      SUM($E$2:E1109)-1,
"")</f>
        <v>1106</v>
      </c>
      <c r="B1109" s="6" t="s">
        <v>724</v>
      </c>
      <c r="C1109" s="14">
        <v>45001</v>
      </c>
      <c r="D1109" s="15">
        <v>124.93</v>
      </c>
      <c r="E1109" s="7">
        <f t="shared" si="17"/>
        <v>1</v>
      </c>
    </row>
    <row r="1110" spans="1:5" x14ac:dyDescent="0.25">
      <c r="A1110" s="7">
        <f>IF(E1110=1,
      SUM($E$2:E1110)-1,
"")</f>
        <v>1107</v>
      </c>
      <c r="B1110" s="6" t="s">
        <v>725</v>
      </c>
      <c r="C1110" s="14">
        <v>45048</v>
      </c>
      <c r="D1110" s="15">
        <v>104.76</v>
      </c>
      <c r="E1110" s="7">
        <f t="shared" si="17"/>
        <v>1</v>
      </c>
    </row>
    <row r="1111" spans="1:5" x14ac:dyDescent="0.25">
      <c r="A1111" s="7">
        <f>IF(E1111=1,
      SUM($E$2:E1111)-1,
"")</f>
        <v>1108</v>
      </c>
      <c r="B1111" s="6" t="s">
        <v>726</v>
      </c>
      <c r="C1111" s="14">
        <v>45231</v>
      </c>
      <c r="D1111" s="15">
        <v>129.74</v>
      </c>
      <c r="E1111" s="7">
        <f t="shared" si="17"/>
        <v>1</v>
      </c>
    </row>
    <row r="1112" spans="1:5" x14ac:dyDescent="0.25">
      <c r="A1112" s="7">
        <f>IF(E1112=1,
      SUM($E$2:E1112)-1,
"")</f>
        <v>1109</v>
      </c>
      <c r="B1112" s="6" t="s">
        <v>727</v>
      </c>
      <c r="C1112" s="14">
        <v>44961</v>
      </c>
      <c r="D1112" s="15">
        <v>83.23</v>
      </c>
      <c r="E1112" s="7">
        <f t="shared" si="17"/>
        <v>1</v>
      </c>
    </row>
    <row r="1113" spans="1:5" x14ac:dyDescent="0.25">
      <c r="A1113" s="7">
        <f>IF(E1113=1,
      SUM($E$2:E1113)-1,
"")</f>
        <v>1110</v>
      </c>
      <c r="B1113" s="6" t="s">
        <v>420</v>
      </c>
      <c r="C1113" s="14">
        <v>45123</v>
      </c>
      <c r="D1113" s="15">
        <v>80.900000000000006</v>
      </c>
      <c r="E1113" s="7">
        <f t="shared" si="17"/>
        <v>1</v>
      </c>
    </row>
    <row r="1114" spans="1:5" x14ac:dyDescent="0.25">
      <c r="A1114" s="7">
        <f>IF(E1114=1,
      SUM($E$2:E1114)-1,
"")</f>
        <v>1111</v>
      </c>
      <c r="B1114" s="6" t="s">
        <v>728</v>
      </c>
      <c r="C1114" s="14">
        <v>45024</v>
      </c>
      <c r="D1114" s="15">
        <v>116.95</v>
      </c>
      <c r="E1114" s="7">
        <f t="shared" si="17"/>
        <v>1</v>
      </c>
    </row>
    <row r="1115" spans="1:5" x14ac:dyDescent="0.25">
      <c r="A1115" s="7">
        <f>IF(E1115=1,
      SUM($E$2:E1115)-1,
"")</f>
        <v>1112</v>
      </c>
      <c r="B1115" s="6" t="s">
        <v>722</v>
      </c>
      <c r="C1115" s="14">
        <v>45026</v>
      </c>
      <c r="D1115" s="15">
        <v>99.77</v>
      </c>
      <c r="E1115" s="7">
        <f t="shared" si="17"/>
        <v>1</v>
      </c>
    </row>
    <row r="1116" spans="1:5" x14ac:dyDescent="0.25">
      <c r="A1116" s="7">
        <f>IF(E1116=1,
      SUM($E$2:E1116)-1,
"")</f>
        <v>1113</v>
      </c>
      <c r="B1116" s="6" t="s">
        <v>729</v>
      </c>
      <c r="C1116" s="14">
        <v>45239</v>
      </c>
      <c r="D1116" s="15">
        <v>97.96</v>
      </c>
      <c r="E1116" s="7">
        <f t="shared" si="17"/>
        <v>1</v>
      </c>
    </row>
    <row r="1117" spans="1:5" x14ac:dyDescent="0.25">
      <c r="A1117" s="7">
        <f>IF(E1117=1,
      SUM($E$2:E1117)-1,
"")</f>
        <v>1114</v>
      </c>
      <c r="B1117" s="6" t="s">
        <v>460</v>
      </c>
      <c r="C1117" s="14">
        <v>45277</v>
      </c>
      <c r="D1117" s="15">
        <v>147.07</v>
      </c>
      <c r="E1117" s="7">
        <f t="shared" si="17"/>
        <v>1</v>
      </c>
    </row>
    <row r="1118" spans="1:5" x14ac:dyDescent="0.25">
      <c r="A1118" s="7">
        <f>IF(E1118=1,
      SUM($E$2:E1118)-1,
"")</f>
        <v>1115</v>
      </c>
      <c r="B1118" s="6" t="s">
        <v>161</v>
      </c>
      <c r="C1118" s="14">
        <v>45285</v>
      </c>
      <c r="D1118" s="15">
        <v>118.12</v>
      </c>
      <c r="E1118" s="7">
        <f t="shared" si="17"/>
        <v>1</v>
      </c>
    </row>
    <row r="1119" spans="1:5" x14ac:dyDescent="0.25">
      <c r="A1119" s="7">
        <f>IF(E1119=1,
      SUM($E$2:E1119)-1,
"")</f>
        <v>1116</v>
      </c>
      <c r="B1119" s="6" t="s">
        <v>124</v>
      </c>
      <c r="C1119" s="14">
        <v>45189</v>
      </c>
      <c r="D1119" s="15">
        <v>40.299999999999997</v>
      </c>
      <c r="E1119" s="7">
        <f t="shared" si="17"/>
        <v>1</v>
      </c>
    </row>
    <row r="1120" spans="1:5" x14ac:dyDescent="0.25">
      <c r="A1120" s="7">
        <f>IF(E1120=1,
      SUM($E$2:E1120)-1,
"")</f>
        <v>1117</v>
      </c>
      <c r="B1120" s="6" t="s">
        <v>155</v>
      </c>
      <c r="C1120" s="14">
        <v>45234</v>
      </c>
      <c r="D1120" s="15">
        <v>123.97</v>
      </c>
      <c r="E1120" s="7">
        <f t="shared" si="17"/>
        <v>1</v>
      </c>
    </row>
    <row r="1121" spans="1:5" x14ac:dyDescent="0.25">
      <c r="A1121" s="7">
        <f>IF(E1121=1,
      SUM($E$2:E1121)-1,
"")</f>
        <v>1118</v>
      </c>
      <c r="B1121" s="6" t="s">
        <v>617</v>
      </c>
      <c r="C1121" s="14">
        <v>44980</v>
      </c>
      <c r="D1121" s="15">
        <v>120.97</v>
      </c>
      <c r="E1121" s="7">
        <f t="shared" si="17"/>
        <v>1</v>
      </c>
    </row>
    <row r="1122" spans="1:5" x14ac:dyDescent="0.25">
      <c r="A1122" s="7">
        <f>IF(E1122=1,
      SUM($E$2:E1122)-1,
"")</f>
        <v>1119</v>
      </c>
      <c r="B1122" s="6" t="s">
        <v>730</v>
      </c>
      <c r="C1122" s="14">
        <v>45253</v>
      </c>
      <c r="D1122" s="15">
        <v>135.55000000000001</v>
      </c>
      <c r="E1122" s="7">
        <f t="shared" si="17"/>
        <v>1</v>
      </c>
    </row>
    <row r="1123" spans="1:5" x14ac:dyDescent="0.25">
      <c r="A1123" s="7">
        <f>IF(E1123=1,
      SUM($E$2:E1123)-1,
"")</f>
        <v>1120</v>
      </c>
      <c r="B1123" s="6" t="s">
        <v>258</v>
      </c>
      <c r="C1123" s="14">
        <v>45056</v>
      </c>
      <c r="D1123" s="15">
        <v>71.81</v>
      </c>
      <c r="E1123" s="7">
        <f t="shared" si="17"/>
        <v>1</v>
      </c>
    </row>
    <row r="1124" spans="1:5" x14ac:dyDescent="0.25">
      <c r="A1124" s="7">
        <f>IF(E1124=1,
      SUM($E$2:E1124)-1,
"")</f>
        <v>1121</v>
      </c>
      <c r="B1124" s="6" t="s">
        <v>731</v>
      </c>
      <c r="C1124" s="14">
        <v>45199</v>
      </c>
      <c r="D1124" s="15">
        <v>109.74</v>
      </c>
      <c r="E1124" s="7">
        <f t="shared" si="17"/>
        <v>1</v>
      </c>
    </row>
    <row r="1125" spans="1:5" x14ac:dyDescent="0.25">
      <c r="A1125" s="7">
        <f>IF(E1125=1,
      SUM($E$2:E1125)-1,
"")</f>
        <v>1122</v>
      </c>
      <c r="B1125" s="6" t="s">
        <v>326</v>
      </c>
      <c r="C1125" s="14">
        <v>45071</v>
      </c>
      <c r="D1125" s="15">
        <v>103.35</v>
      </c>
      <c r="E1125" s="7">
        <f t="shared" si="17"/>
        <v>1</v>
      </c>
    </row>
    <row r="1126" spans="1:5" x14ac:dyDescent="0.25">
      <c r="A1126" s="7">
        <f>IF(E1126=1,
      SUM($E$2:E1126)-1,
"")</f>
        <v>1123</v>
      </c>
      <c r="B1126" s="6" t="s">
        <v>328</v>
      </c>
      <c r="C1126" s="14">
        <v>45089</v>
      </c>
      <c r="D1126" s="15">
        <v>71.27</v>
      </c>
      <c r="E1126" s="7">
        <f t="shared" si="17"/>
        <v>1</v>
      </c>
    </row>
    <row r="1127" spans="1:5" x14ac:dyDescent="0.25">
      <c r="A1127" s="7">
        <f>IF(E1127=1,
      SUM($E$2:E1127)-1,
"")</f>
        <v>1124</v>
      </c>
      <c r="B1127" s="6" t="s">
        <v>668</v>
      </c>
      <c r="C1127" s="14">
        <v>45155</v>
      </c>
      <c r="D1127" s="15">
        <v>128.4</v>
      </c>
      <c r="E1127" s="7">
        <f t="shared" si="17"/>
        <v>1</v>
      </c>
    </row>
    <row r="1128" spans="1:5" x14ac:dyDescent="0.25">
      <c r="A1128" s="7">
        <f>IF(E1128=1,
      SUM($E$2:E1128)-1,
"")</f>
        <v>1125</v>
      </c>
      <c r="B1128" s="6" t="s">
        <v>455</v>
      </c>
      <c r="C1128" s="14">
        <v>44993</v>
      </c>
      <c r="D1128" s="15">
        <v>92.75</v>
      </c>
      <c r="E1128" s="7">
        <f t="shared" si="17"/>
        <v>1</v>
      </c>
    </row>
    <row r="1129" spans="1:5" x14ac:dyDescent="0.25">
      <c r="A1129" s="7">
        <f>IF(E1129=1,
      SUM($E$2:E1129)-1,
"")</f>
        <v>1126</v>
      </c>
      <c r="B1129" s="6" t="s">
        <v>653</v>
      </c>
      <c r="C1129" s="14">
        <v>45086</v>
      </c>
      <c r="D1129" s="15">
        <v>134.58000000000001</v>
      </c>
      <c r="E1129" s="7">
        <f t="shared" si="17"/>
        <v>1</v>
      </c>
    </row>
    <row r="1130" spans="1:5" x14ac:dyDescent="0.25">
      <c r="A1130" s="7">
        <f>IF(E1130=1,
      SUM($E$2:E1130)-1,
"")</f>
        <v>1127</v>
      </c>
      <c r="B1130" s="6" t="s">
        <v>390</v>
      </c>
      <c r="C1130" s="14">
        <v>44957</v>
      </c>
      <c r="D1130" s="15">
        <v>77.709999999999994</v>
      </c>
      <c r="E1130" s="7">
        <f t="shared" si="17"/>
        <v>1</v>
      </c>
    </row>
    <row r="1131" spans="1:5" x14ac:dyDescent="0.25">
      <c r="A1131" s="7">
        <f>IF(E1131=1,
      SUM($E$2:E1131)-1,
"")</f>
        <v>1128</v>
      </c>
      <c r="B1131" s="6" t="s">
        <v>728</v>
      </c>
      <c r="C1131" s="14">
        <v>45212</v>
      </c>
      <c r="D1131" s="15">
        <v>56.18</v>
      </c>
      <c r="E1131" s="7">
        <f t="shared" si="17"/>
        <v>1</v>
      </c>
    </row>
    <row r="1132" spans="1:5" x14ac:dyDescent="0.25">
      <c r="A1132" s="7">
        <f>IF(E1132=1,
      SUM($E$2:E1132)-1,
"")</f>
        <v>1129</v>
      </c>
      <c r="B1132" s="6" t="s">
        <v>536</v>
      </c>
      <c r="C1132" s="14">
        <v>45075</v>
      </c>
      <c r="D1132" s="15">
        <v>92.72</v>
      </c>
      <c r="E1132" s="7">
        <f t="shared" si="17"/>
        <v>1</v>
      </c>
    </row>
    <row r="1133" spans="1:5" x14ac:dyDescent="0.25">
      <c r="A1133" s="7">
        <f>IF(E1133=1,
      SUM($E$2:E1133)-1,
"")</f>
        <v>1130</v>
      </c>
      <c r="B1133" s="6" t="s">
        <v>732</v>
      </c>
      <c r="C1133" s="14">
        <v>45291</v>
      </c>
      <c r="D1133" s="15">
        <v>106.96</v>
      </c>
      <c r="E1133" s="7">
        <f t="shared" si="17"/>
        <v>1</v>
      </c>
    </row>
    <row r="1134" spans="1:5" x14ac:dyDescent="0.25">
      <c r="A1134" s="7">
        <f>IF(E1134=1,
      SUM($E$2:E1134)-1,
"")</f>
        <v>1131</v>
      </c>
      <c r="B1134" s="6" t="s">
        <v>492</v>
      </c>
      <c r="C1134" s="14">
        <v>45115</v>
      </c>
      <c r="D1134" s="15">
        <v>83.97</v>
      </c>
      <c r="E1134" s="7">
        <f t="shared" si="17"/>
        <v>1</v>
      </c>
    </row>
    <row r="1135" spans="1:5" x14ac:dyDescent="0.25">
      <c r="A1135" s="7">
        <f>IF(E1135=1,
      SUM($E$2:E1135)-1,
"")</f>
        <v>1132</v>
      </c>
      <c r="B1135" s="6" t="s">
        <v>186</v>
      </c>
      <c r="C1135" s="14">
        <v>44947</v>
      </c>
      <c r="D1135" s="15">
        <v>8.07</v>
      </c>
      <c r="E1135" s="7">
        <f t="shared" si="17"/>
        <v>1</v>
      </c>
    </row>
    <row r="1136" spans="1:5" x14ac:dyDescent="0.25">
      <c r="A1136" s="7">
        <f>IF(E1136=1,
      SUM($E$2:E1136)-1,
"")</f>
        <v>1133</v>
      </c>
      <c r="B1136" s="6" t="s">
        <v>686</v>
      </c>
      <c r="C1136" s="14">
        <v>45014</v>
      </c>
      <c r="D1136" s="15">
        <v>111.51</v>
      </c>
      <c r="E1136" s="7">
        <f t="shared" si="17"/>
        <v>1</v>
      </c>
    </row>
    <row r="1137" spans="1:5" x14ac:dyDescent="0.25">
      <c r="A1137" s="7">
        <f>IF(E1137=1,
      SUM($E$2:E1137)-1,
"")</f>
        <v>1134</v>
      </c>
      <c r="B1137" s="6" t="s">
        <v>733</v>
      </c>
      <c r="C1137" s="14">
        <v>45147</v>
      </c>
      <c r="D1137" s="15">
        <v>111.37</v>
      </c>
      <c r="E1137" s="7">
        <f t="shared" si="17"/>
        <v>1</v>
      </c>
    </row>
    <row r="1138" spans="1:5" x14ac:dyDescent="0.25">
      <c r="A1138" s="7">
        <f>IF(E1138=1,
      SUM($E$2:E1138)-1,
"")</f>
        <v>1135</v>
      </c>
      <c r="B1138" s="6" t="s">
        <v>647</v>
      </c>
      <c r="C1138" s="14">
        <v>44975</v>
      </c>
      <c r="D1138" s="15">
        <v>120.62</v>
      </c>
      <c r="E1138" s="7">
        <f t="shared" si="17"/>
        <v>1</v>
      </c>
    </row>
    <row r="1139" spans="1:5" x14ac:dyDescent="0.25">
      <c r="A1139" s="7">
        <f>IF(E1139=1,
      SUM($E$2:E1139)-1,
"")</f>
        <v>1136</v>
      </c>
      <c r="B1139" s="6" t="s">
        <v>734</v>
      </c>
      <c r="C1139" s="14">
        <v>45069</v>
      </c>
      <c r="D1139" s="15">
        <v>88.59</v>
      </c>
      <c r="E1139" s="7">
        <f t="shared" si="17"/>
        <v>1</v>
      </c>
    </row>
    <row r="1140" spans="1:5" x14ac:dyDescent="0.25">
      <c r="A1140" s="7">
        <f>IF(E1140=1,
      SUM($E$2:E1140)-1,
"")</f>
        <v>1137</v>
      </c>
      <c r="B1140" s="6" t="s">
        <v>563</v>
      </c>
      <c r="C1140" s="14">
        <v>45231</v>
      </c>
      <c r="D1140" s="15">
        <v>86.95</v>
      </c>
      <c r="E1140" s="7">
        <f t="shared" si="17"/>
        <v>1</v>
      </c>
    </row>
    <row r="1141" spans="1:5" x14ac:dyDescent="0.25">
      <c r="A1141" s="7">
        <f>IF(E1141=1,
      SUM($E$2:E1141)-1,
"")</f>
        <v>1138</v>
      </c>
      <c r="B1141" s="6" t="s">
        <v>337</v>
      </c>
      <c r="C1141" s="14">
        <v>44999</v>
      </c>
      <c r="D1141" s="15">
        <v>143.21</v>
      </c>
      <c r="E1141" s="7">
        <f t="shared" si="17"/>
        <v>1</v>
      </c>
    </row>
    <row r="1142" spans="1:5" x14ac:dyDescent="0.25">
      <c r="A1142" s="7">
        <f>IF(E1142=1,
      SUM($E$2:E1142)-1,
"")</f>
        <v>1139</v>
      </c>
      <c r="B1142" s="6" t="s">
        <v>667</v>
      </c>
      <c r="C1142" s="14">
        <v>45054</v>
      </c>
      <c r="D1142" s="15">
        <v>52.74</v>
      </c>
      <c r="E1142" s="7">
        <f t="shared" si="17"/>
        <v>1</v>
      </c>
    </row>
    <row r="1143" spans="1:5" x14ac:dyDescent="0.25">
      <c r="A1143" s="7">
        <f>IF(E1143=1,
      SUM($E$2:E1143)-1,
"")</f>
        <v>1140</v>
      </c>
      <c r="B1143" s="6" t="s">
        <v>407</v>
      </c>
      <c r="C1143" s="14">
        <v>45098</v>
      </c>
      <c r="D1143" s="15">
        <v>92.59</v>
      </c>
      <c r="E1143" s="7">
        <f t="shared" si="17"/>
        <v>1</v>
      </c>
    </row>
    <row r="1144" spans="1:5" x14ac:dyDescent="0.25">
      <c r="A1144" s="7">
        <f>IF(E1144=1,
      SUM($E$2:E1144)-1,
"")</f>
        <v>1141</v>
      </c>
      <c r="B1144" s="6" t="s">
        <v>735</v>
      </c>
      <c r="C1144" s="14">
        <v>45127</v>
      </c>
      <c r="D1144" s="15">
        <v>104.27</v>
      </c>
      <c r="E1144" s="7">
        <f t="shared" si="17"/>
        <v>1</v>
      </c>
    </row>
    <row r="1145" spans="1:5" x14ac:dyDescent="0.25">
      <c r="A1145" s="7">
        <f>IF(E1145=1,
      SUM($E$2:E1145)-1,
"")</f>
        <v>1142</v>
      </c>
      <c r="B1145" s="6" t="s">
        <v>581</v>
      </c>
      <c r="C1145" s="14">
        <v>45071</v>
      </c>
      <c r="D1145" s="15">
        <v>118.18</v>
      </c>
      <c r="E1145" s="7">
        <f t="shared" si="17"/>
        <v>1</v>
      </c>
    </row>
    <row r="1146" spans="1:5" x14ac:dyDescent="0.25">
      <c r="A1146" s="7">
        <f>IF(E1146=1,
      SUM($E$2:E1146)-1,
"")</f>
        <v>1143</v>
      </c>
      <c r="B1146" s="6" t="s">
        <v>450</v>
      </c>
      <c r="C1146" s="14">
        <v>45232</v>
      </c>
      <c r="D1146" s="15">
        <v>105.09</v>
      </c>
      <c r="E1146" s="7">
        <f t="shared" si="17"/>
        <v>1</v>
      </c>
    </row>
    <row r="1147" spans="1:5" x14ac:dyDescent="0.25">
      <c r="A1147" s="7">
        <f>IF(E1147=1,
      SUM($E$2:E1147)-1,
"")</f>
        <v>1144</v>
      </c>
      <c r="B1147" s="6" t="s">
        <v>736</v>
      </c>
      <c r="C1147" s="14">
        <v>45164</v>
      </c>
      <c r="D1147" s="15">
        <v>72.34</v>
      </c>
      <c r="E1147" s="7">
        <f t="shared" si="17"/>
        <v>1</v>
      </c>
    </row>
    <row r="1148" spans="1:5" x14ac:dyDescent="0.25">
      <c r="A1148" s="7">
        <f>IF(E1148=1,
      SUM($E$2:E1148)-1,
"")</f>
        <v>1145</v>
      </c>
      <c r="B1148" s="6" t="s">
        <v>737</v>
      </c>
      <c r="C1148" s="14">
        <v>45120</v>
      </c>
      <c r="D1148" s="15">
        <v>135.03</v>
      </c>
      <c r="E1148" s="7">
        <f t="shared" si="17"/>
        <v>1</v>
      </c>
    </row>
    <row r="1149" spans="1:5" x14ac:dyDescent="0.25">
      <c r="A1149" s="7">
        <f>IF(E1149=1,
      SUM($E$2:E1149)-1,
"")</f>
        <v>1146</v>
      </c>
      <c r="B1149" s="6" t="s">
        <v>709</v>
      </c>
      <c r="C1149" s="14">
        <v>45137</v>
      </c>
      <c r="D1149" s="15">
        <v>100.06</v>
      </c>
      <c r="E1149" s="7">
        <f t="shared" si="17"/>
        <v>1</v>
      </c>
    </row>
    <row r="1150" spans="1:5" x14ac:dyDescent="0.25">
      <c r="A1150" s="7">
        <f>IF(E1150=1,
      SUM($E$2:E1150)-1,
"")</f>
        <v>1147</v>
      </c>
      <c r="B1150" s="6" t="s">
        <v>667</v>
      </c>
      <c r="C1150" s="14">
        <v>45183</v>
      </c>
      <c r="D1150" s="15">
        <v>49.96</v>
      </c>
      <c r="E1150" s="7">
        <f t="shared" si="17"/>
        <v>1</v>
      </c>
    </row>
    <row r="1151" spans="1:5" x14ac:dyDescent="0.25">
      <c r="A1151" s="7">
        <f>IF(E1151=1,
      SUM($E$2:E1151)-1,
"")</f>
        <v>1148</v>
      </c>
      <c r="B1151" s="6" t="s">
        <v>298</v>
      </c>
      <c r="C1151" s="14">
        <v>45024</v>
      </c>
      <c r="D1151" s="15">
        <v>106.28</v>
      </c>
      <c r="E1151" s="7">
        <f t="shared" si="17"/>
        <v>1</v>
      </c>
    </row>
    <row r="1152" spans="1:5" x14ac:dyDescent="0.25">
      <c r="A1152" s="7">
        <f>IF(E1152=1,
      SUM($E$2:E1152)-1,
"")</f>
        <v>1149</v>
      </c>
      <c r="B1152" s="6" t="s">
        <v>539</v>
      </c>
      <c r="C1152" s="14">
        <v>44937</v>
      </c>
      <c r="D1152" s="15">
        <v>114.26</v>
      </c>
      <c r="E1152" s="7">
        <f t="shared" si="17"/>
        <v>1</v>
      </c>
    </row>
    <row r="1153" spans="1:5" x14ac:dyDescent="0.25">
      <c r="A1153" s="7">
        <f>IF(E1153=1,
      SUM($E$2:E1153)-1,
"")</f>
        <v>1150</v>
      </c>
      <c r="B1153" s="6" t="s">
        <v>738</v>
      </c>
      <c r="C1153" s="14">
        <v>45015</v>
      </c>
      <c r="D1153" s="15">
        <v>158.82</v>
      </c>
      <c r="E1153" s="7">
        <f t="shared" si="17"/>
        <v>1</v>
      </c>
    </row>
    <row r="1154" spans="1:5" x14ac:dyDescent="0.25">
      <c r="A1154" s="7">
        <f>IF(E1154=1,
      SUM($E$2:E1154)-1,
"")</f>
        <v>1151</v>
      </c>
      <c r="B1154" s="6" t="s">
        <v>258</v>
      </c>
      <c r="C1154" s="14">
        <v>45219</v>
      </c>
      <c r="D1154" s="15">
        <v>112.26</v>
      </c>
      <c r="E1154" s="7">
        <f t="shared" ref="E1154:E1217" si="18">IF(D1154&gt;0,1,0)</f>
        <v>1</v>
      </c>
    </row>
    <row r="1155" spans="1:5" x14ac:dyDescent="0.25">
      <c r="A1155" s="7">
        <f>IF(E1155=1,
      SUM($E$2:E1155)-1,
"")</f>
        <v>1152</v>
      </c>
      <c r="B1155" s="6" t="s">
        <v>739</v>
      </c>
      <c r="C1155" s="14">
        <v>45086</v>
      </c>
      <c r="D1155" s="15">
        <v>55.54</v>
      </c>
      <c r="E1155" s="7">
        <f t="shared" si="18"/>
        <v>1</v>
      </c>
    </row>
    <row r="1156" spans="1:5" x14ac:dyDescent="0.25">
      <c r="A1156" s="7">
        <f>IF(E1156=1,
      SUM($E$2:E1156)-1,
"")</f>
        <v>1153</v>
      </c>
      <c r="B1156" s="6" t="s">
        <v>258</v>
      </c>
      <c r="C1156" s="14">
        <v>45014</v>
      </c>
      <c r="D1156" s="15">
        <v>56.59</v>
      </c>
      <c r="E1156" s="7">
        <f t="shared" si="18"/>
        <v>1</v>
      </c>
    </row>
    <row r="1157" spans="1:5" x14ac:dyDescent="0.25">
      <c r="A1157" s="7">
        <f>IF(E1157=1,
      SUM($E$2:E1157)-1,
"")</f>
        <v>1154</v>
      </c>
      <c r="B1157" s="6" t="s">
        <v>740</v>
      </c>
      <c r="C1157" s="14">
        <v>44967</v>
      </c>
      <c r="D1157" s="15">
        <v>137.76</v>
      </c>
      <c r="E1157" s="7">
        <f t="shared" si="18"/>
        <v>1</v>
      </c>
    </row>
    <row r="1158" spans="1:5" x14ac:dyDescent="0.25">
      <c r="A1158" s="7">
        <f>IF(E1158=1,
      SUM($E$2:E1158)-1,
"")</f>
        <v>1155</v>
      </c>
      <c r="B1158" s="6" t="s">
        <v>741</v>
      </c>
      <c r="C1158" s="14">
        <v>44953</v>
      </c>
      <c r="D1158" s="15">
        <v>75.92</v>
      </c>
      <c r="E1158" s="7">
        <f t="shared" si="18"/>
        <v>1</v>
      </c>
    </row>
    <row r="1159" spans="1:5" x14ac:dyDescent="0.25">
      <c r="A1159" s="7">
        <f>IF(E1159=1,
      SUM($E$2:E1159)-1,
"")</f>
        <v>1156</v>
      </c>
      <c r="B1159" s="6" t="s">
        <v>405</v>
      </c>
      <c r="C1159" s="14">
        <v>44936</v>
      </c>
      <c r="D1159" s="15">
        <v>53.51</v>
      </c>
      <c r="E1159" s="7">
        <f t="shared" si="18"/>
        <v>1</v>
      </c>
    </row>
    <row r="1160" spans="1:5" x14ac:dyDescent="0.25">
      <c r="A1160" s="7">
        <f>IF(E1160=1,
      SUM($E$2:E1160)-1,
"")</f>
        <v>1157</v>
      </c>
      <c r="B1160" s="6" t="s">
        <v>253</v>
      </c>
      <c r="C1160" s="14">
        <v>44953</v>
      </c>
      <c r="D1160" s="15">
        <v>130.02000000000001</v>
      </c>
      <c r="E1160" s="7">
        <f t="shared" si="18"/>
        <v>1</v>
      </c>
    </row>
    <row r="1161" spans="1:5" x14ac:dyDescent="0.25">
      <c r="A1161" s="7">
        <f>IF(E1161=1,
      SUM($E$2:E1161)-1,
"")</f>
        <v>1158</v>
      </c>
      <c r="B1161" s="6" t="s">
        <v>405</v>
      </c>
      <c r="C1161" s="14">
        <v>45089</v>
      </c>
      <c r="D1161" s="15">
        <v>85.73</v>
      </c>
      <c r="E1161" s="7">
        <f t="shared" si="18"/>
        <v>1</v>
      </c>
    </row>
    <row r="1162" spans="1:5" x14ac:dyDescent="0.25">
      <c r="A1162" s="7">
        <f>IF(E1162=1,
      SUM($E$2:E1162)-1,
"")</f>
        <v>1159</v>
      </c>
      <c r="B1162" s="6" t="s">
        <v>742</v>
      </c>
      <c r="C1162" s="14">
        <v>45132</v>
      </c>
      <c r="D1162" s="15">
        <v>128.41</v>
      </c>
      <c r="E1162" s="7">
        <f t="shared" si="18"/>
        <v>1</v>
      </c>
    </row>
    <row r="1163" spans="1:5" x14ac:dyDescent="0.25">
      <c r="A1163" s="7">
        <f>IF(E1163=1,
      SUM($E$2:E1163)-1,
"")</f>
        <v>1160</v>
      </c>
      <c r="B1163" s="6" t="s">
        <v>743</v>
      </c>
      <c r="C1163" s="14">
        <v>45265</v>
      </c>
      <c r="D1163" s="15">
        <v>72.56</v>
      </c>
      <c r="E1163" s="7">
        <f t="shared" si="18"/>
        <v>1</v>
      </c>
    </row>
    <row r="1164" spans="1:5" x14ac:dyDescent="0.25">
      <c r="A1164" s="7">
        <f>IF(E1164=1,
      SUM($E$2:E1164)-1,
"")</f>
        <v>1161</v>
      </c>
      <c r="B1164" s="6" t="s">
        <v>299</v>
      </c>
      <c r="C1164" s="14">
        <v>45036</v>
      </c>
      <c r="D1164" s="15">
        <v>144.21</v>
      </c>
      <c r="E1164" s="7">
        <f t="shared" si="18"/>
        <v>1</v>
      </c>
    </row>
    <row r="1165" spans="1:5" x14ac:dyDescent="0.25">
      <c r="A1165" s="7">
        <f>IF(E1165=1,
      SUM($E$2:E1165)-1,
"")</f>
        <v>1162</v>
      </c>
      <c r="B1165" s="6" t="s">
        <v>360</v>
      </c>
      <c r="C1165" s="14">
        <v>45128</v>
      </c>
      <c r="D1165" s="15">
        <v>126.16</v>
      </c>
      <c r="E1165" s="7">
        <f t="shared" si="18"/>
        <v>1</v>
      </c>
    </row>
    <row r="1166" spans="1:5" x14ac:dyDescent="0.25">
      <c r="A1166" s="7">
        <f>IF(E1166=1,
      SUM($E$2:E1166)-1,
"")</f>
        <v>1163</v>
      </c>
      <c r="B1166" s="6" t="s">
        <v>744</v>
      </c>
      <c r="C1166" s="14">
        <v>45230</v>
      </c>
      <c r="D1166" s="15">
        <v>78.319999999999993</v>
      </c>
      <c r="E1166" s="7">
        <f t="shared" si="18"/>
        <v>1</v>
      </c>
    </row>
    <row r="1167" spans="1:5" x14ac:dyDescent="0.25">
      <c r="A1167" s="7">
        <f>IF(E1167=1,
      SUM($E$2:E1167)-1,
"")</f>
        <v>1164</v>
      </c>
      <c r="B1167" s="6" t="s">
        <v>514</v>
      </c>
      <c r="C1167" s="14">
        <v>45271</v>
      </c>
      <c r="D1167" s="15">
        <v>50.19</v>
      </c>
      <c r="E1167" s="7">
        <f t="shared" si="18"/>
        <v>1</v>
      </c>
    </row>
    <row r="1168" spans="1:5" x14ac:dyDescent="0.25">
      <c r="A1168" s="7">
        <f>IF(E1168=1,
      SUM($E$2:E1168)-1,
"")</f>
        <v>1165</v>
      </c>
      <c r="B1168" s="6" t="s">
        <v>481</v>
      </c>
      <c r="C1168" s="14">
        <v>45223</v>
      </c>
      <c r="D1168" s="15">
        <v>169.15</v>
      </c>
      <c r="E1168" s="7">
        <f t="shared" si="18"/>
        <v>1</v>
      </c>
    </row>
    <row r="1169" spans="1:5" x14ac:dyDescent="0.25">
      <c r="A1169" s="7">
        <f>IF(E1169=1,
      SUM($E$2:E1169)-1,
"")</f>
        <v>1166</v>
      </c>
      <c r="B1169" s="6" t="s">
        <v>318</v>
      </c>
      <c r="C1169" s="14">
        <v>45197</v>
      </c>
      <c r="D1169" s="15">
        <v>93.69</v>
      </c>
      <c r="E1169" s="7">
        <f t="shared" si="18"/>
        <v>1</v>
      </c>
    </row>
    <row r="1170" spans="1:5" x14ac:dyDescent="0.25">
      <c r="A1170" s="7">
        <f>IF(E1170=1,
      SUM($E$2:E1170)-1,
"")</f>
        <v>1167</v>
      </c>
      <c r="B1170" s="6" t="s">
        <v>745</v>
      </c>
      <c r="C1170" s="14">
        <v>45130</v>
      </c>
      <c r="D1170" s="15">
        <v>77.12</v>
      </c>
      <c r="E1170" s="7">
        <f t="shared" si="18"/>
        <v>1</v>
      </c>
    </row>
    <row r="1171" spans="1:5" x14ac:dyDescent="0.25">
      <c r="A1171" s="7">
        <f>IF(E1171=1,
      SUM($E$2:E1171)-1,
"")</f>
        <v>1168</v>
      </c>
      <c r="B1171" s="6" t="s">
        <v>239</v>
      </c>
      <c r="C1171" s="14">
        <v>45214</v>
      </c>
      <c r="D1171" s="15">
        <v>141.59</v>
      </c>
      <c r="E1171" s="7">
        <f t="shared" si="18"/>
        <v>1</v>
      </c>
    </row>
    <row r="1172" spans="1:5" x14ac:dyDescent="0.25">
      <c r="A1172" s="7">
        <f>IF(E1172=1,
      SUM($E$2:E1172)-1,
"")</f>
        <v>1169</v>
      </c>
      <c r="B1172" s="6" t="s">
        <v>746</v>
      </c>
      <c r="C1172" s="14">
        <v>45288</v>
      </c>
      <c r="D1172" s="15">
        <v>128.37</v>
      </c>
      <c r="E1172" s="7">
        <f t="shared" si="18"/>
        <v>1</v>
      </c>
    </row>
    <row r="1173" spans="1:5" x14ac:dyDescent="0.25">
      <c r="A1173" s="7">
        <f>IF(E1173=1,
      SUM($E$2:E1173)-1,
"")</f>
        <v>1170</v>
      </c>
      <c r="B1173" s="6" t="s">
        <v>505</v>
      </c>
      <c r="C1173" s="14">
        <v>44977</v>
      </c>
      <c r="D1173" s="15">
        <v>135.47999999999999</v>
      </c>
      <c r="E1173" s="7">
        <f t="shared" si="18"/>
        <v>1</v>
      </c>
    </row>
    <row r="1174" spans="1:5" x14ac:dyDescent="0.25">
      <c r="A1174" s="7">
        <f>IF(E1174=1,
      SUM($E$2:E1174)-1,
"")</f>
        <v>1171</v>
      </c>
      <c r="B1174" s="6" t="s">
        <v>116</v>
      </c>
      <c r="C1174" s="14">
        <v>45173</v>
      </c>
      <c r="D1174" s="15">
        <v>97.04</v>
      </c>
      <c r="E1174" s="7">
        <f t="shared" si="18"/>
        <v>1</v>
      </c>
    </row>
    <row r="1175" spans="1:5" x14ac:dyDescent="0.25">
      <c r="A1175" s="7">
        <f>IF(E1175=1,
      SUM($E$2:E1175)-1,
"")</f>
        <v>1172</v>
      </c>
      <c r="B1175" s="6" t="s">
        <v>421</v>
      </c>
      <c r="C1175" s="14">
        <v>44991</v>
      </c>
      <c r="D1175" s="15">
        <v>156.43</v>
      </c>
      <c r="E1175" s="7">
        <f t="shared" si="18"/>
        <v>1</v>
      </c>
    </row>
    <row r="1176" spans="1:5" x14ac:dyDescent="0.25">
      <c r="A1176" s="7">
        <f>IF(E1176=1,
      SUM($E$2:E1176)-1,
"")</f>
        <v>1173</v>
      </c>
      <c r="B1176" s="6" t="s">
        <v>747</v>
      </c>
      <c r="C1176" s="14">
        <v>45115</v>
      </c>
      <c r="D1176" s="15">
        <v>60.68</v>
      </c>
      <c r="E1176" s="7">
        <f t="shared" si="18"/>
        <v>1</v>
      </c>
    </row>
    <row r="1177" spans="1:5" x14ac:dyDescent="0.25">
      <c r="A1177" s="7">
        <f>IF(E1177=1,
      SUM($E$2:E1177)-1,
"")</f>
        <v>1174</v>
      </c>
      <c r="B1177" s="6" t="s">
        <v>696</v>
      </c>
      <c r="C1177" s="14">
        <v>45117</v>
      </c>
      <c r="D1177" s="15">
        <v>83.44</v>
      </c>
      <c r="E1177" s="7">
        <f t="shared" si="18"/>
        <v>1</v>
      </c>
    </row>
    <row r="1178" spans="1:5" x14ac:dyDescent="0.25">
      <c r="A1178" s="7">
        <f>IF(E1178=1,
      SUM($E$2:E1178)-1,
"")</f>
        <v>1175</v>
      </c>
      <c r="B1178" s="6" t="s">
        <v>488</v>
      </c>
      <c r="C1178" s="14">
        <v>45076</v>
      </c>
      <c r="D1178" s="15">
        <v>111.7</v>
      </c>
      <c r="E1178" s="7">
        <f t="shared" si="18"/>
        <v>1</v>
      </c>
    </row>
    <row r="1179" spans="1:5" x14ac:dyDescent="0.25">
      <c r="A1179" s="7">
        <f>IF(E1179=1,
      SUM($E$2:E1179)-1,
"")</f>
        <v>1176</v>
      </c>
      <c r="B1179" s="6" t="s">
        <v>515</v>
      </c>
      <c r="C1179" s="14">
        <v>45237</v>
      </c>
      <c r="D1179" s="15">
        <v>135.04</v>
      </c>
      <c r="E1179" s="7">
        <f t="shared" si="18"/>
        <v>1</v>
      </c>
    </row>
    <row r="1180" spans="1:5" x14ac:dyDescent="0.25">
      <c r="A1180" s="7">
        <f>IF(E1180=1,
      SUM($E$2:E1180)-1,
"")</f>
        <v>1177</v>
      </c>
      <c r="B1180" s="6" t="s">
        <v>698</v>
      </c>
      <c r="C1180" s="14">
        <v>45106</v>
      </c>
      <c r="D1180" s="15">
        <v>119.83</v>
      </c>
      <c r="E1180" s="7">
        <f t="shared" si="18"/>
        <v>1</v>
      </c>
    </row>
    <row r="1181" spans="1:5" x14ac:dyDescent="0.25">
      <c r="A1181" s="7">
        <f>IF(E1181=1,
      SUM($E$2:E1181)-1,
"")</f>
        <v>1178</v>
      </c>
      <c r="B1181" s="6" t="s">
        <v>301</v>
      </c>
      <c r="C1181" s="14">
        <v>45061</v>
      </c>
      <c r="D1181" s="15">
        <v>97.51</v>
      </c>
      <c r="E1181" s="7">
        <f t="shared" si="18"/>
        <v>1</v>
      </c>
    </row>
    <row r="1182" spans="1:5" x14ac:dyDescent="0.25">
      <c r="A1182" s="7">
        <f>IF(E1182=1,
      SUM($E$2:E1182)-1,
"")</f>
        <v>1179</v>
      </c>
      <c r="B1182" s="6" t="s">
        <v>748</v>
      </c>
      <c r="C1182" s="14">
        <v>45038</v>
      </c>
      <c r="D1182" s="15">
        <v>85.75</v>
      </c>
      <c r="E1182" s="7">
        <f t="shared" si="18"/>
        <v>1</v>
      </c>
    </row>
    <row r="1183" spans="1:5" x14ac:dyDescent="0.25">
      <c r="A1183" s="7">
        <f>IF(E1183=1,
      SUM($E$2:E1183)-1,
"")</f>
        <v>1180</v>
      </c>
      <c r="B1183" s="6" t="s">
        <v>142</v>
      </c>
      <c r="C1183" s="14">
        <v>45189</v>
      </c>
      <c r="D1183" s="15">
        <v>135.21</v>
      </c>
      <c r="E1183" s="7">
        <f t="shared" si="18"/>
        <v>1</v>
      </c>
    </row>
    <row r="1184" spans="1:5" x14ac:dyDescent="0.25">
      <c r="A1184" s="7">
        <f>IF(E1184=1,
      SUM($E$2:E1184)-1,
"")</f>
        <v>1181</v>
      </c>
      <c r="B1184" s="6" t="s">
        <v>428</v>
      </c>
      <c r="C1184" s="14">
        <v>45216</v>
      </c>
      <c r="D1184" s="15">
        <v>122.93</v>
      </c>
      <c r="E1184" s="7">
        <f t="shared" si="18"/>
        <v>1</v>
      </c>
    </row>
    <row r="1185" spans="1:5" x14ac:dyDescent="0.25">
      <c r="A1185" s="7">
        <f>IF(E1185=1,
      SUM($E$2:E1185)-1,
"")</f>
        <v>1182</v>
      </c>
      <c r="B1185" s="6" t="s">
        <v>732</v>
      </c>
      <c r="C1185" s="14">
        <v>45063</v>
      </c>
      <c r="D1185" s="15">
        <v>73.760000000000005</v>
      </c>
      <c r="E1185" s="7">
        <f t="shared" si="18"/>
        <v>1</v>
      </c>
    </row>
    <row r="1186" spans="1:5" x14ac:dyDescent="0.25">
      <c r="A1186" s="7">
        <f>IF(E1186=1,
      SUM($E$2:E1186)-1,
"")</f>
        <v>1183</v>
      </c>
      <c r="B1186" s="6" t="s">
        <v>749</v>
      </c>
      <c r="C1186" s="14">
        <v>45035</v>
      </c>
      <c r="D1186" s="15">
        <v>72.87</v>
      </c>
      <c r="E1186" s="7">
        <f t="shared" si="18"/>
        <v>1</v>
      </c>
    </row>
    <row r="1187" spans="1:5" x14ac:dyDescent="0.25">
      <c r="A1187" s="7">
        <f>IF(E1187=1,
      SUM($E$2:E1187)-1,
"")</f>
        <v>1184</v>
      </c>
      <c r="B1187" s="6" t="s">
        <v>704</v>
      </c>
      <c r="C1187" s="14">
        <v>45029</v>
      </c>
      <c r="D1187" s="15">
        <v>83.64</v>
      </c>
      <c r="E1187" s="7">
        <f t="shared" si="18"/>
        <v>1</v>
      </c>
    </row>
    <row r="1188" spans="1:5" x14ac:dyDescent="0.25">
      <c r="A1188" s="7">
        <f>IF(E1188=1,
      SUM($E$2:E1188)-1,
"")</f>
        <v>1185</v>
      </c>
      <c r="B1188" s="6" t="s">
        <v>167</v>
      </c>
      <c r="C1188" s="14">
        <v>44962</v>
      </c>
      <c r="D1188" s="15">
        <v>79.790000000000006</v>
      </c>
      <c r="E1188" s="7">
        <f t="shared" si="18"/>
        <v>1</v>
      </c>
    </row>
    <row r="1189" spans="1:5" x14ac:dyDescent="0.25">
      <c r="A1189" s="7">
        <f>IF(E1189=1,
      SUM($E$2:E1189)-1,
"")</f>
        <v>1186</v>
      </c>
      <c r="B1189" s="6" t="s">
        <v>197</v>
      </c>
      <c r="C1189" s="14">
        <v>45111</v>
      </c>
      <c r="D1189" s="15">
        <v>130.9</v>
      </c>
      <c r="E1189" s="7">
        <f t="shared" si="18"/>
        <v>1</v>
      </c>
    </row>
    <row r="1190" spans="1:5" x14ac:dyDescent="0.25">
      <c r="A1190" s="7">
        <f>IF(E1190=1,
      SUM($E$2:E1190)-1,
"")</f>
        <v>1187</v>
      </c>
      <c r="B1190" s="6" t="s">
        <v>677</v>
      </c>
      <c r="C1190" s="14">
        <v>45037</v>
      </c>
      <c r="D1190" s="15">
        <v>113.07</v>
      </c>
      <c r="E1190" s="7">
        <f t="shared" si="18"/>
        <v>1</v>
      </c>
    </row>
    <row r="1191" spans="1:5" x14ac:dyDescent="0.25">
      <c r="A1191" s="7">
        <f>IF(E1191=1,
      SUM($E$2:E1191)-1,
"")</f>
        <v>1188</v>
      </c>
      <c r="B1191" s="6" t="s">
        <v>750</v>
      </c>
      <c r="C1191" s="14">
        <v>45255</v>
      </c>
      <c r="D1191" s="15">
        <v>116.73</v>
      </c>
      <c r="E1191" s="7">
        <f t="shared" si="18"/>
        <v>1</v>
      </c>
    </row>
    <row r="1192" spans="1:5" x14ac:dyDescent="0.25">
      <c r="A1192" s="7">
        <f>IF(E1192=1,
      SUM($E$2:E1192)-1,
"")</f>
        <v>1189</v>
      </c>
      <c r="B1192" s="6" t="s">
        <v>751</v>
      </c>
      <c r="C1192" s="14">
        <v>45117</v>
      </c>
      <c r="D1192" s="15">
        <v>105.75</v>
      </c>
      <c r="E1192" s="7">
        <f t="shared" si="18"/>
        <v>1</v>
      </c>
    </row>
    <row r="1193" spans="1:5" x14ac:dyDescent="0.25">
      <c r="A1193" s="7">
        <f>IF(E1193=1,
      SUM($E$2:E1193)-1,
"")</f>
        <v>1190</v>
      </c>
      <c r="B1193" s="6" t="s">
        <v>726</v>
      </c>
      <c r="C1193" s="14">
        <v>45266</v>
      </c>
      <c r="D1193" s="15">
        <v>107.16</v>
      </c>
      <c r="E1193" s="7">
        <f t="shared" si="18"/>
        <v>1</v>
      </c>
    </row>
    <row r="1194" spans="1:5" x14ac:dyDescent="0.25">
      <c r="A1194" s="7">
        <f>IF(E1194=1,
      SUM($E$2:E1194)-1,
"")</f>
        <v>1191</v>
      </c>
      <c r="B1194" s="6" t="s">
        <v>496</v>
      </c>
      <c r="C1194" s="14">
        <v>45017</v>
      </c>
      <c r="D1194" s="15">
        <v>52.55</v>
      </c>
      <c r="E1194" s="7">
        <f t="shared" si="18"/>
        <v>1</v>
      </c>
    </row>
    <row r="1195" spans="1:5" x14ac:dyDescent="0.25">
      <c r="A1195" s="7">
        <f>IF(E1195=1,
      SUM($E$2:E1195)-1,
"")</f>
        <v>1192</v>
      </c>
      <c r="B1195" s="6" t="s">
        <v>752</v>
      </c>
      <c r="C1195" s="14">
        <v>45153</v>
      </c>
      <c r="D1195" s="15">
        <v>123.83</v>
      </c>
      <c r="E1195" s="7">
        <f t="shared" si="18"/>
        <v>1</v>
      </c>
    </row>
    <row r="1196" spans="1:5" x14ac:dyDescent="0.25">
      <c r="A1196" s="7">
        <f>IF(E1196=1,
      SUM($E$2:E1196)-1,
"")</f>
        <v>1193</v>
      </c>
      <c r="B1196" s="6" t="s">
        <v>753</v>
      </c>
      <c r="C1196" s="14">
        <v>44994</v>
      </c>
      <c r="D1196" s="15">
        <v>83.1</v>
      </c>
      <c r="E1196" s="7">
        <f t="shared" si="18"/>
        <v>1</v>
      </c>
    </row>
    <row r="1197" spans="1:5" x14ac:dyDescent="0.25">
      <c r="A1197" s="7">
        <f>IF(E1197=1,
      SUM($E$2:E1197)-1,
"")</f>
        <v>1194</v>
      </c>
      <c r="B1197" s="6" t="s">
        <v>692</v>
      </c>
      <c r="C1197" s="14">
        <v>45006</v>
      </c>
      <c r="D1197" s="15">
        <v>99.01</v>
      </c>
      <c r="E1197" s="7">
        <f t="shared" si="18"/>
        <v>1</v>
      </c>
    </row>
    <row r="1198" spans="1:5" x14ac:dyDescent="0.25">
      <c r="A1198" s="7">
        <f>IF(E1198=1,
      SUM($E$2:E1198)-1,
"")</f>
        <v>1195</v>
      </c>
      <c r="B1198" s="6" t="s">
        <v>754</v>
      </c>
      <c r="C1198" s="14">
        <v>45202</v>
      </c>
      <c r="D1198" s="15">
        <v>85.8</v>
      </c>
      <c r="E1198" s="7">
        <f t="shared" si="18"/>
        <v>1</v>
      </c>
    </row>
    <row r="1199" spans="1:5" x14ac:dyDescent="0.25">
      <c r="A1199" s="7">
        <f>IF(E1199=1,
      SUM($E$2:E1199)-1,
"")</f>
        <v>1196</v>
      </c>
      <c r="B1199" s="6" t="s">
        <v>495</v>
      </c>
      <c r="C1199" s="14">
        <v>45232</v>
      </c>
      <c r="D1199" s="15">
        <v>104.38</v>
      </c>
      <c r="E1199" s="7">
        <f t="shared" si="18"/>
        <v>1</v>
      </c>
    </row>
    <row r="1200" spans="1:5" x14ac:dyDescent="0.25">
      <c r="A1200" s="7">
        <f>IF(E1200=1,
      SUM($E$2:E1200)-1,
"")</f>
        <v>1197</v>
      </c>
      <c r="B1200" s="6" t="s">
        <v>78</v>
      </c>
      <c r="C1200" s="14">
        <v>44928</v>
      </c>
      <c r="D1200" s="15">
        <v>117.19</v>
      </c>
      <c r="E1200" s="7">
        <f t="shared" si="18"/>
        <v>1</v>
      </c>
    </row>
    <row r="1201" spans="1:5" x14ac:dyDescent="0.25">
      <c r="A1201" s="7">
        <f>IF(E1201=1,
      SUM($E$2:E1201)-1,
"")</f>
        <v>1198</v>
      </c>
      <c r="B1201" s="6" t="s">
        <v>503</v>
      </c>
      <c r="C1201" s="14">
        <v>44946</v>
      </c>
      <c r="D1201" s="15">
        <v>69.73</v>
      </c>
      <c r="E1201" s="7">
        <f t="shared" si="18"/>
        <v>1</v>
      </c>
    </row>
    <row r="1202" spans="1:5" x14ac:dyDescent="0.25">
      <c r="A1202" s="7">
        <f>IF(E1202=1,
      SUM($E$2:E1202)-1,
"")</f>
        <v>1199</v>
      </c>
      <c r="B1202" s="6" t="s">
        <v>223</v>
      </c>
      <c r="C1202" s="14">
        <v>45130</v>
      </c>
      <c r="D1202" s="15">
        <v>107.58</v>
      </c>
      <c r="E1202" s="7">
        <f t="shared" si="18"/>
        <v>1</v>
      </c>
    </row>
    <row r="1203" spans="1:5" x14ac:dyDescent="0.25">
      <c r="A1203" s="7">
        <f>IF(E1203=1,
      SUM($E$2:E1203)-1,
"")</f>
        <v>1200</v>
      </c>
      <c r="B1203" s="6" t="s">
        <v>755</v>
      </c>
      <c r="C1203" s="14">
        <v>44942</v>
      </c>
      <c r="D1203" s="15">
        <v>86.53</v>
      </c>
      <c r="E1203" s="7">
        <f t="shared" si="18"/>
        <v>1</v>
      </c>
    </row>
    <row r="1204" spans="1:5" x14ac:dyDescent="0.25">
      <c r="A1204" s="7">
        <f>IF(E1204=1,
      SUM($E$2:E1204)-1,
"")</f>
        <v>1201</v>
      </c>
      <c r="B1204" s="6" t="s">
        <v>756</v>
      </c>
      <c r="C1204" s="14">
        <v>45150</v>
      </c>
      <c r="D1204" s="15">
        <v>139.63999999999999</v>
      </c>
      <c r="E1204" s="7">
        <f t="shared" si="18"/>
        <v>1</v>
      </c>
    </row>
    <row r="1205" spans="1:5" x14ac:dyDescent="0.25">
      <c r="A1205" s="7">
        <f>IF(E1205=1,
      SUM($E$2:E1205)-1,
"")</f>
        <v>1202</v>
      </c>
      <c r="B1205" s="6" t="s">
        <v>757</v>
      </c>
      <c r="C1205" s="14">
        <v>45040</v>
      </c>
      <c r="D1205" s="15">
        <v>66.56</v>
      </c>
      <c r="E1205" s="7">
        <f t="shared" si="18"/>
        <v>1</v>
      </c>
    </row>
    <row r="1206" spans="1:5" x14ac:dyDescent="0.25">
      <c r="A1206" s="7">
        <f>IF(E1206=1,
      SUM($E$2:E1206)-1,
"")</f>
        <v>1203</v>
      </c>
      <c r="B1206" s="6" t="s">
        <v>641</v>
      </c>
      <c r="C1206" s="14">
        <v>45024</v>
      </c>
      <c r="D1206" s="15">
        <v>69.92</v>
      </c>
      <c r="E1206" s="7">
        <f t="shared" si="18"/>
        <v>1</v>
      </c>
    </row>
    <row r="1207" spans="1:5" x14ac:dyDescent="0.25">
      <c r="A1207" s="7">
        <f>IF(E1207=1,
      SUM($E$2:E1207)-1,
"")</f>
        <v>1204</v>
      </c>
      <c r="B1207" s="6" t="s">
        <v>758</v>
      </c>
      <c r="C1207" s="14">
        <v>45002</v>
      </c>
      <c r="D1207" s="15">
        <v>89.21</v>
      </c>
      <c r="E1207" s="7">
        <f t="shared" si="18"/>
        <v>1</v>
      </c>
    </row>
    <row r="1208" spans="1:5" x14ac:dyDescent="0.25">
      <c r="A1208" s="7">
        <f>IF(E1208=1,
      SUM($E$2:E1208)-1,
"")</f>
        <v>1205</v>
      </c>
      <c r="B1208" s="6" t="s">
        <v>672</v>
      </c>
      <c r="C1208" s="14">
        <v>45106</v>
      </c>
      <c r="D1208" s="15">
        <v>72.23</v>
      </c>
      <c r="E1208" s="7">
        <f t="shared" si="18"/>
        <v>1</v>
      </c>
    </row>
    <row r="1209" spans="1:5" x14ac:dyDescent="0.25">
      <c r="A1209" s="7">
        <f>IF(E1209=1,
      SUM($E$2:E1209)-1,
"")</f>
        <v>1206</v>
      </c>
      <c r="B1209" s="6" t="s">
        <v>311</v>
      </c>
      <c r="C1209" s="14">
        <v>44989</v>
      </c>
      <c r="D1209" s="15">
        <v>93.27</v>
      </c>
      <c r="E1209" s="7">
        <f t="shared" si="18"/>
        <v>1</v>
      </c>
    </row>
    <row r="1210" spans="1:5" x14ac:dyDescent="0.25">
      <c r="A1210" s="7">
        <f>IF(E1210=1,
      SUM($E$2:E1210)-1,
"")</f>
        <v>1207</v>
      </c>
      <c r="B1210" s="6" t="s">
        <v>462</v>
      </c>
      <c r="C1210" s="14">
        <v>45002</v>
      </c>
      <c r="D1210" s="15">
        <v>84.16</v>
      </c>
      <c r="E1210" s="7">
        <f t="shared" si="18"/>
        <v>1</v>
      </c>
    </row>
    <row r="1211" spans="1:5" x14ac:dyDescent="0.25">
      <c r="A1211" s="7">
        <f>IF(E1211=1,
      SUM($E$2:E1211)-1,
"")</f>
        <v>1208</v>
      </c>
      <c r="B1211" s="6" t="s">
        <v>109</v>
      </c>
      <c r="C1211" s="14">
        <v>45207</v>
      </c>
      <c r="D1211" s="15">
        <v>102.65</v>
      </c>
      <c r="E1211" s="7">
        <f t="shared" si="18"/>
        <v>1</v>
      </c>
    </row>
    <row r="1212" spans="1:5" x14ac:dyDescent="0.25">
      <c r="A1212" s="7">
        <f>IF(E1212=1,
      SUM($E$2:E1212)-1,
"")</f>
        <v>1209</v>
      </c>
      <c r="B1212" s="6" t="s">
        <v>302</v>
      </c>
      <c r="C1212" s="14">
        <v>45127</v>
      </c>
      <c r="D1212" s="15">
        <v>130.24</v>
      </c>
      <c r="E1212" s="7">
        <f t="shared" si="18"/>
        <v>1</v>
      </c>
    </row>
    <row r="1213" spans="1:5" x14ac:dyDescent="0.25">
      <c r="A1213" s="7">
        <f>IF(E1213=1,
      SUM($E$2:E1213)-1,
"")</f>
        <v>1210</v>
      </c>
      <c r="B1213" s="6" t="s">
        <v>759</v>
      </c>
      <c r="C1213" s="14">
        <v>45179</v>
      </c>
      <c r="D1213" s="15">
        <v>102.14</v>
      </c>
      <c r="E1213" s="7">
        <f t="shared" si="18"/>
        <v>1</v>
      </c>
    </row>
    <row r="1214" spans="1:5" x14ac:dyDescent="0.25">
      <c r="A1214" s="7">
        <f>IF(E1214=1,
      SUM($E$2:E1214)-1,
"")</f>
        <v>1211</v>
      </c>
      <c r="B1214" s="6" t="s">
        <v>716</v>
      </c>
      <c r="C1214" s="14">
        <v>44937</v>
      </c>
      <c r="D1214" s="15">
        <v>104.87</v>
      </c>
      <c r="E1214" s="7">
        <f t="shared" si="18"/>
        <v>1</v>
      </c>
    </row>
    <row r="1215" spans="1:5" x14ac:dyDescent="0.25">
      <c r="A1215" s="7">
        <f>IF(E1215=1,
      SUM($E$2:E1215)-1,
"")</f>
        <v>1212</v>
      </c>
      <c r="B1215" s="6" t="s">
        <v>452</v>
      </c>
      <c r="C1215" s="14">
        <v>45110</v>
      </c>
      <c r="D1215" s="15">
        <v>68.28</v>
      </c>
      <c r="E1215" s="7">
        <f t="shared" si="18"/>
        <v>1</v>
      </c>
    </row>
    <row r="1216" spans="1:5" x14ac:dyDescent="0.25">
      <c r="A1216" s="7">
        <f>IF(E1216=1,
      SUM($E$2:E1216)-1,
"")</f>
        <v>1213</v>
      </c>
      <c r="B1216" s="6" t="s">
        <v>754</v>
      </c>
      <c r="C1216" s="14">
        <v>45086</v>
      </c>
      <c r="D1216" s="15">
        <v>95.98</v>
      </c>
      <c r="E1216" s="7">
        <f t="shared" si="18"/>
        <v>1</v>
      </c>
    </row>
    <row r="1217" spans="1:5" x14ac:dyDescent="0.25">
      <c r="A1217" s="7">
        <f>IF(E1217=1,
      SUM($E$2:E1217)-1,
"")</f>
        <v>1214</v>
      </c>
      <c r="B1217" s="6" t="s">
        <v>231</v>
      </c>
      <c r="C1217" s="14">
        <v>45037</v>
      </c>
      <c r="D1217" s="15">
        <v>87.35</v>
      </c>
      <c r="E1217" s="7">
        <f t="shared" si="18"/>
        <v>1</v>
      </c>
    </row>
    <row r="1218" spans="1:5" x14ac:dyDescent="0.25">
      <c r="A1218" s="7">
        <f>IF(E1218=1,
      SUM($E$2:E1218)-1,
"")</f>
        <v>1215</v>
      </c>
      <c r="B1218" s="6" t="s">
        <v>666</v>
      </c>
      <c r="C1218" s="14">
        <v>45058</v>
      </c>
      <c r="D1218" s="15">
        <v>120.45</v>
      </c>
      <c r="E1218" s="7">
        <f t="shared" ref="E1218:E1281" si="19">IF(D1218&gt;0,1,0)</f>
        <v>1</v>
      </c>
    </row>
    <row r="1219" spans="1:5" x14ac:dyDescent="0.25">
      <c r="A1219" s="7">
        <f>IF(E1219=1,
      SUM($E$2:E1219)-1,
"")</f>
        <v>1216</v>
      </c>
      <c r="B1219" s="6" t="s">
        <v>509</v>
      </c>
      <c r="C1219" s="14">
        <v>44938</v>
      </c>
      <c r="D1219" s="15">
        <v>77.06</v>
      </c>
      <c r="E1219" s="7">
        <f t="shared" si="19"/>
        <v>1</v>
      </c>
    </row>
    <row r="1220" spans="1:5" x14ac:dyDescent="0.25">
      <c r="A1220" s="7">
        <f>IF(E1220=1,
      SUM($E$2:E1220)-1,
"")</f>
        <v>1217</v>
      </c>
      <c r="B1220" s="6" t="s">
        <v>216</v>
      </c>
      <c r="C1220" s="14">
        <v>45290</v>
      </c>
      <c r="D1220" s="15">
        <v>74.180000000000007</v>
      </c>
      <c r="E1220" s="7">
        <f t="shared" si="19"/>
        <v>1</v>
      </c>
    </row>
    <row r="1221" spans="1:5" x14ac:dyDescent="0.25">
      <c r="A1221" s="7">
        <f>IF(E1221=1,
      SUM($E$2:E1221)-1,
"")</f>
        <v>1218</v>
      </c>
      <c r="B1221" s="6" t="s">
        <v>438</v>
      </c>
      <c r="C1221" s="14">
        <v>45085</v>
      </c>
      <c r="D1221" s="15">
        <v>109.52</v>
      </c>
      <c r="E1221" s="7">
        <f t="shared" si="19"/>
        <v>1</v>
      </c>
    </row>
    <row r="1222" spans="1:5" x14ac:dyDescent="0.25">
      <c r="A1222" s="7">
        <f>IF(E1222=1,
      SUM($E$2:E1222)-1,
"")</f>
        <v>1219</v>
      </c>
      <c r="B1222" s="6" t="s">
        <v>704</v>
      </c>
      <c r="C1222" s="14">
        <v>45096</v>
      </c>
      <c r="D1222" s="15">
        <v>159.4</v>
      </c>
      <c r="E1222" s="7">
        <f t="shared" si="19"/>
        <v>1</v>
      </c>
    </row>
    <row r="1223" spans="1:5" x14ac:dyDescent="0.25">
      <c r="A1223" s="7">
        <f>IF(E1223=1,
      SUM($E$2:E1223)-1,
"")</f>
        <v>1220</v>
      </c>
      <c r="B1223" s="6" t="s">
        <v>760</v>
      </c>
      <c r="C1223" s="14">
        <v>44952</v>
      </c>
      <c r="D1223" s="15">
        <v>94.72</v>
      </c>
      <c r="E1223" s="7">
        <f t="shared" si="19"/>
        <v>1</v>
      </c>
    </row>
    <row r="1224" spans="1:5" x14ac:dyDescent="0.25">
      <c r="A1224" s="7">
        <f>IF(E1224=1,
      SUM($E$2:E1224)-1,
"")</f>
        <v>1221</v>
      </c>
      <c r="B1224" s="6" t="s">
        <v>101</v>
      </c>
      <c r="C1224" s="14">
        <v>45168</v>
      </c>
      <c r="D1224" s="15">
        <v>105.05</v>
      </c>
      <c r="E1224" s="7">
        <f t="shared" si="19"/>
        <v>1</v>
      </c>
    </row>
    <row r="1225" spans="1:5" x14ac:dyDescent="0.25">
      <c r="A1225" s="7">
        <f>IF(E1225=1,
      SUM($E$2:E1225)-1,
"")</f>
        <v>1222</v>
      </c>
      <c r="B1225" s="6" t="s">
        <v>414</v>
      </c>
      <c r="C1225" s="14">
        <v>45155</v>
      </c>
      <c r="D1225" s="15">
        <v>128.44</v>
      </c>
      <c r="E1225" s="7">
        <f t="shared" si="19"/>
        <v>1</v>
      </c>
    </row>
    <row r="1226" spans="1:5" x14ac:dyDescent="0.25">
      <c r="A1226" s="7">
        <f>IF(E1226=1,
      SUM($E$2:E1226)-1,
"")</f>
        <v>1223</v>
      </c>
      <c r="B1226" s="6" t="s">
        <v>761</v>
      </c>
      <c r="C1226" s="14">
        <v>44954</v>
      </c>
      <c r="D1226" s="15">
        <v>115.3</v>
      </c>
      <c r="E1226" s="7">
        <f t="shared" si="19"/>
        <v>1</v>
      </c>
    </row>
    <row r="1227" spans="1:5" x14ac:dyDescent="0.25">
      <c r="A1227" s="7">
        <f>IF(E1227=1,
      SUM($E$2:E1227)-1,
"")</f>
        <v>1224</v>
      </c>
      <c r="B1227" s="6" t="s">
        <v>666</v>
      </c>
      <c r="C1227" s="14">
        <v>45268</v>
      </c>
      <c r="D1227" s="15">
        <v>115.49</v>
      </c>
      <c r="E1227" s="7">
        <f t="shared" si="19"/>
        <v>1</v>
      </c>
    </row>
    <row r="1228" spans="1:5" x14ac:dyDescent="0.25">
      <c r="A1228" s="7">
        <f>IF(E1228=1,
      SUM($E$2:E1228)-1,
"")</f>
        <v>1225</v>
      </c>
      <c r="B1228" s="6" t="s">
        <v>266</v>
      </c>
      <c r="C1228" s="14">
        <v>45225</v>
      </c>
      <c r="D1228" s="15">
        <v>97.14</v>
      </c>
      <c r="E1228" s="7">
        <f t="shared" si="19"/>
        <v>1</v>
      </c>
    </row>
    <row r="1229" spans="1:5" x14ac:dyDescent="0.25">
      <c r="A1229" s="7">
        <f>IF(E1229=1,
      SUM($E$2:E1229)-1,
"")</f>
        <v>1226</v>
      </c>
      <c r="B1229" s="6" t="s">
        <v>762</v>
      </c>
      <c r="C1229" s="14">
        <v>45232</v>
      </c>
      <c r="D1229" s="15">
        <v>97.73</v>
      </c>
      <c r="E1229" s="7">
        <f t="shared" si="19"/>
        <v>1</v>
      </c>
    </row>
    <row r="1230" spans="1:5" x14ac:dyDescent="0.25">
      <c r="A1230" s="7">
        <f>IF(E1230=1,
      SUM($E$2:E1230)-1,
"")</f>
        <v>1227</v>
      </c>
      <c r="B1230" s="6" t="s">
        <v>407</v>
      </c>
      <c r="C1230" s="14">
        <v>45264</v>
      </c>
      <c r="D1230" s="15">
        <v>77.349999999999994</v>
      </c>
      <c r="E1230" s="7">
        <f t="shared" si="19"/>
        <v>1</v>
      </c>
    </row>
    <row r="1231" spans="1:5" x14ac:dyDescent="0.25">
      <c r="A1231" s="7">
        <f>IF(E1231=1,
      SUM($E$2:E1231)-1,
"")</f>
        <v>1228</v>
      </c>
      <c r="B1231" s="6" t="s">
        <v>763</v>
      </c>
      <c r="C1231" s="14">
        <v>45274</v>
      </c>
      <c r="D1231" s="15">
        <v>114.59</v>
      </c>
      <c r="E1231" s="7">
        <f t="shared" si="19"/>
        <v>1</v>
      </c>
    </row>
    <row r="1232" spans="1:5" x14ac:dyDescent="0.25">
      <c r="A1232" s="7">
        <f>IF(E1232=1,
      SUM($E$2:E1232)-1,
"")</f>
        <v>1229</v>
      </c>
      <c r="B1232" s="6" t="s">
        <v>764</v>
      </c>
      <c r="C1232" s="14">
        <v>45122</v>
      </c>
      <c r="D1232" s="15">
        <v>113.91</v>
      </c>
      <c r="E1232" s="7">
        <f t="shared" si="19"/>
        <v>1</v>
      </c>
    </row>
    <row r="1233" spans="1:5" x14ac:dyDescent="0.25">
      <c r="A1233" s="7">
        <f>IF(E1233=1,
      SUM($E$2:E1233)-1,
"")</f>
        <v>1230</v>
      </c>
      <c r="B1233" s="6" t="s">
        <v>765</v>
      </c>
      <c r="C1233" s="14">
        <v>45219</v>
      </c>
      <c r="D1233" s="15">
        <v>121.51</v>
      </c>
      <c r="E1233" s="7">
        <f t="shared" si="19"/>
        <v>1</v>
      </c>
    </row>
    <row r="1234" spans="1:5" x14ac:dyDescent="0.25">
      <c r="A1234" s="7">
        <f>IF(E1234=1,
      SUM($E$2:E1234)-1,
"")</f>
        <v>1231</v>
      </c>
      <c r="B1234" s="6" t="s">
        <v>717</v>
      </c>
      <c r="C1234" s="14">
        <v>45232</v>
      </c>
      <c r="D1234" s="15">
        <v>85.36</v>
      </c>
      <c r="E1234" s="7">
        <f t="shared" si="19"/>
        <v>1</v>
      </c>
    </row>
    <row r="1235" spans="1:5" x14ac:dyDescent="0.25">
      <c r="A1235" s="7">
        <f>IF(E1235=1,
      SUM($E$2:E1235)-1,
"")</f>
        <v>1232</v>
      </c>
      <c r="B1235" s="6" t="s">
        <v>410</v>
      </c>
      <c r="C1235" s="14">
        <v>45140</v>
      </c>
      <c r="D1235" s="15">
        <v>124.9</v>
      </c>
      <c r="E1235" s="7">
        <f t="shared" si="19"/>
        <v>1</v>
      </c>
    </row>
    <row r="1236" spans="1:5" x14ac:dyDescent="0.25">
      <c r="A1236" s="7">
        <f>IF(E1236=1,
      SUM($E$2:E1236)-1,
"")</f>
        <v>1233</v>
      </c>
      <c r="B1236" s="6" t="s">
        <v>766</v>
      </c>
      <c r="C1236" s="14">
        <v>45017</v>
      </c>
      <c r="D1236" s="15">
        <v>134</v>
      </c>
      <c r="E1236" s="7">
        <f t="shared" si="19"/>
        <v>1</v>
      </c>
    </row>
    <row r="1237" spans="1:5" x14ac:dyDescent="0.25">
      <c r="A1237" s="7">
        <f>IF(E1237=1,
      SUM($E$2:E1237)-1,
"")</f>
        <v>1234</v>
      </c>
      <c r="B1237" s="6" t="s">
        <v>516</v>
      </c>
      <c r="C1237" s="14">
        <v>45245</v>
      </c>
      <c r="D1237" s="15">
        <v>63.58</v>
      </c>
      <c r="E1237" s="7">
        <f t="shared" si="19"/>
        <v>1</v>
      </c>
    </row>
    <row r="1238" spans="1:5" x14ac:dyDescent="0.25">
      <c r="A1238" s="7">
        <f>IF(E1238=1,
      SUM($E$2:E1238)-1,
"")</f>
        <v>1235</v>
      </c>
      <c r="B1238" s="6" t="s">
        <v>653</v>
      </c>
      <c r="C1238" s="14">
        <v>45082</v>
      </c>
      <c r="D1238" s="15">
        <v>91.09</v>
      </c>
      <c r="E1238" s="7">
        <f t="shared" si="19"/>
        <v>1</v>
      </c>
    </row>
    <row r="1239" spans="1:5" x14ac:dyDescent="0.25">
      <c r="A1239" s="7">
        <f>IF(E1239=1,
      SUM($E$2:E1239)-1,
"")</f>
        <v>1236</v>
      </c>
      <c r="B1239" s="6" t="s">
        <v>135</v>
      </c>
      <c r="C1239" s="14">
        <v>44950</v>
      </c>
      <c r="D1239" s="15">
        <v>135.25</v>
      </c>
      <c r="E1239" s="7">
        <f t="shared" si="19"/>
        <v>1</v>
      </c>
    </row>
    <row r="1240" spans="1:5" x14ac:dyDescent="0.25">
      <c r="A1240" s="7">
        <f>IF(E1240=1,
      SUM($E$2:E1240)-1,
"")</f>
        <v>1237</v>
      </c>
      <c r="B1240" s="6" t="s">
        <v>277</v>
      </c>
      <c r="C1240" s="14">
        <v>45154</v>
      </c>
      <c r="D1240" s="15">
        <v>80.510000000000005</v>
      </c>
      <c r="E1240" s="7">
        <f t="shared" si="19"/>
        <v>1</v>
      </c>
    </row>
    <row r="1241" spans="1:5" x14ac:dyDescent="0.25">
      <c r="A1241" s="7">
        <f>IF(E1241=1,
      SUM($E$2:E1241)-1,
"")</f>
        <v>1238</v>
      </c>
      <c r="B1241" s="6" t="s">
        <v>100</v>
      </c>
      <c r="C1241" s="14">
        <v>45183</v>
      </c>
      <c r="D1241" s="15">
        <v>115.86</v>
      </c>
      <c r="E1241" s="7">
        <f t="shared" si="19"/>
        <v>1</v>
      </c>
    </row>
    <row r="1242" spans="1:5" x14ac:dyDescent="0.25">
      <c r="A1242" s="7">
        <f>IF(E1242=1,
      SUM($E$2:E1242)-1,
"")</f>
        <v>1239</v>
      </c>
      <c r="B1242" s="6" t="s">
        <v>235</v>
      </c>
      <c r="C1242" s="14">
        <v>45110</v>
      </c>
      <c r="D1242" s="15">
        <v>100.26</v>
      </c>
      <c r="E1242" s="7">
        <f t="shared" si="19"/>
        <v>1</v>
      </c>
    </row>
    <row r="1243" spans="1:5" x14ac:dyDescent="0.25">
      <c r="A1243" s="7">
        <f>IF(E1243=1,
      SUM($E$2:E1243)-1,
"")</f>
        <v>1240</v>
      </c>
      <c r="B1243" s="6" t="s">
        <v>407</v>
      </c>
      <c r="C1243" s="14">
        <v>45265</v>
      </c>
      <c r="D1243" s="15">
        <v>109.93</v>
      </c>
      <c r="E1243" s="7">
        <f t="shared" si="19"/>
        <v>1</v>
      </c>
    </row>
    <row r="1244" spans="1:5" x14ac:dyDescent="0.25">
      <c r="A1244" s="7">
        <f>IF(E1244=1,
      SUM($E$2:E1244)-1,
"")</f>
        <v>1241</v>
      </c>
      <c r="B1244" s="6" t="s">
        <v>196</v>
      </c>
      <c r="C1244" s="14">
        <v>45096</v>
      </c>
      <c r="D1244" s="15">
        <v>101.17</v>
      </c>
      <c r="E1244" s="7">
        <f t="shared" si="19"/>
        <v>1</v>
      </c>
    </row>
    <row r="1245" spans="1:5" x14ac:dyDescent="0.25">
      <c r="A1245" s="7">
        <f>IF(E1245=1,
      SUM($E$2:E1245)-1,
"")</f>
        <v>1242</v>
      </c>
      <c r="B1245" s="6" t="s">
        <v>102</v>
      </c>
      <c r="C1245" s="14">
        <v>45102</v>
      </c>
      <c r="D1245" s="15">
        <v>122.39</v>
      </c>
      <c r="E1245" s="7">
        <f t="shared" si="19"/>
        <v>1</v>
      </c>
    </row>
    <row r="1246" spans="1:5" x14ac:dyDescent="0.25">
      <c r="A1246" s="7">
        <f>IF(E1246=1,
      SUM($E$2:E1246)-1,
"")</f>
        <v>1243</v>
      </c>
      <c r="B1246" s="6" t="s">
        <v>767</v>
      </c>
      <c r="C1246" s="14">
        <v>44978</v>
      </c>
      <c r="D1246" s="15">
        <v>69.349999999999994</v>
      </c>
      <c r="E1246" s="7">
        <f t="shared" si="19"/>
        <v>1</v>
      </c>
    </row>
    <row r="1247" spans="1:5" x14ac:dyDescent="0.25">
      <c r="A1247" s="7">
        <f>IF(E1247=1,
      SUM($E$2:E1247)-1,
"")</f>
        <v>1244</v>
      </c>
      <c r="B1247" s="6" t="s">
        <v>768</v>
      </c>
      <c r="C1247" s="14">
        <v>45242</v>
      </c>
      <c r="D1247" s="15">
        <v>72.599999999999994</v>
      </c>
      <c r="E1247" s="7">
        <f t="shared" si="19"/>
        <v>1</v>
      </c>
    </row>
    <row r="1248" spans="1:5" x14ac:dyDescent="0.25">
      <c r="A1248" s="7">
        <f>IF(E1248=1,
      SUM($E$2:E1248)-1,
"")</f>
        <v>1245</v>
      </c>
      <c r="B1248" s="6" t="s">
        <v>130</v>
      </c>
      <c r="C1248" s="14">
        <v>45144</v>
      </c>
      <c r="D1248" s="15">
        <v>143.94</v>
      </c>
      <c r="E1248" s="7">
        <f t="shared" si="19"/>
        <v>1</v>
      </c>
    </row>
    <row r="1249" spans="1:5" x14ac:dyDescent="0.25">
      <c r="A1249" s="7">
        <f>IF(E1249=1,
      SUM($E$2:E1249)-1,
"")</f>
        <v>1246</v>
      </c>
      <c r="B1249" s="6" t="s">
        <v>216</v>
      </c>
      <c r="C1249" s="14">
        <v>45025</v>
      </c>
      <c r="D1249" s="15">
        <v>163.01</v>
      </c>
      <c r="E1249" s="7">
        <f t="shared" si="19"/>
        <v>1</v>
      </c>
    </row>
    <row r="1250" spans="1:5" x14ac:dyDescent="0.25">
      <c r="A1250" s="7">
        <f>IF(E1250=1,
      SUM($E$2:E1250)-1,
"")</f>
        <v>1247</v>
      </c>
      <c r="B1250" s="6" t="s">
        <v>645</v>
      </c>
      <c r="C1250" s="14">
        <v>45243</v>
      </c>
      <c r="D1250" s="15">
        <v>99.84</v>
      </c>
      <c r="E1250" s="7">
        <f t="shared" si="19"/>
        <v>1</v>
      </c>
    </row>
    <row r="1251" spans="1:5" x14ac:dyDescent="0.25">
      <c r="A1251" s="7">
        <f>IF(E1251=1,
      SUM($E$2:E1251)-1,
"")</f>
        <v>1248</v>
      </c>
      <c r="B1251" s="6" t="s">
        <v>459</v>
      </c>
      <c r="C1251" s="14">
        <v>45047</v>
      </c>
      <c r="D1251" s="15">
        <v>151.46</v>
      </c>
      <c r="E1251" s="7">
        <f t="shared" si="19"/>
        <v>1</v>
      </c>
    </row>
    <row r="1252" spans="1:5" x14ac:dyDescent="0.25">
      <c r="A1252" s="7">
        <f>IF(E1252=1,
      SUM($E$2:E1252)-1,
"")</f>
        <v>1249</v>
      </c>
      <c r="B1252" s="6" t="s">
        <v>272</v>
      </c>
      <c r="C1252" s="14">
        <v>45180</v>
      </c>
      <c r="D1252" s="15">
        <v>76.849999999999994</v>
      </c>
      <c r="E1252" s="7">
        <f t="shared" si="19"/>
        <v>1</v>
      </c>
    </row>
    <row r="1253" spans="1:5" x14ac:dyDescent="0.25">
      <c r="A1253" s="7">
        <f>IF(E1253=1,
      SUM($E$2:E1253)-1,
"")</f>
        <v>1250</v>
      </c>
      <c r="B1253" s="6" t="s">
        <v>593</v>
      </c>
      <c r="C1253" s="14">
        <v>45123</v>
      </c>
      <c r="D1253" s="15">
        <v>84.05</v>
      </c>
      <c r="E1253" s="7">
        <f t="shared" si="19"/>
        <v>1</v>
      </c>
    </row>
    <row r="1254" spans="1:5" x14ac:dyDescent="0.25">
      <c r="A1254" s="7">
        <f>IF(E1254=1,
      SUM($E$2:E1254)-1,
"")</f>
        <v>1251</v>
      </c>
      <c r="B1254" s="6" t="s">
        <v>215</v>
      </c>
      <c r="C1254" s="14">
        <v>45127</v>
      </c>
      <c r="D1254" s="15">
        <v>143.72</v>
      </c>
      <c r="E1254" s="7">
        <f t="shared" si="19"/>
        <v>1</v>
      </c>
    </row>
    <row r="1255" spans="1:5" x14ac:dyDescent="0.25">
      <c r="A1255" s="7">
        <f>IF(E1255=1,
      SUM($E$2:E1255)-1,
"")</f>
        <v>1252</v>
      </c>
      <c r="B1255" s="6" t="s">
        <v>268</v>
      </c>
      <c r="C1255" s="14">
        <v>45279</v>
      </c>
      <c r="D1255" s="15">
        <v>124.12</v>
      </c>
      <c r="E1255" s="7">
        <f t="shared" si="19"/>
        <v>1</v>
      </c>
    </row>
    <row r="1256" spans="1:5" x14ac:dyDescent="0.25">
      <c r="A1256" s="7">
        <f>IF(E1256=1,
      SUM($E$2:E1256)-1,
"")</f>
        <v>1253</v>
      </c>
      <c r="B1256" s="6" t="s">
        <v>509</v>
      </c>
      <c r="C1256" s="14">
        <v>45090</v>
      </c>
      <c r="D1256" s="15">
        <v>148.19</v>
      </c>
      <c r="E1256" s="7">
        <f t="shared" si="19"/>
        <v>1</v>
      </c>
    </row>
    <row r="1257" spans="1:5" x14ac:dyDescent="0.25">
      <c r="A1257" s="7">
        <f>IF(E1257=1,
      SUM($E$2:E1257)-1,
"")</f>
        <v>1254</v>
      </c>
      <c r="B1257" s="6" t="s">
        <v>647</v>
      </c>
      <c r="C1257" s="14">
        <v>45005</v>
      </c>
      <c r="D1257" s="15">
        <v>114.06</v>
      </c>
      <c r="E1257" s="7">
        <f t="shared" si="19"/>
        <v>1</v>
      </c>
    </row>
    <row r="1258" spans="1:5" x14ac:dyDescent="0.25">
      <c r="A1258" s="7">
        <f>IF(E1258=1,
      SUM($E$2:E1258)-1,
"")</f>
        <v>1255</v>
      </c>
      <c r="B1258" s="6" t="s">
        <v>769</v>
      </c>
      <c r="C1258" s="14">
        <v>45104</v>
      </c>
      <c r="D1258" s="15">
        <v>69.62</v>
      </c>
      <c r="E1258" s="7">
        <f t="shared" si="19"/>
        <v>1</v>
      </c>
    </row>
    <row r="1259" spans="1:5" x14ac:dyDescent="0.25">
      <c r="A1259" s="7">
        <f>IF(E1259=1,
      SUM($E$2:E1259)-1,
"")</f>
        <v>1256</v>
      </c>
      <c r="B1259" s="6" t="s">
        <v>770</v>
      </c>
      <c r="C1259" s="14">
        <v>45138</v>
      </c>
      <c r="D1259" s="15">
        <v>106.71</v>
      </c>
      <c r="E1259" s="7">
        <f t="shared" si="19"/>
        <v>1</v>
      </c>
    </row>
    <row r="1260" spans="1:5" x14ac:dyDescent="0.25">
      <c r="A1260" s="7">
        <f>IF(E1260=1,
      SUM($E$2:E1260)-1,
"")</f>
        <v>1257</v>
      </c>
      <c r="B1260" s="6" t="s">
        <v>679</v>
      </c>
      <c r="C1260" s="14">
        <v>45238</v>
      </c>
      <c r="D1260" s="15">
        <v>136.06</v>
      </c>
      <c r="E1260" s="7">
        <f t="shared" si="19"/>
        <v>1</v>
      </c>
    </row>
    <row r="1261" spans="1:5" x14ac:dyDescent="0.25">
      <c r="A1261" s="7">
        <f>IF(E1261=1,
      SUM($E$2:E1261)-1,
"")</f>
        <v>1258</v>
      </c>
      <c r="B1261" s="6" t="s">
        <v>264</v>
      </c>
      <c r="C1261" s="14">
        <v>45111</v>
      </c>
      <c r="D1261" s="15">
        <v>96.02</v>
      </c>
      <c r="E1261" s="7">
        <f t="shared" si="19"/>
        <v>1</v>
      </c>
    </row>
    <row r="1262" spans="1:5" x14ac:dyDescent="0.25">
      <c r="A1262" s="7">
        <f>IF(E1262=1,
      SUM($E$2:E1262)-1,
"")</f>
        <v>1259</v>
      </c>
      <c r="B1262" s="6" t="s">
        <v>771</v>
      </c>
      <c r="C1262" s="14">
        <v>45083</v>
      </c>
      <c r="D1262" s="15">
        <v>91.41</v>
      </c>
      <c r="E1262" s="7">
        <f t="shared" si="19"/>
        <v>1</v>
      </c>
    </row>
    <row r="1263" spans="1:5" x14ac:dyDescent="0.25">
      <c r="A1263" s="7">
        <f>IF(E1263=1,
      SUM($E$2:E1263)-1,
"")</f>
        <v>1260</v>
      </c>
      <c r="B1263" s="6" t="s">
        <v>606</v>
      </c>
      <c r="C1263" s="14">
        <v>45218</v>
      </c>
      <c r="D1263" s="15">
        <v>114.52</v>
      </c>
      <c r="E1263" s="7">
        <f t="shared" si="19"/>
        <v>1</v>
      </c>
    </row>
    <row r="1264" spans="1:5" x14ac:dyDescent="0.25">
      <c r="A1264" s="7">
        <f>IF(E1264=1,
      SUM($E$2:E1264)-1,
"")</f>
        <v>1261</v>
      </c>
      <c r="B1264" s="6" t="s">
        <v>401</v>
      </c>
      <c r="C1264" s="14">
        <v>45016</v>
      </c>
      <c r="D1264" s="15">
        <v>83.21</v>
      </c>
      <c r="E1264" s="7">
        <f t="shared" si="19"/>
        <v>1</v>
      </c>
    </row>
    <row r="1265" spans="1:5" x14ac:dyDescent="0.25">
      <c r="A1265" s="7">
        <f>IF(E1265=1,
      SUM($E$2:E1265)-1,
"")</f>
        <v>1262</v>
      </c>
      <c r="B1265" s="6" t="s">
        <v>583</v>
      </c>
      <c r="C1265" s="14">
        <v>45160</v>
      </c>
      <c r="D1265" s="15">
        <v>108.87</v>
      </c>
      <c r="E1265" s="7">
        <f t="shared" si="19"/>
        <v>1</v>
      </c>
    </row>
    <row r="1266" spans="1:5" x14ac:dyDescent="0.25">
      <c r="A1266" s="7">
        <f>IF(E1266=1,
      SUM($E$2:E1266)-1,
"")</f>
        <v>1263</v>
      </c>
      <c r="B1266" s="6" t="s">
        <v>772</v>
      </c>
      <c r="C1266" s="14">
        <v>44950</v>
      </c>
      <c r="D1266" s="15">
        <v>101.91</v>
      </c>
      <c r="E1266" s="7">
        <f t="shared" si="19"/>
        <v>1</v>
      </c>
    </row>
    <row r="1267" spans="1:5" x14ac:dyDescent="0.25">
      <c r="A1267" s="7">
        <f>IF(E1267=1,
      SUM($E$2:E1267)-1,
"")</f>
        <v>1264</v>
      </c>
      <c r="B1267" s="6" t="s">
        <v>301</v>
      </c>
      <c r="C1267" s="14">
        <v>45234</v>
      </c>
      <c r="D1267" s="15">
        <v>85.29</v>
      </c>
      <c r="E1267" s="7">
        <f t="shared" si="19"/>
        <v>1</v>
      </c>
    </row>
    <row r="1268" spans="1:5" x14ac:dyDescent="0.25">
      <c r="A1268" s="7">
        <f>IF(E1268=1,
      SUM($E$2:E1268)-1,
"")</f>
        <v>1265</v>
      </c>
      <c r="B1268" s="6" t="s">
        <v>612</v>
      </c>
      <c r="C1268" s="14">
        <v>44948</v>
      </c>
      <c r="D1268" s="15">
        <v>129.41999999999999</v>
      </c>
      <c r="E1268" s="7">
        <f t="shared" si="19"/>
        <v>1</v>
      </c>
    </row>
    <row r="1269" spans="1:5" x14ac:dyDescent="0.25">
      <c r="A1269" s="7">
        <f>IF(E1269=1,
      SUM($E$2:E1269)-1,
"")</f>
        <v>1266</v>
      </c>
      <c r="B1269" s="6" t="s">
        <v>690</v>
      </c>
      <c r="C1269" s="14">
        <v>45111</v>
      </c>
      <c r="D1269" s="15">
        <v>119.38</v>
      </c>
      <c r="E1269" s="7">
        <f t="shared" si="19"/>
        <v>1</v>
      </c>
    </row>
    <row r="1270" spans="1:5" x14ac:dyDescent="0.25">
      <c r="A1270" s="7">
        <f>IF(E1270=1,
      SUM($E$2:E1270)-1,
"")</f>
        <v>1267</v>
      </c>
      <c r="B1270" s="6" t="s">
        <v>735</v>
      </c>
      <c r="C1270" s="14">
        <v>44954</v>
      </c>
      <c r="D1270" s="15">
        <v>89.39</v>
      </c>
      <c r="E1270" s="7">
        <f t="shared" si="19"/>
        <v>1</v>
      </c>
    </row>
    <row r="1271" spans="1:5" x14ac:dyDescent="0.25">
      <c r="A1271" s="7">
        <f>IF(E1271=1,
      SUM($E$2:E1271)-1,
"")</f>
        <v>1268</v>
      </c>
      <c r="B1271" s="6" t="s">
        <v>773</v>
      </c>
      <c r="C1271" s="14">
        <v>44972</v>
      </c>
      <c r="D1271" s="15">
        <v>99.55</v>
      </c>
      <c r="E1271" s="7">
        <f t="shared" si="19"/>
        <v>1</v>
      </c>
    </row>
    <row r="1272" spans="1:5" x14ac:dyDescent="0.25">
      <c r="A1272" s="7">
        <f>IF(E1272=1,
      SUM($E$2:E1272)-1,
"")</f>
        <v>1269</v>
      </c>
      <c r="B1272" s="6" t="s">
        <v>735</v>
      </c>
      <c r="C1272" s="14">
        <v>45229</v>
      </c>
      <c r="D1272" s="15">
        <v>91.86</v>
      </c>
      <c r="E1272" s="7">
        <f t="shared" si="19"/>
        <v>1</v>
      </c>
    </row>
    <row r="1273" spans="1:5" x14ac:dyDescent="0.25">
      <c r="A1273" s="7">
        <f>IF(E1273=1,
      SUM($E$2:E1273)-1,
"")</f>
        <v>1270</v>
      </c>
      <c r="B1273" s="6" t="s">
        <v>408</v>
      </c>
      <c r="C1273" s="14">
        <v>44966</v>
      </c>
      <c r="D1273" s="15">
        <v>80.84</v>
      </c>
      <c r="E1273" s="7">
        <f t="shared" si="19"/>
        <v>1</v>
      </c>
    </row>
    <row r="1274" spans="1:5" x14ac:dyDescent="0.25">
      <c r="A1274" s="7">
        <f>IF(E1274=1,
      SUM($E$2:E1274)-1,
"")</f>
        <v>1271</v>
      </c>
      <c r="B1274" s="6" t="s">
        <v>708</v>
      </c>
      <c r="C1274" s="14">
        <v>45033</v>
      </c>
      <c r="D1274" s="15">
        <v>49.05</v>
      </c>
      <c r="E1274" s="7">
        <f t="shared" si="19"/>
        <v>1</v>
      </c>
    </row>
    <row r="1275" spans="1:5" x14ac:dyDescent="0.25">
      <c r="A1275" s="7">
        <f>IF(E1275=1,
      SUM($E$2:E1275)-1,
"")</f>
        <v>1272</v>
      </c>
      <c r="B1275" s="6" t="s">
        <v>765</v>
      </c>
      <c r="C1275" s="14">
        <v>45100</v>
      </c>
      <c r="D1275" s="15">
        <v>85.49</v>
      </c>
      <c r="E1275" s="7">
        <f t="shared" si="19"/>
        <v>1</v>
      </c>
    </row>
    <row r="1276" spans="1:5" x14ac:dyDescent="0.25">
      <c r="A1276" s="7">
        <f>IF(E1276=1,
      SUM($E$2:E1276)-1,
"")</f>
        <v>1273</v>
      </c>
      <c r="B1276" s="6" t="s">
        <v>151</v>
      </c>
      <c r="C1276" s="14">
        <v>45150</v>
      </c>
      <c r="D1276" s="15">
        <v>81.28</v>
      </c>
      <c r="E1276" s="7">
        <f t="shared" si="19"/>
        <v>1</v>
      </c>
    </row>
    <row r="1277" spans="1:5" x14ac:dyDescent="0.25">
      <c r="A1277" s="7">
        <f>IF(E1277=1,
      SUM($E$2:E1277)-1,
"")</f>
        <v>1274</v>
      </c>
      <c r="B1277" s="6" t="s">
        <v>355</v>
      </c>
      <c r="C1277" s="14">
        <v>45189</v>
      </c>
      <c r="D1277" s="15">
        <v>103.45</v>
      </c>
      <c r="E1277" s="7">
        <f t="shared" si="19"/>
        <v>1</v>
      </c>
    </row>
    <row r="1278" spans="1:5" x14ac:dyDescent="0.25">
      <c r="A1278" s="7">
        <f>IF(E1278=1,
      SUM($E$2:E1278)-1,
"")</f>
        <v>1275</v>
      </c>
      <c r="B1278" s="6" t="s">
        <v>589</v>
      </c>
      <c r="C1278" s="14">
        <v>45079</v>
      </c>
      <c r="D1278" s="15">
        <v>113.22</v>
      </c>
      <c r="E1278" s="7">
        <f t="shared" si="19"/>
        <v>1</v>
      </c>
    </row>
    <row r="1279" spans="1:5" x14ac:dyDescent="0.25">
      <c r="A1279" s="7">
        <f>IF(E1279=1,
      SUM($E$2:E1279)-1,
"")</f>
        <v>1276</v>
      </c>
      <c r="B1279" s="6" t="s">
        <v>110</v>
      </c>
      <c r="C1279" s="14">
        <v>45051</v>
      </c>
      <c r="D1279" s="15">
        <v>75.930000000000007</v>
      </c>
      <c r="E1279" s="7">
        <f t="shared" si="19"/>
        <v>1</v>
      </c>
    </row>
    <row r="1280" spans="1:5" x14ac:dyDescent="0.25">
      <c r="A1280" s="7">
        <f>IF(E1280=1,
      SUM($E$2:E1280)-1,
"")</f>
        <v>1277</v>
      </c>
      <c r="B1280" s="6" t="s">
        <v>774</v>
      </c>
      <c r="C1280" s="14">
        <v>45084</v>
      </c>
      <c r="D1280" s="15">
        <v>111.2</v>
      </c>
      <c r="E1280" s="7">
        <f t="shared" si="19"/>
        <v>1</v>
      </c>
    </row>
    <row r="1281" spans="1:5" x14ac:dyDescent="0.25">
      <c r="A1281" s="7">
        <f>IF(E1281=1,
      SUM($E$2:E1281)-1,
"")</f>
        <v>1278</v>
      </c>
      <c r="B1281" s="6" t="s">
        <v>248</v>
      </c>
      <c r="C1281" s="14">
        <v>45200</v>
      </c>
      <c r="D1281" s="15">
        <v>71.31</v>
      </c>
      <c r="E1281" s="7">
        <f t="shared" si="19"/>
        <v>1</v>
      </c>
    </row>
    <row r="1282" spans="1:5" x14ac:dyDescent="0.25">
      <c r="A1282" s="7">
        <f>IF(E1282=1,
      SUM($E$2:E1282)-1,
"")</f>
        <v>1279</v>
      </c>
      <c r="B1282" s="6" t="s">
        <v>775</v>
      </c>
      <c r="C1282" s="14">
        <v>45151</v>
      </c>
      <c r="D1282" s="15">
        <v>96.24</v>
      </c>
      <c r="E1282" s="7">
        <f t="shared" ref="E1282:E1345" si="20">IF(D1282&gt;0,1,0)</f>
        <v>1</v>
      </c>
    </row>
    <row r="1283" spans="1:5" x14ac:dyDescent="0.25">
      <c r="A1283" s="7">
        <f>IF(E1283=1,
      SUM($E$2:E1283)-1,
"")</f>
        <v>1280</v>
      </c>
      <c r="B1283" s="6" t="s">
        <v>236</v>
      </c>
      <c r="C1283" s="14">
        <v>45181</v>
      </c>
      <c r="D1283" s="15">
        <v>81.93</v>
      </c>
      <c r="E1283" s="7">
        <f t="shared" si="20"/>
        <v>1</v>
      </c>
    </row>
    <row r="1284" spans="1:5" x14ac:dyDescent="0.25">
      <c r="A1284" s="7">
        <f>IF(E1284=1,
      SUM($E$2:E1284)-1,
"")</f>
        <v>1281</v>
      </c>
      <c r="B1284" s="6" t="s">
        <v>429</v>
      </c>
      <c r="C1284" s="14">
        <v>45234</v>
      </c>
      <c r="D1284" s="15">
        <v>122.39</v>
      </c>
      <c r="E1284" s="7">
        <f t="shared" si="20"/>
        <v>1</v>
      </c>
    </row>
    <row r="1285" spans="1:5" x14ac:dyDescent="0.25">
      <c r="A1285" s="7">
        <f>IF(E1285=1,
      SUM($E$2:E1285)-1,
"")</f>
        <v>1282</v>
      </c>
      <c r="B1285" s="6" t="s">
        <v>302</v>
      </c>
      <c r="C1285" s="14">
        <v>45250</v>
      </c>
      <c r="D1285" s="15">
        <v>103.5</v>
      </c>
      <c r="E1285" s="7">
        <f t="shared" si="20"/>
        <v>1</v>
      </c>
    </row>
    <row r="1286" spans="1:5" x14ac:dyDescent="0.25">
      <c r="A1286" s="7">
        <f>IF(E1286=1,
      SUM($E$2:E1286)-1,
"")</f>
        <v>1283</v>
      </c>
      <c r="B1286" s="6" t="s">
        <v>694</v>
      </c>
      <c r="C1286" s="14">
        <v>45086</v>
      </c>
      <c r="D1286" s="15">
        <v>96.69</v>
      </c>
      <c r="E1286" s="7">
        <f t="shared" si="20"/>
        <v>1</v>
      </c>
    </row>
    <row r="1287" spans="1:5" x14ac:dyDescent="0.25">
      <c r="A1287" s="7">
        <f>IF(E1287=1,
      SUM($E$2:E1287)-1,
"")</f>
        <v>1284</v>
      </c>
      <c r="B1287" s="6" t="s">
        <v>776</v>
      </c>
      <c r="C1287" s="14">
        <v>45025</v>
      </c>
      <c r="D1287" s="15">
        <v>81.239999999999995</v>
      </c>
      <c r="E1287" s="7">
        <f t="shared" si="20"/>
        <v>1</v>
      </c>
    </row>
    <row r="1288" spans="1:5" x14ac:dyDescent="0.25">
      <c r="A1288" s="7">
        <f>IF(E1288=1,
      SUM($E$2:E1288)-1,
"")</f>
        <v>1285</v>
      </c>
      <c r="B1288" s="6" t="s">
        <v>719</v>
      </c>
      <c r="C1288" s="14">
        <v>44997</v>
      </c>
      <c r="D1288" s="15">
        <v>90.13</v>
      </c>
      <c r="E1288" s="7">
        <f t="shared" si="20"/>
        <v>1</v>
      </c>
    </row>
    <row r="1289" spans="1:5" x14ac:dyDescent="0.25">
      <c r="A1289" s="7">
        <f>IF(E1289=1,
      SUM($E$2:E1289)-1,
"")</f>
        <v>1286</v>
      </c>
      <c r="B1289" s="6" t="s">
        <v>777</v>
      </c>
      <c r="C1289" s="14">
        <v>45175</v>
      </c>
      <c r="D1289" s="15">
        <v>154.87</v>
      </c>
      <c r="E1289" s="7">
        <f t="shared" si="20"/>
        <v>1</v>
      </c>
    </row>
    <row r="1290" spans="1:5" x14ac:dyDescent="0.25">
      <c r="A1290" s="7">
        <f>IF(E1290=1,
      SUM($E$2:E1290)-1,
"")</f>
        <v>1287</v>
      </c>
      <c r="B1290" s="6" t="s">
        <v>312</v>
      </c>
      <c r="C1290" s="14">
        <v>45273</v>
      </c>
      <c r="D1290" s="15">
        <v>84.97</v>
      </c>
      <c r="E1290" s="7">
        <f t="shared" si="20"/>
        <v>1</v>
      </c>
    </row>
    <row r="1291" spans="1:5" x14ac:dyDescent="0.25">
      <c r="A1291" s="7">
        <f>IF(E1291=1,
      SUM($E$2:E1291)-1,
"")</f>
        <v>1288</v>
      </c>
      <c r="B1291" s="6" t="s">
        <v>778</v>
      </c>
      <c r="C1291" s="14">
        <v>45071</v>
      </c>
      <c r="D1291" s="15">
        <v>114.38</v>
      </c>
      <c r="E1291" s="7">
        <f t="shared" si="20"/>
        <v>1</v>
      </c>
    </row>
    <row r="1292" spans="1:5" x14ac:dyDescent="0.25">
      <c r="A1292" s="7">
        <f>IF(E1292=1,
      SUM($E$2:E1292)-1,
"")</f>
        <v>1289</v>
      </c>
      <c r="B1292" s="6" t="s">
        <v>493</v>
      </c>
      <c r="C1292" s="14">
        <v>45127</v>
      </c>
      <c r="D1292" s="15">
        <v>96.62</v>
      </c>
      <c r="E1292" s="7">
        <f t="shared" si="20"/>
        <v>1</v>
      </c>
    </row>
    <row r="1293" spans="1:5" x14ac:dyDescent="0.25">
      <c r="A1293" s="7">
        <f>IF(E1293=1,
      SUM($E$2:E1293)-1,
"")</f>
        <v>1290</v>
      </c>
      <c r="B1293" s="6" t="s">
        <v>779</v>
      </c>
      <c r="C1293" s="14">
        <v>45162</v>
      </c>
      <c r="D1293" s="15">
        <v>113.52</v>
      </c>
      <c r="E1293" s="7">
        <f t="shared" si="20"/>
        <v>1</v>
      </c>
    </row>
    <row r="1294" spans="1:5" x14ac:dyDescent="0.25">
      <c r="A1294" s="7">
        <f>IF(E1294=1,
      SUM($E$2:E1294)-1,
"")</f>
        <v>1291</v>
      </c>
      <c r="B1294" s="6" t="s">
        <v>508</v>
      </c>
      <c r="C1294" s="14">
        <v>45137</v>
      </c>
      <c r="D1294" s="15">
        <v>125.11</v>
      </c>
      <c r="E1294" s="7">
        <f t="shared" si="20"/>
        <v>1</v>
      </c>
    </row>
    <row r="1295" spans="1:5" x14ac:dyDescent="0.25">
      <c r="A1295" s="7">
        <f>IF(E1295=1,
      SUM($E$2:E1295)-1,
"")</f>
        <v>1292</v>
      </c>
      <c r="B1295" s="6" t="s">
        <v>282</v>
      </c>
      <c r="C1295" s="14">
        <v>45109</v>
      </c>
      <c r="D1295" s="15">
        <v>89.38</v>
      </c>
      <c r="E1295" s="7">
        <f t="shared" si="20"/>
        <v>1</v>
      </c>
    </row>
    <row r="1296" spans="1:5" x14ac:dyDescent="0.25">
      <c r="A1296" s="7">
        <f>IF(E1296=1,
      SUM($E$2:E1296)-1,
"")</f>
        <v>1293</v>
      </c>
      <c r="B1296" s="6" t="s">
        <v>211</v>
      </c>
      <c r="C1296" s="14">
        <v>45203</v>
      </c>
      <c r="D1296" s="15">
        <v>121.29</v>
      </c>
      <c r="E1296" s="7">
        <f t="shared" si="20"/>
        <v>1</v>
      </c>
    </row>
    <row r="1297" spans="1:5" x14ac:dyDescent="0.25">
      <c r="A1297" s="7">
        <f>IF(E1297=1,
      SUM($E$2:E1297)-1,
"")</f>
        <v>1294</v>
      </c>
      <c r="B1297" s="6" t="s">
        <v>700</v>
      </c>
      <c r="C1297" s="14">
        <v>45199</v>
      </c>
      <c r="D1297" s="15">
        <v>182.7</v>
      </c>
      <c r="E1297" s="7">
        <f t="shared" si="20"/>
        <v>1</v>
      </c>
    </row>
    <row r="1298" spans="1:5" x14ac:dyDescent="0.25">
      <c r="A1298" s="7">
        <f>IF(E1298=1,
      SUM($E$2:E1298)-1,
"")</f>
        <v>1295</v>
      </c>
      <c r="B1298" s="6" t="s">
        <v>94</v>
      </c>
      <c r="C1298" s="14">
        <v>45280</v>
      </c>
      <c r="D1298" s="15">
        <v>117.03</v>
      </c>
      <c r="E1298" s="7">
        <f t="shared" si="20"/>
        <v>1</v>
      </c>
    </row>
    <row r="1299" spans="1:5" x14ac:dyDescent="0.25">
      <c r="A1299" s="7">
        <f>IF(E1299=1,
      SUM($E$2:E1299)-1,
"")</f>
        <v>1296</v>
      </c>
      <c r="B1299" s="6" t="s">
        <v>104</v>
      </c>
      <c r="C1299" s="14">
        <v>44971</v>
      </c>
      <c r="D1299" s="15">
        <v>148.41</v>
      </c>
      <c r="E1299" s="7">
        <f t="shared" si="20"/>
        <v>1</v>
      </c>
    </row>
    <row r="1300" spans="1:5" x14ac:dyDescent="0.25">
      <c r="A1300" s="7">
        <f>IF(E1300=1,
      SUM($E$2:E1300)-1,
"")</f>
        <v>1297</v>
      </c>
      <c r="B1300" s="6" t="s">
        <v>290</v>
      </c>
      <c r="C1300" s="14">
        <v>45000</v>
      </c>
      <c r="D1300" s="15">
        <v>114.43</v>
      </c>
      <c r="E1300" s="7">
        <f t="shared" si="20"/>
        <v>1</v>
      </c>
    </row>
    <row r="1301" spans="1:5" x14ac:dyDescent="0.25">
      <c r="A1301" s="7">
        <f>IF(E1301=1,
      SUM($E$2:E1301)-1,
"")</f>
        <v>1298</v>
      </c>
      <c r="B1301" s="6" t="s">
        <v>780</v>
      </c>
      <c r="C1301" s="14">
        <v>45063</v>
      </c>
      <c r="D1301" s="15">
        <v>72.040000000000006</v>
      </c>
      <c r="E1301" s="7">
        <f t="shared" si="20"/>
        <v>1</v>
      </c>
    </row>
    <row r="1302" spans="1:5" x14ac:dyDescent="0.25">
      <c r="A1302" s="7">
        <f>IF(E1302=1,
      SUM($E$2:E1302)-1,
"")</f>
        <v>1299</v>
      </c>
      <c r="B1302" s="6" t="s">
        <v>224</v>
      </c>
      <c r="C1302" s="14">
        <v>44971</v>
      </c>
      <c r="D1302" s="15">
        <v>108.27</v>
      </c>
      <c r="E1302" s="7">
        <f t="shared" si="20"/>
        <v>1</v>
      </c>
    </row>
    <row r="1303" spans="1:5" x14ac:dyDescent="0.25">
      <c r="A1303" s="7">
        <f>IF(E1303=1,
      SUM($E$2:E1303)-1,
"")</f>
        <v>1300</v>
      </c>
      <c r="B1303" s="6" t="s">
        <v>367</v>
      </c>
      <c r="C1303" s="14">
        <v>45001</v>
      </c>
      <c r="D1303" s="15">
        <v>90.09</v>
      </c>
      <c r="E1303" s="7">
        <f t="shared" si="20"/>
        <v>1</v>
      </c>
    </row>
    <row r="1304" spans="1:5" x14ac:dyDescent="0.25">
      <c r="A1304" s="7">
        <f>IF(E1304=1,
      SUM($E$2:E1304)-1,
"")</f>
        <v>1301</v>
      </c>
      <c r="B1304" s="6" t="s">
        <v>422</v>
      </c>
      <c r="C1304" s="14">
        <v>45267</v>
      </c>
      <c r="D1304" s="15">
        <v>82.12</v>
      </c>
      <c r="E1304" s="7">
        <f t="shared" si="20"/>
        <v>1</v>
      </c>
    </row>
    <row r="1305" spans="1:5" x14ac:dyDescent="0.25">
      <c r="A1305" s="7">
        <f>IF(E1305=1,
      SUM($E$2:E1305)-1,
"")</f>
        <v>1302</v>
      </c>
      <c r="B1305" s="6" t="s">
        <v>495</v>
      </c>
      <c r="C1305" s="14">
        <v>45218</v>
      </c>
      <c r="D1305" s="15">
        <v>97.82</v>
      </c>
      <c r="E1305" s="7">
        <f t="shared" si="20"/>
        <v>1</v>
      </c>
    </row>
    <row r="1306" spans="1:5" x14ac:dyDescent="0.25">
      <c r="A1306" s="7">
        <f>IF(E1306=1,
      SUM($E$2:E1306)-1,
"")</f>
        <v>1303</v>
      </c>
      <c r="B1306" s="6" t="s">
        <v>620</v>
      </c>
      <c r="C1306" s="14">
        <v>44929</v>
      </c>
      <c r="D1306" s="15">
        <v>95.36</v>
      </c>
      <c r="E1306" s="7">
        <f t="shared" si="20"/>
        <v>1</v>
      </c>
    </row>
    <row r="1307" spans="1:5" x14ac:dyDescent="0.25">
      <c r="A1307" s="7">
        <f>IF(E1307=1,
      SUM($E$2:E1307)-1,
"")</f>
        <v>1304</v>
      </c>
      <c r="B1307" s="6" t="s">
        <v>706</v>
      </c>
      <c r="C1307" s="14">
        <v>44994</v>
      </c>
      <c r="D1307" s="15">
        <v>68.2</v>
      </c>
      <c r="E1307" s="7">
        <f t="shared" si="20"/>
        <v>1</v>
      </c>
    </row>
    <row r="1308" spans="1:5" x14ac:dyDescent="0.25">
      <c r="A1308" s="7">
        <f>IF(E1308=1,
      SUM($E$2:E1308)-1,
"")</f>
        <v>1305</v>
      </c>
      <c r="B1308" s="6" t="s">
        <v>304</v>
      </c>
      <c r="C1308" s="14">
        <v>45143</v>
      </c>
      <c r="D1308" s="15">
        <v>181.25</v>
      </c>
      <c r="E1308" s="7">
        <f t="shared" si="20"/>
        <v>1</v>
      </c>
    </row>
    <row r="1309" spans="1:5" x14ac:dyDescent="0.25">
      <c r="A1309" s="7">
        <f>IF(E1309=1,
      SUM($E$2:E1309)-1,
"")</f>
        <v>1306</v>
      </c>
      <c r="B1309" s="6" t="s">
        <v>495</v>
      </c>
      <c r="C1309" s="14">
        <v>45145</v>
      </c>
      <c r="D1309" s="15">
        <v>124.24</v>
      </c>
      <c r="E1309" s="7">
        <f t="shared" si="20"/>
        <v>1</v>
      </c>
    </row>
    <row r="1310" spans="1:5" x14ac:dyDescent="0.25">
      <c r="A1310" s="7">
        <f>IF(E1310=1,
      SUM($E$2:E1310)-1,
"")</f>
        <v>1307</v>
      </c>
      <c r="B1310" s="6" t="s">
        <v>432</v>
      </c>
      <c r="C1310" s="14">
        <v>45285</v>
      </c>
      <c r="D1310" s="15">
        <v>107.33</v>
      </c>
      <c r="E1310" s="7">
        <f t="shared" si="20"/>
        <v>1</v>
      </c>
    </row>
    <row r="1311" spans="1:5" x14ac:dyDescent="0.25">
      <c r="A1311" s="7">
        <f>IF(E1311=1,
      SUM($E$2:E1311)-1,
"")</f>
        <v>1308</v>
      </c>
      <c r="B1311" s="6" t="s">
        <v>92</v>
      </c>
      <c r="C1311" s="14">
        <v>45264</v>
      </c>
      <c r="D1311" s="15">
        <v>102.7</v>
      </c>
      <c r="E1311" s="7">
        <f t="shared" si="20"/>
        <v>1</v>
      </c>
    </row>
    <row r="1312" spans="1:5" x14ac:dyDescent="0.25">
      <c r="A1312" s="7">
        <f>IF(E1312=1,
      SUM($E$2:E1312)-1,
"")</f>
        <v>1309</v>
      </c>
      <c r="B1312" s="6" t="s">
        <v>497</v>
      </c>
      <c r="C1312" s="14">
        <v>44997</v>
      </c>
      <c r="D1312" s="15">
        <v>136.07</v>
      </c>
      <c r="E1312" s="7">
        <f t="shared" si="20"/>
        <v>1</v>
      </c>
    </row>
    <row r="1313" spans="1:5" x14ac:dyDescent="0.25">
      <c r="A1313" s="7">
        <f>IF(E1313=1,
      SUM($E$2:E1313)-1,
"")</f>
        <v>1310</v>
      </c>
      <c r="B1313" s="6" t="s">
        <v>781</v>
      </c>
      <c r="C1313" s="14">
        <v>45084</v>
      </c>
      <c r="D1313" s="15">
        <v>162.27000000000001</v>
      </c>
      <c r="E1313" s="7">
        <f t="shared" si="20"/>
        <v>1</v>
      </c>
    </row>
    <row r="1314" spans="1:5" x14ac:dyDescent="0.25">
      <c r="A1314" s="7">
        <f>IF(E1314=1,
      SUM($E$2:E1314)-1,
"")</f>
        <v>1311</v>
      </c>
      <c r="B1314" s="6" t="s">
        <v>460</v>
      </c>
      <c r="C1314" s="14">
        <v>45165</v>
      </c>
      <c r="D1314" s="15">
        <v>120.55</v>
      </c>
      <c r="E1314" s="7">
        <f t="shared" si="20"/>
        <v>1</v>
      </c>
    </row>
    <row r="1315" spans="1:5" x14ac:dyDescent="0.25">
      <c r="A1315" s="7">
        <f>IF(E1315=1,
      SUM($E$2:E1315)-1,
"")</f>
        <v>1312</v>
      </c>
      <c r="B1315" s="6" t="s">
        <v>782</v>
      </c>
      <c r="C1315" s="14">
        <v>44953</v>
      </c>
      <c r="D1315" s="15">
        <v>103.64</v>
      </c>
      <c r="E1315" s="7">
        <f t="shared" si="20"/>
        <v>1</v>
      </c>
    </row>
    <row r="1316" spans="1:5" x14ac:dyDescent="0.25">
      <c r="A1316" s="7">
        <f>IF(E1316=1,
      SUM($E$2:E1316)-1,
"")</f>
        <v>1313</v>
      </c>
      <c r="B1316" s="6" t="s">
        <v>267</v>
      </c>
      <c r="C1316" s="14">
        <v>45177</v>
      </c>
      <c r="D1316" s="15">
        <v>144.18</v>
      </c>
      <c r="E1316" s="7">
        <f t="shared" si="20"/>
        <v>1</v>
      </c>
    </row>
    <row r="1317" spans="1:5" x14ac:dyDescent="0.25">
      <c r="A1317" s="7">
        <f>IF(E1317=1,
      SUM($E$2:E1317)-1,
"")</f>
        <v>1314</v>
      </c>
      <c r="B1317" s="6" t="s">
        <v>783</v>
      </c>
      <c r="C1317" s="14">
        <v>45149</v>
      </c>
      <c r="D1317" s="15">
        <v>104.27</v>
      </c>
      <c r="E1317" s="7">
        <f t="shared" si="20"/>
        <v>1</v>
      </c>
    </row>
    <row r="1318" spans="1:5" x14ac:dyDescent="0.25">
      <c r="A1318" s="7">
        <f>IF(E1318=1,
      SUM($E$2:E1318)-1,
"")</f>
        <v>1315</v>
      </c>
      <c r="B1318" s="6" t="s">
        <v>784</v>
      </c>
      <c r="C1318" s="14">
        <v>44975</v>
      </c>
      <c r="D1318" s="15">
        <v>113.06</v>
      </c>
      <c r="E1318" s="7">
        <f t="shared" si="20"/>
        <v>1</v>
      </c>
    </row>
    <row r="1319" spans="1:5" x14ac:dyDescent="0.25">
      <c r="A1319" s="7">
        <f>IF(E1319=1,
      SUM($E$2:E1319)-1,
"")</f>
        <v>1316</v>
      </c>
      <c r="B1319" s="6" t="s">
        <v>663</v>
      </c>
      <c r="C1319" s="14">
        <v>45058</v>
      </c>
      <c r="D1319" s="15">
        <v>130.03</v>
      </c>
      <c r="E1319" s="7">
        <f t="shared" si="20"/>
        <v>1</v>
      </c>
    </row>
    <row r="1320" spans="1:5" x14ac:dyDescent="0.25">
      <c r="A1320" s="7">
        <f>IF(E1320=1,
      SUM($E$2:E1320)-1,
"")</f>
        <v>1317</v>
      </c>
      <c r="B1320" s="6" t="s">
        <v>587</v>
      </c>
      <c r="C1320" s="14">
        <v>45286</v>
      </c>
      <c r="D1320" s="15">
        <v>88.41</v>
      </c>
      <c r="E1320" s="7">
        <f t="shared" si="20"/>
        <v>1</v>
      </c>
    </row>
    <row r="1321" spans="1:5" x14ac:dyDescent="0.25">
      <c r="A1321" s="7">
        <f>IF(E1321=1,
      SUM($E$2:E1321)-1,
"")</f>
        <v>1318</v>
      </c>
      <c r="B1321" s="6" t="s">
        <v>384</v>
      </c>
      <c r="C1321" s="14">
        <v>45248</v>
      </c>
      <c r="D1321" s="15">
        <v>37.72</v>
      </c>
      <c r="E1321" s="7">
        <f t="shared" si="20"/>
        <v>1</v>
      </c>
    </row>
    <row r="1322" spans="1:5" x14ac:dyDescent="0.25">
      <c r="A1322" s="7">
        <f>IF(E1322=1,
      SUM($E$2:E1322)-1,
"")</f>
        <v>1319</v>
      </c>
      <c r="B1322" s="6" t="s">
        <v>549</v>
      </c>
      <c r="C1322" s="14">
        <v>45054</v>
      </c>
      <c r="D1322" s="15">
        <v>86.95</v>
      </c>
      <c r="E1322" s="7">
        <f t="shared" si="20"/>
        <v>1</v>
      </c>
    </row>
    <row r="1323" spans="1:5" x14ac:dyDescent="0.25">
      <c r="A1323" s="7">
        <f>IF(E1323=1,
      SUM($E$2:E1323)-1,
"")</f>
        <v>1320</v>
      </c>
      <c r="B1323" s="6" t="s">
        <v>785</v>
      </c>
      <c r="C1323" s="14">
        <v>45138</v>
      </c>
      <c r="D1323" s="15">
        <v>123.19</v>
      </c>
      <c r="E1323" s="7">
        <f t="shared" si="20"/>
        <v>1</v>
      </c>
    </row>
    <row r="1324" spans="1:5" x14ac:dyDescent="0.25">
      <c r="A1324" s="7">
        <f>IF(E1324=1,
      SUM($E$2:E1324)-1,
"")</f>
        <v>1321</v>
      </c>
      <c r="B1324" s="6" t="s">
        <v>786</v>
      </c>
      <c r="C1324" s="14">
        <v>45112</v>
      </c>
      <c r="D1324" s="15">
        <v>121.08</v>
      </c>
      <c r="E1324" s="7">
        <f t="shared" si="20"/>
        <v>1</v>
      </c>
    </row>
    <row r="1325" spans="1:5" x14ac:dyDescent="0.25">
      <c r="A1325" s="7">
        <f>IF(E1325=1,
      SUM($E$2:E1325)-1,
"")</f>
        <v>1322</v>
      </c>
      <c r="B1325" s="6" t="s">
        <v>787</v>
      </c>
      <c r="C1325" s="14">
        <v>45078</v>
      </c>
      <c r="D1325" s="15">
        <v>140.28</v>
      </c>
      <c r="E1325" s="7">
        <f t="shared" si="20"/>
        <v>1</v>
      </c>
    </row>
    <row r="1326" spans="1:5" x14ac:dyDescent="0.25">
      <c r="A1326" s="7">
        <f>IF(E1326=1,
      SUM($E$2:E1326)-1,
"")</f>
        <v>1323</v>
      </c>
      <c r="B1326" s="6" t="s">
        <v>675</v>
      </c>
      <c r="C1326" s="14">
        <v>45205</v>
      </c>
      <c r="D1326" s="15">
        <v>88.1</v>
      </c>
      <c r="E1326" s="7">
        <f t="shared" si="20"/>
        <v>1</v>
      </c>
    </row>
    <row r="1327" spans="1:5" x14ac:dyDescent="0.25">
      <c r="A1327" s="7">
        <f>IF(E1327=1,
      SUM($E$2:E1327)-1,
"")</f>
        <v>1324</v>
      </c>
      <c r="B1327" s="6" t="s">
        <v>577</v>
      </c>
      <c r="C1327" s="14">
        <v>45037</v>
      </c>
      <c r="D1327" s="15">
        <v>147.43</v>
      </c>
      <c r="E1327" s="7">
        <f t="shared" si="20"/>
        <v>1</v>
      </c>
    </row>
    <row r="1328" spans="1:5" x14ac:dyDescent="0.25">
      <c r="A1328" s="7">
        <f>IF(E1328=1,
      SUM($E$2:E1328)-1,
"")</f>
        <v>1325</v>
      </c>
      <c r="B1328" s="6" t="s">
        <v>788</v>
      </c>
      <c r="C1328" s="14">
        <v>45220</v>
      </c>
      <c r="D1328" s="15">
        <v>105.55</v>
      </c>
      <c r="E1328" s="7">
        <f t="shared" si="20"/>
        <v>1</v>
      </c>
    </row>
    <row r="1329" spans="1:5" x14ac:dyDescent="0.25">
      <c r="A1329" s="7">
        <f>IF(E1329=1,
      SUM($E$2:E1329)-1,
"")</f>
        <v>1326</v>
      </c>
      <c r="B1329" s="6" t="s">
        <v>789</v>
      </c>
      <c r="C1329" s="14">
        <v>45114</v>
      </c>
      <c r="D1329" s="15">
        <v>118.13</v>
      </c>
      <c r="E1329" s="7">
        <f t="shared" si="20"/>
        <v>1</v>
      </c>
    </row>
    <row r="1330" spans="1:5" x14ac:dyDescent="0.25">
      <c r="A1330" s="7">
        <f>IF(E1330=1,
      SUM($E$2:E1330)-1,
"")</f>
        <v>1327</v>
      </c>
      <c r="B1330" s="6" t="s">
        <v>273</v>
      </c>
      <c r="C1330" s="14">
        <v>45081</v>
      </c>
      <c r="D1330" s="15">
        <v>127.11</v>
      </c>
      <c r="E1330" s="7">
        <f t="shared" si="20"/>
        <v>1</v>
      </c>
    </row>
    <row r="1331" spans="1:5" x14ac:dyDescent="0.25">
      <c r="A1331" s="7">
        <f>IF(E1331=1,
      SUM($E$2:E1331)-1,
"")</f>
        <v>1328</v>
      </c>
      <c r="B1331" s="6" t="s">
        <v>518</v>
      </c>
      <c r="C1331" s="14">
        <v>45000</v>
      </c>
      <c r="D1331" s="15">
        <v>58.55</v>
      </c>
      <c r="E1331" s="7">
        <f t="shared" si="20"/>
        <v>1</v>
      </c>
    </row>
    <row r="1332" spans="1:5" x14ac:dyDescent="0.25">
      <c r="A1332" s="7">
        <f>IF(E1332=1,
      SUM($E$2:E1332)-1,
"")</f>
        <v>1329</v>
      </c>
      <c r="B1332" s="6" t="s">
        <v>369</v>
      </c>
      <c r="C1332" s="14">
        <v>45059</v>
      </c>
      <c r="D1332" s="15">
        <v>69.849999999999994</v>
      </c>
      <c r="E1332" s="7">
        <f t="shared" si="20"/>
        <v>1</v>
      </c>
    </row>
    <row r="1333" spans="1:5" x14ac:dyDescent="0.25">
      <c r="A1333" s="7">
        <f>IF(E1333=1,
      SUM($E$2:E1333)-1,
"")</f>
        <v>1330</v>
      </c>
      <c r="B1333" s="6" t="s">
        <v>790</v>
      </c>
      <c r="C1333" s="14">
        <v>45054</v>
      </c>
      <c r="D1333" s="15">
        <v>68.86</v>
      </c>
      <c r="E1333" s="7">
        <f t="shared" si="20"/>
        <v>1</v>
      </c>
    </row>
    <row r="1334" spans="1:5" x14ac:dyDescent="0.25">
      <c r="A1334" s="7">
        <f>IF(E1334=1,
      SUM($E$2:E1334)-1,
"")</f>
        <v>1331</v>
      </c>
      <c r="B1334" s="6" t="s">
        <v>404</v>
      </c>
      <c r="C1334" s="14">
        <v>45070</v>
      </c>
      <c r="D1334" s="15">
        <v>132.16999999999999</v>
      </c>
      <c r="E1334" s="7">
        <f t="shared" si="20"/>
        <v>1</v>
      </c>
    </row>
    <row r="1335" spans="1:5" x14ac:dyDescent="0.25">
      <c r="A1335" s="7">
        <f>IF(E1335=1,
      SUM($E$2:E1335)-1,
"")</f>
        <v>1332</v>
      </c>
      <c r="B1335" s="6" t="s">
        <v>791</v>
      </c>
      <c r="C1335" s="14">
        <v>45174</v>
      </c>
      <c r="D1335" s="15">
        <v>90.84</v>
      </c>
      <c r="E1335" s="7">
        <f t="shared" si="20"/>
        <v>1</v>
      </c>
    </row>
    <row r="1336" spans="1:5" x14ac:dyDescent="0.25">
      <c r="A1336" s="7">
        <f>IF(E1336=1,
      SUM($E$2:E1336)-1,
"")</f>
        <v>1333</v>
      </c>
      <c r="B1336" s="6" t="s">
        <v>792</v>
      </c>
      <c r="C1336" s="14">
        <v>44980</v>
      </c>
      <c r="D1336" s="15">
        <v>160.83000000000001</v>
      </c>
      <c r="E1336" s="7">
        <f t="shared" si="20"/>
        <v>1</v>
      </c>
    </row>
    <row r="1337" spans="1:5" x14ac:dyDescent="0.25">
      <c r="A1337" s="7">
        <f>IF(E1337=1,
      SUM($E$2:E1337)-1,
"")</f>
        <v>1334</v>
      </c>
      <c r="B1337" s="6" t="s">
        <v>226</v>
      </c>
      <c r="C1337" s="14">
        <v>45029</v>
      </c>
      <c r="D1337" s="15">
        <v>100.1</v>
      </c>
      <c r="E1337" s="7">
        <f t="shared" si="20"/>
        <v>1</v>
      </c>
    </row>
    <row r="1338" spans="1:5" x14ac:dyDescent="0.25">
      <c r="A1338" s="7">
        <f>IF(E1338=1,
      SUM($E$2:E1338)-1,
"")</f>
        <v>1335</v>
      </c>
      <c r="B1338" s="6" t="s">
        <v>665</v>
      </c>
      <c r="C1338" s="14">
        <v>45086</v>
      </c>
      <c r="D1338" s="15">
        <v>55.86</v>
      </c>
      <c r="E1338" s="7">
        <f t="shared" si="20"/>
        <v>1</v>
      </c>
    </row>
    <row r="1339" spans="1:5" x14ac:dyDescent="0.25">
      <c r="A1339" s="7">
        <f>IF(E1339=1,
      SUM($E$2:E1339)-1,
"")</f>
        <v>1336</v>
      </c>
      <c r="B1339" s="6" t="s">
        <v>630</v>
      </c>
      <c r="C1339" s="14">
        <v>45198</v>
      </c>
      <c r="D1339" s="15">
        <v>79.83</v>
      </c>
      <c r="E1339" s="7">
        <f t="shared" si="20"/>
        <v>1</v>
      </c>
    </row>
    <row r="1340" spans="1:5" x14ac:dyDescent="0.25">
      <c r="A1340" s="7">
        <f>IF(E1340=1,
      SUM($E$2:E1340)-1,
"")</f>
        <v>1337</v>
      </c>
      <c r="B1340" s="6" t="s">
        <v>789</v>
      </c>
      <c r="C1340" s="14">
        <v>45071</v>
      </c>
      <c r="D1340" s="15">
        <v>103.52</v>
      </c>
      <c r="E1340" s="7">
        <f t="shared" si="20"/>
        <v>1</v>
      </c>
    </row>
    <row r="1341" spans="1:5" x14ac:dyDescent="0.25">
      <c r="A1341" s="7">
        <f>IF(E1341=1,
      SUM($E$2:E1341)-1,
"")</f>
        <v>1338</v>
      </c>
      <c r="B1341" s="6" t="s">
        <v>793</v>
      </c>
      <c r="C1341" s="14">
        <v>45017</v>
      </c>
      <c r="D1341" s="15">
        <v>115.46</v>
      </c>
      <c r="E1341" s="7">
        <f t="shared" si="20"/>
        <v>1</v>
      </c>
    </row>
    <row r="1342" spans="1:5" x14ac:dyDescent="0.25">
      <c r="A1342" s="7">
        <f>IF(E1342=1,
      SUM($E$2:E1342)-1,
"")</f>
        <v>1339</v>
      </c>
      <c r="B1342" s="6" t="s">
        <v>208</v>
      </c>
      <c r="C1342" s="14">
        <v>45062</v>
      </c>
      <c r="D1342" s="15">
        <v>70.45</v>
      </c>
      <c r="E1342" s="7">
        <f t="shared" si="20"/>
        <v>1</v>
      </c>
    </row>
    <row r="1343" spans="1:5" x14ac:dyDescent="0.25">
      <c r="A1343" s="7">
        <f>IF(E1343=1,
      SUM($E$2:E1343)-1,
"")</f>
        <v>1340</v>
      </c>
      <c r="B1343" s="6" t="s">
        <v>757</v>
      </c>
      <c r="C1343" s="14">
        <v>44984</v>
      </c>
      <c r="D1343" s="15">
        <v>117.05</v>
      </c>
      <c r="E1343" s="7">
        <f t="shared" si="20"/>
        <v>1</v>
      </c>
    </row>
    <row r="1344" spans="1:5" x14ac:dyDescent="0.25">
      <c r="A1344" s="7">
        <f>IF(E1344=1,
      SUM($E$2:E1344)-1,
"")</f>
        <v>1341</v>
      </c>
      <c r="B1344" s="6" t="s">
        <v>532</v>
      </c>
      <c r="C1344" s="14">
        <v>45174</v>
      </c>
      <c r="D1344" s="15">
        <v>125.07</v>
      </c>
      <c r="E1344" s="7">
        <f t="shared" si="20"/>
        <v>1</v>
      </c>
    </row>
    <row r="1345" spans="1:5" x14ac:dyDescent="0.25">
      <c r="A1345" s="7">
        <f>IF(E1345=1,
      SUM($E$2:E1345)-1,
"")</f>
        <v>1342</v>
      </c>
      <c r="B1345" s="6" t="s">
        <v>649</v>
      </c>
      <c r="C1345" s="14">
        <v>45025</v>
      </c>
      <c r="D1345" s="15">
        <v>80.77</v>
      </c>
      <c r="E1345" s="7">
        <f t="shared" si="20"/>
        <v>1</v>
      </c>
    </row>
    <row r="1346" spans="1:5" x14ac:dyDescent="0.25">
      <c r="A1346" s="7">
        <f>IF(E1346=1,
      SUM($E$2:E1346)-1,
"")</f>
        <v>1343</v>
      </c>
      <c r="B1346" s="6" t="s">
        <v>794</v>
      </c>
      <c r="C1346" s="14">
        <v>45020</v>
      </c>
      <c r="D1346" s="15">
        <v>159.07</v>
      </c>
      <c r="E1346" s="7">
        <f t="shared" ref="E1346:E1409" si="21">IF(D1346&gt;0,1,0)</f>
        <v>1</v>
      </c>
    </row>
    <row r="1347" spans="1:5" x14ac:dyDescent="0.25">
      <c r="A1347" s="7">
        <f>IF(E1347=1,
      SUM($E$2:E1347)-1,
"")</f>
        <v>1344</v>
      </c>
      <c r="B1347" s="6" t="s">
        <v>698</v>
      </c>
      <c r="C1347" s="14">
        <v>45229</v>
      </c>
      <c r="D1347" s="15">
        <v>84.02</v>
      </c>
      <c r="E1347" s="7">
        <f t="shared" si="21"/>
        <v>1</v>
      </c>
    </row>
    <row r="1348" spans="1:5" x14ac:dyDescent="0.25">
      <c r="A1348" s="7">
        <f>IF(E1348=1,
      SUM($E$2:E1348)-1,
"")</f>
        <v>1345</v>
      </c>
      <c r="B1348" s="6" t="s">
        <v>342</v>
      </c>
      <c r="C1348" s="14">
        <v>44995</v>
      </c>
      <c r="D1348" s="15">
        <v>70</v>
      </c>
      <c r="E1348" s="7">
        <f t="shared" si="21"/>
        <v>1</v>
      </c>
    </row>
    <row r="1349" spans="1:5" x14ac:dyDescent="0.25">
      <c r="A1349" s="7">
        <f>IF(E1349=1,
      SUM($E$2:E1349)-1,
"")</f>
        <v>1346</v>
      </c>
      <c r="B1349" s="6" t="s">
        <v>795</v>
      </c>
      <c r="C1349" s="14">
        <v>44943</v>
      </c>
      <c r="D1349" s="15">
        <v>54.12</v>
      </c>
      <c r="E1349" s="7">
        <f t="shared" si="21"/>
        <v>1</v>
      </c>
    </row>
    <row r="1350" spans="1:5" x14ac:dyDescent="0.25">
      <c r="A1350" s="7">
        <f>IF(E1350=1,
      SUM($E$2:E1350)-1,
"")</f>
        <v>1347</v>
      </c>
      <c r="B1350" s="6" t="s">
        <v>518</v>
      </c>
      <c r="C1350" s="14">
        <v>45282</v>
      </c>
      <c r="D1350" s="15">
        <v>136.62</v>
      </c>
      <c r="E1350" s="7">
        <f t="shared" si="21"/>
        <v>1</v>
      </c>
    </row>
    <row r="1351" spans="1:5" x14ac:dyDescent="0.25">
      <c r="A1351" s="7">
        <f>IF(E1351=1,
      SUM($E$2:E1351)-1,
"")</f>
        <v>1348</v>
      </c>
      <c r="B1351" s="6" t="s">
        <v>323</v>
      </c>
      <c r="C1351" s="14">
        <v>45195</v>
      </c>
      <c r="D1351" s="15">
        <v>100.69</v>
      </c>
      <c r="E1351" s="7">
        <f t="shared" si="21"/>
        <v>1</v>
      </c>
    </row>
    <row r="1352" spans="1:5" x14ac:dyDescent="0.25">
      <c r="A1352" s="7">
        <f>IF(E1352=1,
      SUM($E$2:E1352)-1,
"")</f>
        <v>1349</v>
      </c>
      <c r="B1352" s="6" t="s">
        <v>504</v>
      </c>
      <c r="C1352" s="14">
        <v>45222</v>
      </c>
      <c r="D1352" s="15">
        <v>85.62</v>
      </c>
      <c r="E1352" s="7">
        <f t="shared" si="21"/>
        <v>1</v>
      </c>
    </row>
    <row r="1353" spans="1:5" x14ac:dyDescent="0.25">
      <c r="A1353" s="7">
        <f>IF(E1353=1,
      SUM($E$2:E1353)-1,
"")</f>
        <v>1350</v>
      </c>
      <c r="B1353" s="6" t="s">
        <v>680</v>
      </c>
      <c r="C1353" s="14">
        <v>44929</v>
      </c>
      <c r="D1353" s="15">
        <v>55.78</v>
      </c>
      <c r="E1353" s="7">
        <f t="shared" si="21"/>
        <v>1</v>
      </c>
    </row>
    <row r="1354" spans="1:5" x14ac:dyDescent="0.25">
      <c r="A1354" s="7">
        <f>IF(E1354=1,
      SUM($E$2:E1354)-1,
"")</f>
        <v>1351</v>
      </c>
      <c r="B1354" s="6" t="s">
        <v>280</v>
      </c>
      <c r="C1354" s="14">
        <v>45235</v>
      </c>
      <c r="D1354" s="15">
        <v>88.32</v>
      </c>
      <c r="E1354" s="7">
        <f t="shared" si="21"/>
        <v>1</v>
      </c>
    </row>
    <row r="1355" spans="1:5" x14ac:dyDescent="0.25">
      <c r="A1355" s="7">
        <f>IF(E1355=1,
      SUM($E$2:E1355)-1,
"")</f>
        <v>1352</v>
      </c>
      <c r="B1355" s="6" t="s">
        <v>664</v>
      </c>
      <c r="C1355" s="14">
        <v>45003</v>
      </c>
      <c r="D1355" s="15">
        <v>171.44</v>
      </c>
      <c r="E1355" s="7">
        <f t="shared" si="21"/>
        <v>1</v>
      </c>
    </row>
    <row r="1356" spans="1:5" x14ac:dyDescent="0.25">
      <c r="A1356" s="7">
        <f>IF(E1356=1,
      SUM($E$2:E1356)-1,
"")</f>
        <v>1353</v>
      </c>
      <c r="B1356" s="6" t="s">
        <v>303</v>
      </c>
      <c r="C1356" s="14">
        <v>45042</v>
      </c>
      <c r="D1356" s="15">
        <v>35.67</v>
      </c>
      <c r="E1356" s="7">
        <f t="shared" si="21"/>
        <v>1</v>
      </c>
    </row>
    <row r="1357" spans="1:5" x14ac:dyDescent="0.25">
      <c r="A1357" s="7">
        <f>IF(E1357=1,
      SUM($E$2:E1357)-1,
"")</f>
        <v>1354</v>
      </c>
      <c r="B1357" s="6" t="s">
        <v>796</v>
      </c>
      <c r="C1357" s="14">
        <v>45017</v>
      </c>
      <c r="D1357" s="15">
        <v>81.05</v>
      </c>
      <c r="E1357" s="7">
        <f t="shared" si="21"/>
        <v>1</v>
      </c>
    </row>
    <row r="1358" spans="1:5" x14ac:dyDescent="0.25">
      <c r="A1358" s="7">
        <f>IF(E1358=1,
      SUM($E$2:E1358)-1,
"")</f>
        <v>1355</v>
      </c>
      <c r="B1358" s="6" t="s">
        <v>797</v>
      </c>
      <c r="C1358" s="14">
        <v>45243</v>
      </c>
      <c r="D1358" s="15">
        <v>153.78</v>
      </c>
      <c r="E1358" s="7">
        <f t="shared" si="21"/>
        <v>1</v>
      </c>
    </row>
    <row r="1359" spans="1:5" x14ac:dyDescent="0.25">
      <c r="A1359" s="7">
        <f>IF(E1359=1,
      SUM($E$2:E1359)-1,
"")</f>
        <v>1356</v>
      </c>
      <c r="B1359" s="6" t="s">
        <v>652</v>
      </c>
      <c r="C1359" s="14">
        <v>44935</v>
      </c>
      <c r="D1359" s="15">
        <v>137.47</v>
      </c>
      <c r="E1359" s="7">
        <f t="shared" si="21"/>
        <v>1</v>
      </c>
    </row>
    <row r="1360" spans="1:5" x14ac:dyDescent="0.25">
      <c r="A1360" s="7">
        <f>IF(E1360=1,
      SUM($E$2:E1360)-1,
"")</f>
        <v>1357</v>
      </c>
      <c r="B1360" s="6" t="s">
        <v>568</v>
      </c>
      <c r="C1360" s="14">
        <v>45077</v>
      </c>
      <c r="D1360" s="15">
        <v>82.88</v>
      </c>
      <c r="E1360" s="7">
        <f t="shared" si="21"/>
        <v>1</v>
      </c>
    </row>
    <row r="1361" spans="1:5" x14ac:dyDescent="0.25">
      <c r="A1361" s="7">
        <f>IF(E1361=1,
      SUM($E$2:E1361)-1,
"")</f>
        <v>1358</v>
      </c>
      <c r="B1361" s="6" t="s">
        <v>473</v>
      </c>
      <c r="C1361" s="14">
        <v>45241</v>
      </c>
      <c r="D1361" s="15">
        <v>106.11</v>
      </c>
      <c r="E1361" s="7">
        <f t="shared" si="21"/>
        <v>1</v>
      </c>
    </row>
    <row r="1362" spans="1:5" x14ac:dyDescent="0.25">
      <c r="A1362" s="7">
        <f>IF(E1362=1,
      SUM($E$2:E1362)-1,
"")</f>
        <v>1359</v>
      </c>
      <c r="B1362" s="6" t="s">
        <v>776</v>
      </c>
      <c r="C1362" s="14">
        <v>45022</v>
      </c>
      <c r="D1362" s="15">
        <v>113.89</v>
      </c>
      <c r="E1362" s="7">
        <f t="shared" si="21"/>
        <v>1</v>
      </c>
    </row>
    <row r="1363" spans="1:5" x14ac:dyDescent="0.25">
      <c r="A1363" s="7">
        <f>IF(E1363=1,
      SUM($E$2:E1363)-1,
"")</f>
        <v>1360</v>
      </c>
      <c r="B1363" s="6" t="s">
        <v>798</v>
      </c>
      <c r="C1363" s="14">
        <v>45209</v>
      </c>
      <c r="D1363" s="15">
        <v>104.02</v>
      </c>
      <c r="E1363" s="7">
        <f t="shared" si="21"/>
        <v>1</v>
      </c>
    </row>
    <row r="1364" spans="1:5" x14ac:dyDescent="0.25">
      <c r="A1364" s="7">
        <f>IF(E1364=1,
      SUM($E$2:E1364)-1,
"")</f>
        <v>1361</v>
      </c>
      <c r="B1364" s="6" t="s">
        <v>228</v>
      </c>
      <c r="C1364" s="14">
        <v>45000</v>
      </c>
      <c r="D1364" s="15">
        <v>153.53</v>
      </c>
      <c r="E1364" s="7">
        <f t="shared" si="21"/>
        <v>1</v>
      </c>
    </row>
    <row r="1365" spans="1:5" x14ac:dyDescent="0.25">
      <c r="A1365" s="7">
        <f>IF(E1365=1,
      SUM($E$2:E1365)-1,
"")</f>
        <v>1362</v>
      </c>
      <c r="B1365" s="6" t="s">
        <v>799</v>
      </c>
      <c r="C1365" s="14">
        <v>45167</v>
      </c>
      <c r="D1365" s="15">
        <v>110.19</v>
      </c>
      <c r="E1365" s="7">
        <f t="shared" si="21"/>
        <v>1</v>
      </c>
    </row>
    <row r="1366" spans="1:5" x14ac:dyDescent="0.25">
      <c r="A1366" s="7">
        <f>IF(E1366=1,
      SUM($E$2:E1366)-1,
"")</f>
        <v>1363</v>
      </c>
      <c r="B1366" s="6" t="s">
        <v>205</v>
      </c>
      <c r="C1366" s="14">
        <v>44997</v>
      </c>
      <c r="D1366" s="15">
        <v>134.07</v>
      </c>
      <c r="E1366" s="7">
        <f t="shared" si="21"/>
        <v>1</v>
      </c>
    </row>
    <row r="1367" spans="1:5" x14ac:dyDescent="0.25">
      <c r="A1367" s="7">
        <f>IF(E1367=1,
      SUM($E$2:E1367)-1,
"")</f>
        <v>1364</v>
      </c>
      <c r="B1367" s="6" t="s">
        <v>115</v>
      </c>
      <c r="C1367" s="14">
        <v>45221</v>
      </c>
      <c r="D1367" s="15">
        <v>105.45</v>
      </c>
      <c r="E1367" s="7">
        <f t="shared" si="21"/>
        <v>1</v>
      </c>
    </row>
    <row r="1368" spans="1:5" x14ac:dyDescent="0.25">
      <c r="A1368" s="7">
        <f>IF(E1368=1,
      SUM($E$2:E1368)-1,
"")</f>
        <v>1365</v>
      </c>
      <c r="B1368" s="6" t="s">
        <v>800</v>
      </c>
      <c r="C1368" s="14">
        <v>44997</v>
      </c>
      <c r="D1368" s="15">
        <v>39.03</v>
      </c>
      <c r="E1368" s="7">
        <f t="shared" si="21"/>
        <v>1</v>
      </c>
    </row>
    <row r="1369" spans="1:5" x14ac:dyDescent="0.25">
      <c r="A1369" s="7">
        <f>IF(E1369=1,
      SUM($E$2:E1369)-1,
"")</f>
        <v>1366</v>
      </c>
      <c r="B1369" s="6" t="s">
        <v>801</v>
      </c>
      <c r="C1369" s="14">
        <v>45057</v>
      </c>
      <c r="D1369" s="15">
        <v>64.23</v>
      </c>
      <c r="E1369" s="7">
        <f t="shared" si="21"/>
        <v>1</v>
      </c>
    </row>
    <row r="1370" spans="1:5" x14ac:dyDescent="0.25">
      <c r="A1370" s="7">
        <f>IF(E1370=1,
      SUM($E$2:E1370)-1,
"")</f>
        <v>1367</v>
      </c>
      <c r="B1370" s="6" t="s">
        <v>288</v>
      </c>
      <c r="C1370" s="14">
        <v>45237</v>
      </c>
      <c r="D1370" s="15">
        <v>70.45</v>
      </c>
      <c r="E1370" s="7">
        <f t="shared" si="21"/>
        <v>1</v>
      </c>
    </row>
    <row r="1371" spans="1:5" x14ac:dyDescent="0.25">
      <c r="A1371" s="7">
        <f>IF(E1371=1,
      SUM($E$2:E1371)-1,
"")</f>
        <v>1368</v>
      </c>
      <c r="B1371" s="6" t="s">
        <v>383</v>
      </c>
      <c r="C1371" s="14">
        <v>44933</v>
      </c>
      <c r="D1371" s="15">
        <v>92.52</v>
      </c>
      <c r="E1371" s="7">
        <f t="shared" si="21"/>
        <v>1</v>
      </c>
    </row>
    <row r="1372" spans="1:5" x14ac:dyDescent="0.25">
      <c r="A1372" s="7">
        <f>IF(E1372=1,
      SUM($E$2:E1372)-1,
"")</f>
        <v>1369</v>
      </c>
      <c r="B1372" s="6" t="s">
        <v>802</v>
      </c>
      <c r="C1372" s="14">
        <v>45183</v>
      </c>
      <c r="D1372" s="15">
        <v>162.35</v>
      </c>
      <c r="E1372" s="7">
        <f t="shared" si="21"/>
        <v>1</v>
      </c>
    </row>
    <row r="1373" spans="1:5" x14ac:dyDescent="0.25">
      <c r="A1373" s="7">
        <f>IF(E1373=1,
      SUM($E$2:E1373)-1,
"")</f>
        <v>1370</v>
      </c>
      <c r="B1373" s="6" t="s">
        <v>555</v>
      </c>
      <c r="C1373" s="14">
        <v>45101</v>
      </c>
      <c r="D1373" s="15">
        <v>110.87</v>
      </c>
      <c r="E1373" s="7">
        <f t="shared" si="21"/>
        <v>1</v>
      </c>
    </row>
    <row r="1374" spans="1:5" x14ac:dyDescent="0.25">
      <c r="A1374" s="7">
        <f>IF(E1374=1,
      SUM($E$2:E1374)-1,
"")</f>
        <v>1371</v>
      </c>
      <c r="B1374" s="6" t="s">
        <v>687</v>
      </c>
      <c r="C1374" s="14">
        <v>45200</v>
      </c>
      <c r="D1374" s="15">
        <v>96.83</v>
      </c>
      <c r="E1374" s="7">
        <f t="shared" si="21"/>
        <v>1</v>
      </c>
    </row>
    <row r="1375" spans="1:5" x14ac:dyDescent="0.25">
      <c r="A1375" s="7">
        <f>IF(E1375=1,
      SUM($E$2:E1375)-1,
"")</f>
        <v>1372</v>
      </c>
      <c r="B1375" s="6" t="s">
        <v>803</v>
      </c>
      <c r="C1375" s="14">
        <v>44943</v>
      </c>
      <c r="D1375" s="15">
        <v>137.16</v>
      </c>
      <c r="E1375" s="7">
        <f t="shared" si="21"/>
        <v>1</v>
      </c>
    </row>
    <row r="1376" spans="1:5" x14ac:dyDescent="0.25">
      <c r="A1376" s="7">
        <f>IF(E1376=1,
      SUM($E$2:E1376)-1,
"")</f>
        <v>1373</v>
      </c>
      <c r="B1376" s="6" t="s">
        <v>717</v>
      </c>
      <c r="C1376" s="14">
        <v>45237</v>
      </c>
      <c r="D1376" s="15">
        <v>56.44</v>
      </c>
      <c r="E1376" s="7">
        <f t="shared" si="21"/>
        <v>1</v>
      </c>
    </row>
    <row r="1377" spans="1:5" x14ac:dyDescent="0.25">
      <c r="A1377" s="7">
        <f>IF(E1377=1,
      SUM($E$2:E1377)-1,
"")</f>
        <v>1374</v>
      </c>
      <c r="B1377" s="6" t="s">
        <v>804</v>
      </c>
      <c r="C1377" s="14">
        <v>45233</v>
      </c>
      <c r="D1377" s="15">
        <v>85.31</v>
      </c>
      <c r="E1377" s="7">
        <f t="shared" si="21"/>
        <v>1</v>
      </c>
    </row>
    <row r="1378" spans="1:5" x14ac:dyDescent="0.25">
      <c r="A1378" s="7">
        <f>IF(E1378=1,
      SUM($E$2:E1378)-1,
"")</f>
        <v>1375</v>
      </c>
      <c r="B1378" s="6" t="s">
        <v>426</v>
      </c>
      <c r="C1378" s="14">
        <v>45155</v>
      </c>
      <c r="D1378" s="15">
        <v>80.88</v>
      </c>
      <c r="E1378" s="7">
        <f t="shared" si="21"/>
        <v>1</v>
      </c>
    </row>
    <row r="1379" spans="1:5" x14ac:dyDescent="0.25">
      <c r="A1379" s="7">
        <f>IF(E1379=1,
      SUM($E$2:E1379)-1,
"")</f>
        <v>1376</v>
      </c>
      <c r="B1379" s="6" t="s">
        <v>144</v>
      </c>
      <c r="C1379" s="14">
        <v>45254</v>
      </c>
      <c r="D1379" s="15">
        <v>111.94</v>
      </c>
      <c r="E1379" s="7">
        <f t="shared" si="21"/>
        <v>1</v>
      </c>
    </row>
    <row r="1380" spans="1:5" x14ac:dyDescent="0.25">
      <c r="A1380" s="7">
        <f>IF(E1380=1,
      SUM($E$2:E1380)-1,
"")</f>
        <v>1377</v>
      </c>
      <c r="B1380" s="6" t="s">
        <v>805</v>
      </c>
      <c r="C1380" s="14">
        <v>45265</v>
      </c>
      <c r="D1380" s="15">
        <v>126.88</v>
      </c>
      <c r="E1380" s="7">
        <f t="shared" si="21"/>
        <v>1</v>
      </c>
    </row>
    <row r="1381" spans="1:5" x14ac:dyDescent="0.25">
      <c r="A1381" s="7">
        <f>IF(E1381=1,
      SUM($E$2:E1381)-1,
"")</f>
        <v>1378</v>
      </c>
      <c r="B1381" s="6" t="s">
        <v>561</v>
      </c>
      <c r="C1381" s="14">
        <v>45244</v>
      </c>
      <c r="D1381" s="15">
        <v>114.14</v>
      </c>
      <c r="E1381" s="7">
        <f t="shared" si="21"/>
        <v>1</v>
      </c>
    </row>
    <row r="1382" spans="1:5" x14ac:dyDescent="0.25">
      <c r="A1382" s="7">
        <f>IF(E1382=1,
      SUM($E$2:E1382)-1,
"")</f>
        <v>1379</v>
      </c>
      <c r="B1382" s="6" t="s">
        <v>313</v>
      </c>
      <c r="C1382" s="14">
        <v>45168</v>
      </c>
      <c r="D1382" s="15">
        <v>114.62</v>
      </c>
      <c r="E1382" s="7">
        <f t="shared" si="21"/>
        <v>1</v>
      </c>
    </row>
    <row r="1383" spans="1:5" x14ac:dyDescent="0.25">
      <c r="A1383" s="7">
        <f>IF(E1383=1,
      SUM($E$2:E1383)-1,
"")</f>
        <v>1380</v>
      </c>
      <c r="B1383" s="6" t="s">
        <v>595</v>
      </c>
      <c r="C1383" s="14">
        <v>45280</v>
      </c>
      <c r="D1383" s="15">
        <v>89.17</v>
      </c>
      <c r="E1383" s="7">
        <f t="shared" si="21"/>
        <v>1</v>
      </c>
    </row>
    <row r="1384" spans="1:5" x14ac:dyDescent="0.25">
      <c r="A1384" s="7">
        <f>IF(E1384=1,
      SUM($E$2:E1384)-1,
"")</f>
        <v>1381</v>
      </c>
      <c r="B1384" s="6" t="s">
        <v>471</v>
      </c>
      <c r="C1384" s="14">
        <v>45257</v>
      </c>
      <c r="D1384" s="15">
        <v>109.62</v>
      </c>
      <c r="E1384" s="7">
        <f t="shared" si="21"/>
        <v>1</v>
      </c>
    </row>
    <row r="1385" spans="1:5" x14ac:dyDescent="0.25">
      <c r="A1385" s="7">
        <f>IF(E1385=1,
      SUM($E$2:E1385)-1,
"")</f>
        <v>1382</v>
      </c>
      <c r="B1385" s="6" t="s">
        <v>806</v>
      </c>
      <c r="C1385" s="14">
        <v>45192</v>
      </c>
      <c r="D1385" s="15">
        <v>74.8</v>
      </c>
      <c r="E1385" s="7">
        <f t="shared" si="21"/>
        <v>1</v>
      </c>
    </row>
    <row r="1386" spans="1:5" x14ac:dyDescent="0.25">
      <c r="A1386" s="7">
        <f>IF(E1386=1,
      SUM($E$2:E1386)-1,
"")</f>
        <v>1383</v>
      </c>
      <c r="B1386" s="6" t="s">
        <v>236</v>
      </c>
      <c r="C1386" s="14">
        <v>45011</v>
      </c>
      <c r="D1386" s="15">
        <v>120.22</v>
      </c>
      <c r="E1386" s="7">
        <f t="shared" si="21"/>
        <v>1</v>
      </c>
    </row>
    <row r="1387" spans="1:5" x14ac:dyDescent="0.25">
      <c r="A1387" s="7">
        <f>IF(E1387=1,
      SUM($E$2:E1387)-1,
"")</f>
        <v>1384</v>
      </c>
      <c r="B1387" s="6" t="s">
        <v>807</v>
      </c>
      <c r="C1387" s="14">
        <v>45207</v>
      </c>
      <c r="D1387" s="15">
        <v>84.98</v>
      </c>
      <c r="E1387" s="7">
        <f t="shared" si="21"/>
        <v>1</v>
      </c>
    </row>
    <row r="1388" spans="1:5" x14ac:dyDescent="0.25">
      <c r="A1388" s="7">
        <f>IF(E1388=1,
      SUM($E$2:E1388)-1,
"")</f>
        <v>1385</v>
      </c>
      <c r="B1388" s="6" t="s">
        <v>455</v>
      </c>
      <c r="C1388" s="14">
        <v>45289</v>
      </c>
      <c r="D1388" s="15">
        <v>66.349999999999994</v>
      </c>
      <c r="E1388" s="7">
        <f t="shared" si="21"/>
        <v>1</v>
      </c>
    </row>
    <row r="1389" spans="1:5" x14ac:dyDescent="0.25">
      <c r="A1389" s="7">
        <f>IF(E1389=1,
      SUM($E$2:E1389)-1,
"")</f>
        <v>1386</v>
      </c>
      <c r="B1389" s="6" t="s">
        <v>141</v>
      </c>
      <c r="C1389" s="14">
        <v>45070</v>
      </c>
      <c r="D1389" s="15">
        <v>101.13</v>
      </c>
      <c r="E1389" s="7">
        <f t="shared" si="21"/>
        <v>1</v>
      </c>
    </row>
    <row r="1390" spans="1:5" x14ac:dyDescent="0.25">
      <c r="A1390" s="7">
        <f>IF(E1390=1,
      SUM($E$2:E1390)-1,
"")</f>
        <v>1387</v>
      </c>
      <c r="B1390" s="6" t="s">
        <v>667</v>
      </c>
      <c r="C1390" s="14">
        <v>44955</v>
      </c>
      <c r="D1390" s="15">
        <v>42.61</v>
      </c>
      <c r="E1390" s="7">
        <f t="shared" si="21"/>
        <v>1</v>
      </c>
    </row>
    <row r="1391" spans="1:5" x14ac:dyDescent="0.25">
      <c r="A1391" s="7">
        <f>IF(E1391=1,
      SUM($E$2:E1391)-1,
"")</f>
        <v>1388</v>
      </c>
      <c r="B1391" s="6" t="s">
        <v>808</v>
      </c>
      <c r="C1391" s="14">
        <v>45127</v>
      </c>
      <c r="D1391" s="15">
        <v>144.22999999999999</v>
      </c>
      <c r="E1391" s="7">
        <f t="shared" si="21"/>
        <v>1</v>
      </c>
    </row>
    <row r="1392" spans="1:5" x14ac:dyDescent="0.25">
      <c r="A1392" s="7">
        <f>IF(E1392=1,
      SUM($E$2:E1392)-1,
"")</f>
        <v>1389</v>
      </c>
      <c r="B1392" s="6" t="s">
        <v>384</v>
      </c>
      <c r="C1392" s="14">
        <v>44949</v>
      </c>
      <c r="D1392" s="15">
        <v>123.91</v>
      </c>
      <c r="E1392" s="7">
        <f t="shared" si="21"/>
        <v>1</v>
      </c>
    </row>
    <row r="1393" spans="1:5" x14ac:dyDescent="0.25">
      <c r="A1393" s="7">
        <f>IF(E1393=1,
      SUM($E$2:E1393)-1,
"")</f>
        <v>1390</v>
      </c>
      <c r="B1393" s="6" t="s">
        <v>798</v>
      </c>
      <c r="C1393" s="14">
        <v>45015</v>
      </c>
      <c r="D1393" s="15">
        <v>110.11</v>
      </c>
      <c r="E1393" s="7">
        <f t="shared" si="21"/>
        <v>1</v>
      </c>
    </row>
    <row r="1394" spans="1:5" x14ac:dyDescent="0.25">
      <c r="A1394" s="7">
        <f>IF(E1394=1,
      SUM($E$2:E1394)-1,
"")</f>
        <v>1391</v>
      </c>
      <c r="B1394" s="6" t="s">
        <v>210</v>
      </c>
      <c r="C1394" s="14">
        <v>45163</v>
      </c>
      <c r="D1394" s="15">
        <v>51.29</v>
      </c>
      <c r="E1394" s="7">
        <f t="shared" si="21"/>
        <v>1</v>
      </c>
    </row>
    <row r="1395" spans="1:5" x14ac:dyDescent="0.25">
      <c r="A1395" s="7">
        <f>IF(E1395=1,
      SUM($E$2:E1395)-1,
"")</f>
        <v>1392</v>
      </c>
      <c r="B1395" s="6" t="s">
        <v>790</v>
      </c>
      <c r="C1395" s="14">
        <v>45262</v>
      </c>
      <c r="D1395" s="15">
        <v>78.989999999999995</v>
      </c>
      <c r="E1395" s="7">
        <f t="shared" si="21"/>
        <v>1</v>
      </c>
    </row>
    <row r="1396" spans="1:5" x14ac:dyDescent="0.25">
      <c r="A1396" s="7">
        <f>IF(E1396=1,
      SUM($E$2:E1396)-1,
"")</f>
        <v>1393</v>
      </c>
      <c r="B1396" s="6" t="s">
        <v>709</v>
      </c>
      <c r="C1396" s="14">
        <v>45282</v>
      </c>
      <c r="D1396" s="15">
        <v>101.22</v>
      </c>
      <c r="E1396" s="7">
        <f t="shared" si="21"/>
        <v>1</v>
      </c>
    </row>
    <row r="1397" spans="1:5" x14ac:dyDescent="0.25">
      <c r="A1397" s="7">
        <f>IF(E1397=1,
      SUM($E$2:E1397)-1,
"")</f>
        <v>1394</v>
      </c>
      <c r="B1397" s="6" t="s">
        <v>809</v>
      </c>
      <c r="C1397" s="14">
        <v>44991</v>
      </c>
      <c r="D1397" s="15">
        <v>92.11</v>
      </c>
      <c r="E1397" s="7">
        <f t="shared" si="21"/>
        <v>1</v>
      </c>
    </row>
    <row r="1398" spans="1:5" x14ac:dyDescent="0.25">
      <c r="A1398" s="7">
        <f>IF(E1398=1,
      SUM($E$2:E1398)-1,
"")</f>
        <v>1395</v>
      </c>
      <c r="B1398" s="6" t="s">
        <v>528</v>
      </c>
      <c r="C1398" s="14">
        <v>45197</v>
      </c>
      <c r="D1398" s="15">
        <v>49.34</v>
      </c>
      <c r="E1398" s="7">
        <f t="shared" si="21"/>
        <v>1</v>
      </c>
    </row>
    <row r="1399" spans="1:5" x14ac:dyDescent="0.25">
      <c r="A1399" s="7">
        <f>IF(E1399=1,
      SUM($E$2:E1399)-1,
"")</f>
        <v>1396</v>
      </c>
      <c r="B1399" s="6" t="s">
        <v>293</v>
      </c>
      <c r="C1399" s="14">
        <v>45103</v>
      </c>
      <c r="D1399" s="15">
        <v>60.51</v>
      </c>
      <c r="E1399" s="7">
        <f t="shared" si="21"/>
        <v>1</v>
      </c>
    </row>
    <row r="1400" spans="1:5" x14ac:dyDescent="0.25">
      <c r="A1400" s="7">
        <f>IF(E1400=1,
      SUM($E$2:E1400)-1,
"")</f>
        <v>1397</v>
      </c>
      <c r="B1400" s="6" t="s">
        <v>103</v>
      </c>
      <c r="C1400" s="14">
        <v>45101</v>
      </c>
      <c r="D1400" s="15">
        <v>91.51</v>
      </c>
      <c r="E1400" s="7">
        <f t="shared" si="21"/>
        <v>1</v>
      </c>
    </row>
    <row r="1401" spans="1:5" x14ac:dyDescent="0.25">
      <c r="A1401" s="7">
        <f>IF(E1401=1,
      SUM($E$2:E1401)-1,
"")</f>
        <v>1398</v>
      </c>
      <c r="B1401" s="6" t="s">
        <v>713</v>
      </c>
      <c r="C1401" s="14">
        <v>45027</v>
      </c>
      <c r="D1401" s="15">
        <v>61.5</v>
      </c>
      <c r="E1401" s="7">
        <f t="shared" si="21"/>
        <v>1</v>
      </c>
    </row>
    <row r="1402" spans="1:5" x14ac:dyDescent="0.25">
      <c r="A1402" s="7">
        <f>IF(E1402=1,
      SUM($E$2:E1402)-1,
"")</f>
        <v>1399</v>
      </c>
      <c r="B1402" s="6" t="s">
        <v>360</v>
      </c>
      <c r="C1402" s="14">
        <v>45165</v>
      </c>
      <c r="D1402" s="15">
        <v>141.13999999999999</v>
      </c>
      <c r="E1402" s="7">
        <f t="shared" si="21"/>
        <v>1</v>
      </c>
    </row>
    <row r="1403" spans="1:5" x14ac:dyDescent="0.25">
      <c r="A1403" s="7">
        <f>IF(E1403=1,
      SUM($E$2:E1403)-1,
"")</f>
        <v>1400</v>
      </c>
      <c r="B1403" s="6" t="s">
        <v>810</v>
      </c>
      <c r="C1403" s="14">
        <v>45055</v>
      </c>
      <c r="D1403" s="15">
        <v>114.84</v>
      </c>
      <c r="E1403" s="7">
        <f t="shared" si="21"/>
        <v>1</v>
      </c>
    </row>
    <row r="1404" spans="1:5" x14ac:dyDescent="0.25">
      <c r="A1404" s="7">
        <f>IF(E1404=1,
      SUM($E$2:E1404)-1,
"")</f>
        <v>1401</v>
      </c>
      <c r="B1404" s="6" t="s">
        <v>522</v>
      </c>
      <c r="C1404" s="14">
        <v>44938</v>
      </c>
      <c r="D1404" s="15">
        <v>75.900000000000006</v>
      </c>
      <c r="E1404" s="7">
        <f t="shared" si="21"/>
        <v>1</v>
      </c>
    </row>
    <row r="1405" spans="1:5" x14ac:dyDescent="0.25">
      <c r="A1405" s="7">
        <f>IF(E1405=1,
      SUM($E$2:E1405)-1,
"")</f>
        <v>1402</v>
      </c>
      <c r="B1405" s="6" t="s">
        <v>579</v>
      </c>
      <c r="C1405" s="14">
        <v>45181</v>
      </c>
      <c r="D1405" s="15">
        <v>135.07</v>
      </c>
      <c r="E1405" s="7">
        <f t="shared" si="21"/>
        <v>1</v>
      </c>
    </row>
    <row r="1406" spans="1:5" x14ac:dyDescent="0.25">
      <c r="A1406" s="7">
        <f>IF(E1406=1,
      SUM($E$2:E1406)-1,
"")</f>
        <v>1403</v>
      </c>
      <c r="B1406" s="6" t="s">
        <v>87</v>
      </c>
      <c r="C1406" s="14">
        <v>44977</v>
      </c>
      <c r="D1406" s="15">
        <v>129.03</v>
      </c>
      <c r="E1406" s="7">
        <f t="shared" si="21"/>
        <v>1</v>
      </c>
    </row>
    <row r="1407" spans="1:5" x14ac:dyDescent="0.25">
      <c r="A1407" s="7">
        <f>IF(E1407=1,
      SUM($E$2:E1407)-1,
"")</f>
        <v>1404</v>
      </c>
      <c r="B1407" s="6" t="s">
        <v>781</v>
      </c>
      <c r="C1407" s="14">
        <v>44950</v>
      </c>
      <c r="D1407" s="15">
        <v>108.67</v>
      </c>
      <c r="E1407" s="7">
        <f t="shared" si="21"/>
        <v>1</v>
      </c>
    </row>
    <row r="1408" spans="1:5" x14ac:dyDescent="0.25">
      <c r="A1408" s="7">
        <f>IF(E1408=1,
      SUM($E$2:E1408)-1,
"")</f>
        <v>1405</v>
      </c>
      <c r="B1408" s="6" t="s">
        <v>221</v>
      </c>
      <c r="C1408" s="14">
        <v>45148</v>
      </c>
      <c r="D1408" s="15">
        <v>98.81</v>
      </c>
      <c r="E1408" s="7">
        <f t="shared" si="21"/>
        <v>1</v>
      </c>
    </row>
    <row r="1409" spans="1:5" x14ac:dyDescent="0.25">
      <c r="A1409" s="7">
        <f>IF(E1409=1,
      SUM($E$2:E1409)-1,
"")</f>
        <v>1406</v>
      </c>
      <c r="B1409" s="6" t="s">
        <v>622</v>
      </c>
      <c r="C1409" s="14">
        <v>45228</v>
      </c>
      <c r="D1409" s="15">
        <v>91.05</v>
      </c>
      <c r="E1409" s="7">
        <f t="shared" si="21"/>
        <v>1</v>
      </c>
    </row>
    <row r="1410" spans="1:5" x14ac:dyDescent="0.25">
      <c r="A1410" s="7">
        <f>IF(E1410=1,
      SUM($E$2:E1410)-1,
"")</f>
        <v>1407</v>
      </c>
      <c r="B1410" s="6" t="s">
        <v>811</v>
      </c>
      <c r="C1410" s="14">
        <v>45046</v>
      </c>
      <c r="D1410" s="15">
        <v>83.8</v>
      </c>
      <c r="E1410" s="7">
        <f t="shared" ref="E1410:E1473" si="22">IF(D1410&gt;0,1,0)</f>
        <v>1</v>
      </c>
    </row>
    <row r="1411" spans="1:5" x14ac:dyDescent="0.25">
      <c r="A1411" s="7">
        <f>IF(E1411=1,
      SUM($E$2:E1411)-1,
"")</f>
        <v>1408</v>
      </c>
      <c r="B1411" s="6" t="s">
        <v>233</v>
      </c>
      <c r="C1411" s="14">
        <v>45070</v>
      </c>
      <c r="D1411" s="15">
        <v>59.9</v>
      </c>
      <c r="E1411" s="7">
        <f t="shared" si="22"/>
        <v>1</v>
      </c>
    </row>
    <row r="1412" spans="1:5" x14ac:dyDescent="0.25">
      <c r="A1412" s="7">
        <f>IF(E1412=1,
      SUM($E$2:E1412)-1,
"")</f>
        <v>1409</v>
      </c>
      <c r="B1412" s="6" t="s">
        <v>515</v>
      </c>
      <c r="C1412" s="14">
        <v>44980</v>
      </c>
      <c r="D1412" s="15">
        <v>145.85</v>
      </c>
      <c r="E1412" s="7">
        <f t="shared" si="22"/>
        <v>1</v>
      </c>
    </row>
    <row r="1413" spans="1:5" x14ac:dyDescent="0.25">
      <c r="A1413" s="7">
        <f>IF(E1413=1,
      SUM($E$2:E1413)-1,
"")</f>
        <v>1410</v>
      </c>
      <c r="B1413" s="6" t="s">
        <v>180</v>
      </c>
      <c r="C1413" s="14">
        <v>45187</v>
      </c>
      <c r="D1413" s="15">
        <v>84.38</v>
      </c>
      <c r="E1413" s="7">
        <f t="shared" si="22"/>
        <v>1</v>
      </c>
    </row>
    <row r="1414" spans="1:5" x14ac:dyDescent="0.25">
      <c r="A1414" s="7">
        <f>IF(E1414=1,
      SUM($E$2:E1414)-1,
"")</f>
        <v>1411</v>
      </c>
      <c r="B1414" s="6" t="s">
        <v>776</v>
      </c>
      <c r="C1414" s="14">
        <v>45112</v>
      </c>
      <c r="D1414" s="15">
        <v>100.85</v>
      </c>
      <c r="E1414" s="7">
        <f t="shared" si="22"/>
        <v>1</v>
      </c>
    </row>
    <row r="1415" spans="1:5" x14ac:dyDescent="0.25">
      <c r="A1415" s="7">
        <f>IF(E1415=1,
      SUM($E$2:E1415)-1,
"")</f>
        <v>1412</v>
      </c>
      <c r="B1415" s="6" t="s">
        <v>812</v>
      </c>
      <c r="C1415" s="14">
        <v>45109</v>
      </c>
      <c r="D1415" s="15">
        <v>72.69</v>
      </c>
      <c r="E1415" s="7">
        <f t="shared" si="22"/>
        <v>1</v>
      </c>
    </row>
    <row r="1416" spans="1:5" x14ac:dyDescent="0.25">
      <c r="A1416" s="7">
        <f>IF(E1416=1,
      SUM($E$2:E1416)-1,
"")</f>
        <v>1413</v>
      </c>
      <c r="B1416" s="6" t="s">
        <v>368</v>
      </c>
      <c r="C1416" s="14">
        <v>45067</v>
      </c>
      <c r="D1416" s="15">
        <v>92.22</v>
      </c>
      <c r="E1416" s="7">
        <f t="shared" si="22"/>
        <v>1</v>
      </c>
    </row>
    <row r="1417" spans="1:5" x14ac:dyDescent="0.25">
      <c r="A1417" s="7">
        <f>IF(E1417=1,
      SUM($E$2:E1417)-1,
"")</f>
        <v>1414</v>
      </c>
      <c r="B1417" s="6" t="s">
        <v>128</v>
      </c>
      <c r="C1417" s="14">
        <v>45028</v>
      </c>
      <c r="D1417" s="15">
        <v>185.52</v>
      </c>
      <c r="E1417" s="7">
        <f t="shared" si="22"/>
        <v>1</v>
      </c>
    </row>
    <row r="1418" spans="1:5" x14ac:dyDescent="0.25">
      <c r="A1418" s="7">
        <f>IF(E1418=1,
      SUM($E$2:E1418)-1,
"")</f>
        <v>1415</v>
      </c>
      <c r="B1418" s="6" t="s">
        <v>344</v>
      </c>
      <c r="C1418" s="14">
        <v>45015</v>
      </c>
      <c r="D1418" s="15">
        <v>78.22</v>
      </c>
      <c r="E1418" s="7">
        <f t="shared" si="22"/>
        <v>1</v>
      </c>
    </row>
    <row r="1419" spans="1:5" x14ac:dyDescent="0.25">
      <c r="A1419" s="7">
        <f>IF(E1419=1,
      SUM($E$2:E1419)-1,
"")</f>
        <v>1416</v>
      </c>
      <c r="B1419" s="6" t="s">
        <v>219</v>
      </c>
      <c r="C1419" s="14">
        <v>45204</v>
      </c>
      <c r="D1419" s="15">
        <v>143.46</v>
      </c>
      <c r="E1419" s="7">
        <f t="shared" si="22"/>
        <v>1</v>
      </c>
    </row>
    <row r="1420" spans="1:5" x14ac:dyDescent="0.25">
      <c r="A1420" s="7">
        <f>IF(E1420=1,
      SUM($E$2:E1420)-1,
"")</f>
        <v>1417</v>
      </c>
      <c r="B1420" s="6" t="s">
        <v>358</v>
      </c>
      <c r="C1420" s="14">
        <v>45117</v>
      </c>
      <c r="D1420" s="15">
        <v>99.17</v>
      </c>
      <c r="E1420" s="7">
        <f t="shared" si="22"/>
        <v>1</v>
      </c>
    </row>
    <row r="1421" spans="1:5" x14ac:dyDescent="0.25">
      <c r="A1421" s="7">
        <f>IF(E1421=1,
      SUM($E$2:E1421)-1,
"")</f>
        <v>1418</v>
      </c>
      <c r="B1421" s="6" t="s">
        <v>592</v>
      </c>
      <c r="C1421" s="14">
        <v>45275</v>
      </c>
      <c r="D1421" s="15">
        <v>120.4</v>
      </c>
      <c r="E1421" s="7">
        <f t="shared" si="22"/>
        <v>1</v>
      </c>
    </row>
    <row r="1422" spans="1:5" x14ac:dyDescent="0.25">
      <c r="A1422" s="7">
        <f>IF(E1422=1,
      SUM($E$2:E1422)-1,
"")</f>
        <v>1419</v>
      </c>
      <c r="B1422" s="6" t="s">
        <v>663</v>
      </c>
      <c r="C1422" s="14">
        <v>45187</v>
      </c>
      <c r="D1422" s="15">
        <v>137.34</v>
      </c>
      <c r="E1422" s="7">
        <f t="shared" si="22"/>
        <v>1</v>
      </c>
    </row>
    <row r="1423" spans="1:5" x14ac:dyDescent="0.25">
      <c r="A1423" s="7">
        <f>IF(E1423=1,
      SUM($E$2:E1423)-1,
"")</f>
        <v>1420</v>
      </c>
      <c r="B1423" s="6" t="s">
        <v>172</v>
      </c>
      <c r="C1423" s="14">
        <v>45022</v>
      </c>
      <c r="D1423" s="15">
        <v>108.17</v>
      </c>
      <c r="E1423" s="7">
        <f t="shared" si="22"/>
        <v>1</v>
      </c>
    </row>
    <row r="1424" spans="1:5" x14ac:dyDescent="0.25">
      <c r="A1424" s="7">
        <f>IF(E1424=1,
      SUM($E$2:E1424)-1,
"")</f>
        <v>1421</v>
      </c>
      <c r="B1424" s="6" t="s">
        <v>466</v>
      </c>
      <c r="C1424" s="14">
        <v>44974</v>
      </c>
      <c r="D1424" s="15">
        <v>89.45</v>
      </c>
      <c r="E1424" s="7">
        <f t="shared" si="22"/>
        <v>1</v>
      </c>
    </row>
    <row r="1425" spans="1:5" x14ac:dyDescent="0.25">
      <c r="A1425" s="7">
        <f>IF(E1425=1,
      SUM($E$2:E1425)-1,
"")</f>
        <v>1422</v>
      </c>
      <c r="B1425" s="6" t="s">
        <v>275</v>
      </c>
      <c r="C1425" s="14">
        <v>45126</v>
      </c>
      <c r="D1425" s="15">
        <v>94.42</v>
      </c>
      <c r="E1425" s="7">
        <f t="shared" si="22"/>
        <v>1</v>
      </c>
    </row>
    <row r="1426" spans="1:5" x14ac:dyDescent="0.25">
      <c r="A1426" s="7">
        <f>IF(E1426=1,
      SUM($E$2:E1426)-1,
"")</f>
        <v>1423</v>
      </c>
      <c r="B1426" s="6" t="s">
        <v>813</v>
      </c>
      <c r="C1426" s="14">
        <v>45280</v>
      </c>
      <c r="D1426" s="15">
        <v>95.43</v>
      </c>
      <c r="E1426" s="7">
        <f t="shared" si="22"/>
        <v>1</v>
      </c>
    </row>
    <row r="1427" spans="1:5" x14ac:dyDescent="0.25">
      <c r="A1427" s="7">
        <f>IF(E1427=1,
      SUM($E$2:E1427)-1,
"")</f>
        <v>1424</v>
      </c>
      <c r="B1427" s="6" t="s">
        <v>181</v>
      </c>
      <c r="C1427" s="14">
        <v>44956</v>
      </c>
      <c r="D1427" s="15">
        <v>155.93</v>
      </c>
      <c r="E1427" s="7">
        <f t="shared" si="22"/>
        <v>1</v>
      </c>
    </row>
    <row r="1428" spans="1:5" x14ac:dyDescent="0.25">
      <c r="A1428" s="7">
        <f>IF(E1428=1,
      SUM($E$2:E1428)-1,
"")</f>
        <v>1425</v>
      </c>
      <c r="B1428" s="6" t="s">
        <v>633</v>
      </c>
      <c r="C1428" s="14">
        <v>45261</v>
      </c>
      <c r="D1428" s="15">
        <v>55.48</v>
      </c>
      <c r="E1428" s="7">
        <f t="shared" si="22"/>
        <v>1</v>
      </c>
    </row>
    <row r="1429" spans="1:5" x14ac:dyDescent="0.25">
      <c r="A1429" s="7">
        <f>IF(E1429=1,
      SUM($E$2:E1429)-1,
"")</f>
        <v>1426</v>
      </c>
      <c r="B1429" s="6" t="s">
        <v>239</v>
      </c>
      <c r="C1429" s="14">
        <v>45253</v>
      </c>
      <c r="D1429" s="15">
        <v>46.88</v>
      </c>
      <c r="E1429" s="7">
        <f t="shared" si="22"/>
        <v>1</v>
      </c>
    </row>
    <row r="1430" spans="1:5" x14ac:dyDescent="0.25">
      <c r="A1430" s="7">
        <f>IF(E1430=1,
      SUM($E$2:E1430)-1,
"")</f>
        <v>1427</v>
      </c>
      <c r="B1430" s="6" t="s">
        <v>605</v>
      </c>
      <c r="C1430" s="14">
        <v>45145</v>
      </c>
      <c r="D1430" s="15">
        <v>48.88</v>
      </c>
      <c r="E1430" s="7">
        <f t="shared" si="22"/>
        <v>1</v>
      </c>
    </row>
    <row r="1431" spans="1:5" x14ac:dyDescent="0.25">
      <c r="A1431" s="7">
        <f>IF(E1431=1,
      SUM($E$2:E1431)-1,
"")</f>
        <v>1428</v>
      </c>
      <c r="B1431" s="6" t="s">
        <v>212</v>
      </c>
      <c r="C1431" s="14">
        <v>45075</v>
      </c>
      <c r="D1431" s="15">
        <v>73.180000000000007</v>
      </c>
      <c r="E1431" s="7">
        <f t="shared" si="22"/>
        <v>1</v>
      </c>
    </row>
    <row r="1432" spans="1:5" x14ac:dyDescent="0.25">
      <c r="A1432" s="7">
        <f>IF(E1432=1,
      SUM($E$2:E1432)-1,
"")</f>
        <v>1429</v>
      </c>
      <c r="B1432" s="6" t="s">
        <v>704</v>
      </c>
      <c r="C1432" s="14">
        <v>45074</v>
      </c>
      <c r="D1432" s="15">
        <v>121</v>
      </c>
      <c r="E1432" s="7">
        <f t="shared" si="22"/>
        <v>1</v>
      </c>
    </row>
    <row r="1433" spans="1:5" x14ac:dyDescent="0.25">
      <c r="A1433" s="7">
        <f>IF(E1433=1,
      SUM($E$2:E1433)-1,
"")</f>
        <v>1430</v>
      </c>
      <c r="B1433" s="6" t="s">
        <v>795</v>
      </c>
      <c r="C1433" s="14">
        <v>45211</v>
      </c>
      <c r="D1433" s="15">
        <v>122.84</v>
      </c>
      <c r="E1433" s="7">
        <f t="shared" si="22"/>
        <v>1</v>
      </c>
    </row>
    <row r="1434" spans="1:5" x14ac:dyDescent="0.25">
      <c r="A1434" s="7">
        <f>IF(E1434=1,
      SUM($E$2:E1434)-1,
"")</f>
        <v>1431</v>
      </c>
      <c r="B1434" s="6" t="s">
        <v>226</v>
      </c>
      <c r="C1434" s="14">
        <v>44960</v>
      </c>
      <c r="D1434" s="15">
        <v>81.77</v>
      </c>
      <c r="E1434" s="7">
        <f t="shared" si="22"/>
        <v>1</v>
      </c>
    </row>
    <row r="1435" spans="1:5" x14ac:dyDescent="0.25">
      <c r="A1435" s="7">
        <f>IF(E1435=1,
      SUM($E$2:E1435)-1,
"")</f>
        <v>1432</v>
      </c>
      <c r="B1435" s="6" t="s">
        <v>640</v>
      </c>
      <c r="C1435" s="14">
        <v>45085</v>
      </c>
      <c r="D1435" s="15">
        <v>99.15</v>
      </c>
      <c r="E1435" s="7">
        <f t="shared" si="22"/>
        <v>1</v>
      </c>
    </row>
    <row r="1436" spans="1:5" x14ac:dyDescent="0.25">
      <c r="A1436" s="7">
        <f>IF(E1436=1,
      SUM($E$2:E1436)-1,
"")</f>
        <v>1433</v>
      </c>
      <c r="B1436" s="6" t="s">
        <v>137</v>
      </c>
      <c r="C1436" s="14">
        <v>45092</v>
      </c>
      <c r="D1436" s="15">
        <v>66.510000000000005</v>
      </c>
      <c r="E1436" s="7">
        <f t="shared" si="22"/>
        <v>1</v>
      </c>
    </row>
    <row r="1437" spans="1:5" x14ac:dyDescent="0.25">
      <c r="A1437" s="7">
        <f>IF(E1437=1,
      SUM($E$2:E1437)-1,
"")</f>
        <v>1434</v>
      </c>
      <c r="B1437" s="6" t="s">
        <v>183</v>
      </c>
      <c r="C1437" s="14">
        <v>44961</v>
      </c>
      <c r="D1437" s="15">
        <v>69.290000000000006</v>
      </c>
      <c r="E1437" s="7">
        <f t="shared" si="22"/>
        <v>1</v>
      </c>
    </row>
    <row r="1438" spans="1:5" x14ac:dyDescent="0.25">
      <c r="A1438" s="7">
        <f>IF(E1438=1,
      SUM($E$2:E1438)-1,
"")</f>
        <v>1435</v>
      </c>
      <c r="B1438" s="6" t="s">
        <v>614</v>
      </c>
      <c r="C1438" s="14">
        <v>45255</v>
      </c>
      <c r="D1438" s="15">
        <v>117.4</v>
      </c>
      <c r="E1438" s="7">
        <f t="shared" si="22"/>
        <v>1</v>
      </c>
    </row>
    <row r="1439" spans="1:5" x14ac:dyDescent="0.25">
      <c r="A1439" s="7">
        <f>IF(E1439=1,
      SUM($E$2:E1439)-1,
"")</f>
        <v>1436</v>
      </c>
      <c r="B1439" s="6" t="s">
        <v>814</v>
      </c>
      <c r="C1439" s="14">
        <v>45082</v>
      </c>
      <c r="D1439" s="15">
        <v>131.43</v>
      </c>
      <c r="E1439" s="7">
        <f t="shared" si="22"/>
        <v>1</v>
      </c>
    </row>
    <row r="1440" spans="1:5" x14ac:dyDescent="0.25">
      <c r="A1440" s="7">
        <f>IF(E1440=1,
      SUM($E$2:E1440)-1,
"")</f>
        <v>1437</v>
      </c>
      <c r="B1440" s="6" t="s">
        <v>166</v>
      </c>
      <c r="C1440" s="14">
        <v>44966</v>
      </c>
      <c r="D1440" s="15">
        <v>85.7</v>
      </c>
      <c r="E1440" s="7">
        <f t="shared" si="22"/>
        <v>1</v>
      </c>
    </row>
    <row r="1441" spans="1:5" x14ac:dyDescent="0.25">
      <c r="A1441" s="7">
        <f>IF(E1441=1,
      SUM($E$2:E1441)-1,
"")</f>
        <v>1438</v>
      </c>
      <c r="B1441" s="6" t="s">
        <v>180</v>
      </c>
      <c r="C1441" s="14">
        <v>45044</v>
      </c>
      <c r="D1441" s="15">
        <v>149.05000000000001</v>
      </c>
      <c r="E1441" s="7">
        <f t="shared" si="22"/>
        <v>1</v>
      </c>
    </row>
    <row r="1442" spans="1:5" x14ac:dyDescent="0.25">
      <c r="A1442" s="7">
        <f>IF(E1442=1,
      SUM($E$2:E1442)-1,
"")</f>
        <v>1439</v>
      </c>
      <c r="B1442" s="6" t="s">
        <v>219</v>
      </c>
      <c r="C1442" s="14">
        <v>45066</v>
      </c>
      <c r="D1442" s="15">
        <v>128.97</v>
      </c>
      <c r="E1442" s="7">
        <f t="shared" si="22"/>
        <v>1</v>
      </c>
    </row>
    <row r="1443" spans="1:5" x14ac:dyDescent="0.25">
      <c r="A1443" s="7">
        <f>IF(E1443=1,
      SUM($E$2:E1443)-1,
"")</f>
        <v>1440</v>
      </c>
      <c r="B1443" s="6" t="s">
        <v>815</v>
      </c>
      <c r="C1443" s="14">
        <v>45245</v>
      </c>
      <c r="D1443" s="15">
        <v>147.75</v>
      </c>
      <c r="E1443" s="7">
        <f t="shared" si="22"/>
        <v>1</v>
      </c>
    </row>
    <row r="1444" spans="1:5" x14ac:dyDescent="0.25">
      <c r="A1444" s="7">
        <f>IF(E1444=1,
      SUM($E$2:E1444)-1,
"")</f>
        <v>1441</v>
      </c>
      <c r="B1444" s="6" t="s">
        <v>816</v>
      </c>
      <c r="C1444" s="14">
        <v>45275</v>
      </c>
      <c r="D1444" s="15">
        <v>90.97</v>
      </c>
      <c r="E1444" s="7">
        <f t="shared" si="22"/>
        <v>1</v>
      </c>
    </row>
    <row r="1445" spans="1:5" x14ac:dyDescent="0.25">
      <c r="A1445" s="7">
        <f>IF(E1445=1,
      SUM($E$2:E1445)-1,
"")</f>
        <v>1442</v>
      </c>
      <c r="B1445" s="6" t="s">
        <v>666</v>
      </c>
      <c r="C1445" s="14">
        <v>44998</v>
      </c>
      <c r="D1445" s="15">
        <v>145.62</v>
      </c>
      <c r="E1445" s="7">
        <f t="shared" si="22"/>
        <v>1</v>
      </c>
    </row>
    <row r="1446" spans="1:5" x14ac:dyDescent="0.25">
      <c r="A1446" s="7">
        <f>IF(E1446=1,
      SUM($E$2:E1446)-1,
"")</f>
        <v>1443</v>
      </c>
      <c r="B1446" s="6" t="s">
        <v>479</v>
      </c>
      <c r="C1446" s="14">
        <v>45097</v>
      </c>
      <c r="D1446" s="15">
        <v>165.39</v>
      </c>
      <c r="E1446" s="7">
        <f t="shared" si="22"/>
        <v>1</v>
      </c>
    </row>
    <row r="1447" spans="1:5" x14ac:dyDescent="0.25">
      <c r="A1447" s="7">
        <f>IF(E1447=1,
      SUM($E$2:E1447)-1,
"")</f>
        <v>1444</v>
      </c>
      <c r="B1447" s="6" t="s">
        <v>251</v>
      </c>
      <c r="C1447" s="14">
        <v>45106</v>
      </c>
      <c r="D1447" s="15">
        <v>87.62</v>
      </c>
      <c r="E1447" s="7">
        <f t="shared" si="22"/>
        <v>1</v>
      </c>
    </row>
    <row r="1448" spans="1:5" x14ac:dyDescent="0.25">
      <c r="A1448" s="7">
        <f>IF(E1448=1,
      SUM($E$2:E1448)-1,
"")</f>
        <v>1445</v>
      </c>
      <c r="B1448" s="6" t="s">
        <v>817</v>
      </c>
      <c r="C1448" s="14">
        <v>44948</v>
      </c>
      <c r="D1448" s="15">
        <v>95.37</v>
      </c>
      <c r="E1448" s="7">
        <f t="shared" si="22"/>
        <v>1</v>
      </c>
    </row>
    <row r="1449" spans="1:5" x14ac:dyDescent="0.25">
      <c r="A1449" s="7">
        <f>IF(E1449=1,
      SUM($E$2:E1449)-1,
"")</f>
        <v>1446</v>
      </c>
      <c r="B1449" s="6" t="s">
        <v>388</v>
      </c>
      <c r="C1449" s="14">
        <v>45069</v>
      </c>
      <c r="D1449" s="15">
        <v>71.569999999999993</v>
      </c>
      <c r="E1449" s="7">
        <f t="shared" si="22"/>
        <v>1</v>
      </c>
    </row>
    <row r="1450" spans="1:5" x14ac:dyDescent="0.25">
      <c r="A1450" s="7">
        <f>IF(E1450=1,
      SUM($E$2:E1450)-1,
"")</f>
        <v>1447</v>
      </c>
      <c r="B1450" s="6" t="s">
        <v>818</v>
      </c>
      <c r="C1450" s="14">
        <v>44975</v>
      </c>
      <c r="D1450" s="15">
        <v>65.67</v>
      </c>
      <c r="E1450" s="7">
        <f t="shared" si="22"/>
        <v>1</v>
      </c>
    </row>
    <row r="1451" spans="1:5" x14ac:dyDescent="0.25">
      <c r="A1451" s="7">
        <f>IF(E1451=1,
      SUM($E$2:E1451)-1,
"")</f>
        <v>1448</v>
      </c>
      <c r="B1451" s="6" t="s">
        <v>544</v>
      </c>
      <c r="C1451" s="14">
        <v>44928</v>
      </c>
      <c r="D1451" s="15">
        <v>66.02</v>
      </c>
      <c r="E1451" s="7">
        <f t="shared" si="22"/>
        <v>1</v>
      </c>
    </row>
    <row r="1452" spans="1:5" x14ac:dyDescent="0.25">
      <c r="A1452" s="7">
        <f>IF(E1452=1,
      SUM($E$2:E1452)-1,
"")</f>
        <v>1449</v>
      </c>
      <c r="B1452" s="6" t="s">
        <v>252</v>
      </c>
      <c r="C1452" s="14">
        <v>44956</v>
      </c>
      <c r="D1452" s="15">
        <v>75.66</v>
      </c>
      <c r="E1452" s="7">
        <f t="shared" si="22"/>
        <v>1</v>
      </c>
    </row>
    <row r="1453" spans="1:5" x14ac:dyDescent="0.25">
      <c r="A1453" s="7">
        <f>IF(E1453=1,
      SUM($E$2:E1453)-1,
"")</f>
        <v>1450</v>
      </c>
      <c r="B1453" s="6" t="s">
        <v>476</v>
      </c>
      <c r="C1453" s="14">
        <v>45064</v>
      </c>
      <c r="D1453" s="15">
        <v>108.24</v>
      </c>
      <c r="E1453" s="7">
        <f t="shared" si="22"/>
        <v>1</v>
      </c>
    </row>
    <row r="1454" spans="1:5" x14ac:dyDescent="0.25">
      <c r="A1454" s="7">
        <f>IF(E1454=1,
      SUM($E$2:E1454)-1,
"")</f>
        <v>1451</v>
      </c>
      <c r="B1454" s="6" t="s">
        <v>433</v>
      </c>
      <c r="C1454" s="14">
        <v>45216</v>
      </c>
      <c r="D1454" s="15">
        <v>76.92</v>
      </c>
      <c r="E1454" s="7">
        <f t="shared" si="22"/>
        <v>1</v>
      </c>
    </row>
    <row r="1455" spans="1:5" x14ac:dyDescent="0.25">
      <c r="A1455" s="7">
        <f>IF(E1455=1,
      SUM($E$2:E1455)-1,
"")</f>
        <v>1452</v>
      </c>
      <c r="B1455" s="6" t="s">
        <v>482</v>
      </c>
      <c r="C1455" s="14">
        <v>45105</v>
      </c>
      <c r="D1455" s="15">
        <v>107.32</v>
      </c>
      <c r="E1455" s="7">
        <f t="shared" si="22"/>
        <v>1</v>
      </c>
    </row>
    <row r="1456" spans="1:5" x14ac:dyDescent="0.25">
      <c r="A1456" s="7">
        <f>IF(E1456=1,
      SUM($E$2:E1456)-1,
"")</f>
        <v>1453</v>
      </c>
      <c r="B1456" s="6" t="s">
        <v>679</v>
      </c>
      <c r="C1456" s="14">
        <v>44947</v>
      </c>
      <c r="D1456" s="15">
        <v>107.95</v>
      </c>
      <c r="E1456" s="7">
        <f t="shared" si="22"/>
        <v>1</v>
      </c>
    </row>
    <row r="1457" spans="1:5" x14ac:dyDescent="0.25">
      <c r="A1457" s="7">
        <f>IF(E1457=1,
      SUM($E$2:E1457)-1,
"")</f>
        <v>1454</v>
      </c>
      <c r="B1457" s="6" t="s">
        <v>280</v>
      </c>
      <c r="C1457" s="14">
        <v>45023</v>
      </c>
      <c r="D1457" s="15">
        <v>85.9</v>
      </c>
      <c r="E1457" s="7">
        <f t="shared" si="22"/>
        <v>1</v>
      </c>
    </row>
    <row r="1458" spans="1:5" x14ac:dyDescent="0.25">
      <c r="A1458" s="7">
        <f>IF(E1458=1,
      SUM($E$2:E1458)-1,
"")</f>
        <v>1455</v>
      </c>
      <c r="B1458" s="6" t="s">
        <v>224</v>
      </c>
      <c r="C1458" s="14">
        <v>45198</v>
      </c>
      <c r="D1458" s="15">
        <v>98.12</v>
      </c>
      <c r="E1458" s="7">
        <f t="shared" si="22"/>
        <v>1</v>
      </c>
    </row>
    <row r="1459" spans="1:5" x14ac:dyDescent="0.25">
      <c r="A1459" s="7">
        <f>IF(E1459=1,
      SUM($E$2:E1459)-1,
"")</f>
        <v>1456</v>
      </c>
      <c r="B1459" s="6" t="s">
        <v>451</v>
      </c>
      <c r="C1459" s="14">
        <v>44983</v>
      </c>
      <c r="D1459" s="15">
        <v>84.16</v>
      </c>
      <c r="E1459" s="7">
        <f t="shared" si="22"/>
        <v>1</v>
      </c>
    </row>
    <row r="1460" spans="1:5" x14ac:dyDescent="0.25">
      <c r="A1460" s="7">
        <f>IF(E1460=1,
      SUM($E$2:E1460)-1,
"")</f>
        <v>1457</v>
      </c>
      <c r="B1460" s="6" t="s">
        <v>535</v>
      </c>
      <c r="C1460" s="14">
        <v>45161</v>
      </c>
      <c r="D1460" s="15">
        <v>90.68</v>
      </c>
      <c r="E1460" s="7">
        <f t="shared" si="22"/>
        <v>1</v>
      </c>
    </row>
    <row r="1461" spans="1:5" x14ac:dyDescent="0.25">
      <c r="A1461" s="7">
        <f>IF(E1461=1,
      SUM($E$2:E1461)-1,
"")</f>
        <v>1458</v>
      </c>
      <c r="B1461" s="6" t="s">
        <v>819</v>
      </c>
      <c r="C1461" s="14">
        <v>45254</v>
      </c>
      <c r="D1461" s="15">
        <v>75.73</v>
      </c>
      <c r="E1461" s="7">
        <f t="shared" si="22"/>
        <v>1</v>
      </c>
    </row>
    <row r="1462" spans="1:5" x14ac:dyDescent="0.25">
      <c r="A1462" s="7">
        <f>IF(E1462=1,
      SUM($E$2:E1462)-1,
"")</f>
        <v>1459</v>
      </c>
      <c r="B1462" s="6" t="s">
        <v>816</v>
      </c>
      <c r="C1462" s="14">
        <v>45221</v>
      </c>
      <c r="D1462" s="15">
        <v>102.52</v>
      </c>
      <c r="E1462" s="7">
        <f t="shared" si="22"/>
        <v>1</v>
      </c>
    </row>
    <row r="1463" spans="1:5" x14ac:dyDescent="0.25">
      <c r="A1463" s="7">
        <f>IF(E1463=1,
      SUM($E$2:E1463)-1,
"")</f>
        <v>1460</v>
      </c>
      <c r="B1463" s="6" t="s">
        <v>389</v>
      </c>
      <c r="C1463" s="14">
        <v>45012</v>
      </c>
      <c r="D1463" s="15">
        <v>81.98</v>
      </c>
      <c r="E1463" s="7">
        <f t="shared" si="22"/>
        <v>1</v>
      </c>
    </row>
    <row r="1464" spans="1:5" x14ac:dyDescent="0.25">
      <c r="A1464" s="7">
        <f>IF(E1464=1,
      SUM($E$2:E1464)-1,
"")</f>
        <v>1461</v>
      </c>
      <c r="B1464" s="6" t="s">
        <v>792</v>
      </c>
      <c r="C1464" s="14">
        <v>44960</v>
      </c>
      <c r="D1464" s="15">
        <v>65.02</v>
      </c>
      <c r="E1464" s="7">
        <f t="shared" si="22"/>
        <v>1</v>
      </c>
    </row>
    <row r="1465" spans="1:5" x14ac:dyDescent="0.25">
      <c r="A1465" s="7">
        <f>IF(E1465=1,
      SUM($E$2:E1465)-1,
"")</f>
        <v>1462</v>
      </c>
      <c r="B1465" s="6" t="s">
        <v>459</v>
      </c>
      <c r="C1465" s="14">
        <v>45133</v>
      </c>
      <c r="D1465" s="15">
        <v>117.8</v>
      </c>
      <c r="E1465" s="7">
        <f t="shared" si="22"/>
        <v>1</v>
      </c>
    </row>
    <row r="1466" spans="1:5" x14ac:dyDescent="0.25">
      <c r="A1466" s="7">
        <f>IF(E1466=1,
      SUM($E$2:E1466)-1,
"")</f>
        <v>1463</v>
      </c>
      <c r="B1466" s="6" t="s">
        <v>792</v>
      </c>
      <c r="C1466" s="14">
        <v>45106</v>
      </c>
      <c r="D1466" s="15">
        <v>118.82</v>
      </c>
      <c r="E1466" s="7">
        <f t="shared" si="22"/>
        <v>1</v>
      </c>
    </row>
    <row r="1467" spans="1:5" x14ac:dyDescent="0.25">
      <c r="A1467" s="7">
        <f>IF(E1467=1,
      SUM($E$2:E1467)-1,
"")</f>
        <v>1464</v>
      </c>
      <c r="B1467" s="6" t="s">
        <v>334</v>
      </c>
      <c r="C1467" s="14">
        <v>45102</v>
      </c>
      <c r="D1467" s="15">
        <v>133.35</v>
      </c>
      <c r="E1467" s="7">
        <f t="shared" si="22"/>
        <v>1</v>
      </c>
    </row>
    <row r="1468" spans="1:5" x14ac:dyDescent="0.25">
      <c r="A1468" s="7">
        <f>IF(E1468=1,
      SUM($E$2:E1468)-1,
"")</f>
        <v>1465</v>
      </c>
      <c r="B1468" s="6" t="s">
        <v>273</v>
      </c>
      <c r="C1468" s="14">
        <v>45173</v>
      </c>
      <c r="D1468" s="15">
        <v>69.27</v>
      </c>
      <c r="E1468" s="7">
        <f t="shared" si="22"/>
        <v>1</v>
      </c>
    </row>
    <row r="1469" spans="1:5" x14ac:dyDescent="0.25">
      <c r="A1469" s="7">
        <f>IF(E1469=1,
      SUM($E$2:E1469)-1,
"")</f>
        <v>1466</v>
      </c>
      <c r="B1469" s="6" t="s">
        <v>820</v>
      </c>
      <c r="C1469" s="14">
        <v>45073</v>
      </c>
      <c r="D1469" s="15">
        <v>85.57</v>
      </c>
      <c r="E1469" s="7">
        <f t="shared" si="22"/>
        <v>1</v>
      </c>
    </row>
    <row r="1470" spans="1:5" x14ac:dyDescent="0.25">
      <c r="A1470" s="7">
        <f>IF(E1470=1,
      SUM($E$2:E1470)-1,
"")</f>
        <v>1467</v>
      </c>
      <c r="B1470" s="6" t="s">
        <v>821</v>
      </c>
      <c r="C1470" s="14">
        <v>45240</v>
      </c>
      <c r="D1470" s="15">
        <v>106.91</v>
      </c>
      <c r="E1470" s="7">
        <f t="shared" si="22"/>
        <v>1</v>
      </c>
    </row>
    <row r="1471" spans="1:5" x14ac:dyDescent="0.25">
      <c r="A1471" s="7">
        <f>IF(E1471=1,
      SUM($E$2:E1471)-1,
"")</f>
        <v>1468</v>
      </c>
      <c r="B1471" s="6" t="s">
        <v>822</v>
      </c>
      <c r="C1471" s="14">
        <v>45071</v>
      </c>
      <c r="D1471" s="15">
        <v>84.94</v>
      </c>
      <c r="E1471" s="7">
        <f t="shared" si="22"/>
        <v>1</v>
      </c>
    </row>
    <row r="1472" spans="1:5" x14ac:dyDescent="0.25">
      <c r="A1472" s="7">
        <f>IF(E1472=1,
      SUM($E$2:E1472)-1,
"")</f>
        <v>1469</v>
      </c>
      <c r="B1472" s="6" t="s">
        <v>386</v>
      </c>
      <c r="C1472" s="14">
        <v>45162</v>
      </c>
      <c r="D1472" s="15">
        <v>117.13</v>
      </c>
      <c r="E1472" s="7">
        <f t="shared" si="22"/>
        <v>1</v>
      </c>
    </row>
    <row r="1473" spans="1:5" x14ac:dyDescent="0.25">
      <c r="A1473" s="7">
        <f>IF(E1473=1,
      SUM($E$2:E1473)-1,
"")</f>
        <v>1470</v>
      </c>
      <c r="B1473" s="6" t="s">
        <v>248</v>
      </c>
      <c r="C1473" s="14">
        <v>45056</v>
      </c>
      <c r="D1473" s="15">
        <v>114.94</v>
      </c>
      <c r="E1473" s="7">
        <f t="shared" si="22"/>
        <v>1</v>
      </c>
    </row>
    <row r="1474" spans="1:5" x14ac:dyDescent="0.25">
      <c r="A1474" s="7">
        <f>IF(E1474=1,
      SUM($E$2:E1474)-1,
"")</f>
        <v>1471</v>
      </c>
      <c r="B1474" s="6" t="s">
        <v>823</v>
      </c>
      <c r="C1474" s="14">
        <v>45047</v>
      </c>
      <c r="D1474" s="15">
        <v>114.38</v>
      </c>
      <c r="E1474" s="7">
        <f t="shared" ref="E1474:E1537" si="23">IF(D1474&gt;0,1,0)</f>
        <v>1</v>
      </c>
    </row>
    <row r="1475" spans="1:5" x14ac:dyDescent="0.25">
      <c r="A1475" s="7">
        <f>IF(E1475=1,
      SUM($E$2:E1475)-1,
"")</f>
        <v>1472</v>
      </c>
      <c r="B1475" s="6" t="s">
        <v>637</v>
      </c>
      <c r="C1475" s="14">
        <v>45067</v>
      </c>
      <c r="D1475" s="15">
        <v>143.79</v>
      </c>
      <c r="E1475" s="7">
        <f t="shared" si="23"/>
        <v>1</v>
      </c>
    </row>
    <row r="1476" spans="1:5" x14ac:dyDescent="0.25">
      <c r="A1476" s="7">
        <f>IF(E1476=1,
      SUM($E$2:E1476)-1,
"")</f>
        <v>1473</v>
      </c>
      <c r="B1476" s="6" t="s">
        <v>196</v>
      </c>
      <c r="C1476" s="14">
        <v>45085</v>
      </c>
      <c r="D1476" s="15">
        <v>119.32</v>
      </c>
      <c r="E1476" s="7">
        <f t="shared" si="23"/>
        <v>1</v>
      </c>
    </row>
    <row r="1477" spans="1:5" x14ac:dyDescent="0.25">
      <c r="A1477" s="7">
        <f>IF(E1477=1,
      SUM($E$2:E1477)-1,
"")</f>
        <v>1474</v>
      </c>
      <c r="B1477" s="6" t="s">
        <v>765</v>
      </c>
      <c r="C1477" s="14">
        <v>45197</v>
      </c>
      <c r="D1477" s="15">
        <v>104.62</v>
      </c>
      <c r="E1477" s="7">
        <f t="shared" si="23"/>
        <v>1</v>
      </c>
    </row>
    <row r="1478" spans="1:5" x14ac:dyDescent="0.25">
      <c r="A1478" s="7">
        <f>IF(E1478=1,
      SUM($E$2:E1478)-1,
"")</f>
        <v>1475</v>
      </c>
      <c r="B1478" s="6" t="s">
        <v>824</v>
      </c>
      <c r="C1478" s="14">
        <v>45093</v>
      </c>
      <c r="D1478" s="15">
        <v>94.19</v>
      </c>
      <c r="E1478" s="7">
        <f t="shared" si="23"/>
        <v>1</v>
      </c>
    </row>
    <row r="1479" spans="1:5" x14ac:dyDescent="0.25">
      <c r="A1479" s="7">
        <f>IF(E1479=1,
      SUM($E$2:E1479)-1,
"")</f>
        <v>1476</v>
      </c>
      <c r="B1479" s="6" t="s">
        <v>211</v>
      </c>
      <c r="C1479" s="14">
        <v>45046</v>
      </c>
      <c r="D1479" s="15">
        <v>96.28</v>
      </c>
      <c r="E1479" s="7">
        <f t="shared" si="23"/>
        <v>1</v>
      </c>
    </row>
    <row r="1480" spans="1:5" x14ac:dyDescent="0.25">
      <c r="A1480" s="7">
        <f>IF(E1480=1,
      SUM($E$2:E1480)-1,
"")</f>
        <v>1477</v>
      </c>
      <c r="B1480" s="6" t="s">
        <v>825</v>
      </c>
      <c r="C1480" s="14">
        <v>45221</v>
      </c>
      <c r="D1480" s="15">
        <v>68.069999999999993</v>
      </c>
      <c r="E1480" s="7">
        <f t="shared" si="23"/>
        <v>1</v>
      </c>
    </row>
    <row r="1481" spans="1:5" x14ac:dyDescent="0.25">
      <c r="A1481" s="7">
        <f>IF(E1481=1,
      SUM($E$2:E1481)-1,
"")</f>
        <v>1478</v>
      </c>
      <c r="B1481" s="6" t="s">
        <v>215</v>
      </c>
      <c r="C1481" s="14">
        <v>44975</v>
      </c>
      <c r="D1481" s="15">
        <v>47.03</v>
      </c>
      <c r="E1481" s="7">
        <f t="shared" si="23"/>
        <v>1</v>
      </c>
    </row>
    <row r="1482" spans="1:5" x14ac:dyDescent="0.25">
      <c r="A1482" s="7">
        <f>IF(E1482=1,
      SUM($E$2:E1482)-1,
"")</f>
        <v>1479</v>
      </c>
      <c r="B1482" s="6" t="s">
        <v>677</v>
      </c>
      <c r="C1482" s="14">
        <v>45108</v>
      </c>
      <c r="D1482" s="15">
        <v>113.91</v>
      </c>
      <c r="E1482" s="7">
        <f t="shared" si="23"/>
        <v>1</v>
      </c>
    </row>
    <row r="1483" spans="1:5" x14ac:dyDescent="0.25">
      <c r="A1483" s="7">
        <f>IF(E1483=1,
      SUM($E$2:E1483)-1,
"")</f>
        <v>1480</v>
      </c>
      <c r="B1483" s="6" t="s">
        <v>387</v>
      </c>
      <c r="C1483" s="14">
        <v>45287</v>
      </c>
      <c r="D1483" s="15">
        <v>136.71</v>
      </c>
      <c r="E1483" s="7">
        <f t="shared" si="23"/>
        <v>1</v>
      </c>
    </row>
    <row r="1484" spans="1:5" x14ac:dyDescent="0.25">
      <c r="A1484" s="7">
        <f>IF(E1484=1,
      SUM($E$2:E1484)-1,
"")</f>
        <v>1481</v>
      </c>
      <c r="B1484" s="6" t="s">
        <v>195</v>
      </c>
      <c r="C1484" s="14">
        <v>45087</v>
      </c>
      <c r="D1484" s="15">
        <v>90.1</v>
      </c>
      <c r="E1484" s="7">
        <f t="shared" si="23"/>
        <v>1</v>
      </c>
    </row>
    <row r="1485" spans="1:5" x14ac:dyDescent="0.25">
      <c r="A1485" s="7">
        <f>IF(E1485=1,
      SUM($E$2:E1485)-1,
"")</f>
        <v>1482</v>
      </c>
      <c r="B1485" s="6" t="s">
        <v>798</v>
      </c>
      <c r="C1485" s="14">
        <v>45261</v>
      </c>
      <c r="D1485" s="15">
        <v>147.61000000000001</v>
      </c>
      <c r="E1485" s="7">
        <f t="shared" si="23"/>
        <v>1</v>
      </c>
    </row>
    <row r="1486" spans="1:5" x14ac:dyDescent="0.25">
      <c r="A1486" s="7">
        <f>IF(E1486=1,
      SUM($E$2:E1486)-1,
"")</f>
        <v>1483</v>
      </c>
      <c r="B1486" s="6" t="s">
        <v>665</v>
      </c>
      <c r="C1486" s="14">
        <v>45194</v>
      </c>
      <c r="D1486" s="15">
        <v>94.7</v>
      </c>
      <c r="E1486" s="7">
        <f t="shared" si="23"/>
        <v>1</v>
      </c>
    </row>
    <row r="1487" spans="1:5" x14ac:dyDescent="0.25">
      <c r="A1487" s="7">
        <f>IF(E1487=1,
      SUM($E$2:E1487)-1,
"")</f>
        <v>1484</v>
      </c>
      <c r="B1487" s="6" t="s">
        <v>826</v>
      </c>
      <c r="C1487" s="14">
        <v>45037</v>
      </c>
      <c r="D1487" s="15">
        <v>41.39</v>
      </c>
      <c r="E1487" s="7">
        <f t="shared" si="23"/>
        <v>1</v>
      </c>
    </row>
    <row r="1488" spans="1:5" x14ac:dyDescent="0.25">
      <c r="A1488" s="7">
        <f>IF(E1488=1,
      SUM($E$2:E1488)-1,
"")</f>
        <v>1485</v>
      </c>
      <c r="B1488" s="6" t="s">
        <v>316</v>
      </c>
      <c r="C1488" s="14">
        <v>45106</v>
      </c>
      <c r="D1488" s="15">
        <v>127.55</v>
      </c>
      <c r="E1488" s="7">
        <f t="shared" si="23"/>
        <v>1</v>
      </c>
    </row>
    <row r="1489" spans="1:5" x14ac:dyDescent="0.25">
      <c r="A1489" s="7">
        <f>IF(E1489=1,
      SUM($E$2:E1489)-1,
"")</f>
        <v>1486</v>
      </c>
      <c r="B1489" s="6" t="s">
        <v>291</v>
      </c>
      <c r="C1489" s="14">
        <v>45217</v>
      </c>
      <c r="D1489" s="15">
        <v>85.62</v>
      </c>
      <c r="E1489" s="7">
        <f t="shared" si="23"/>
        <v>1</v>
      </c>
    </row>
    <row r="1490" spans="1:5" x14ac:dyDescent="0.25">
      <c r="A1490" s="7">
        <f>IF(E1490=1,
      SUM($E$2:E1490)-1,
"")</f>
        <v>1487</v>
      </c>
      <c r="B1490" s="6" t="s">
        <v>507</v>
      </c>
      <c r="C1490" s="14">
        <v>45116</v>
      </c>
      <c r="D1490" s="15">
        <v>130.26</v>
      </c>
      <c r="E1490" s="7">
        <f t="shared" si="23"/>
        <v>1</v>
      </c>
    </row>
    <row r="1491" spans="1:5" x14ac:dyDescent="0.25">
      <c r="A1491" s="7">
        <f>IF(E1491=1,
      SUM($E$2:E1491)-1,
"")</f>
        <v>1488</v>
      </c>
      <c r="B1491" s="6" t="s">
        <v>211</v>
      </c>
      <c r="C1491" s="14">
        <v>44978</v>
      </c>
      <c r="D1491" s="15">
        <v>61.67</v>
      </c>
      <c r="E1491" s="7">
        <f t="shared" si="23"/>
        <v>1</v>
      </c>
    </row>
    <row r="1492" spans="1:5" x14ac:dyDescent="0.25">
      <c r="A1492" s="7">
        <f>IF(E1492=1,
      SUM($E$2:E1492)-1,
"")</f>
        <v>1489</v>
      </c>
      <c r="B1492" s="6" t="s">
        <v>372</v>
      </c>
      <c r="C1492" s="14">
        <v>45006</v>
      </c>
      <c r="D1492" s="15">
        <v>112.36</v>
      </c>
      <c r="E1492" s="7">
        <f t="shared" si="23"/>
        <v>1</v>
      </c>
    </row>
    <row r="1493" spans="1:5" x14ac:dyDescent="0.25">
      <c r="A1493" s="7">
        <f>IF(E1493=1,
      SUM($E$2:E1493)-1,
"")</f>
        <v>1490</v>
      </c>
      <c r="B1493" s="6" t="s">
        <v>491</v>
      </c>
      <c r="C1493" s="14">
        <v>44944</v>
      </c>
      <c r="D1493" s="15">
        <v>75.989999999999995</v>
      </c>
      <c r="E1493" s="7">
        <f t="shared" si="23"/>
        <v>1</v>
      </c>
    </row>
    <row r="1494" spans="1:5" x14ac:dyDescent="0.25">
      <c r="A1494" s="7">
        <f>IF(E1494=1,
      SUM($E$2:E1494)-1,
"")</f>
        <v>1491</v>
      </c>
      <c r="B1494" s="6" t="s">
        <v>827</v>
      </c>
      <c r="C1494" s="14">
        <v>45038</v>
      </c>
      <c r="D1494" s="15">
        <v>106.04</v>
      </c>
      <c r="E1494" s="7">
        <f t="shared" si="23"/>
        <v>1</v>
      </c>
    </row>
    <row r="1495" spans="1:5" x14ac:dyDescent="0.25">
      <c r="A1495" s="7">
        <f>IF(E1495=1,
      SUM($E$2:E1495)-1,
"")</f>
        <v>1492</v>
      </c>
      <c r="B1495" s="6" t="s">
        <v>478</v>
      </c>
      <c r="C1495" s="14">
        <v>44968</v>
      </c>
      <c r="D1495" s="15">
        <v>123</v>
      </c>
      <c r="E1495" s="7">
        <f t="shared" si="23"/>
        <v>1</v>
      </c>
    </row>
    <row r="1496" spans="1:5" x14ac:dyDescent="0.25">
      <c r="A1496" s="7">
        <f>IF(E1496=1,
      SUM($E$2:E1496)-1,
"")</f>
        <v>1493</v>
      </c>
      <c r="B1496" s="6" t="s">
        <v>546</v>
      </c>
      <c r="C1496" s="14">
        <v>45103</v>
      </c>
      <c r="D1496" s="15">
        <v>116.03</v>
      </c>
      <c r="E1496" s="7">
        <f t="shared" si="23"/>
        <v>1</v>
      </c>
    </row>
    <row r="1497" spans="1:5" x14ac:dyDescent="0.25">
      <c r="A1497" s="7">
        <f>IF(E1497=1,
      SUM($E$2:E1497)-1,
"")</f>
        <v>1494</v>
      </c>
      <c r="B1497" s="6" t="s">
        <v>631</v>
      </c>
      <c r="C1497" s="14">
        <v>44985</v>
      </c>
      <c r="D1497" s="15">
        <v>102.08</v>
      </c>
      <c r="E1497" s="7">
        <f t="shared" si="23"/>
        <v>1</v>
      </c>
    </row>
    <row r="1498" spans="1:5" x14ac:dyDescent="0.25">
      <c r="A1498" s="7">
        <f>IF(E1498=1,
      SUM($E$2:E1498)-1,
"")</f>
        <v>1495</v>
      </c>
      <c r="B1498" s="6" t="s">
        <v>828</v>
      </c>
      <c r="C1498" s="14">
        <v>44948</v>
      </c>
      <c r="D1498" s="15">
        <v>58.65</v>
      </c>
      <c r="E1498" s="7">
        <f t="shared" si="23"/>
        <v>1</v>
      </c>
    </row>
    <row r="1499" spans="1:5" x14ac:dyDescent="0.25">
      <c r="A1499" s="7">
        <f>IF(E1499=1,
      SUM($E$2:E1499)-1,
"")</f>
        <v>1496</v>
      </c>
      <c r="B1499" s="6" t="s">
        <v>562</v>
      </c>
      <c r="C1499" s="14">
        <v>45166</v>
      </c>
      <c r="D1499" s="15">
        <v>121.91</v>
      </c>
      <c r="E1499" s="7">
        <f t="shared" si="23"/>
        <v>1</v>
      </c>
    </row>
    <row r="1500" spans="1:5" x14ac:dyDescent="0.25">
      <c r="A1500" s="7">
        <f>IF(E1500=1,
      SUM($E$2:E1500)-1,
"")</f>
        <v>1497</v>
      </c>
      <c r="B1500" s="6" t="s">
        <v>818</v>
      </c>
      <c r="C1500" s="14">
        <v>45006</v>
      </c>
      <c r="D1500" s="15">
        <v>130.94</v>
      </c>
      <c r="E1500" s="7">
        <f t="shared" si="23"/>
        <v>1</v>
      </c>
    </row>
    <row r="1501" spans="1:5" x14ac:dyDescent="0.25">
      <c r="A1501" s="7">
        <f>IF(E1501=1,
      SUM($E$2:E1501)-1,
"")</f>
        <v>1498</v>
      </c>
      <c r="B1501" s="6" t="s">
        <v>518</v>
      </c>
      <c r="C1501" s="14">
        <v>45039</v>
      </c>
      <c r="D1501" s="15">
        <v>68.709999999999994</v>
      </c>
      <c r="E1501" s="7">
        <f t="shared" si="23"/>
        <v>1</v>
      </c>
    </row>
    <row r="1502" spans="1:5" x14ac:dyDescent="0.25">
      <c r="A1502" s="7">
        <f>IF(E1502=1,
      SUM($E$2:E1502)-1,
"")</f>
        <v>1499</v>
      </c>
      <c r="B1502" s="6" t="s">
        <v>100</v>
      </c>
      <c r="C1502" s="14">
        <v>45080</v>
      </c>
      <c r="D1502" s="15">
        <v>73.12</v>
      </c>
      <c r="E1502" s="7">
        <f t="shared" si="23"/>
        <v>1</v>
      </c>
    </row>
    <row r="1503" spans="1:5" x14ac:dyDescent="0.25">
      <c r="A1503" s="7">
        <f>IF(E1503=1,
      SUM($E$2:E1503)-1,
"")</f>
        <v>1500</v>
      </c>
      <c r="B1503" s="6" t="s">
        <v>682</v>
      </c>
      <c r="C1503" s="14">
        <v>45043</v>
      </c>
      <c r="D1503" s="15">
        <v>132.21</v>
      </c>
      <c r="E1503" s="7">
        <f t="shared" si="23"/>
        <v>1</v>
      </c>
    </row>
    <row r="1504" spans="1:5" x14ac:dyDescent="0.25">
      <c r="A1504" s="7">
        <f>IF(E1504=1,
      SUM($E$2:E1504)-1,
"")</f>
        <v>1501</v>
      </c>
      <c r="B1504" s="6" t="s">
        <v>829</v>
      </c>
      <c r="C1504" s="14">
        <v>45209</v>
      </c>
      <c r="D1504" s="15">
        <v>93.75</v>
      </c>
      <c r="E1504" s="7">
        <f t="shared" si="23"/>
        <v>1</v>
      </c>
    </row>
    <row r="1505" spans="1:5" x14ac:dyDescent="0.25">
      <c r="A1505" s="7">
        <f>IF(E1505=1,
      SUM($E$2:E1505)-1,
"")</f>
        <v>1502</v>
      </c>
      <c r="B1505" s="6" t="s">
        <v>658</v>
      </c>
      <c r="C1505" s="14">
        <v>45280</v>
      </c>
      <c r="D1505" s="15">
        <v>73.900000000000006</v>
      </c>
      <c r="E1505" s="7">
        <f t="shared" si="23"/>
        <v>1</v>
      </c>
    </row>
    <row r="1506" spans="1:5" x14ac:dyDescent="0.25">
      <c r="A1506" s="7">
        <f>IF(E1506=1,
      SUM($E$2:E1506)-1,
"")</f>
        <v>1503</v>
      </c>
      <c r="B1506" s="6" t="s">
        <v>773</v>
      </c>
      <c r="C1506" s="14">
        <v>45248</v>
      </c>
      <c r="D1506" s="15">
        <v>108.18</v>
      </c>
      <c r="E1506" s="7">
        <f t="shared" si="23"/>
        <v>1</v>
      </c>
    </row>
    <row r="1507" spans="1:5" x14ac:dyDescent="0.25">
      <c r="A1507" s="7">
        <f>IF(E1507=1,
      SUM($E$2:E1507)-1,
"")</f>
        <v>1504</v>
      </c>
      <c r="B1507" s="6" t="s">
        <v>493</v>
      </c>
      <c r="C1507" s="14">
        <v>45166</v>
      </c>
      <c r="D1507" s="15">
        <v>80.84</v>
      </c>
      <c r="E1507" s="7">
        <f t="shared" si="23"/>
        <v>1</v>
      </c>
    </row>
    <row r="1508" spans="1:5" x14ac:dyDescent="0.25">
      <c r="A1508" s="7">
        <f>IF(E1508=1,
      SUM($E$2:E1508)-1,
"")</f>
        <v>1505</v>
      </c>
      <c r="B1508" s="6" t="s">
        <v>760</v>
      </c>
      <c r="C1508" s="14">
        <v>45179</v>
      </c>
      <c r="D1508" s="15">
        <v>104.83</v>
      </c>
      <c r="E1508" s="7">
        <f t="shared" si="23"/>
        <v>1</v>
      </c>
    </row>
    <row r="1509" spans="1:5" x14ac:dyDescent="0.25">
      <c r="A1509" s="7">
        <f>IF(E1509=1,
      SUM($E$2:E1509)-1,
"")</f>
        <v>1506</v>
      </c>
      <c r="B1509" s="6" t="s">
        <v>607</v>
      </c>
      <c r="C1509" s="14">
        <v>45017</v>
      </c>
      <c r="D1509" s="15">
        <v>87.6</v>
      </c>
      <c r="E1509" s="7">
        <f t="shared" si="23"/>
        <v>1</v>
      </c>
    </row>
    <row r="1510" spans="1:5" x14ac:dyDescent="0.25">
      <c r="A1510" s="7">
        <f>IF(E1510=1,
      SUM($E$2:E1510)-1,
"")</f>
        <v>1507</v>
      </c>
      <c r="B1510" s="6" t="s">
        <v>740</v>
      </c>
      <c r="C1510" s="14">
        <v>45088</v>
      </c>
      <c r="D1510" s="15">
        <v>90.17</v>
      </c>
      <c r="E1510" s="7">
        <f t="shared" si="23"/>
        <v>1</v>
      </c>
    </row>
    <row r="1511" spans="1:5" x14ac:dyDescent="0.25">
      <c r="A1511" s="7">
        <f>IF(E1511=1,
      SUM($E$2:E1511)-1,
"")</f>
        <v>1508</v>
      </c>
      <c r="B1511" s="6" t="s">
        <v>196</v>
      </c>
      <c r="C1511" s="14">
        <v>44956</v>
      </c>
      <c r="D1511" s="15">
        <v>133.31</v>
      </c>
      <c r="E1511" s="7">
        <f t="shared" si="23"/>
        <v>1</v>
      </c>
    </row>
    <row r="1512" spans="1:5" x14ac:dyDescent="0.25">
      <c r="A1512" s="7">
        <f>IF(E1512=1,
      SUM($E$2:E1512)-1,
"")</f>
        <v>1509</v>
      </c>
      <c r="B1512" s="6" t="s">
        <v>195</v>
      </c>
      <c r="C1512" s="14">
        <v>45020</v>
      </c>
      <c r="D1512" s="15">
        <v>25.94</v>
      </c>
      <c r="E1512" s="7">
        <f t="shared" si="23"/>
        <v>1</v>
      </c>
    </row>
    <row r="1513" spans="1:5" x14ac:dyDescent="0.25">
      <c r="A1513" s="7">
        <f>IF(E1513=1,
      SUM($E$2:E1513)-1,
"")</f>
        <v>1510</v>
      </c>
      <c r="B1513" s="6" t="s">
        <v>202</v>
      </c>
      <c r="C1513" s="14">
        <v>45235</v>
      </c>
      <c r="D1513" s="15">
        <v>116.64</v>
      </c>
      <c r="E1513" s="7">
        <f t="shared" si="23"/>
        <v>1</v>
      </c>
    </row>
    <row r="1514" spans="1:5" x14ac:dyDescent="0.25">
      <c r="A1514" s="7">
        <f>IF(E1514=1,
      SUM($E$2:E1514)-1,
"")</f>
        <v>1511</v>
      </c>
      <c r="B1514" s="6" t="s">
        <v>803</v>
      </c>
      <c r="C1514" s="14">
        <v>44965</v>
      </c>
      <c r="D1514" s="15">
        <v>128.36000000000001</v>
      </c>
      <c r="E1514" s="7">
        <f t="shared" si="23"/>
        <v>1</v>
      </c>
    </row>
    <row r="1515" spans="1:5" x14ac:dyDescent="0.25">
      <c r="A1515" s="7">
        <f>IF(E1515=1,
      SUM($E$2:E1515)-1,
"")</f>
        <v>1512</v>
      </c>
      <c r="B1515" s="6" t="s">
        <v>195</v>
      </c>
      <c r="C1515" s="14">
        <v>45074</v>
      </c>
      <c r="D1515" s="15">
        <v>81.34</v>
      </c>
      <c r="E1515" s="7">
        <f t="shared" si="23"/>
        <v>1</v>
      </c>
    </row>
    <row r="1516" spans="1:5" x14ac:dyDescent="0.25">
      <c r="A1516" s="7">
        <f>IF(E1516=1,
      SUM($E$2:E1516)-1,
"")</f>
        <v>1513</v>
      </c>
      <c r="B1516" s="6" t="s">
        <v>496</v>
      </c>
      <c r="C1516" s="14">
        <v>45184</v>
      </c>
      <c r="D1516" s="15">
        <v>128.13</v>
      </c>
      <c r="E1516" s="7">
        <f t="shared" si="23"/>
        <v>1</v>
      </c>
    </row>
    <row r="1517" spans="1:5" x14ac:dyDescent="0.25">
      <c r="A1517" s="7">
        <f>IF(E1517=1,
      SUM($E$2:E1517)-1,
"")</f>
        <v>1514</v>
      </c>
      <c r="B1517" s="6" t="s">
        <v>830</v>
      </c>
      <c r="C1517" s="14">
        <v>45014</v>
      </c>
      <c r="D1517" s="15">
        <v>71.23</v>
      </c>
      <c r="E1517" s="7">
        <f t="shared" si="23"/>
        <v>1</v>
      </c>
    </row>
    <row r="1518" spans="1:5" x14ac:dyDescent="0.25">
      <c r="A1518" s="7">
        <f>IF(E1518=1,
      SUM($E$2:E1518)-1,
"")</f>
        <v>1515</v>
      </c>
      <c r="B1518" s="6" t="s">
        <v>831</v>
      </c>
      <c r="C1518" s="14">
        <v>45119</v>
      </c>
      <c r="D1518" s="15">
        <v>80.2</v>
      </c>
      <c r="E1518" s="7">
        <f t="shared" si="23"/>
        <v>1</v>
      </c>
    </row>
    <row r="1519" spans="1:5" x14ac:dyDescent="0.25">
      <c r="A1519" s="7">
        <f>IF(E1519=1,
      SUM($E$2:E1519)-1,
"")</f>
        <v>1516</v>
      </c>
      <c r="B1519" s="6" t="s">
        <v>469</v>
      </c>
      <c r="C1519" s="14">
        <v>44965</v>
      </c>
      <c r="D1519" s="15">
        <v>76.739999999999995</v>
      </c>
      <c r="E1519" s="7">
        <f t="shared" si="23"/>
        <v>1</v>
      </c>
    </row>
    <row r="1520" spans="1:5" x14ac:dyDescent="0.25">
      <c r="A1520" s="7">
        <f>IF(E1520=1,
      SUM($E$2:E1520)-1,
"")</f>
        <v>1517</v>
      </c>
      <c r="B1520" s="6" t="s">
        <v>320</v>
      </c>
      <c r="C1520" s="14">
        <v>45029</v>
      </c>
      <c r="D1520" s="15">
        <v>128.54</v>
      </c>
      <c r="E1520" s="7">
        <f t="shared" si="23"/>
        <v>1</v>
      </c>
    </row>
    <row r="1521" spans="1:5" x14ac:dyDescent="0.25">
      <c r="A1521" s="7">
        <f>IF(E1521=1,
      SUM($E$2:E1521)-1,
"")</f>
        <v>1518</v>
      </c>
      <c r="B1521" s="6" t="s">
        <v>291</v>
      </c>
      <c r="C1521" s="14">
        <v>44978</v>
      </c>
      <c r="D1521" s="15">
        <v>47.65</v>
      </c>
      <c r="E1521" s="7">
        <f t="shared" si="23"/>
        <v>1</v>
      </c>
    </row>
    <row r="1522" spans="1:5" x14ac:dyDescent="0.25">
      <c r="A1522" s="7">
        <f>IF(E1522=1,
      SUM($E$2:E1522)-1,
"")</f>
        <v>1519</v>
      </c>
      <c r="B1522" s="6" t="s">
        <v>709</v>
      </c>
      <c r="C1522" s="14">
        <v>45182</v>
      </c>
      <c r="D1522" s="15">
        <v>149.19999999999999</v>
      </c>
      <c r="E1522" s="7">
        <f t="shared" si="23"/>
        <v>1</v>
      </c>
    </row>
    <row r="1523" spans="1:5" x14ac:dyDescent="0.25">
      <c r="A1523" s="7">
        <f>IF(E1523=1,
      SUM($E$2:E1523)-1,
"")</f>
        <v>1520</v>
      </c>
      <c r="B1523" s="6" t="s">
        <v>832</v>
      </c>
      <c r="C1523" s="14">
        <v>45106</v>
      </c>
      <c r="D1523" s="15">
        <v>90.85</v>
      </c>
      <c r="E1523" s="7">
        <f t="shared" si="23"/>
        <v>1</v>
      </c>
    </row>
    <row r="1524" spans="1:5" x14ac:dyDescent="0.25">
      <c r="A1524" s="7">
        <f>IF(E1524=1,
      SUM($E$2:E1524)-1,
"")</f>
        <v>1521</v>
      </c>
      <c r="B1524" s="6" t="s">
        <v>833</v>
      </c>
      <c r="C1524" s="14">
        <v>45024</v>
      </c>
      <c r="D1524" s="15">
        <v>118.45</v>
      </c>
      <c r="E1524" s="7">
        <f t="shared" si="23"/>
        <v>1</v>
      </c>
    </row>
    <row r="1525" spans="1:5" x14ac:dyDescent="0.25">
      <c r="A1525" s="7">
        <f>IF(E1525=1,
      SUM($E$2:E1525)-1,
"")</f>
        <v>1522</v>
      </c>
      <c r="B1525" s="6" t="s">
        <v>156</v>
      </c>
      <c r="C1525" s="14">
        <v>45064</v>
      </c>
      <c r="D1525" s="15">
        <v>115.86</v>
      </c>
      <c r="E1525" s="7">
        <f t="shared" si="23"/>
        <v>1</v>
      </c>
    </row>
    <row r="1526" spans="1:5" x14ac:dyDescent="0.25">
      <c r="A1526" s="7">
        <f>IF(E1526=1,
      SUM($E$2:E1526)-1,
"")</f>
        <v>1523</v>
      </c>
      <c r="B1526" s="6" t="s">
        <v>834</v>
      </c>
      <c r="C1526" s="14">
        <v>45137</v>
      </c>
      <c r="D1526" s="15">
        <v>104.54</v>
      </c>
      <c r="E1526" s="7">
        <f t="shared" si="23"/>
        <v>1</v>
      </c>
    </row>
    <row r="1527" spans="1:5" x14ac:dyDescent="0.25">
      <c r="A1527" s="7">
        <f>IF(E1527=1,
      SUM($E$2:E1527)-1,
"")</f>
        <v>1524</v>
      </c>
      <c r="B1527" s="6" t="s">
        <v>751</v>
      </c>
      <c r="C1527" s="14">
        <v>45104</v>
      </c>
      <c r="D1527" s="15">
        <v>81.98</v>
      </c>
      <c r="E1527" s="7">
        <f t="shared" si="23"/>
        <v>1</v>
      </c>
    </row>
    <row r="1528" spans="1:5" x14ac:dyDescent="0.25">
      <c r="A1528" s="7">
        <f>IF(E1528=1,
      SUM($E$2:E1528)-1,
"")</f>
        <v>1525</v>
      </c>
      <c r="B1528" s="6" t="s">
        <v>456</v>
      </c>
      <c r="C1528" s="14">
        <v>45021</v>
      </c>
      <c r="D1528" s="15">
        <v>137.27000000000001</v>
      </c>
      <c r="E1528" s="7">
        <f t="shared" si="23"/>
        <v>1</v>
      </c>
    </row>
    <row r="1529" spans="1:5" x14ac:dyDescent="0.25">
      <c r="A1529" s="7">
        <f>IF(E1529=1,
      SUM($E$2:E1529)-1,
"")</f>
        <v>1526</v>
      </c>
      <c r="B1529" s="6" t="s">
        <v>283</v>
      </c>
      <c r="C1529" s="14">
        <v>45291</v>
      </c>
      <c r="D1529" s="15">
        <v>84.55</v>
      </c>
      <c r="E1529" s="7">
        <f t="shared" si="23"/>
        <v>1</v>
      </c>
    </row>
    <row r="1530" spans="1:5" x14ac:dyDescent="0.25">
      <c r="A1530" s="7">
        <f>IF(E1530=1,
      SUM($E$2:E1530)-1,
"")</f>
        <v>1527</v>
      </c>
      <c r="B1530" s="6" t="s">
        <v>536</v>
      </c>
      <c r="C1530" s="14">
        <v>45047</v>
      </c>
      <c r="D1530" s="15">
        <v>78.06</v>
      </c>
      <c r="E1530" s="7">
        <f t="shared" si="23"/>
        <v>1</v>
      </c>
    </row>
    <row r="1531" spans="1:5" x14ac:dyDescent="0.25">
      <c r="A1531" s="7">
        <f>IF(E1531=1,
      SUM($E$2:E1531)-1,
"")</f>
        <v>1528</v>
      </c>
      <c r="B1531" s="6" t="s">
        <v>346</v>
      </c>
      <c r="C1531" s="14">
        <v>45083</v>
      </c>
      <c r="D1531" s="15">
        <v>126.33</v>
      </c>
      <c r="E1531" s="7">
        <f t="shared" si="23"/>
        <v>1</v>
      </c>
    </row>
    <row r="1532" spans="1:5" x14ac:dyDescent="0.25">
      <c r="A1532" s="7">
        <f>IF(E1532=1,
      SUM($E$2:E1532)-1,
"")</f>
        <v>1529</v>
      </c>
      <c r="B1532" s="6" t="s">
        <v>835</v>
      </c>
      <c r="C1532" s="14">
        <v>45007</v>
      </c>
      <c r="D1532" s="15">
        <v>104.37</v>
      </c>
      <c r="E1532" s="7">
        <f t="shared" si="23"/>
        <v>1</v>
      </c>
    </row>
    <row r="1533" spans="1:5" x14ac:dyDescent="0.25">
      <c r="A1533" s="7">
        <f>IF(E1533=1,
      SUM($E$2:E1533)-1,
"")</f>
        <v>1530</v>
      </c>
      <c r="B1533" s="6" t="s">
        <v>372</v>
      </c>
      <c r="C1533" s="14">
        <v>44934</v>
      </c>
      <c r="D1533" s="15">
        <v>140.72999999999999</v>
      </c>
      <c r="E1533" s="7">
        <f t="shared" si="23"/>
        <v>1</v>
      </c>
    </row>
    <row r="1534" spans="1:5" x14ac:dyDescent="0.25">
      <c r="A1534" s="7">
        <f>IF(E1534=1,
      SUM($E$2:E1534)-1,
"")</f>
        <v>1531</v>
      </c>
      <c r="B1534" s="6" t="s">
        <v>562</v>
      </c>
      <c r="C1534" s="14">
        <v>45280</v>
      </c>
      <c r="D1534" s="15">
        <v>98.12</v>
      </c>
      <c r="E1534" s="7">
        <f t="shared" si="23"/>
        <v>1</v>
      </c>
    </row>
    <row r="1535" spans="1:5" x14ac:dyDescent="0.25">
      <c r="A1535" s="7">
        <f>IF(E1535=1,
      SUM($E$2:E1535)-1,
"")</f>
        <v>1532</v>
      </c>
      <c r="B1535" s="6" t="s">
        <v>91</v>
      </c>
      <c r="C1535" s="14">
        <v>45197</v>
      </c>
      <c r="D1535" s="15">
        <v>80.47</v>
      </c>
      <c r="E1535" s="7">
        <f t="shared" si="23"/>
        <v>1</v>
      </c>
    </row>
    <row r="1536" spans="1:5" x14ac:dyDescent="0.25">
      <c r="A1536" s="7">
        <f>IF(E1536=1,
      SUM($E$2:E1536)-1,
"")</f>
        <v>1533</v>
      </c>
      <c r="B1536" s="6" t="s">
        <v>798</v>
      </c>
      <c r="C1536" s="14">
        <v>45072</v>
      </c>
      <c r="D1536" s="15">
        <v>108.24</v>
      </c>
      <c r="E1536" s="7">
        <f t="shared" si="23"/>
        <v>1</v>
      </c>
    </row>
    <row r="1537" spans="1:5" x14ac:dyDescent="0.25">
      <c r="A1537" s="7">
        <f>IF(E1537=1,
      SUM($E$2:E1537)-1,
"")</f>
        <v>1534</v>
      </c>
      <c r="B1537" s="6" t="s">
        <v>657</v>
      </c>
      <c r="C1537" s="14">
        <v>45055</v>
      </c>
      <c r="D1537" s="15">
        <v>86.57</v>
      </c>
      <c r="E1537" s="7">
        <f t="shared" si="23"/>
        <v>1</v>
      </c>
    </row>
    <row r="1538" spans="1:5" x14ac:dyDescent="0.25">
      <c r="A1538" s="7">
        <f>IF(E1538=1,
      SUM($E$2:E1538)-1,
"")</f>
        <v>1535</v>
      </c>
      <c r="B1538" s="6" t="s">
        <v>836</v>
      </c>
      <c r="C1538" s="14">
        <v>45199</v>
      </c>
      <c r="D1538" s="15">
        <v>81.34</v>
      </c>
      <c r="E1538" s="7">
        <f t="shared" ref="E1538:E1601" si="24">IF(D1538&gt;0,1,0)</f>
        <v>1</v>
      </c>
    </row>
    <row r="1539" spans="1:5" x14ac:dyDescent="0.25">
      <c r="A1539" s="7">
        <f>IF(E1539=1,
      SUM($E$2:E1539)-1,
"")</f>
        <v>1536</v>
      </c>
      <c r="B1539" s="6" t="s">
        <v>544</v>
      </c>
      <c r="C1539" s="14">
        <v>44955</v>
      </c>
      <c r="D1539" s="15">
        <v>124.96</v>
      </c>
      <c r="E1539" s="7">
        <f t="shared" si="24"/>
        <v>1</v>
      </c>
    </row>
    <row r="1540" spans="1:5" x14ac:dyDescent="0.25">
      <c r="A1540" s="7">
        <f>IF(E1540=1,
      SUM($E$2:E1540)-1,
"")</f>
        <v>1537</v>
      </c>
      <c r="B1540" s="6" t="s">
        <v>658</v>
      </c>
      <c r="C1540" s="14">
        <v>45024</v>
      </c>
      <c r="D1540" s="15">
        <v>154.94999999999999</v>
      </c>
      <c r="E1540" s="7">
        <f t="shared" si="24"/>
        <v>1</v>
      </c>
    </row>
    <row r="1541" spans="1:5" x14ac:dyDescent="0.25">
      <c r="A1541" s="7">
        <f>IF(E1541=1,
      SUM($E$2:E1541)-1,
"")</f>
        <v>1538</v>
      </c>
      <c r="B1541" s="6" t="s">
        <v>142</v>
      </c>
      <c r="C1541" s="14">
        <v>45122</v>
      </c>
      <c r="D1541" s="15">
        <v>92.61</v>
      </c>
      <c r="E1541" s="7">
        <f t="shared" si="24"/>
        <v>1</v>
      </c>
    </row>
    <row r="1542" spans="1:5" x14ac:dyDescent="0.25">
      <c r="A1542" s="7">
        <f>IF(E1542=1,
      SUM($E$2:E1542)-1,
"")</f>
        <v>1539</v>
      </c>
      <c r="B1542" s="6" t="s">
        <v>430</v>
      </c>
      <c r="C1542" s="14">
        <v>45199</v>
      </c>
      <c r="D1542" s="15">
        <v>70.760000000000005</v>
      </c>
      <c r="E1542" s="7">
        <f t="shared" si="24"/>
        <v>1</v>
      </c>
    </row>
    <row r="1543" spans="1:5" x14ac:dyDescent="0.25">
      <c r="A1543" s="7">
        <f>IF(E1543=1,
      SUM($E$2:E1543)-1,
"")</f>
        <v>1540</v>
      </c>
      <c r="B1543" s="6" t="s">
        <v>766</v>
      </c>
      <c r="C1543" s="14">
        <v>45144</v>
      </c>
      <c r="D1543" s="15">
        <v>95.4</v>
      </c>
      <c r="E1543" s="7">
        <f t="shared" si="24"/>
        <v>1</v>
      </c>
    </row>
    <row r="1544" spans="1:5" x14ac:dyDescent="0.25">
      <c r="A1544" s="7">
        <f>IF(E1544=1,
      SUM($E$2:E1544)-1,
"")</f>
        <v>1541</v>
      </c>
      <c r="B1544" s="6" t="s">
        <v>599</v>
      </c>
      <c r="C1544" s="14">
        <v>45181</v>
      </c>
      <c r="D1544" s="15">
        <v>115.44</v>
      </c>
      <c r="E1544" s="7">
        <f t="shared" si="24"/>
        <v>1</v>
      </c>
    </row>
    <row r="1545" spans="1:5" x14ac:dyDescent="0.25">
      <c r="A1545" s="7">
        <f>IF(E1545=1,
      SUM($E$2:E1545)-1,
"")</f>
        <v>1542</v>
      </c>
      <c r="B1545" s="6" t="s">
        <v>240</v>
      </c>
      <c r="C1545" s="14">
        <v>45238</v>
      </c>
      <c r="D1545" s="15">
        <v>107.72</v>
      </c>
      <c r="E1545" s="7">
        <f t="shared" si="24"/>
        <v>1</v>
      </c>
    </row>
    <row r="1546" spans="1:5" x14ac:dyDescent="0.25">
      <c r="A1546" s="7">
        <f>IF(E1546=1,
      SUM($E$2:E1546)-1,
"")</f>
        <v>1543</v>
      </c>
      <c r="B1546" s="6" t="s">
        <v>837</v>
      </c>
      <c r="C1546" s="14">
        <v>44956</v>
      </c>
      <c r="D1546" s="15">
        <v>135.83000000000001</v>
      </c>
      <c r="E1546" s="7">
        <f t="shared" si="24"/>
        <v>1</v>
      </c>
    </row>
    <row r="1547" spans="1:5" x14ac:dyDescent="0.25">
      <c r="A1547" s="7">
        <f>IF(E1547=1,
      SUM($E$2:E1547)-1,
"")</f>
        <v>1544</v>
      </c>
      <c r="B1547" s="6" t="s">
        <v>816</v>
      </c>
      <c r="C1547" s="14">
        <v>45177</v>
      </c>
      <c r="D1547" s="15">
        <v>119.95</v>
      </c>
      <c r="E1547" s="7">
        <f t="shared" si="24"/>
        <v>1</v>
      </c>
    </row>
    <row r="1548" spans="1:5" x14ac:dyDescent="0.25">
      <c r="A1548" s="7">
        <f>IF(E1548=1,
      SUM($E$2:E1548)-1,
"")</f>
        <v>1545</v>
      </c>
      <c r="B1548" s="6" t="s">
        <v>122</v>
      </c>
      <c r="C1548" s="14">
        <v>45150</v>
      </c>
      <c r="D1548" s="15">
        <v>66.900000000000006</v>
      </c>
      <c r="E1548" s="7">
        <f t="shared" si="24"/>
        <v>1</v>
      </c>
    </row>
    <row r="1549" spans="1:5" x14ac:dyDescent="0.25">
      <c r="A1549" s="7">
        <f>IF(E1549=1,
      SUM($E$2:E1549)-1,
"")</f>
        <v>1546</v>
      </c>
      <c r="B1549" s="6" t="s">
        <v>838</v>
      </c>
      <c r="C1549" s="14">
        <v>45092</v>
      </c>
      <c r="D1549" s="15">
        <v>85.2</v>
      </c>
      <c r="E1549" s="7">
        <f t="shared" si="24"/>
        <v>1</v>
      </c>
    </row>
    <row r="1550" spans="1:5" x14ac:dyDescent="0.25">
      <c r="A1550" s="7">
        <f>IF(E1550=1,
      SUM($E$2:E1550)-1,
"")</f>
        <v>1547</v>
      </c>
      <c r="B1550" s="6" t="s">
        <v>767</v>
      </c>
      <c r="C1550" s="14">
        <v>45113</v>
      </c>
      <c r="D1550" s="15">
        <v>58.57</v>
      </c>
      <c r="E1550" s="7">
        <f t="shared" si="24"/>
        <v>1</v>
      </c>
    </row>
    <row r="1551" spans="1:5" x14ac:dyDescent="0.25">
      <c r="A1551" s="7">
        <f>IF(E1551=1,
      SUM($E$2:E1551)-1,
"")</f>
        <v>1548</v>
      </c>
      <c r="B1551" s="6" t="s">
        <v>433</v>
      </c>
      <c r="C1551" s="14">
        <v>45091</v>
      </c>
      <c r="D1551" s="15">
        <v>134.34</v>
      </c>
      <c r="E1551" s="7">
        <f t="shared" si="24"/>
        <v>1</v>
      </c>
    </row>
    <row r="1552" spans="1:5" x14ac:dyDescent="0.25">
      <c r="A1552" s="7">
        <f>IF(E1552=1,
      SUM($E$2:E1552)-1,
"")</f>
        <v>1549</v>
      </c>
      <c r="B1552" s="6" t="s">
        <v>765</v>
      </c>
      <c r="C1552" s="14">
        <v>44929</v>
      </c>
      <c r="D1552" s="15">
        <v>40.24</v>
      </c>
      <c r="E1552" s="7">
        <f t="shared" si="24"/>
        <v>1</v>
      </c>
    </row>
    <row r="1553" spans="1:5" x14ac:dyDescent="0.25">
      <c r="A1553" s="7">
        <f>IF(E1553=1,
      SUM($E$2:E1553)-1,
"")</f>
        <v>1550</v>
      </c>
      <c r="B1553" s="6" t="s">
        <v>816</v>
      </c>
      <c r="C1553" s="14">
        <v>45240</v>
      </c>
      <c r="D1553" s="15">
        <v>61.5</v>
      </c>
      <c r="E1553" s="7">
        <f t="shared" si="24"/>
        <v>1</v>
      </c>
    </row>
    <row r="1554" spans="1:5" x14ac:dyDescent="0.25">
      <c r="A1554" s="7">
        <f>IF(E1554=1,
      SUM($E$2:E1554)-1,
"")</f>
        <v>1551</v>
      </c>
      <c r="B1554" s="6" t="s">
        <v>466</v>
      </c>
      <c r="C1554" s="14">
        <v>45113</v>
      </c>
      <c r="D1554" s="15">
        <v>84.65</v>
      </c>
      <c r="E1554" s="7">
        <f t="shared" si="24"/>
        <v>1</v>
      </c>
    </row>
    <row r="1555" spans="1:5" x14ac:dyDescent="0.25">
      <c r="A1555" s="7">
        <f>IF(E1555=1,
      SUM($E$2:E1555)-1,
"")</f>
        <v>1552</v>
      </c>
      <c r="B1555" s="6" t="s">
        <v>839</v>
      </c>
      <c r="C1555" s="14">
        <v>44980</v>
      </c>
      <c r="D1555" s="15">
        <v>116.92</v>
      </c>
      <c r="E1555" s="7">
        <f t="shared" si="24"/>
        <v>1</v>
      </c>
    </row>
    <row r="1556" spans="1:5" x14ac:dyDescent="0.25">
      <c r="A1556" s="7">
        <f>IF(E1556=1,
      SUM($E$2:E1556)-1,
"")</f>
        <v>1553</v>
      </c>
      <c r="B1556" s="6" t="s">
        <v>106</v>
      </c>
      <c r="C1556" s="14">
        <v>44985</v>
      </c>
      <c r="D1556" s="15">
        <v>84.35</v>
      </c>
      <c r="E1556" s="7">
        <f t="shared" si="24"/>
        <v>1</v>
      </c>
    </row>
    <row r="1557" spans="1:5" x14ac:dyDescent="0.25">
      <c r="A1557" s="7">
        <f>IF(E1557=1,
      SUM($E$2:E1557)-1,
"")</f>
        <v>1554</v>
      </c>
      <c r="B1557" s="6" t="s">
        <v>840</v>
      </c>
      <c r="C1557" s="14">
        <v>45156</v>
      </c>
      <c r="D1557" s="15">
        <v>89.04</v>
      </c>
      <c r="E1557" s="7">
        <f t="shared" si="24"/>
        <v>1</v>
      </c>
    </row>
    <row r="1558" spans="1:5" x14ac:dyDescent="0.25">
      <c r="A1558" s="7">
        <f>IF(E1558=1,
      SUM($E$2:E1558)-1,
"")</f>
        <v>1555</v>
      </c>
      <c r="B1558" s="6" t="s">
        <v>830</v>
      </c>
      <c r="C1558" s="14">
        <v>45111</v>
      </c>
      <c r="D1558" s="15">
        <v>89.63</v>
      </c>
      <c r="E1558" s="7">
        <f t="shared" si="24"/>
        <v>1</v>
      </c>
    </row>
    <row r="1559" spans="1:5" x14ac:dyDescent="0.25">
      <c r="A1559" s="7">
        <f>IF(E1559=1,
      SUM($E$2:E1559)-1,
"")</f>
        <v>1556</v>
      </c>
      <c r="B1559" s="6" t="s">
        <v>617</v>
      </c>
      <c r="C1559" s="14">
        <v>45292</v>
      </c>
      <c r="D1559" s="15">
        <v>105.18</v>
      </c>
      <c r="E1559" s="7">
        <f t="shared" si="24"/>
        <v>1</v>
      </c>
    </row>
    <row r="1560" spans="1:5" x14ac:dyDescent="0.25">
      <c r="A1560" s="7">
        <f>IF(E1560=1,
      SUM($E$2:E1560)-1,
"")</f>
        <v>1557</v>
      </c>
      <c r="B1560" s="6" t="s">
        <v>841</v>
      </c>
      <c r="C1560" s="14">
        <v>45249</v>
      </c>
      <c r="D1560" s="15">
        <v>63.38</v>
      </c>
      <c r="E1560" s="7">
        <f t="shared" si="24"/>
        <v>1</v>
      </c>
    </row>
    <row r="1561" spans="1:5" x14ac:dyDescent="0.25">
      <c r="A1561" s="7">
        <f>IF(E1561=1,
      SUM($E$2:E1561)-1,
"")</f>
        <v>1558</v>
      </c>
      <c r="B1561" s="6" t="s">
        <v>228</v>
      </c>
      <c r="C1561" s="14">
        <v>45066</v>
      </c>
      <c r="D1561" s="15">
        <v>71.58</v>
      </c>
      <c r="E1561" s="7">
        <f t="shared" si="24"/>
        <v>1</v>
      </c>
    </row>
    <row r="1562" spans="1:5" x14ac:dyDescent="0.25">
      <c r="A1562" s="7">
        <f>IF(E1562=1,
      SUM($E$2:E1562)-1,
"")</f>
        <v>1559</v>
      </c>
      <c r="B1562" s="6" t="s">
        <v>219</v>
      </c>
      <c r="C1562" s="14">
        <v>44962</v>
      </c>
      <c r="D1562" s="15">
        <v>150.43</v>
      </c>
      <c r="E1562" s="7">
        <f t="shared" si="24"/>
        <v>1</v>
      </c>
    </row>
    <row r="1563" spans="1:5" x14ac:dyDescent="0.25">
      <c r="A1563" s="7">
        <f>IF(E1563=1,
      SUM($E$2:E1563)-1,
"")</f>
        <v>1560</v>
      </c>
      <c r="B1563" s="6" t="s">
        <v>512</v>
      </c>
      <c r="C1563" s="14">
        <v>45195</v>
      </c>
      <c r="D1563" s="15">
        <v>112.07</v>
      </c>
      <c r="E1563" s="7">
        <f t="shared" si="24"/>
        <v>1</v>
      </c>
    </row>
    <row r="1564" spans="1:5" x14ac:dyDescent="0.25">
      <c r="A1564" s="7">
        <f>IF(E1564=1,
      SUM($E$2:E1564)-1,
"")</f>
        <v>1561</v>
      </c>
      <c r="B1564" s="6" t="s">
        <v>161</v>
      </c>
      <c r="C1564" s="14">
        <v>45085</v>
      </c>
      <c r="D1564" s="15">
        <v>122.82</v>
      </c>
      <c r="E1564" s="7">
        <f t="shared" si="24"/>
        <v>1</v>
      </c>
    </row>
    <row r="1565" spans="1:5" x14ac:dyDescent="0.25">
      <c r="A1565" s="7">
        <f>IF(E1565=1,
      SUM($E$2:E1565)-1,
"")</f>
        <v>1562</v>
      </c>
      <c r="B1565" s="6" t="s">
        <v>505</v>
      </c>
      <c r="C1565" s="14">
        <v>45028</v>
      </c>
      <c r="D1565" s="15">
        <v>101.74</v>
      </c>
      <c r="E1565" s="7">
        <f t="shared" si="24"/>
        <v>1</v>
      </c>
    </row>
    <row r="1566" spans="1:5" x14ac:dyDescent="0.25">
      <c r="A1566" s="7">
        <f>IF(E1566=1,
      SUM($E$2:E1566)-1,
"")</f>
        <v>1563</v>
      </c>
      <c r="B1566" s="6" t="s">
        <v>842</v>
      </c>
      <c r="C1566" s="14">
        <v>45005</v>
      </c>
      <c r="D1566" s="15">
        <v>95.79</v>
      </c>
      <c r="E1566" s="7">
        <f t="shared" si="24"/>
        <v>1</v>
      </c>
    </row>
    <row r="1567" spans="1:5" x14ac:dyDescent="0.25">
      <c r="A1567" s="7">
        <f>IF(E1567=1,
      SUM($E$2:E1567)-1,
"")</f>
        <v>1564</v>
      </c>
      <c r="B1567" s="6" t="s">
        <v>843</v>
      </c>
      <c r="C1567" s="14">
        <v>45022</v>
      </c>
      <c r="D1567" s="15">
        <v>113.71</v>
      </c>
      <c r="E1567" s="7">
        <f t="shared" si="24"/>
        <v>1</v>
      </c>
    </row>
    <row r="1568" spans="1:5" x14ac:dyDescent="0.25">
      <c r="A1568" s="7">
        <f>IF(E1568=1,
      SUM($E$2:E1568)-1,
"")</f>
        <v>1565</v>
      </c>
      <c r="B1568" s="6" t="s">
        <v>844</v>
      </c>
      <c r="C1568" s="14">
        <v>45153</v>
      </c>
      <c r="D1568" s="15">
        <v>121.83</v>
      </c>
      <c r="E1568" s="7">
        <f t="shared" si="24"/>
        <v>1</v>
      </c>
    </row>
    <row r="1569" spans="1:5" x14ac:dyDescent="0.25">
      <c r="A1569" s="7">
        <f>IF(E1569=1,
      SUM($E$2:E1569)-1,
"")</f>
        <v>1566</v>
      </c>
      <c r="B1569" s="6" t="s">
        <v>481</v>
      </c>
      <c r="C1569" s="14">
        <v>45056</v>
      </c>
      <c r="D1569" s="15">
        <v>125.38</v>
      </c>
      <c r="E1569" s="7">
        <f t="shared" si="24"/>
        <v>1</v>
      </c>
    </row>
    <row r="1570" spans="1:5" x14ac:dyDescent="0.25">
      <c r="A1570" s="7">
        <f>IF(E1570=1,
      SUM($E$2:E1570)-1,
"")</f>
        <v>1567</v>
      </c>
      <c r="B1570" s="6" t="s">
        <v>632</v>
      </c>
      <c r="C1570" s="14">
        <v>45221</v>
      </c>
      <c r="D1570" s="15">
        <v>96.2</v>
      </c>
      <c r="E1570" s="7">
        <f t="shared" si="24"/>
        <v>1</v>
      </c>
    </row>
    <row r="1571" spans="1:5" x14ac:dyDescent="0.25">
      <c r="A1571" s="7">
        <f>IF(E1571=1,
      SUM($E$2:E1571)-1,
"")</f>
        <v>1568</v>
      </c>
      <c r="B1571" s="6" t="s">
        <v>176</v>
      </c>
      <c r="C1571" s="14">
        <v>45138</v>
      </c>
      <c r="D1571" s="15">
        <v>128.66</v>
      </c>
      <c r="E1571" s="7">
        <f t="shared" si="24"/>
        <v>1</v>
      </c>
    </row>
    <row r="1572" spans="1:5" x14ac:dyDescent="0.25">
      <c r="A1572" s="7">
        <f>IF(E1572=1,
      SUM($E$2:E1572)-1,
"")</f>
        <v>1569</v>
      </c>
      <c r="B1572" s="6" t="s">
        <v>180</v>
      </c>
      <c r="C1572" s="14">
        <v>45103</v>
      </c>
      <c r="D1572" s="15">
        <v>26.01</v>
      </c>
      <c r="E1572" s="7">
        <f t="shared" si="24"/>
        <v>1</v>
      </c>
    </row>
    <row r="1573" spans="1:5" x14ac:dyDescent="0.25">
      <c r="A1573" s="7">
        <f>IF(E1573=1,
      SUM($E$2:E1573)-1,
"")</f>
        <v>1570</v>
      </c>
      <c r="B1573" s="6" t="s">
        <v>845</v>
      </c>
      <c r="C1573" s="14">
        <v>45025</v>
      </c>
      <c r="D1573" s="15">
        <v>126.77</v>
      </c>
      <c r="E1573" s="7">
        <f t="shared" si="24"/>
        <v>1</v>
      </c>
    </row>
    <row r="1574" spans="1:5" x14ac:dyDescent="0.25">
      <c r="A1574" s="7">
        <f>IF(E1574=1,
      SUM($E$2:E1574)-1,
"")</f>
        <v>1571</v>
      </c>
      <c r="B1574" s="6" t="s">
        <v>231</v>
      </c>
      <c r="C1574" s="14">
        <v>44972</v>
      </c>
      <c r="D1574" s="15">
        <v>87.19</v>
      </c>
      <c r="E1574" s="7">
        <f t="shared" si="24"/>
        <v>1</v>
      </c>
    </row>
    <row r="1575" spans="1:5" x14ac:dyDescent="0.25">
      <c r="A1575" s="7">
        <f>IF(E1575=1,
      SUM($E$2:E1575)-1,
"")</f>
        <v>1572</v>
      </c>
      <c r="B1575" s="6" t="s">
        <v>358</v>
      </c>
      <c r="C1575" s="14">
        <v>45186</v>
      </c>
      <c r="D1575" s="15">
        <v>116.6</v>
      </c>
      <c r="E1575" s="7">
        <f t="shared" si="24"/>
        <v>1</v>
      </c>
    </row>
    <row r="1576" spans="1:5" x14ac:dyDescent="0.25">
      <c r="A1576" s="7">
        <f>IF(E1576=1,
      SUM($E$2:E1576)-1,
"")</f>
        <v>1573</v>
      </c>
      <c r="B1576" s="6" t="s">
        <v>225</v>
      </c>
      <c r="C1576" s="14">
        <v>45061</v>
      </c>
      <c r="D1576" s="15">
        <v>80.52</v>
      </c>
      <c r="E1576" s="7">
        <f t="shared" si="24"/>
        <v>1</v>
      </c>
    </row>
    <row r="1577" spans="1:5" x14ac:dyDescent="0.25">
      <c r="A1577" s="7">
        <f>IF(E1577=1,
      SUM($E$2:E1577)-1,
"")</f>
        <v>1574</v>
      </c>
      <c r="B1577" s="6" t="s">
        <v>238</v>
      </c>
      <c r="C1577" s="14">
        <v>45251</v>
      </c>
      <c r="D1577" s="15">
        <v>60.2</v>
      </c>
      <c r="E1577" s="7">
        <f t="shared" si="24"/>
        <v>1</v>
      </c>
    </row>
    <row r="1578" spans="1:5" x14ac:dyDescent="0.25">
      <c r="A1578" s="7">
        <f>IF(E1578=1,
      SUM($E$2:E1578)-1,
"")</f>
        <v>1575</v>
      </c>
      <c r="B1578" s="6" t="s">
        <v>846</v>
      </c>
      <c r="C1578" s="14">
        <v>45103</v>
      </c>
      <c r="D1578" s="15">
        <v>110.19</v>
      </c>
      <c r="E1578" s="7">
        <f t="shared" si="24"/>
        <v>1</v>
      </c>
    </row>
    <row r="1579" spans="1:5" x14ac:dyDescent="0.25">
      <c r="A1579" s="7">
        <f>IF(E1579=1,
      SUM($E$2:E1579)-1,
"")</f>
        <v>1576</v>
      </c>
      <c r="B1579" s="6" t="s">
        <v>236</v>
      </c>
      <c r="C1579" s="14">
        <v>45154</v>
      </c>
      <c r="D1579" s="15">
        <v>54.95</v>
      </c>
      <c r="E1579" s="7">
        <f t="shared" si="24"/>
        <v>1</v>
      </c>
    </row>
    <row r="1580" spans="1:5" x14ac:dyDescent="0.25">
      <c r="A1580" s="7">
        <f>IF(E1580=1,
      SUM($E$2:E1580)-1,
"")</f>
        <v>1577</v>
      </c>
      <c r="B1580" s="6" t="s">
        <v>696</v>
      </c>
      <c r="C1580" s="14">
        <v>45190</v>
      </c>
      <c r="D1580" s="15">
        <v>88.01</v>
      </c>
      <c r="E1580" s="7">
        <f t="shared" si="24"/>
        <v>1</v>
      </c>
    </row>
    <row r="1581" spans="1:5" x14ac:dyDescent="0.25">
      <c r="A1581" s="7">
        <f>IF(E1581=1,
      SUM($E$2:E1581)-1,
"")</f>
        <v>1578</v>
      </c>
      <c r="B1581" s="6" t="s">
        <v>142</v>
      </c>
      <c r="C1581" s="14">
        <v>45122</v>
      </c>
      <c r="D1581" s="15">
        <v>75.63</v>
      </c>
      <c r="E1581" s="7">
        <f t="shared" si="24"/>
        <v>1</v>
      </c>
    </row>
    <row r="1582" spans="1:5" x14ac:dyDescent="0.25">
      <c r="A1582" s="7">
        <f>IF(E1582=1,
      SUM($E$2:E1582)-1,
"")</f>
        <v>1579</v>
      </c>
      <c r="B1582" s="6" t="s">
        <v>847</v>
      </c>
      <c r="C1582" s="14">
        <v>44942</v>
      </c>
      <c r="D1582" s="15">
        <v>94.75</v>
      </c>
      <c r="E1582" s="7">
        <f t="shared" si="24"/>
        <v>1</v>
      </c>
    </row>
    <row r="1583" spans="1:5" x14ac:dyDescent="0.25">
      <c r="A1583" s="7">
        <f>IF(E1583=1,
      SUM($E$2:E1583)-1,
"")</f>
        <v>1580</v>
      </c>
      <c r="B1583" s="6" t="s">
        <v>387</v>
      </c>
      <c r="C1583" s="14">
        <v>45020</v>
      </c>
      <c r="D1583" s="15">
        <v>123.92</v>
      </c>
      <c r="E1583" s="7">
        <f t="shared" si="24"/>
        <v>1</v>
      </c>
    </row>
    <row r="1584" spans="1:5" x14ac:dyDescent="0.25">
      <c r="A1584" s="7">
        <f>IF(E1584=1,
      SUM($E$2:E1584)-1,
"")</f>
        <v>1581</v>
      </c>
      <c r="B1584" s="6" t="s">
        <v>643</v>
      </c>
      <c r="C1584" s="14">
        <v>45072</v>
      </c>
      <c r="D1584" s="15">
        <v>85.3</v>
      </c>
      <c r="E1584" s="7">
        <f t="shared" si="24"/>
        <v>1</v>
      </c>
    </row>
    <row r="1585" spans="1:5" x14ac:dyDescent="0.25">
      <c r="A1585" s="7">
        <f>IF(E1585=1,
      SUM($E$2:E1585)-1,
"")</f>
        <v>1582</v>
      </c>
      <c r="B1585" s="6" t="s">
        <v>438</v>
      </c>
      <c r="C1585" s="14">
        <v>45080</v>
      </c>
      <c r="D1585" s="15">
        <v>109.44</v>
      </c>
      <c r="E1585" s="7">
        <f t="shared" si="24"/>
        <v>1</v>
      </c>
    </row>
    <row r="1586" spans="1:5" x14ac:dyDescent="0.25">
      <c r="A1586" s="7">
        <f>IF(E1586=1,
      SUM($E$2:E1586)-1,
"")</f>
        <v>1583</v>
      </c>
      <c r="B1586" s="6" t="s">
        <v>468</v>
      </c>
      <c r="C1586" s="14">
        <v>44952</v>
      </c>
      <c r="D1586" s="15">
        <v>122.18</v>
      </c>
      <c r="E1586" s="7">
        <f t="shared" si="24"/>
        <v>1</v>
      </c>
    </row>
    <row r="1587" spans="1:5" x14ac:dyDescent="0.25">
      <c r="A1587" s="7">
        <f>IF(E1587=1,
      SUM($E$2:E1587)-1,
"")</f>
        <v>1584</v>
      </c>
      <c r="B1587" s="6" t="s">
        <v>652</v>
      </c>
      <c r="C1587" s="14">
        <v>45237</v>
      </c>
      <c r="D1587" s="15">
        <v>81.78</v>
      </c>
      <c r="E1587" s="7">
        <f t="shared" si="24"/>
        <v>1</v>
      </c>
    </row>
    <row r="1588" spans="1:5" x14ac:dyDescent="0.25">
      <c r="A1588" s="7">
        <f>IF(E1588=1,
      SUM($E$2:E1588)-1,
"")</f>
        <v>1585</v>
      </c>
      <c r="B1588" s="6" t="s">
        <v>503</v>
      </c>
      <c r="C1588" s="14">
        <v>44951</v>
      </c>
      <c r="D1588" s="15">
        <v>82.22</v>
      </c>
      <c r="E1588" s="7">
        <f t="shared" si="24"/>
        <v>1</v>
      </c>
    </row>
    <row r="1589" spans="1:5" x14ac:dyDescent="0.25">
      <c r="A1589" s="7">
        <f>IF(E1589=1,
      SUM($E$2:E1589)-1,
"")</f>
        <v>1586</v>
      </c>
      <c r="B1589" s="6" t="s">
        <v>848</v>
      </c>
      <c r="C1589" s="14">
        <v>45191</v>
      </c>
      <c r="D1589" s="15">
        <v>141.08000000000001</v>
      </c>
      <c r="E1589" s="7">
        <f t="shared" si="24"/>
        <v>1</v>
      </c>
    </row>
    <row r="1590" spans="1:5" x14ac:dyDescent="0.25">
      <c r="A1590" s="7">
        <f>IF(E1590=1,
      SUM($E$2:E1590)-1,
"")</f>
        <v>1587</v>
      </c>
      <c r="B1590" s="6" t="s">
        <v>126</v>
      </c>
      <c r="C1590" s="14">
        <v>45101</v>
      </c>
      <c r="D1590" s="15">
        <v>97.62</v>
      </c>
      <c r="E1590" s="7">
        <f t="shared" si="24"/>
        <v>1</v>
      </c>
    </row>
    <row r="1591" spans="1:5" x14ac:dyDescent="0.25">
      <c r="A1591" s="7">
        <f>IF(E1591=1,
      SUM($E$2:E1591)-1,
"")</f>
        <v>1588</v>
      </c>
      <c r="B1591" s="6" t="s">
        <v>849</v>
      </c>
      <c r="C1591" s="14">
        <v>44983</v>
      </c>
      <c r="D1591" s="15">
        <v>115.27</v>
      </c>
      <c r="E1591" s="7">
        <f t="shared" si="24"/>
        <v>1</v>
      </c>
    </row>
    <row r="1592" spans="1:5" x14ac:dyDescent="0.25">
      <c r="A1592" s="7">
        <f>IF(E1592=1,
      SUM($E$2:E1592)-1,
"")</f>
        <v>1589</v>
      </c>
      <c r="B1592" s="6" t="s">
        <v>355</v>
      </c>
      <c r="C1592" s="14">
        <v>45093</v>
      </c>
      <c r="D1592" s="15">
        <v>115.05</v>
      </c>
      <c r="E1592" s="7">
        <f t="shared" si="24"/>
        <v>1</v>
      </c>
    </row>
    <row r="1593" spans="1:5" x14ac:dyDescent="0.25">
      <c r="A1593" s="7">
        <f>IF(E1593=1,
      SUM($E$2:E1593)-1,
"")</f>
        <v>1590</v>
      </c>
      <c r="B1593" s="6" t="s">
        <v>808</v>
      </c>
      <c r="C1593" s="14">
        <v>45060</v>
      </c>
      <c r="D1593" s="15">
        <v>64.06</v>
      </c>
      <c r="E1593" s="7">
        <f t="shared" si="24"/>
        <v>1</v>
      </c>
    </row>
    <row r="1594" spans="1:5" x14ac:dyDescent="0.25">
      <c r="A1594" s="7">
        <f>IF(E1594=1,
      SUM($E$2:E1594)-1,
"")</f>
        <v>1591</v>
      </c>
      <c r="B1594" s="6" t="s">
        <v>850</v>
      </c>
      <c r="C1594" s="14">
        <v>45066</v>
      </c>
      <c r="D1594" s="15">
        <v>77.17</v>
      </c>
      <c r="E1594" s="7">
        <f t="shared" si="24"/>
        <v>1</v>
      </c>
    </row>
    <row r="1595" spans="1:5" x14ac:dyDescent="0.25">
      <c r="A1595" s="7">
        <f>IF(E1595=1,
      SUM($E$2:E1595)-1,
"")</f>
        <v>1592</v>
      </c>
      <c r="B1595" s="6" t="s">
        <v>851</v>
      </c>
      <c r="C1595" s="14">
        <v>45154</v>
      </c>
      <c r="D1595" s="15">
        <v>111.26</v>
      </c>
      <c r="E1595" s="7">
        <f t="shared" si="24"/>
        <v>1</v>
      </c>
    </row>
    <row r="1596" spans="1:5" x14ac:dyDescent="0.25">
      <c r="A1596" s="7">
        <f>IF(E1596=1,
      SUM($E$2:E1596)-1,
"")</f>
        <v>1593</v>
      </c>
      <c r="B1596" s="6" t="s">
        <v>852</v>
      </c>
      <c r="C1596" s="14">
        <v>44949</v>
      </c>
      <c r="D1596" s="15">
        <v>37.979999999999997</v>
      </c>
      <c r="E1596" s="7">
        <f t="shared" si="24"/>
        <v>1</v>
      </c>
    </row>
    <row r="1597" spans="1:5" x14ac:dyDescent="0.25">
      <c r="A1597" s="7">
        <f>IF(E1597=1,
      SUM($E$2:E1597)-1,
"")</f>
        <v>1594</v>
      </c>
      <c r="B1597" s="6" t="s">
        <v>95</v>
      </c>
      <c r="C1597" s="14">
        <v>44988</v>
      </c>
      <c r="D1597" s="15">
        <v>93.66</v>
      </c>
      <c r="E1597" s="7">
        <f t="shared" si="24"/>
        <v>1</v>
      </c>
    </row>
    <row r="1598" spans="1:5" x14ac:dyDescent="0.25">
      <c r="A1598" s="7">
        <f>IF(E1598=1,
      SUM($E$2:E1598)-1,
"")</f>
        <v>1595</v>
      </c>
      <c r="B1598" s="6" t="s">
        <v>781</v>
      </c>
      <c r="C1598" s="14">
        <v>45144</v>
      </c>
      <c r="D1598" s="15">
        <v>74.040000000000006</v>
      </c>
      <c r="E1598" s="7">
        <f t="shared" si="24"/>
        <v>1</v>
      </c>
    </row>
    <row r="1599" spans="1:5" x14ac:dyDescent="0.25">
      <c r="A1599" s="7">
        <f>IF(E1599=1,
      SUM($E$2:E1599)-1,
"")</f>
        <v>1596</v>
      </c>
      <c r="B1599" s="6" t="s">
        <v>170</v>
      </c>
      <c r="C1599" s="14">
        <v>45178</v>
      </c>
      <c r="D1599" s="15">
        <v>133.32</v>
      </c>
      <c r="E1599" s="7">
        <f t="shared" si="24"/>
        <v>1</v>
      </c>
    </row>
    <row r="1600" spans="1:5" x14ac:dyDescent="0.25">
      <c r="A1600" s="7">
        <f>IF(E1600=1,
      SUM($E$2:E1600)-1,
"")</f>
        <v>1597</v>
      </c>
      <c r="B1600" s="6" t="s">
        <v>75</v>
      </c>
      <c r="C1600" s="14">
        <v>45230</v>
      </c>
      <c r="D1600" s="15">
        <v>110.38</v>
      </c>
      <c r="E1600" s="7">
        <f t="shared" si="24"/>
        <v>1</v>
      </c>
    </row>
    <row r="1601" spans="1:5" x14ac:dyDescent="0.25">
      <c r="A1601" s="7">
        <f>IF(E1601=1,
      SUM($E$2:E1601)-1,
"")</f>
        <v>1598</v>
      </c>
      <c r="B1601" s="6" t="s">
        <v>853</v>
      </c>
      <c r="C1601" s="14">
        <v>45189</v>
      </c>
      <c r="D1601" s="15">
        <v>135.74</v>
      </c>
      <c r="E1601" s="7">
        <f t="shared" si="24"/>
        <v>1</v>
      </c>
    </row>
    <row r="1602" spans="1:5" x14ac:dyDescent="0.25">
      <c r="A1602" s="7">
        <f>IF(E1602=1,
      SUM($E$2:E1602)-1,
"")</f>
        <v>1599</v>
      </c>
      <c r="B1602" s="6" t="s">
        <v>510</v>
      </c>
      <c r="C1602" s="14">
        <v>44954</v>
      </c>
      <c r="D1602" s="15">
        <v>98.83</v>
      </c>
      <c r="E1602" s="7">
        <f t="shared" ref="E1602:E1665" si="25">IF(D1602&gt;0,1,0)</f>
        <v>1</v>
      </c>
    </row>
    <row r="1603" spans="1:5" x14ac:dyDescent="0.25">
      <c r="A1603" s="7">
        <f>IF(E1603=1,
      SUM($E$2:E1603)-1,
"")</f>
        <v>1600</v>
      </c>
      <c r="B1603" s="6" t="s">
        <v>761</v>
      </c>
      <c r="C1603" s="14">
        <v>44934</v>
      </c>
      <c r="D1603" s="15">
        <v>96.58</v>
      </c>
      <c r="E1603" s="7">
        <f t="shared" si="25"/>
        <v>1</v>
      </c>
    </row>
    <row r="1604" spans="1:5" x14ac:dyDescent="0.25">
      <c r="A1604" s="7">
        <f>IF(E1604=1,
      SUM($E$2:E1604)-1,
"")</f>
        <v>1601</v>
      </c>
      <c r="B1604" s="6" t="s">
        <v>854</v>
      </c>
      <c r="C1604" s="14">
        <v>45137</v>
      </c>
      <c r="D1604" s="15">
        <v>90.85</v>
      </c>
      <c r="E1604" s="7">
        <f t="shared" si="25"/>
        <v>1</v>
      </c>
    </row>
    <row r="1605" spans="1:5" x14ac:dyDescent="0.25">
      <c r="A1605" s="7">
        <f>IF(E1605=1,
      SUM($E$2:E1605)-1,
"")</f>
        <v>1602</v>
      </c>
      <c r="B1605" s="6" t="s">
        <v>855</v>
      </c>
      <c r="C1605" s="14">
        <v>45020</v>
      </c>
      <c r="D1605" s="15">
        <v>84.91</v>
      </c>
      <c r="E1605" s="7">
        <f t="shared" si="25"/>
        <v>1</v>
      </c>
    </row>
    <row r="1606" spans="1:5" x14ac:dyDescent="0.25">
      <c r="A1606" s="7">
        <f>IF(E1606=1,
      SUM($E$2:E1606)-1,
"")</f>
        <v>1603</v>
      </c>
      <c r="B1606" s="6" t="s">
        <v>252</v>
      </c>
      <c r="C1606" s="14">
        <v>45287</v>
      </c>
      <c r="D1606" s="15">
        <v>180.54</v>
      </c>
      <c r="E1606" s="7">
        <f t="shared" si="25"/>
        <v>1</v>
      </c>
    </row>
    <row r="1607" spans="1:5" x14ac:dyDescent="0.25">
      <c r="A1607" s="7">
        <f>IF(E1607=1,
      SUM($E$2:E1607)-1,
"")</f>
        <v>1604</v>
      </c>
      <c r="B1607" s="6" t="s">
        <v>127</v>
      </c>
      <c r="C1607" s="14">
        <v>45146</v>
      </c>
      <c r="D1607" s="15">
        <v>124.22</v>
      </c>
      <c r="E1607" s="7">
        <f t="shared" si="25"/>
        <v>1</v>
      </c>
    </row>
    <row r="1608" spans="1:5" x14ac:dyDescent="0.25">
      <c r="A1608" s="7">
        <f>IF(E1608=1,
      SUM($E$2:E1608)-1,
"")</f>
        <v>1605</v>
      </c>
      <c r="B1608" s="6" t="s">
        <v>770</v>
      </c>
      <c r="C1608" s="14">
        <v>45109</v>
      </c>
      <c r="D1608" s="15">
        <v>68.010000000000005</v>
      </c>
      <c r="E1608" s="7">
        <f t="shared" si="25"/>
        <v>1</v>
      </c>
    </row>
    <row r="1609" spans="1:5" x14ac:dyDescent="0.25">
      <c r="A1609" s="7">
        <f>IF(E1609=1,
      SUM($E$2:E1609)-1,
"")</f>
        <v>1606</v>
      </c>
      <c r="B1609" s="6" t="s">
        <v>571</v>
      </c>
      <c r="C1609" s="14">
        <v>45265</v>
      </c>
      <c r="D1609" s="15">
        <v>179.18</v>
      </c>
      <c r="E1609" s="7">
        <f t="shared" si="25"/>
        <v>1</v>
      </c>
    </row>
    <row r="1610" spans="1:5" x14ac:dyDescent="0.25">
      <c r="A1610" s="7">
        <f>IF(E1610=1,
      SUM($E$2:E1610)-1,
"")</f>
        <v>1607</v>
      </c>
      <c r="B1610" s="6" t="s">
        <v>577</v>
      </c>
      <c r="C1610" s="14">
        <v>45255</v>
      </c>
      <c r="D1610" s="15">
        <v>87.85</v>
      </c>
      <c r="E1610" s="7">
        <f t="shared" si="25"/>
        <v>1</v>
      </c>
    </row>
    <row r="1611" spans="1:5" x14ac:dyDescent="0.25">
      <c r="A1611" s="7">
        <f>IF(E1611=1,
      SUM($E$2:E1611)-1,
"")</f>
        <v>1608</v>
      </c>
      <c r="B1611" s="6" t="s">
        <v>100</v>
      </c>
      <c r="C1611" s="14">
        <v>45174</v>
      </c>
      <c r="D1611" s="15">
        <v>109.63</v>
      </c>
      <c r="E1611" s="7">
        <f t="shared" si="25"/>
        <v>1</v>
      </c>
    </row>
    <row r="1612" spans="1:5" x14ac:dyDescent="0.25">
      <c r="A1612" s="7">
        <f>IF(E1612=1,
      SUM($E$2:E1612)-1,
"")</f>
        <v>1609</v>
      </c>
      <c r="B1612" s="6" t="s">
        <v>101</v>
      </c>
      <c r="C1612" s="14">
        <v>45000</v>
      </c>
      <c r="D1612" s="15">
        <v>128.19</v>
      </c>
      <c r="E1612" s="7">
        <f t="shared" si="25"/>
        <v>1</v>
      </c>
    </row>
    <row r="1613" spans="1:5" x14ac:dyDescent="0.25">
      <c r="A1613" s="7">
        <f>IF(E1613=1,
      SUM($E$2:E1613)-1,
"")</f>
        <v>1610</v>
      </c>
      <c r="B1613" s="6" t="s">
        <v>467</v>
      </c>
      <c r="C1613" s="14">
        <v>45049</v>
      </c>
      <c r="D1613" s="15">
        <v>53.86</v>
      </c>
      <c r="E1613" s="7">
        <f t="shared" si="25"/>
        <v>1</v>
      </c>
    </row>
    <row r="1614" spans="1:5" x14ac:dyDescent="0.25">
      <c r="A1614" s="7">
        <f>IF(E1614=1,
      SUM($E$2:E1614)-1,
"")</f>
        <v>1611</v>
      </c>
      <c r="B1614" s="6" t="s">
        <v>838</v>
      </c>
      <c r="C1614" s="14">
        <v>45225</v>
      </c>
      <c r="D1614" s="15">
        <v>75.180000000000007</v>
      </c>
      <c r="E1614" s="7">
        <f t="shared" si="25"/>
        <v>1</v>
      </c>
    </row>
    <row r="1615" spans="1:5" x14ac:dyDescent="0.25">
      <c r="A1615" s="7">
        <f>IF(E1615=1,
      SUM($E$2:E1615)-1,
"")</f>
        <v>1612</v>
      </c>
      <c r="B1615" s="6" t="s">
        <v>113</v>
      </c>
      <c r="C1615" s="14">
        <v>45079</v>
      </c>
      <c r="D1615" s="15">
        <v>149.44</v>
      </c>
      <c r="E1615" s="7">
        <f t="shared" si="25"/>
        <v>1</v>
      </c>
    </row>
    <row r="1616" spans="1:5" x14ac:dyDescent="0.25">
      <c r="A1616" s="7">
        <f>IF(E1616=1,
      SUM($E$2:E1616)-1,
"")</f>
        <v>1613</v>
      </c>
      <c r="B1616" s="6" t="s">
        <v>572</v>
      </c>
      <c r="C1616" s="14">
        <v>45075</v>
      </c>
      <c r="D1616" s="15">
        <v>93.26</v>
      </c>
      <c r="E1616" s="7">
        <f t="shared" si="25"/>
        <v>1</v>
      </c>
    </row>
    <row r="1617" spans="1:5" x14ac:dyDescent="0.25">
      <c r="A1617" s="7">
        <f>IF(E1617=1,
      SUM($E$2:E1617)-1,
"")</f>
        <v>1614</v>
      </c>
      <c r="B1617" s="6" t="s">
        <v>856</v>
      </c>
      <c r="C1617" s="14">
        <v>45116</v>
      </c>
      <c r="D1617" s="15">
        <v>129.96</v>
      </c>
      <c r="E1617" s="7">
        <f t="shared" si="25"/>
        <v>1</v>
      </c>
    </row>
    <row r="1618" spans="1:5" x14ac:dyDescent="0.25">
      <c r="A1618" s="7">
        <f>IF(E1618=1,
      SUM($E$2:E1618)-1,
"")</f>
        <v>1615</v>
      </c>
      <c r="B1618" s="6" t="s">
        <v>857</v>
      </c>
      <c r="C1618" s="14">
        <v>44994</v>
      </c>
      <c r="D1618" s="15">
        <v>86.4</v>
      </c>
      <c r="E1618" s="7">
        <f t="shared" si="25"/>
        <v>1</v>
      </c>
    </row>
    <row r="1619" spans="1:5" x14ac:dyDescent="0.25">
      <c r="A1619" s="7">
        <f>IF(E1619=1,
      SUM($E$2:E1619)-1,
"")</f>
        <v>1616</v>
      </c>
      <c r="B1619" s="6" t="s">
        <v>276</v>
      </c>
      <c r="C1619" s="14">
        <v>45129</v>
      </c>
      <c r="D1619" s="15">
        <v>97.15</v>
      </c>
      <c r="E1619" s="7">
        <f t="shared" si="25"/>
        <v>1</v>
      </c>
    </row>
    <row r="1620" spans="1:5" x14ac:dyDescent="0.25">
      <c r="A1620" s="7">
        <f>IF(E1620=1,
      SUM($E$2:E1620)-1,
"")</f>
        <v>1617</v>
      </c>
      <c r="B1620" s="6" t="s">
        <v>858</v>
      </c>
      <c r="C1620" s="14">
        <v>45235</v>
      </c>
      <c r="D1620" s="15">
        <v>153.56</v>
      </c>
      <c r="E1620" s="7">
        <f t="shared" si="25"/>
        <v>1</v>
      </c>
    </row>
    <row r="1621" spans="1:5" x14ac:dyDescent="0.25">
      <c r="A1621" s="7">
        <f>IF(E1621=1,
      SUM($E$2:E1621)-1,
"")</f>
        <v>1618</v>
      </c>
      <c r="B1621" s="6" t="s">
        <v>347</v>
      </c>
      <c r="C1621" s="14">
        <v>45024</v>
      </c>
      <c r="D1621" s="15">
        <v>113.13</v>
      </c>
      <c r="E1621" s="7">
        <f t="shared" si="25"/>
        <v>1</v>
      </c>
    </row>
    <row r="1622" spans="1:5" x14ac:dyDescent="0.25">
      <c r="A1622" s="7">
        <f>IF(E1622=1,
      SUM($E$2:E1622)-1,
"")</f>
        <v>1619</v>
      </c>
      <c r="B1622" s="6" t="s">
        <v>125</v>
      </c>
      <c r="C1622" s="14">
        <v>44985</v>
      </c>
      <c r="D1622" s="15">
        <v>89.65</v>
      </c>
      <c r="E1622" s="7">
        <f t="shared" si="25"/>
        <v>1</v>
      </c>
    </row>
    <row r="1623" spans="1:5" x14ac:dyDescent="0.25">
      <c r="A1623" s="7">
        <f>IF(E1623=1,
      SUM($E$2:E1623)-1,
"")</f>
        <v>1620</v>
      </c>
      <c r="B1623" s="6" t="s">
        <v>715</v>
      </c>
      <c r="C1623" s="14">
        <v>45235</v>
      </c>
      <c r="D1623" s="15">
        <v>79.5</v>
      </c>
      <c r="E1623" s="7">
        <f t="shared" si="25"/>
        <v>1</v>
      </c>
    </row>
    <row r="1624" spans="1:5" x14ac:dyDescent="0.25">
      <c r="A1624" s="7">
        <f>IF(E1624=1,
      SUM($E$2:E1624)-1,
"")</f>
        <v>1621</v>
      </c>
      <c r="B1624" s="6" t="s">
        <v>822</v>
      </c>
      <c r="C1624" s="14">
        <v>45005</v>
      </c>
      <c r="D1624" s="15">
        <v>82.24</v>
      </c>
      <c r="E1624" s="7">
        <f t="shared" si="25"/>
        <v>1</v>
      </c>
    </row>
    <row r="1625" spans="1:5" x14ac:dyDescent="0.25">
      <c r="A1625" s="7">
        <f>IF(E1625=1,
      SUM($E$2:E1625)-1,
"")</f>
        <v>1622</v>
      </c>
      <c r="B1625" s="6" t="s">
        <v>643</v>
      </c>
      <c r="C1625" s="14">
        <v>45188</v>
      </c>
      <c r="D1625" s="15">
        <v>137.25</v>
      </c>
      <c r="E1625" s="7">
        <f t="shared" si="25"/>
        <v>1</v>
      </c>
    </row>
    <row r="1626" spans="1:5" x14ac:dyDescent="0.25">
      <c r="A1626" s="7">
        <f>IF(E1626=1,
      SUM($E$2:E1626)-1,
"")</f>
        <v>1623</v>
      </c>
      <c r="B1626" s="6" t="s">
        <v>92</v>
      </c>
      <c r="C1626" s="14">
        <v>45065</v>
      </c>
      <c r="D1626" s="15">
        <v>122.96</v>
      </c>
      <c r="E1626" s="7">
        <f t="shared" si="25"/>
        <v>1</v>
      </c>
    </row>
    <row r="1627" spans="1:5" x14ac:dyDescent="0.25">
      <c r="A1627" s="7">
        <f>IF(E1627=1,
      SUM($E$2:E1627)-1,
"")</f>
        <v>1624</v>
      </c>
      <c r="B1627" s="6" t="s">
        <v>606</v>
      </c>
      <c r="C1627" s="14">
        <v>45046</v>
      </c>
      <c r="D1627" s="15">
        <v>65.540000000000006</v>
      </c>
      <c r="E1627" s="7">
        <f t="shared" si="25"/>
        <v>1</v>
      </c>
    </row>
    <row r="1628" spans="1:5" x14ac:dyDescent="0.25">
      <c r="A1628" s="7">
        <f>IF(E1628=1,
      SUM($E$2:E1628)-1,
"")</f>
        <v>1625</v>
      </c>
      <c r="B1628" s="6" t="s">
        <v>859</v>
      </c>
      <c r="C1628" s="14">
        <v>45105</v>
      </c>
      <c r="D1628" s="15">
        <v>102.62</v>
      </c>
      <c r="E1628" s="7">
        <f t="shared" si="25"/>
        <v>1</v>
      </c>
    </row>
    <row r="1629" spans="1:5" x14ac:dyDescent="0.25">
      <c r="A1629" s="7">
        <f>IF(E1629=1,
      SUM($E$2:E1629)-1,
"")</f>
        <v>1626</v>
      </c>
      <c r="B1629" s="6" t="s">
        <v>548</v>
      </c>
      <c r="C1629" s="14">
        <v>45210</v>
      </c>
      <c r="D1629" s="15">
        <v>98</v>
      </c>
      <c r="E1629" s="7">
        <f t="shared" si="25"/>
        <v>1</v>
      </c>
    </row>
    <row r="1630" spans="1:5" x14ac:dyDescent="0.25">
      <c r="A1630" s="7">
        <f>IF(E1630=1,
      SUM($E$2:E1630)-1,
"")</f>
        <v>1627</v>
      </c>
      <c r="B1630" s="6" t="s">
        <v>290</v>
      </c>
      <c r="C1630" s="14">
        <v>45107</v>
      </c>
      <c r="D1630" s="15">
        <v>109.48</v>
      </c>
      <c r="E1630" s="7">
        <f t="shared" si="25"/>
        <v>1</v>
      </c>
    </row>
    <row r="1631" spans="1:5" x14ac:dyDescent="0.25">
      <c r="A1631" s="7">
        <f>IF(E1631=1,
      SUM($E$2:E1631)-1,
"")</f>
        <v>1628</v>
      </c>
      <c r="B1631" s="6" t="s">
        <v>576</v>
      </c>
      <c r="C1631" s="14">
        <v>45041</v>
      </c>
      <c r="D1631" s="15">
        <v>81.89</v>
      </c>
      <c r="E1631" s="7">
        <f t="shared" si="25"/>
        <v>1</v>
      </c>
    </row>
    <row r="1632" spans="1:5" x14ac:dyDescent="0.25">
      <c r="A1632" s="7">
        <f>IF(E1632=1,
      SUM($E$2:E1632)-1,
"")</f>
        <v>1629</v>
      </c>
      <c r="B1632" s="6" t="s">
        <v>860</v>
      </c>
      <c r="C1632" s="14">
        <v>44938</v>
      </c>
      <c r="D1632" s="15">
        <v>132.93</v>
      </c>
      <c r="E1632" s="7">
        <f t="shared" si="25"/>
        <v>1</v>
      </c>
    </row>
    <row r="1633" spans="1:5" x14ac:dyDescent="0.25">
      <c r="A1633" s="7">
        <f>IF(E1633=1,
      SUM($E$2:E1633)-1,
"")</f>
        <v>1630</v>
      </c>
      <c r="B1633" s="6" t="s">
        <v>105</v>
      </c>
      <c r="C1633" s="14">
        <v>45055</v>
      </c>
      <c r="D1633" s="15">
        <v>99.96</v>
      </c>
      <c r="E1633" s="7">
        <f t="shared" si="25"/>
        <v>1</v>
      </c>
    </row>
    <row r="1634" spans="1:5" x14ac:dyDescent="0.25">
      <c r="A1634" s="7">
        <f>IF(E1634=1,
      SUM($E$2:E1634)-1,
"")</f>
        <v>1631</v>
      </c>
      <c r="B1634" s="6" t="s">
        <v>598</v>
      </c>
      <c r="C1634" s="14">
        <v>44933</v>
      </c>
      <c r="D1634" s="15">
        <v>111.2</v>
      </c>
      <c r="E1634" s="7">
        <f t="shared" si="25"/>
        <v>1</v>
      </c>
    </row>
    <row r="1635" spans="1:5" x14ac:dyDescent="0.25">
      <c r="A1635" s="7">
        <f>IF(E1635=1,
      SUM($E$2:E1635)-1,
"")</f>
        <v>1632</v>
      </c>
      <c r="B1635" s="6" t="s">
        <v>534</v>
      </c>
      <c r="C1635" s="14">
        <v>45109</v>
      </c>
      <c r="D1635" s="15">
        <v>76.459999999999994</v>
      </c>
      <c r="E1635" s="7">
        <f t="shared" si="25"/>
        <v>1</v>
      </c>
    </row>
    <row r="1636" spans="1:5" x14ac:dyDescent="0.25">
      <c r="A1636" s="7">
        <f>IF(E1636=1,
      SUM($E$2:E1636)-1,
"")</f>
        <v>1633</v>
      </c>
      <c r="B1636" s="6" t="s">
        <v>204</v>
      </c>
      <c r="C1636" s="14">
        <v>45009</v>
      </c>
      <c r="D1636" s="15">
        <v>77.97</v>
      </c>
      <c r="E1636" s="7">
        <f t="shared" si="25"/>
        <v>1</v>
      </c>
    </row>
    <row r="1637" spans="1:5" x14ac:dyDescent="0.25">
      <c r="A1637" s="7">
        <f>IF(E1637=1,
      SUM($E$2:E1637)-1,
"")</f>
        <v>1634</v>
      </c>
      <c r="B1637" s="6" t="s">
        <v>94</v>
      </c>
      <c r="C1637" s="14">
        <v>45083</v>
      </c>
      <c r="D1637" s="15">
        <v>179.73</v>
      </c>
      <c r="E1637" s="7">
        <f t="shared" si="25"/>
        <v>1</v>
      </c>
    </row>
    <row r="1638" spans="1:5" x14ac:dyDescent="0.25">
      <c r="A1638" s="7">
        <f>IF(E1638=1,
      SUM($E$2:E1638)-1,
"")</f>
        <v>1635</v>
      </c>
      <c r="B1638" s="6" t="s">
        <v>761</v>
      </c>
      <c r="C1638" s="14">
        <v>44989</v>
      </c>
      <c r="D1638" s="15">
        <v>154</v>
      </c>
      <c r="E1638" s="7">
        <f t="shared" si="25"/>
        <v>1</v>
      </c>
    </row>
    <row r="1639" spans="1:5" x14ac:dyDescent="0.25">
      <c r="A1639" s="7">
        <f>IF(E1639=1,
      SUM($E$2:E1639)-1,
"")</f>
        <v>1636</v>
      </c>
      <c r="B1639" s="6" t="s">
        <v>861</v>
      </c>
      <c r="C1639" s="14">
        <v>44997</v>
      </c>
      <c r="D1639" s="15">
        <v>97.91</v>
      </c>
      <c r="E1639" s="7">
        <f t="shared" si="25"/>
        <v>1</v>
      </c>
    </row>
    <row r="1640" spans="1:5" x14ac:dyDescent="0.25">
      <c r="A1640" s="7">
        <f>IF(E1640=1,
      SUM($E$2:E1640)-1,
"")</f>
        <v>1637</v>
      </c>
      <c r="B1640" s="6" t="s">
        <v>862</v>
      </c>
      <c r="C1640" s="14">
        <v>45196</v>
      </c>
      <c r="D1640" s="15">
        <v>145.99</v>
      </c>
      <c r="E1640" s="7">
        <f t="shared" si="25"/>
        <v>1</v>
      </c>
    </row>
    <row r="1641" spans="1:5" x14ac:dyDescent="0.25">
      <c r="A1641" s="7">
        <f>IF(E1641=1,
      SUM($E$2:E1641)-1,
"")</f>
        <v>1638</v>
      </c>
      <c r="B1641" s="6" t="s">
        <v>609</v>
      </c>
      <c r="C1641" s="14">
        <v>45085</v>
      </c>
      <c r="D1641" s="15">
        <v>136.38</v>
      </c>
      <c r="E1641" s="7">
        <f t="shared" si="25"/>
        <v>1</v>
      </c>
    </row>
    <row r="1642" spans="1:5" x14ac:dyDescent="0.25">
      <c r="A1642" s="7">
        <f>IF(E1642=1,
      SUM($E$2:E1642)-1,
"")</f>
        <v>1639</v>
      </c>
      <c r="B1642" s="6" t="s">
        <v>423</v>
      </c>
      <c r="C1642" s="14">
        <v>45156</v>
      </c>
      <c r="D1642" s="15">
        <v>81.239999999999995</v>
      </c>
      <c r="E1642" s="7">
        <f t="shared" si="25"/>
        <v>1</v>
      </c>
    </row>
    <row r="1643" spans="1:5" x14ac:dyDescent="0.25">
      <c r="A1643" s="7">
        <f>IF(E1643=1,
      SUM($E$2:E1643)-1,
"")</f>
        <v>1640</v>
      </c>
      <c r="B1643" s="6" t="s">
        <v>859</v>
      </c>
      <c r="C1643" s="14">
        <v>45109</v>
      </c>
      <c r="D1643" s="15">
        <v>78.25</v>
      </c>
      <c r="E1643" s="7">
        <f t="shared" si="25"/>
        <v>1</v>
      </c>
    </row>
    <row r="1644" spans="1:5" x14ac:dyDescent="0.25">
      <c r="A1644" s="7">
        <f>IF(E1644=1,
      SUM($E$2:E1644)-1,
"")</f>
        <v>1641</v>
      </c>
      <c r="B1644" s="6" t="s">
        <v>567</v>
      </c>
      <c r="C1644" s="14">
        <v>45217</v>
      </c>
      <c r="D1644" s="15">
        <v>120.06</v>
      </c>
      <c r="E1644" s="7">
        <f t="shared" si="25"/>
        <v>1</v>
      </c>
    </row>
    <row r="1645" spans="1:5" x14ac:dyDescent="0.25">
      <c r="A1645" s="7">
        <f>IF(E1645=1,
      SUM($E$2:E1645)-1,
"")</f>
        <v>1642</v>
      </c>
      <c r="B1645" s="6" t="s">
        <v>863</v>
      </c>
      <c r="C1645" s="14">
        <v>45006</v>
      </c>
      <c r="D1645" s="15">
        <v>107.8</v>
      </c>
      <c r="E1645" s="7">
        <f t="shared" si="25"/>
        <v>1</v>
      </c>
    </row>
    <row r="1646" spans="1:5" x14ac:dyDescent="0.25">
      <c r="A1646" s="7">
        <f>IF(E1646=1,
      SUM($E$2:E1646)-1,
"")</f>
        <v>1643</v>
      </c>
      <c r="B1646" s="6" t="s">
        <v>651</v>
      </c>
      <c r="C1646" s="14">
        <v>45151</v>
      </c>
      <c r="D1646" s="15">
        <v>87.94</v>
      </c>
      <c r="E1646" s="7">
        <f t="shared" si="25"/>
        <v>1</v>
      </c>
    </row>
    <row r="1647" spans="1:5" x14ac:dyDescent="0.25">
      <c r="A1647" s="7">
        <f>IF(E1647=1,
      SUM($E$2:E1647)-1,
"")</f>
        <v>1644</v>
      </c>
      <c r="B1647" s="6" t="s">
        <v>586</v>
      </c>
      <c r="C1647" s="14">
        <v>45056</v>
      </c>
      <c r="D1647" s="15">
        <v>121.64</v>
      </c>
      <c r="E1647" s="7">
        <f t="shared" si="25"/>
        <v>1</v>
      </c>
    </row>
    <row r="1648" spans="1:5" x14ac:dyDescent="0.25">
      <c r="A1648" s="7">
        <f>IF(E1648=1,
      SUM($E$2:E1648)-1,
"")</f>
        <v>1645</v>
      </c>
      <c r="B1648" s="6" t="s">
        <v>350</v>
      </c>
      <c r="C1648" s="14">
        <v>45268</v>
      </c>
      <c r="D1648" s="15">
        <v>56.73</v>
      </c>
      <c r="E1648" s="7">
        <f t="shared" si="25"/>
        <v>1</v>
      </c>
    </row>
    <row r="1649" spans="1:5" x14ac:dyDescent="0.25">
      <c r="A1649" s="7">
        <f>IF(E1649=1,
      SUM($E$2:E1649)-1,
"")</f>
        <v>1646</v>
      </c>
      <c r="B1649" s="6" t="s">
        <v>864</v>
      </c>
      <c r="C1649" s="14">
        <v>45003</v>
      </c>
      <c r="D1649" s="15">
        <v>103.45</v>
      </c>
      <c r="E1649" s="7">
        <f t="shared" si="25"/>
        <v>1</v>
      </c>
    </row>
    <row r="1650" spans="1:5" x14ac:dyDescent="0.25">
      <c r="A1650" s="7">
        <f>IF(E1650=1,
      SUM($E$2:E1650)-1,
"")</f>
        <v>1647</v>
      </c>
      <c r="B1650" s="6" t="s">
        <v>486</v>
      </c>
      <c r="C1650" s="14">
        <v>45226</v>
      </c>
      <c r="D1650" s="15">
        <v>62.83</v>
      </c>
      <c r="E1650" s="7">
        <f t="shared" si="25"/>
        <v>1</v>
      </c>
    </row>
    <row r="1651" spans="1:5" x14ac:dyDescent="0.25">
      <c r="A1651" s="7">
        <f>IF(E1651=1,
      SUM($E$2:E1651)-1,
"")</f>
        <v>1648</v>
      </c>
      <c r="B1651" s="6" t="s">
        <v>117</v>
      </c>
      <c r="C1651" s="14">
        <v>45043</v>
      </c>
      <c r="D1651" s="15">
        <v>63.82</v>
      </c>
      <c r="E1651" s="7">
        <f t="shared" si="25"/>
        <v>1</v>
      </c>
    </row>
    <row r="1652" spans="1:5" x14ac:dyDescent="0.25">
      <c r="A1652" s="7">
        <f>IF(E1652=1,
      SUM($E$2:E1652)-1,
"")</f>
        <v>1649</v>
      </c>
      <c r="B1652" s="6" t="s">
        <v>204</v>
      </c>
      <c r="C1652" s="14">
        <v>45175</v>
      </c>
      <c r="D1652" s="15">
        <v>78.8</v>
      </c>
      <c r="E1652" s="7">
        <f t="shared" si="25"/>
        <v>1</v>
      </c>
    </row>
    <row r="1653" spans="1:5" x14ac:dyDescent="0.25">
      <c r="A1653" s="7">
        <f>IF(E1653=1,
      SUM($E$2:E1653)-1,
"")</f>
        <v>1650</v>
      </c>
      <c r="B1653" s="6" t="s">
        <v>80</v>
      </c>
      <c r="C1653" s="14">
        <v>45220</v>
      </c>
      <c r="D1653" s="15">
        <v>110.9</v>
      </c>
      <c r="E1653" s="7">
        <f t="shared" si="25"/>
        <v>1</v>
      </c>
    </row>
    <row r="1654" spans="1:5" x14ac:dyDescent="0.25">
      <c r="A1654" s="7">
        <f>IF(E1654=1,
      SUM($E$2:E1654)-1,
"")</f>
        <v>1651</v>
      </c>
      <c r="B1654" s="6" t="s">
        <v>739</v>
      </c>
      <c r="C1654" s="14">
        <v>45011</v>
      </c>
      <c r="D1654" s="15">
        <v>79.739999999999995</v>
      </c>
      <c r="E1654" s="7">
        <f t="shared" si="25"/>
        <v>1</v>
      </c>
    </row>
    <row r="1655" spans="1:5" x14ac:dyDescent="0.25">
      <c r="A1655" s="7">
        <f>IF(E1655=1,
      SUM($E$2:E1655)-1,
"")</f>
        <v>1652</v>
      </c>
      <c r="B1655" s="6" t="s">
        <v>112</v>
      </c>
      <c r="C1655" s="14">
        <v>44933</v>
      </c>
      <c r="D1655" s="15">
        <v>63.46</v>
      </c>
      <c r="E1655" s="7">
        <f t="shared" si="25"/>
        <v>1</v>
      </c>
    </row>
    <row r="1656" spans="1:5" x14ac:dyDescent="0.25">
      <c r="A1656" s="7">
        <f>IF(E1656=1,
      SUM($E$2:E1656)-1,
"")</f>
        <v>1653</v>
      </c>
      <c r="B1656" s="6" t="s">
        <v>638</v>
      </c>
      <c r="C1656" s="14">
        <v>45283</v>
      </c>
      <c r="D1656" s="15">
        <v>114.32</v>
      </c>
      <c r="E1656" s="7">
        <f t="shared" si="25"/>
        <v>1</v>
      </c>
    </row>
    <row r="1657" spans="1:5" x14ac:dyDescent="0.25">
      <c r="A1657" s="7">
        <f>IF(E1657=1,
      SUM($E$2:E1657)-1,
"")</f>
        <v>1654</v>
      </c>
      <c r="B1657" s="6" t="s">
        <v>238</v>
      </c>
      <c r="C1657" s="14">
        <v>45082</v>
      </c>
      <c r="D1657" s="15">
        <v>144.78</v>
      </c>
      <c r="E1657" s="7">
        <f t="shared" si="25"/>
        <v>1</v>
      </c>
    </row>
    <row r="1658" spans="1:5" x14ac:dyDescent="0.25">
      <c r="A1658" s="7">
        <f>IF(E1658=1,
      SUM($E$2:E1658)-1,
"")</f>
        <v>1655</v>
      </c>
      <c r="B1658" s="6" t="s">
        <v>317</v>
      </c>
      <c r="C1658" s="14">
        <v>44970</v>
      </c>
      <c r="D1658" s="15">
        <v>119.17</v>
      </c>
      <c r="E1658" s="7">
        <f t="shared" si="25"/>
        <v>1</v>
      </c>
    </row>
    <row r="1659" spans="1:5" x14ac:dyDescent="0.25">
      <c r="A1659" s="7">
        <f>IF(E1659=1,
      SUM($E$2:E1659)-1,
"")</f>
        <v>1656</v>
      </c>
      <c r="B1659" s="6" t="s">
        <v>837</v>
      </c>
      <c r="C1659" s="14">
        <v>45141</v>
      </c>
      <c r="D1659" s="15">
        <v>154.05000000000001</v>
      </c>
      <c r="E1659" s="7">
        <f t="shared" si="25"/>
        <v>1</v>
      </c>
    </row>
    <row r="1660" spans="1:5" x14ac:dyDescent="0.25">
      <c r="A1660" s="7">
        <f>IF(E1660=1,
      SUM($E$2:E1660)-1,
"")</f>
        <v>1657</v>
      </c>
      <c r="B1660" s="6" t="s">
        <v>363</v>
      </c>
      <c r="C1660" s="14">
        <v>45288</v>
      </c>
      <c r="D1660" s="15">
        <v>142.28</v>
      </c>
      <c r="E1660" s="7">
        <f t="shared" si="25"/>
        <v>1</v>
      </c>
    </row>
    <row r="1661" spans="1:5" x14ac:dyDescent="0.25">
      <c r="A1661" s="7">
        <f>IF(E1661=1,
      SUM($E$2:E1661)-1,
"")</f>
        <v>1658</v>
      </c>
      <c r="B1661" s="6" t="s">
        <v>85</v>
      </c>
      <c r="C1661" s="14">
        <v>45098</v>
      </c>
      <c r="D1661" s="15">
        <v>85.38</v>
      </c>
      <c r="E1661" s="7">
        <f t="shared" si="25"/>
        <v>1</v>
      </c>
    </row>
    <row r="1662" spans="1:5" x14ac:dyDescent="0.25">
      <c r="A1662" s="7">
        <f>IF(E1662=1,
      SUM($E$2:E1662)-1,
"")</f>
        <v>1659</v>
      </c>
      <c r="B1662" s="6" t="s">
        <v>532</v>
      </c>
      <c r="C1662" s="14">
        <v>45010</v>
      </c>
      <c r="D1662" s="15">
        <v>118.96</v>
      </c>
      <c r="E1662" s="7">
        <f t="shared" si="25"/>
        <v>1</v>
      </c>
    </row>
    <row r="1663" spans="1:5" x14ac:dyDescent="0.25">
      <c r="A1663" s="7">
        <f>IF(E1663=1,
      SUM($E$2:E1663)-1,
"")</f>
        <v>1660</v>
      </c>
      <c r="B1663" s="6" t="s">
        <v>608</v>
      </c>
      <c r="C1663" s="14">
        <v>45180</v>
      </c>
      <c r="D1663" s="15">
        <v>97.25</v>
      </c>
      <c r="E1663" s="7">
        <f t="shared" si="25"/>
        <v>1</v>
      </c>
    </row>
    <row r="1664" spans="1:5" x14ac:dyDescent="0.25">
      <c r="A1664" s="7">
        <f>IF(E1664=1,
      SUM($E$2:E1664)-1,
"")</f>
        <v>1661</v>
      </c>
      <c r="B1664" s="6" t="s">
        <v>312</v>
      </c>
      <c r="C1664" s="14">
        <v>45022</v>
      </c>
      <c r="D1664" s="15">
        <v>131.86000000000001</v>
      </c>
      <c r="E1664" s="7">
        <f t="shared" si="25"/>
        <v>1</v>
      </c>
    </row>
    <row r="1665" spans="1:5" x14ac:dyDescent="0.25">
      <c r="A1665" s="7">
        <f>IF(E1665=1,
      SUM($E$2:E1665)-1,
"")</f>
        <v>1662</v>
      </c>
      <c r="B1665" s="6" t="s">
        <v>865</v>
      </c>
      <c r="C1665" s="14">
        <v>45130</v>
      </c>
      <c r="D1665" s="15">
        <v>97.25</v>
      </c>
      <c r="E1665" s="7">
        <f t="shared" si="25"/>
        <v>1</v>
      </c>
    </row>
    <row r="1666" spans="1:5" x14ac:dyDescent="0.25">
      <c r="A1666" s="7">
        <f>IF(E1666=1,
      SUM($E$2:E1666)-1,
"")</f>
        <v>1663</v>
      </c>
      <c r="B1666" s="6" t="s">
        <v>293</v>
      </c>
      <c r="C1666" s="14">
        <v>45188</v>
      </c>
      <c r="D1666" s="15">
        <v>76.34</v>
      </c>
      <c r="E1666" s="7">
        <f t="shared" ref="E1666:E1729" si="26">IF(D1666&gt;0,1,0)</f>
        <v>1</v>
      </c>
    </row>
    <row r="1667" spans="1:5" x14ac:dyDescent="0.25">
      <c r="A1667" s="7">
        <f>IF(E1667=1,
      SUM($E$2:E1667)-1,
"")</f>
        <v>1664</v>
      </c>
      <c r="B1667" s="6" t="s">
        <v>866</v>
      </c>
      <c r="C1667" s="14">
        <v>45112</v>
      </c>
      <c r="D1667" s="15">
        <v>141.19999999999999</v>
      </c>
      <c r="E1667" s="7">
        <f t="shared" si="26"/>
        <v>1</v>
      </c>
    </row>
    <row r="1668" spans="1:5" x14ac:dyDescent="0.25">
      <c r="A1668" s="7">
        <f>IF(E1668=1,
      SUM($E$2:E1668)-1,
"")</f>
        <v>1665</v>
      </c>
      <c r="B1668" s="6" t="s">
        <v>411</v>
      </c>
      <c r="C1668" s="14">
        <v>45249</v>
      </c>
      <c r="D1668" s="15">
        <v>109.53</v>
      </c>
      <c r="E1668" s="7">
        <f t="shared" si="26"/>
        <v>1</v>
      </c>
    </row>
    <row r="1669" spans="1:5" x14ac:dyDescent="0.25">
      <c r="A1669" s="7">
        <f>IF(E1669=1,
      SUM($E$2:E1669)-1,
"")</f>
        <v>1666</v>
      </c>
      <c r="B1669" s="6" t="s">
        <v>534</v>
      </c>
      <c r="C1669" s="14">
        <v>45011</v>
      </c>
      <c r="D1669" s="15">
        <v>80.09</v>
      </c>
      <c r="E1669" s="7">
        <f t="shared" si="26"/>
        <v>1</v>
      </c>
    </row>
    <row r="1670" spans="1:5" x14ac:dyDescent="0.25">
      <c r="A1670" s="7">
        <f>IF(E1670=1,
      SUM($E$2:E1670)-1,
"")</f>
        <v>1667</v>
      </c>
      <c r="B1670" s="6" t="s">
        <v>487</v>
      </c>
      <c r="C1670" s="14">
        <v>45118</v>
      </c>
      <c r="D1670" s="15">
        <v>85.04</v>
      </c>
      <c r="E1670" s="7">
        <f t="shared" si="26"/>
        <v>1</v>
      </c>
    </row>
    <row r="1671" spans="1:5" x14ac:dyDescent="0.25">
      <c r="A1671" s="7">
        <f>IF(E1671=1,
      SUM($E$2:E1671)-1,
"")</f>
        <v>1668</v>
      </c>
      <c r="B1671" s="6" t="s">
        <v>867</v>
      </c>
      <c r="C1671" s="14">
        <v>45131</v>
      </c>
      <c r="D1671" s="15">
        <v>79.900000000000006</v>
      </c>
      <c r="E1671" s="7">
        <f t="shared" si="26"/>
        <v>1</v>
      </c>
    </row>
    <row r="1672" spans="1:5" x14ac:dyDescent="0.25">
      <c r="A1672" s="7">
        <f>IF(E1672=1,
      SUM($E$2:E1672)-1,
"")</f>
        <v>1669</v>
      </c>
      <c r="B1672" s="6" t="s">
        <v>164</v>
      </c>
      <c r="C1672" s="14">
        <v>44942</v>
      </c>
      <c r="D1672" s="15">
        <v>69.95</v>
      </c>
      <c r="E1672" s="7">
        <f t="shared" si="26"/>
        <v>1</v>
      </c>
    </row>
    <row r="1673" spans="1:5" x14ac:dyDescent="0.25">
      <c r="A1673" s="7">
        <f>IF(E1673=1,
      SUM($E$2:E1673)-1,
"")</f>
        <v>1670</v>
      </c>
      <c r="B1673" s="6" t="s">
        <v>868</v>
      </c>
      <c r="C1673" s="14">
        <v>44953</v>
      </c>
      <c r="D1673" s="15">
        <v>85.67</v>
      </c>
      <c r="E1673" s="7">
        <f t="shared" si="26"/>
        <v>1</v>
      </c>
    </row>
    <row r="1674" spans="1:5" x14ac:dyDescent="0.25">
      <c r="A1674" s="7">
        <f>IF(E1674=1,
      SUM($E$2:E1674)-1,
"")</f>
        <v>1671</v>
      </c>
      <c r="B1674" s="6" t="s">
        <v>338</v>
      </c>
      <c r="C1674" s="14">
        <v>45153</v>
      </c>
      <c r="D1674" s="15">
        <v>111.19</v>
      </c>
      <c r="E1674" s="7">
        <f t="shared" si="26"/>
        <v>1</v>
      </c>
    </row>
    <row r="1675" spans="1:5" x14ac:dyDescent="0.25">
      <c r="A1675" s="7">
        <f>IF(E1675=1,
      SUM($E$2:E1675)-1,
"")</f>
        <v>1672</v>
      </c>
      <c r="B1675" s="6" t="s">
        <v>869</v>
      </c>
      <c r="C1675" s="14">
        <v>45161</v>
      </c>
      <c r="D1675" s="15">
        <v>101.92</v>
      </c>
      <c r="E1675" s="7">
        <f t="shared" si="26"/>
        <v>1</v>
      </c>
    </row>
    <row r="1676" spans="1:5" x14ac:dyDescent="0.25">
      <c r="A1676" s="7">
        <f>IF(E1676=1,
      SUM($E$2:E1676)-1,
"")</f>
        <v>1673</v>
      </c>
      <c r="B1676" s="6" t="s">
        <v>597</v>
      </c>
      <c r="C1676" s="14">
        <v>45206</v>
      </c>
      <c r="D1676" s="15">
        <v>86.85</v>
      </c>
      <c r="E1676" s="7">
        <f t="shared" si="26"/>
        <v>1</v>
      </c>
    </row>
    <row r="1677" spans="1:5" x14ac:dyDescent="0.25">
      <c r="A1677" s="7">
        <f>IF(E1677=1,
      SUM($E$2:E1677)-1,
"")</f>
        <v>1674</v>
      </c>
      <c r="B1677" s="6" t="s">
        <v>442</v>
      </c>
      <c r="C1677" s="14">
        <v>45117</v>
      </c>
      <c r="D1677" s="15">
        <v>144.87</v>
      </c>
      <c r="E1677" s="7">
        <f t="shared" si="26"/>
        <v>1</v>
      </c>
    </row>
    <row r="1678" spans="1:5" x14ac:dyDescent="0.25">
      <c r="A1678" s="7">
        <f>IF(E1678=1,
      SUM($E$2:E1678)-1,
"")</f>
        <v>1675</v>
      </c>
      <c r="B1678" s="6" t="s">
        <v>238</v>
      </c>
      <c r="C1678" s="14">
        <v>45110</v>
      </c>
      <c r="D1678" s="15">
        <v>39.68</v>
      </c>
      <c r="E1678" s="7">
        <f t="shared" si="26"/>
        <v>1</v>
      </c>
    </row>
    <row r="1679" spans="1:5" x14ac:dyDescent="0.25">
      <c r="A1679" s="7">
        <f>IF(E1679=1,
      SUM($E$2:E1679)-1,
"")</f>
        <v>1676</v>
      </c>
      <c r="B1679" s="6" t="s">
        <v>870</v>
      </c>
      <c r="C1679" s="14">
        <v>45164</v>
      </c>
      <c r="D1679" s="15">
        <v>109.18</v>
      </c>
      <c r="E1679" s="7">
        <f t="shared" si="26"/>
        <v>1</v>
      </c>
    </row>
    <row r="1680" spans="1:5" x14ac:dyDescent="0.25">
      <c r="A1680" s="7">
        <f>IF(E1680=1,
      SUM($E$2:E1680)-1,
"")</f>
        <v>1677</v>
      </c>
      <c r="B1680" s="6" t="s">
        <v>849</v>
      </c>
      <c r="C1680" s="14">
        <v>45047</v>
      </c>
      <c r="D1680" s="15">
        <v>95.72</v>
      </c>
      <c r="E1680" s="7">
        <f t="shared" si="26"/>
        <v>1</v>
      </c>
    </row>
    <row r="1681" spans="1:5" x14ac:dyDescent="0.25">
      <c r="A1681" s="7">
        <f>IF(E1681=1,
      SUM($E$2:E1681)-1,
"")</f>
        <v>1678</v>
      </c>
      <c r="B1681" s="6" t="s">
        <v>871</v>
      </c>
      <c r="C1681" s="14">
        <v>45204</v>
      </c>
      <c r="D1681" s="15">
        <v>70.89</v>
      </c>
      <c r="E1681" s="7">
        <f t="shared" si="26"/>
        <v>1</v>
      </c>
    </row>
    <row r="1682" spans="1:5" x14ac:dyDescent="0.25">
      <c r="A1682" s="7">
        <f>IF(E1682=1,
      SUM($E$2:E1682)-1,
"")</f>
        <v>1679</v>
      </c>
      <c r="B1682" s="6" t="s">
        <v>630</v>
      </c>
      <c r="C1682" s="14">
        <v>45227</v>
      </c>
      <c r="D1682" s="15">
        <v>110.93</v>
      </c>
      <c r="E1682" s="7">
        <f t="shared" si="26"/>
        <v>1</v>
      </c>
    </row>
    <row r="1683" spans="1:5" x14ac:dyDescent="0.25">
      <c r="A1683" s="7">
        <f>IF(E1683=1,
      SUM($E$2:E1683)-1,
"")</f>
        <v>1680</v>
      </c>
      <c r="B1683" s="6" t="s">
        <v>678</v>
      </c>
      <c r="C1683" s="14">
        <v>45135</v>
      </c>
      <c r="D1683" s="15">
        <v>93.41</v>
      </c>
      <c r="E1683" s="7">
        <f t="shared" si="26"/>
        <v>1</v>
      </c>
    </row>
    <row r="1684" spans="1:5" x14ac:dyDescent="0.25">
      <c r="A1684" s="7">
        <f>IF(E1684=1,
      SUM($E$2:E1684)-1,
"")</f>
        <v>1681</v>
      </c>
      <c r="B1684" s="6" t="s">
        <v>359</v>
      </c>
      <c r="C1684" s="14">
        <v>45144</v>
      </c>
      <c r="D1684" s="15">
        <v>137.41</v>
      </c>
      <c r="E1684" s="7">
        <f t="shared" si="26"/>
        <v>1</v>
      </c>
    </row>
    <row r="1685" spans="1:5" x14ac:dyDescent="0.25">
      <c r="A1685" s="7">
        <f>IF(E1685=1,
      SUM($E$2:E1685)-1,
"")</f>
        <v>1682</v>
      </c>
      <c r="B1685" s="6" t="s">
        <v>303</v>
      </c>
      <c r="C1685" s="14">
        <v>44953</v>
      </c>
      <c r="D1685" s="15">
        <v>126.04</v>
      </c>
      <c r="E1685" s="7">
        <f t="shared" si="26"/>
        <v>1</v>
      </c>
    </row>
    <row r="1686" spans="1:5" x14ac:dyDescent="0.25">
      <c r="A1686" s="7">
        <f>IF(E1686=1,
      SUM($E$2:E1686)-1,
"")</f>
        <v>1683</v>
      </c>
      <c r="B1686" s="6" t="s">
        <v>872</v>
      </c>
      <c r="C1686" s="14">
        <v>45177</v>
      </c>
      <c r="D1686" s="15">
        <v>157.18</v>
      </c>
      <c r="E1686" s="7">
        <f t="shared" si="26"/>
        <v>1</v>
      </c>
    </row>
    <row r="1687" spans="1:5" x14ac:dyDescent="0.25">
      <c r="A1687" s="7">
        <f>IF(E1687=1,
      SUM($E$2:E1687)-1,
"")</f>
        <v>1684</v>
      </c>
      <c r="B1687" s="6" t="s">
        <v>873</v>
      </c>
      <c r="C1687" s="14">
        <v>45079</v>
      </c>
      <c r="D1687" s="15">
        <v>85.5</v>
      </c>
      <c r="E1687" s="7">
        <f t="shared" si="26"/>
        <v>1</v>
      </c>
    </row>
    <row r="1688" spans="1:5" x14ac:dyDescent="0.25">
      <c r="A1688" s="7">
        <f>IF(E1688=1,
      SUM($E$2:E1688)-1,
"")</f>
        <v>1685</v>
      </c>
      <c r="B1688" s="6" t="s">
        <v>874</v>
      </c>
      <c r="C1688" s="14">
        <v>44999</v>
      </c>
      <c r="D1688" s="15">
        <v>141.9</v>
      </c>
      <c r="E1688" s="7">
        <f t="shared" si="26"/>
        <v>1</v>
      </c>
    </row>
    <row r="1689" spans="1:5" x14ac:dyDescent="0.25">
      <c r="A1689" s="7">
        <f>IF(E1689=1,
      SUM($E$2:E1689)-1,
"")</f>
        <v>1686</v>
      </c>
      <c r="B1689" s="6" t="s">
        <v>792</v>
      </c>
      <c r="C1689" s="14">
        <v>45040</v>
      </c>
      <c r="D1689" s="15">
        <v>65.02</v>
      </c>
      <c r="E1689" s="7">
        <f t="shared" si="26"/>
        <v>1</v>
      </c>
    </row>
    <row r="1690" spans="1:5" x14ac:dyDescent="0.25">
      <c r="A1690" s="7">
        <f>IF(E1690=1,
      SUM($E$2:E1690)-1,
"")</f>
        <v>1687</v>
      </c>
      <c r="B1690" s="6" t="s">
        <v>503</v>
      </c>
      <c r="C1690" s="14">
        <v>45150</v>
      </c>
      <c r="D1690" s="15">
        <v>96.68</v>
      </c>
      <c r="E1690" s="7">
        <f t="shared" si="26"/>
        <v>1</v>
      </c>
    </row>
    <row r="1691" spans="1:5" x14ac:dyDescent="0.25">
      <c r="A1691" s="7">
        <f>IF(E1691=1,
      SUM($E$2:E1691)-1,
"")</f>
        <v>1688</v>
      </c>
      <c r="B1691" s="6" t="s">
        <v>875</v>
      </c>
      <c r="C1691" s="14">
        <v>45043</v>
      </c>
      <c r="D1691" s="15">
        <v>86.04</v>
      </c>
      <c r="E1691" s="7">
        <f t="shared" si="26"/>
        <v>1</v>
      </c>
    </row>
    <row r="1692" spans="1:5" x14ac:dyDescent="0.25">
      <c r="A1692" s="7">
        <f>IF(E1692=1,
      SUM($E$2:E1692)-1,
"")</f>
        <v>1689</v>
      </c>
      <c r="B1692" s="6" t="s">
        <v>370</v>
      </c>
      <c r="C1692" s="14">
        <v>44991</v>
      </c>
      <c r="D1692" s="15">
        <v>118.07</v>
      </c>
      <c r="E1692" s="7">
        <f t="shared" si="26"/>
        <v>1</v>
      </c>
    </row>
    <row r="1693" spans="1:5" x14ac:dyDescent="0.25">
      <c r="A1693" s="7">
        <f>IF(E1693=1,
      SUM($E$2:E1693)-1,
"")</f>
        <v>1690</v>
      </c>
      <c r="B1693" s="6" t="s">
        <v>490</v>
      </c>
      <c r="C1693" s="14">
        <v>45268</v>
      </c>
      <c r="D1693" s="15">
        <v>117.35</v>
      </c>
      <c r="E1693" s="7">
        <f t="shared" si="26"/>
        <v>1</v>
      </c>
    </row>
    <row r="1694" spans="1:5" x14ac:dyDescent="0.25">
      <c r="A1694" s="7">
        <f>IF(E1694=1,
      SUM($E$2:E1694)-1,
"")</f>
        <v>1691</v>
      </c>
      <c r="B1694" s="6" t="s">
        <v>681</v>
      </c>
      <c r="C1694" s="14">
        <v>45016</v>
      </c>
      <c r="D1694" s="15">
        <v>72.98</v>
      </c>
      <c r="E1694" s="7">
        <f t="shared" si="26"/>
        <v>1</v>
      </c>
    </row>
    <row r="1695" spans="1:5" x14ac:dyDescent="0.25">
      <c r="A1695" s="7">
        <f>IF(E1695=1,
      SUM($E$2:E1695)-1,
"")</f>
        <v>1692</v>
      </c>
      <c r="B1695" s="6" t="s">
        <v>876</v>
      </c>
      <c r="C1695" s="14">
        <v>45223</v>
      </c>
      <c r="D1695" s="15">
        <v>119.75</v>
      </c>
      <c r="E1695" s="7">
        <f t="shared" si="26"/>
        <v>1</v>
      </c>
    </row>
    <row r="1696" spans="1:5" x14ac:dyDescent="0.25">
      <c r="A1696" s="7">
        <f>IF(E1696=1,
      SUM($E$2:E1696)-1,
"")</f>
        <v>1693</v>
      </c>
      <c r="B1696" s="6" t="s">
        <v>243</v>
      </c>
      <c r="C1696" s="14">
        <v>45180</v>
      </c>
      <c r="D1696" s="15">
        <v>88.59</v>
      </c>
      <c r="E1696" s="7">
        <f t="shared" si="26"/>
        <v>1</v>
      </c>
    </row>
    <row r="1697" spans="1:5" x14ac:dyDescent="0.25">
      <c r="A1697" s="7">
        <f>IF(E1697=1,
      SUM($E$2:E1697)-1,
"")</f>
        <v>1694</v>
      </c>
      <c r="B1697" s="6" t="s">
        <v>237</v>
      </c>
      <c r="C1697" s="14">
        <v>44930</v>
      </c>
      <c r="D1697" s="15">
        <v>75.5</v>
      </c>
      <c r="E1697" s="7">
        <f t="shared" si="26"/>
        <v>1</v>
      </c>
    </row>
    <row r="1698" spans="1:5" x14ac:dyDescent="0.25">
      <c r="A1698" s="7">
        <f>IF(E1698=1,
      SUM($E$2:E1698)-1,
"")</f>
        <v>1695</v>
      </c>
      <c r="B1698" s="6" t="s">
        <v>479</v>
      </c>
      <c r="C1698" s="14">
        <v>45181</v>
      </c>
      <c r="D1698" s="15">
        <v>99.65</v>
      </c>
      <c r="E1698" s="7">
        <f t="shared" si="26"/>
        <v>1</v>
      </c>
    </row>
    <row r="1699" spans="1:5" x14ac:dyDescent="0.25">
      <c r="A1699" s="7">
        <f>IF(E1699=1,
      SUM($E$2:E1699)-1,
"")</f>
        <v>1696</v>
      </c>
      <c r="B1699" s="6" t="s">
        <v>877</v>
      </c>
      <c r="C1699" s="14">
        <v>44929</v>
      </c>
      <c r="D1699" s="15">
        <v>55.69</v>
      </c>
      <c r="E1699" s="7">
        <f t="shared" si="26"/>
        <v>1</v>
      </c>
    </row>
    <row r="1700" spans="1:5" x14ac:dyDescent="0.25">
      <c r="A1700" s="7">
        <f>IF(E1700=1,
      SUM($E$2:E1700)-1,
"")</f>
        <v>1697</v>
      </c>
      <c r="B1700" s="6" t="s">
        <v>701</v>
      </c>
      <c r="C1700" s="14">
        <v>44990</v>
      </c>
      <c r="D1700" s="15">
        <v>127.94</v>
      </c>
      <c r="E1700" s="7">
        <f t="shared" si="26"/>
        <v>1</v>
      </c>
    </row>
    <row r="1701" spans="1:5" x14ac:dyDescent="0.25">
      <c r="A1701" s="7">
        <f>IF(E1701=1,
      SUM($E$2:E1701)-1,
"")</f>
        <v>1698</v>
      </c>
      <c r="B1701" s="6" t="s">
        <v>878</v>
      </c>
      <c r="C1701" s="14">
        <v>45202</v>
      </c>
      <c r="D1701" s="15">
        <v>98.33</v>
      </c>
      <c r="E1701" s="7">
        <f t="shared" si="26"/>
        <v>1</v>
      </c>
    </row>
    <row r="1702" spans="1:5" x14ac:dyDescent="0.25">
      <c r="A1702" s="7">
        <f>IF(E1702=1,
      SUM($E$2:E1702)-1,
"")</f>
        <v>1699</v>
      </c>
      <c r="B1702" s="6" t="s">
        <v>396</v>
      </c>
      <c r="C1702" s="14">
        <v>45275</v>
      </c>
      <c r="D1702" s="15">
        <v>98.99</v>
      </c>
      <c r="E1702" s="7">
        <f t="shared" si="26"/>
        <v>1</v>
      </c>
    </row>
    <row r="1703" spans="1:5" x14ac:dyDescent="0.25">
      <c r="A1703" s="7">
        <f>IF(E1703=1,
      SUM($E$2:E1703)-1,
"")</f>
        <v>1700</v>
      </c>
      <c r="B1703" s="6" t="s">
        <v>169</v>
      </c>
      <c r="C1703" s="14">
        <v>45144</v>
      </c>
      <c r="D1703" s="15">
        <v>97.39</v>
      </c>
      <c r="E1703" s="7">
        <f t="shared" si="26"/>
        <v>1</v>
      </c>
    </row>
    <row r="1704" spans="1:5" x14ac:dyDescent="0.25">
      <c r="A1704" s="7">
        <f>IF(E1704=1,
      SUM($E$2:E1704)-1,
"")</f>
        <v>1701</v>
      </c>
      <c r="B1704" s="6" t="s">
        <v>192</v>
      </c>
      <c r="C1704" s="14">
        <v>45066</v>
      </c>
      <c r="D1704" s="15">
        <v>149.41</v>
      </c>
      <c r="E1704" s="7">
        <f t="shared" si="26"/>
        <v>1</v>
      </c>
    </row>
    <row r="1705" spans="1:5" x14ac:dyDescent="0.25">
      <c r="A1705" s="7">
        <f>IF(E1705=1,
      SUM($E$2:E1705)-1,
"")</f>
        <v>1702</v>
      </c>
      <c r="B1705" s="6" t="s">
        <v>433</v>
      </c>
      <c r="C1705" s="14">
        <v>45079</v>
      </c>
      <c r="D1705" s="15">
        <v>145.57</v>
      </c>
      <c r="E1705" s="7">
        <f t="shared" si="26"/>
        <v>1</v>
      </c>
    </row>
    <row r="1706" spans="1:5" x14ac:dyDescent="0.25">
      <c r="A1706" s="7">
        <f>IF(E1706=1,
      SUM($E$2:E1706)-1,
"")</f>
        <v>1703</v>
      </c>
      <c r="B1706" s="6" t="s">
        <v>879</v>
      </c>
      <c r="C1706" s="14">
        <v>44933</v>
      </c>
      <c r="D1706" s="15">
        <v>140.52000000000001</v>
      </c>
      <c r="E1706" s="7">
        <f t="shared" si="26"/>
        <v>1</v>
      </c>
    </row>
    <row r="1707" spans="1:5" x14ac:dyDescent="0.25">
      <c r="A1707" s="7">
        <f>IF(E1707=1,
      SUM($E$2:E1707)-1,
"")</f>
        <v>1704</v>
      </c>
      <c r="B1707" s="6" t="s">
        <v>876</v>
      </c>
      <c r="C1707" s="14">
        <v>45142</v>
      </c>
      <c r="D1707" s="15">
        <v>97.45</v>
      </c>
      <c r="E1707" s="7">
        <f t="shared" si="26"/>
        <v>1</v>
      </c>
    </row>
    <row r="1708" spans="1:5" x14ac:dyDescent="0.25">
      <c r="A1708" s="7">
        <f>IF(E1708=1,
      SUM($E$2:E1708)-1,
"")</f>
        <v>1705</v>
      </c>
      <c r="B1708" s="6" t="s">
        <v>117</v>
      </c>
      <c r="C1708" s="14">
        <v>45101</v>
      </c>
      <c r="D1708" s="15">
        <v>66.53</v>
      </c>
      <c r="E1708" s="7">
        <f t="shared" si="26"/>
        <v>1</v>
      </c>
    </row>
    <row r="1709" spans="1:5" x14ac:dyDescent="0.25">
      <c r="A1709" s="7">
        <f>IF(E1709=1,
      SUM($E$2:E1709)-1,
"")</f>
        <v>1706</v>
      </c>
      <c r="B1709" s="6" t="s">
        <v>479</v>
      </c>
      <c r="C1709" s="14">
        <v>45253</v>
      </c>
      <c r="D1709" s="15">
        <v>99.52</v>
      </c>
      <c r="E1709" s="7">
        <f t="shared" si="26"/>
        <v>1</v>
      </c>
    </row>
    <row r="1710" spans="1:5" x14ac:dyDescent="0.25">
      <c r="A1710" s="7">
        <f>IF(E1710=1,
      SUM($E$2:E1710)-1,
"")</f>
        <v>1707</v>
      </c>
      <c r="B1710" s="6" t="s">
        <v>673</v>
      </c>
      <c r="C1710" s="14">
        <v>45051</v>
      </c>
      <c r="D1710" s="15">
        <v>109.43</v>
      </c>
      <c r="E1710" s="7">
        <f t="shared" si="26"/>
        <v>1</v>
      </c>
    </row>
    <row r="1711" spans="1:5" x14ac:dyDescent="0.25">
      <c r="A1711" s="7">
        <f>IF(E1711=1,
      SUM($E$2:E1711)-1,
"")</f>
        <v>1708</v>
      </c>
      <c r="B1711" s="6" t="s">
        <v>821</v>
      </c>
      <c r="C1711" s="14">
        <v>45155</v>
      </c>
      <c r="D1711" s="15">
        <v>124.38</v>
      </c>
      <c r="E1711" s="7">
        <f t="shared" si="26"/>
        <v>1</v>
      </c>
    </row>
    <row r="1712" spans="1:5" x14ac:dyDescent="0.25">
      <c r="A1712" s="7">
        <f>IF(E1712=1,
      SUM($E$2:E1712)-1,
"")</f>
        <v>1709</v>
      </c>
      <c r="B1712" s="6" t="s">
        <v>344</v>
      </c>
      <c r="C1712" s="14">
        <v>44948</v>
      </c>
      <c r="D1712" s="15">
        <v>109.34</v>
      </c>
      <c r="E1712" s="7">
        <f t="shared" si="26"/>
        <v>1</v>
      </c>
    </row>
    <row r="1713" spans="1:5" x14ac:dyDescent="0.25">
      <c r="A1713" s="7">
        <f>IF(E1713=1,
      SUM($E$2:E1713)-1,
"")</f>
        <v>1710</v>
      </c>
      <c r="B1713" s="6" t="s">
        <v>672</v>
      </c>
      <c r="C1713" s="14">
        <v>45113</v>
      </c>
      <c r="D1713" s="15">
        <v>69.209999999999994</v>
      </c>
      <c r="E1713" s="7">
        <f t="shared" si="26"/>
        <v>1</v>
      </c>
    </row>
    <row r="1714" spans="1:5" x14ac:dyDescent="0.25">
      <c r="A1714" s="7">
        <f>IF(E1714=1,
      SUM($E$2:E1714)-1,
"")</f>
        <v>1711</v>
      </c>
      <c r="B1714" s="6" t="s">
        <v>636</v>
      </c>
      <c r="C1714" s="14">
        <v>45093</v>
      </c>
      <c r="D1714" s="15">
        <v>83.94</v>
      </c>
      <c r="E1714" s="7">
        <f t="shared" si="26"/>
        <v>1</v>
      </c>
    </row>
    <row r="1715" spans="1:5" x14ac:dyDescent="0.25">
      <c r="A1715" s="7">
        <f>IF(E1715=1,
      SUM($E$2:E1715)-1,
"")</f>
        <v>1712</v>
      </c>
      <c r="B1715" s="6" t="s">
        <v>853</v>
      </c>
      <c r="C1715" s="14">
        <v>45090</v>
      </c>
      <c r="D1715" s="15">
        <v>81.22</v>
      </c>
      <c r="E1715" s="7">
        <f t="shared" si="26"/>
        <v>1</v>
      </c>
    </row>
    <row r="1716" spans="1:5" x14ac:dyDescent="0.25">
      <c r="A1716" s="7">
        <f>IF(E1716=1,
      SUM($E$2:E1716)-1,
"")</f>
        <v>1713</v>
      </c>
      <c r="B1716" s="6" t="s">
        <v>460</v>
      </c>
      <c r="C1716" s="14">
        <v>45232</v>
      </c>
      <c r="D1716" s="15">
        <v>116.17</v>
      </c>
      <c r="E1716" s="7">
        <f t="shared" si="26"/>
        <v>1</v>
      </c>
    </row>
    <row r="1717" spans="1:5" x14ac:dyDescent="0.25">
      <c r="A1717" s="7">
        <f>IF(E1717=1,
      SUM($E$2:E1717)-1,
"")</f>
        <v>1714</v>
      </c>
      <c r="B1717" s="6" t="s">
        <v>558</v>
      </c>
      <c r="C1717" s="14">
        <v>45101</v>
      </c>
      <c r="D1717" s="15">
        <v>116.91</v>
      </c>
      <c r="E1717" s="7">
        <f t="shared" si="26"/>
        <v>1</v>
      </c>
    </row>
    <row r="1718" spans="1:5" x14ac:dyDescent="0.25">
      <c r="A1718" s="7">
        <f>IF(E1718=1,
      SUM($E$2:E1718)-1,
"")</f>
        <v>1715</v>
      </c>
      <c r="B1718" s="6" t="s">
        <v>728</v>
      </c>
      <c r="C1718" s="14">
        <v>45288</v>
      </c>
      <c r="D1718" s="15">
        <v>120.84</v>
      </c>
      <c r="E1718" s="7">
        <f t="shared" si="26"/>
        <v>1</v>
      </c>
    </row>
    <row r="1719" spans="1:5" x14ac:dyDescent="0.25">
      <c r="A1719" s="7">
        <f>IF(E1719=1,
      SUM($E$2:E1719)-1,
"")</f>
        <v>1716</v>
      </c>
      <c r="B1719" s="6" t="s">
        <v>438</v>
      </c>
      <c r="C1719" s="14">
        <v>45056</v>
      </c>
      <c r="D1719" s="15">
        <v>109.03</v>
      </c>
      <c r="E1719" s="7">
        <f t="shared" si="26"/>
        <v>1</v>
      </c>
    </row>
    <row r="1720" spans="1:5" x14ac:dyDescent="0.25">
      <c r="A1720" s="7">
        <f>IF(E1720=1,
      SUM($E$2:E1720)-1,
"")</f>
        <v>1717</v>
      </c>
      <c r="B1720" s="6" t="s">
        <v>777</v>
      </c>
      <c r="C1720" s="14">
        <v>45112</v>
      </c>
      <c r="D1720" s="15">
        <v>38.22</v>
      </c>
      <c r="E1720" s="7">
        <f t="shared" si="26"/>
        <v>1</v>
      </c>
    </row>
    <row r="1721" spans="1:5" x14ac:dyDescent="0.25">
      <c r="A1721" s="7">
        <f>IF(E1721=1,
      SUM($E$2:E1721)-1,
"")</f>
        <v>1718</v>
      </c>
      <c r="B1721" s="6" t="s">
        <v>241</v>
      </c>
      <c r="C1721" s="14">
        <v>44982</v>
      </c>
      <c r="D1721" s="15">
        <v>48.22</v>
      </c>
      <c r="E1721" s="7">
        <f t="shared" si="26"/>
        <v>1</v>
      </c>
    </row>
    <row r="1722" spans="1:5" x14ac:dyDescent="0.25">
      <c r="A1722" s="7">
        <f>IF(E1722=1,
      SUM($E$2:E1722)-1,
"")</f>
        <v>1719</v>
      </c>
      <c r="B1722" s="6" t="s">
        <v>880</v>
      </c>
      <c r="C1722" s="14">
        <v>45256</v>
      </c>
      <c r="D1722" s="15">
        <v>95.79</v>
      </c>
      <c r="E1722" s="7">
        <f t="shared" si="26"/>
        <v>1</v>
      </c>
    </row>
    <row r="1723" spans="1:5" x14ac:dyDescent="0.25">
      <c r="A1723" s="7">
        <f>IF(E1723=1,
      SUM($E$2:E1723)-1,
"")</f>
        <v>1720</v>
      </c>
      <c r="B1723" s="6" t="s">
        <v>381</v>
      </c>
      <c r="C1723" s="14">
        <v>45237</v>
      </c>
      <c r="D1723" s="15">
        <v>102.94</v>
      </c>
      <c r="E1723" s="7">
        <f t="shared" si="26"/>
        <v>1</v>
      </c>
    </row>
    <row r="1724" spans="1:5" x14ac:dyDescent="0.25">
      <c r="A1724" s="7">
        <f>IF(E1724=1,
      SUM($E$2:E1724)-1,
"")</f>
        <v>1721</v>
      </c>
      <c r="B1724" s="6" t="s">
        <v>581</v>
      </c>
      <c r="C1724" s="14">
        <v>45056</v>
      </c>
      <c r="D1724" s="15">
        <v>137.61000000000001</v>
      </c>
      <c r="E1724" s="7">
        <f t="shared" si="26"/>
        <v>1</v>
      </c>
    </row>
    <row r="1725" spans="1:5" x14ac:dyDescent="0.25">
      <c r="A1725" s="7">
        <f>IF(E1725=1,
      SUM($E$2:E1725)-1,
"")</f>
        <v>1722</v>
      </c>
      <c r="B1725" s="6" t="s">
        <v>692</v>
      </c>
      <c r="C1725" s="14">
        <v>44935</v>
      </c>
      <c r="D1725" s="15">
        <v>102.33</v>
      </c>
      <c r="E1725" s="7">
        <f t="shared" si="26"/>
        <v>1</v>
      </c>
    </row>
    <row r="1726" spans="1:5" x14ac:dyDescent="0.25">
      <c r="A1726" s="7">
        <f>IF(E1726=1,
      SUM($E$2:E1726)-1,
"")</f>
        <v>1723</v>
      </c>
      <c r="B1726" s="6" t="s">
        <v>663</v>
      </c>
      <c r="C1726" s="14">
        <v>44944</v>
      </c>
      <c r="D1726" s="15">
        <v>70.72</v>
      </c>
      <c r="E1726" s="7">
        <f t="shared" si="26"/>
        <v>1</v>
      </c>
    </row>
    <row r="1727" spans="1:5" x14ac:dyDescent="0.25">
      <c r="A1727" s="7">
        <f>IF(E1727=1,
      SUM($E$2:E1727)-1,
"")</f>
        <v>1724</v>
      </c>
      <c r="B1727" s="6" t="s">
        <v>820</v>
      </c>
      <c r="C1727" s="14">
        <v>45096</v>
      </c>
      <c r="D1727" s="15">
        <v>119.86</v>
      </c>
      <c r="E1727" s="7">
        <f t="shared" si="26"/>
        <v>1</v>
      </c>
    </row>
    <row r="1728" spans="1:5" x14ac:dyDescent="0.25">
      <c r="A1728" s="7">
        <f>IF(E1728=1,
      SUM($E$2:E1728)-1,
"")</f>
        <v>1725</v>
      </c>
      <c r="B1728" s="6" t="s">
        <v>481</v>
      </c>
      <c r="C1728" s="14">
        <v>45220</v>
      </c>
      <c r="D1728" s="15">
        <v>99.48</v>
      </c>
      <c r="E1728" s="7">
        <f t="shared" si="26"/>
        <v>1</v>
      </c>
    </row>
    <row r="1729" spans="1:5" x14ac:dyDescent="0.25">
      <c r="A1729" s="7">
        <f>IF(E1729=1,
      SUM($E$2:E1729)-1,
"")</f>
        <v>1726</v>
      </c>
      <c r="B1729" s="6" t="s">
        <v>339</v>
      </c>
      <c r="C1729" s="14">
        <v>45234</v>
      </c>
      <c r="D1729" s="15">
        <v>87.94</v>
      </c>
      <c r="E1729" s="7">
        <f t="shared" si="26"/>
        <v>1</v>
      </c>
    </row>
    <row r="1730" spans="1:5" x14ac:dyDescent="0.25">
      <c r="A1730" s="7">
        <f>IF(E1730=1,
      SUM($E$2:E1730)-1,
"")</f>
        <v>1727</v>
      </c>
      <c r="B1730" s="6" t="s">
        <v>505</v>
      </c>
      <c r="C1730" s="14">
        <v>45053</v>
      </c>
      <c r="D1730" s="15">
        <v>51.56</v>
      </c>
      <c r="E1730" s="7">
        <f t="shared" ref="E1730:E1793" si="27">IF(D1730&gt;0,1,0)</f>
        <v>1</v>
      </c>
    </row>
    <row r="1731" spans="1:5" x14ac:dyDescent="0.25">
      <c r="A1731" s="7">
        <f>IF(E1731=1,
      SUM($E$2:E1731)-1,
"")</f>
        <v>1728</v>
      </c>
      <c r="B1731" s="6" t="s">
        <v>490</v>
      </c>
      <c r="C1731" s="14">
        <v>45291</v>
      </c>
      <c r="D1731" s="15">
        <v>102.56</v>
      </c>
      <c r="E1731" s="7">
        <f t="shared" si="27"/>
        <v>1</v>
      </c>
    </row>
    <row r="1732" spans="1:5" x14ac:dyDescent="0.25">
      <c r="A1732" s="7">
        <f>IF(E1732=1,
      SUM($E$2:E1732)-1,
"")</f>
        <v>1729</v>
      </c>
      <c r="B1732" s="6" t="s">
        <v>572</v>
      </c>
      <c r="C1732" s="14">
        <v>44933</v>
      </c>
      <c r="D1732" s="15">
        <v>106.86</v>
      </c>
      <c r="E1732" s="7">
        <f t="shared" si="27"/>
        <v>1</v>
      </c>
    </row>
    <row r="1733" spans="1:5" x14ac:dyDescent="0.25">
      <c r="A1733" s="7">
        <f>IF(E1733=1,
      SUM($E$2:E1733)-1,
"")</f>
        <v>1730</v>
      </c>
      <c r="B1733" s="6" t="s">
        <v>855</v>
      </c>
      <c r="C1733" s="14">
        <v>45105</v>
      </c>
      <c r="D1733" s="15">
        <v>70.12</v>
      </c>
      <c r="E1733" s="7">
        <f t="shared" si="27"/>
        <v>1</v>
      </c>
    </row>
    <row r="1734" spans="1:5" x14ac:dyDescent="0.25">
      <c r="A1734" s="7">
        <f>IF(E1734=1,
      SUM($E$2:E1734)-1,
"")</f>
        <v>1731</v>
      </c>
      <c r="B1734" s="6" t="s">
        <v>257</v>
      </c>
      <c r="C1734" s="14">
        <v>44986</v>
      </c>
      <c r="D1734" s="15">
        <v>122.33</v>
      </c>
      <c r="E1734" s="7">
        <f t="shared" si="27"/>
        <v>1</v>
      </c>
    </row>
    <row r="1735" spans="1:5" x14ac:dyDescent="0.25">
      <c r="A1735" s="7">
        <f>IF(E1735=1,
      SUM($E$2:E1735)-1,
"")</f>
        <v>1732</v>
      </c>
      <c r="B1735" s="6" t="s">
        <v>88</v>
      </c>
      <c r="C1735" s="14">
        <v>45263</v>
      </c>
      <c r="D1735" s="15">
        <v>119.64</v>
      </c>
      <c r="E1735" s="7">
        <f t="shared" si="27"/>
        <v>1</v>
      </c>
    </row>
    <row r="1736" spans="1:5" x14ac:dyDescent="0.25">
      <c r="A1736" s="7">
        <f>IF(E1736=1,
      SUM($E$2:E1736)-1,
"")</f>
        <v>1733</v>
      </c>
      <c r="B1736" s="6" t="s">
        <v>704</v>
      </c>
      <c r="C1736" s="14">
        <v>45026</v>
      </c>
      <c r="D1736" s="15">
        <v>101.47</v>
      </c>
      <c r="E1736" s="7">
        <f t="shared" si="27"/>
        <v>1</v>
      </c>
    </row>
    <row r="1737" spans="1:5" x14ac:dyDescent="0.25">
      <c r="A1737" s="7">
        <f>IF(E1737=1,
      SUM($E$2:E1737)-1,
"")</f>
        <v>1734</v>
      </c>
      <c r="B1737" s="6" t="s">
        <v>448</v>
      </c>
      <c r="C1737" s="14">
        <v>45185</v>
      </c>
      <c r="D1737" s="15">
        <v>100.35</v>
      </c>
      <c r="E1737" s="7">
        <f t="shared" si="27"/>
        <v>1</v>
      </c>
    </row>
    <row r="1738" spans="1:5" x14ac:dyDescent="0.25">
      <c r="A1738" s="7">
        <f>IF(E1738=1,
      SUM($E$2:E1738)-1,
"")</f>
        <v>1735</v>
      </c>
      <c r="B1738" s="6" t="s">
        <v>382</v>
      </c>
      <c r="C1738" s="14">
        <v>44961</v>
      </c>
      <c r="D1738" s="15">
        <v>128.38</v>
      </c>
      <c r="E1738" s="7">
        <f t="shared" si="27"/>
        <v>1</v>
      </c>
    </row>
    <row r="1739" spans="1:5" x14ac:dyDescent="0.25">
      <c r="A1739" s="7">
        <f>IF(E1739=1,
      SUM($E$2:E1739)-1,
"")</f>
        <v>1736</v>
      </c>
      <c r="B1739" s="6" t="s">
        <v>846</v>
      </c>
      <c r="C1739" s="14">
        <v>45203</v>
      </c>
      <c r="D1739" s="15">
        <v>111.03</v>
      </c>
      <c r="E1739" s="7">
        <f t="shared" si="27"/>
        <v>1</v>
      </c>
    </row>
    <row r="1740" spans="1:5" x14ac:dyDescent="0.25">
      <c r="A1740" s="7">
        <f>IF(E1740=1,
      SUM($E$2:E1740)-1,
"")</f>
        <v>1737</v>
      </c>
      <c r="B1740" s="6" t="s">
        <v>881</v>
      </c>
      <c r="C1740" s="14">
        <v>45088</v>
      </c>
      <c r="D1740" s="15">
        <v>78.930000000000007</v>
      </c>
      <c r="E1740" s="7">
        <f t="shared" si="27"/>
        <v>1</v>
      </c>
    </row>
    <row r="1741" spans="1:5" x14ac:dyDescent="0.25">
      <c r="A1741" s="7">
        <f>IF(E1741=1,
      SUM($E$2:E1741)-1,
"")</f>
        <v>1738</v>
      </c>
      <c r="B1741" s="6" t="s">
        <v>539</v>
      </c>
      <c r="C1741" s="14">
        <v>45073</v>
      </c>
      <c r="D1741" s="15">
        <v>94.07</v>
      </c>
      <c r="E1741" s="7">
        <f t="shared" si="27"/>
        <v>1</v>
      </c>
    </row>
    <row r="1742" spans="1:5" x14ac:dyDescent="0.25">
      <c r="A1742" s="7">
        <f>IF(E1742=1,
      SUM($E$2:E1742)-1,
"")</f>
        <v>1739</v>
      </c>
      <c r="B1742" s="6" t="s">
        <v>882</v>
      </c>
      <c r="C1742" s="14">
        <v>45199</v>
      </c>
      <c r="D1742" s="15">
        <v>116.71</v>
      </c>
      <c r="E1742" s="7">
        <f t="shared" si="27"/>
        <v>1</v>
      </c>
    </row>
    <row r="1743" spans="1:5" x14ac:dyDescent="0.25">
      <c r="A1743" s="7">
        <f>IF(E1743=1,
      SUM($E$2:E1743)-1,
"")</f>
        <v>1740</v>
      </c>
      <c r="B1743" s="6" t="s">
        <v>637</v>
      </c>
      <c r="C1743" s="14">
        <v>45190</v>
      </c>
      <c r="D1743" s="15">
        <v>39.03</v>
      </c>
      <c r="E1743" s="7">
        <f t="shared" si="27"/>
        <v>1</v>
      </c>
    </row>
    <row r="1744" spans="1:5" x14ac:dyDescent="0.25">
      <c r="A1744" s="7">
        <f>IF(E1744=1,
      SUM($E$2:E1744)-1,
"")</f>
        <v>1741</v>
      </c>
      <c r="B1744" s="6" t="s">
        <v>633</v>
      </c>
      <c r="C1744" s="14">
        <v>45070</v>
      </c>
      <c r="D1744" s="15">
        <v>72.05</v>
      </c>
      <c r="E1744" s="7">
        <f t="shared" si="27"/>
        <v>1</v>
      </c>
    </row>
    <row r="1745" spans="1:5" x14ac:dyDescent="0.25">
      <c r="A1745" s="7">
        <f>IF(E1745=1,
      SUM($E$2:E1745)-1,
"")</f>
        <v>1742</v>
      </c>
      <c r="B1745" s="6" t="s">
        <v>643</v>
      </c>
      <c r="C1745" s="14">
        <v>45107</v>
      </c>
      <c r="D1745" s="15">
        <v>120.46</v>
      </c>
      <c r="E1745" s="7">
        <f t="shared" si="27"/>
        <v>1</v>
      </c>
    </row>
    <row r="1746" spans="1:5" x14ac:dyDescent="0.25">
      <c r="A1746" s="7">
        <f>IF(E1746=1,
      SUM($E$2:E1746)-1,
"")</f>
        <v>1743</v>
      </c>
      <c r="B1746" s="6" t="s">
        <v>609</v>
      </c>
      <c r="C1746" s="14">
        <v>45109</v>
      </c>
      <c r="D1746" s="15">
        <v>136.27000000000001</v>
      </c>
      <c r="E1746" s="7">
        <f t="shared" si="27"/>
        <v>1</v>
      </c>
    </row>
    <row r="1747" spans="1:5" x14ac:dyDescent="0.25">
      <c r="A1747" s="7">
        <f>IF(E1747=1,
      SUM($E$2:E1747)-1,
"")</f>
        <v>1744</v>
      </c>
      <c r="B1747" s="6" t="s">
        <v>718</v>
      </c>
      <c r="C1747" s="14">
        <v>45131</v>
      </c>
      <c r="D1747" s="15">
        <v>130.63</v>
      </c>
      <c r="E1747" s="7">
        <f t="shared" si="27"/>
        <v>1</v>
      </c>
    </row>
    <row r="1748" spans="1:5" x14ac:dyDescent="0.25">
      <c r="A1748" s="7">
        <f>IF(E1748=1,
      SUM($E$2:E1748)-1,
"")</f>
        <v>1745</v>
      </c>
      <c r="B1748" s="6" t="s">
        <v>444</v>
      </c>
      <c r="C1748" s="14">
        <v>45046</v>
      </c>
      <c r="D1748" s="15">
        <v>126.8</v>
      </c>
      <c r="E1748" s="7">
        <f t="shared" si="27"/>
        <v>1</v>
      </c>
    </row>
    <row r="1749" spans="1:5" x14ac:dyDescent="0.25">
      <c r="A1749" s="7">
        <f>IF(E1749=1,
      SUM($E$2:E1749)-1,
"")</f>
        <v>1746</v>
      </c>
      <c r="B1749" s="6" t="s">
        <v>497</v>
      </c>
      <c r="C1749" s="14">
        <v>45262</v>
      </c>
      <c r="D1749" s="15">
        <v>103.89</v>
      </c>
      <c r="E1749" s="7">
        <f t="shared" si="27"/>
        <v>1</v>
      </c>
    </row>
    <row r="1750" spans="1:5" x14ac:dyDescent="0.25">
      <c r="A1750" s="7">
        <f>IF(E1750=1,
      SUM($E$2:E1750)-1,
"")</f>
        <v>1747</v>
      </c>
      <c r="B1750" s="6" t="s">
        <v>883</v>
      </c>
      <c r="C1750" s="14">
        <v>45241</v>
      </c>
      <c r="D1750" s="15">
        <v>69.13</v>
      </c>
      <c r="E1750" s="7">
        <f t="shared" si="27"/>
        <v>1</v>
      </c>
    </row>
    <row r="1751" spans="1:5" x14ac:dyDescent="0.25">
      <c r="A1751" s="7">
        <f>IF(E1751=1,
      SUM($E$2:E1751)-1,
"")</f>
        <v>1748</v>
      </c>
      <c r="B1751" s="6" t="s">
        <v>588</v>
      </c>
      <c r="C1751" s="14">
        <v>44948</v>
      </c>
      <c r="D1751" s="15">
        <v>94.1</v>
      </c>
      <c r="E1751" s="7">
        <f t="shared" si="27"/>
        <v>1</v>
      </c>
    </row>
    <row r="1752" spans="1:5" x14ac:dyDescent="0.25">
      <c r="A1752" s="7">
        <f>IF(E1752=1,
      SUM($E$2:E1752)-1,
"")</f>
        <v>1749</v>
      </c>
      <c r="B1752" s="6" t="s">
        <v>763</v>
      </c>
      <c r="C1752" s="14">
        <v>45217</v>
      </c>
      <c r="D1752" s="15">
        <v>40.200000000000003</v>
      </c>
      <c r="E1752" s="7">
        <f t="shared" si="27"/>
        <v>1</v>
      </c>
    </row>
    <row r="1753" spans="1:5" x14ac:dyDescent="0.25">
      <c r="A1753" s="7">
        <f>IF(E1753=1,
      SUM($E$2:E1753)-1,
"")</f>
        <v>1750</v>
      </c>
      <c r="B1753" s="6" t="s">
        <v>668</v>
      </c>
      <c r="C1753" s="14">
        <v>45015</v>
      </c>
      <c r="D1753" s="15">
        <v>139.02000000000001</v>
      </c>
      <c r="E1753" s="7">
        <f t="shared" si="27"/>
        <v>1</v>
      </c>
    </row>
    <row r="1754" spans="1:5" x14ac:dyDescent="0.25">
      <c r="A1754" s="7">
        <f>IF(E1754=1,
      SUM($E$2:E1754)-1,
"")</f>
        <v>1751</v>
      </c>
      <c r="B1754" s="6" t="s">
        <v>884</v>
      </c>
      <c r="C1754" s="14">
        <v>45253</v>
      </c>
      <c r="D1754" s="15">
        <v>75.489999999999995</v>
      </c>
      <c r="E1754" s="7">
        <f t="shared" si="27"/>
        <v>1</v>
      </c>
    </row>
    <row r="1755" spans="1:5" x14ac:dyDescent="0.25">
      <c r="A1755" s="7">
        <f>IF(E1755=1,
      SUM($E$2:E1755)-1,
"")</f>
        <v>1752</v>
      </c>
      <c r="B1755" s="6" t="s">
        <v>383</v>
      </c>
      <c r="C1755" s="14">
        <v>45192</v>
      </c>
      <c r="D1755" s="15">
        <v>84</v>
      </c>
      <c r="E1755" s="7">
        <f t="shared" si="27"/>
        <v>1</v>
      </c>
    </row>
    <row r="1756" spans="1:5" x14ac:dyDescent="0.25">
      <c r="A1756" s="7">
        <f>IF(E1756=1,
      SUM($E$2:E1756)-1,
"")</f>
        <v>1753</v>
      </c>
      <c r="B1756" s="6" t="s">
        <v>361</v>
      </c>
      <c r="C1756" s="14">
        <v>45182</v>
      </c>
      <c r="D1756" s="15">
        <v>131.76</v>
      </c>
      <c r="E1756" s="7">
        <f t="shared" si="27"/>
        <v>1</v>
      </c>
    </row>
    <row r="1757" spans="1:5" x14ac:dyDescent="0.25">
      <c r="A1757" s="7">
        <f>IF(E1757=1,
      SUM($E$2:E1757)-1,
"")</f>
        <v>1754</v>
      </c>
      <c r="B1757" s="6" t="s">
        <v>703</v>
      </c>
      <c r="C1757" s="14">
        <v>44972</v>
      </c>
      <c r="D1757" s="15">
        <v>51.56</v>
      </c>
      <c r="E1757" s="7">
        <f t="shared" si="27"/>
        <v>1</v>
      </c>
    </row>
    <row r="1758" spans="1:5" x14ac:dyDescent="0.25">
      <c r="A1758" s="7">
        <f>IF(E1758=1,
      SUM($E$2:E1758)-1,
"")</f>
        <v>1755</v>
      </c>
      <c r="B1758" s="6" t="s">
        <v>349</v>
      </c>
      <c r="C1758" s="14">
        <v>45044</v>
      </c>
      <c r="D1758" s="15">
        <v>64.319999999999993</v>
      </c>
      <c r="E1758" s="7">
        <f t="shared" si="27"/>
        <v>1</v>
      </c>
    </row>
    <row r="1759" spans="1:5" x14ac:dyDescent="0.25">
      <c r="A1759" s="7">
        <f>IF(E1759=1,
      SUM($E$2:E1759)-1,
"")</f>
        <v>1756</v>
      </c>
      <c r="B1759" s="6" t="s">
        <v>367</v>
      </c>
      <c r="C1759" s="14">
        <v>45102</v>
      </c>
      <c r="D1759" s="15">
        <v>108.04</v>
      </c>
      <c r="E1759" s="7">
        <f t="shared" si="27"/>
        <v>1</v>
      </c>
    </row>
    <row r="1760" spans="1:5" x14ac:dyDescent="0.25">
      <c r="A1760" s="7">
        <f>IF(E1760=1,
      SUM($E$2:E1760)-1,
"")</f>
        <v>1757</v>
      </c>
      <c r="B1760" s="6" t="s">
        <v>885</v>
      </c>
      <c r="C1760" s="14">
        <v>45111</v>
      </c>
      <c r="D1760" s="15">
        <v>115.61</v>
      </c>
      <c r="E1760" s="7">
        <f t="shared" si="27"/>
        <v>1</v>
      </c>
    </row>
    <row r="1761" spans="1:5" x14ac:dyDescent="0.25">
      <c r="A1761" s="7">
        <f>IF(E1761=1,
      SUM($E$2:E1761)-1,
"")</f>
        <v>1758</v>
      </c>
      <c r="B1761" s="6" t="s">
        <v>601</v>
      </c>
      <c r="C1761" s="14">
        <v>44958</v>
      </c>
      <c r="D1761" s="15">
        <v>97.85</v>
      </c>
      <c r="E1761" s="7">
        <f t="shared" si="27"/>
        <v>1</v>
      </c>
    </row>
    <row r="1762" spans="1:5" x14ac:dyDescent="0.25">
      <c r="A1762" s="7">
        <f>IF(E1762=1,
      SUM($E$2:E1762)-1,
"")</f>
        <v>1759</v>
      </c>
      <c r="B1762" s="6" t="s">
        <v>587</v>
      </c>
      <c r="C1762" s="14">
        <v>45084</v>
      </c>
      <c r="D1762" s="15">
        <v>98.83</v>
      </c>
      <c r="E1762" s="7">
        <f t="shared" si="27"/>
        <v>1</v>
      </c>
    </row>
    <row r="1763" spans="1:5" x14ac:dyDescent="0.25">
      <c r="A1763" s="7">
        <f>IF(E1763=1,
      SUM($E$2:E1763)-1,
"")</f>
        <v>1760</v>
      </c>
      <c r="B1763" s="6" t="s">
        <v>534</v>
      </c>
      <c r="C1763" s="14">
        <v>45271</v>
      </c>
      <c r="D1763" s="15">
        <v>138.05000000000001</v>
      </c>
      <c r="E1763" s="7">
        <f t="shared" si="27"/>
        <v>1</v>
      </c>
    </row>
    <row r="1764" spans="1:5" x14ac:dyDescent="0.25">
      <c r="A1764" s="7">
        <f>IF(E1764=1,
      SUM($E$2:E1764)-1,
"")</f>
        <v>1761</v>
      </c>
      <c r="B1764" s="6" t="s">
        <v>118</v>
      </c>
      <c r="C1764" s="14">
        <v>45127</v>
      </c>
      <c r="D1764" s="15">
        <v>119.09</v>
      </c>
      <c r="E1764" s="7">
        <f t="shared" si="27"/>
        <v>1</v>
      </c>
    </row>
    <row r="1765" spans="1:5" x14ac:dyDescent="0.25">
      <c r="A1765" s="7">
        <f>IF(E1765=1,
      SUM($E$2:E1765)-1,
"")</f>
        <v>1762</v>
      </c>
      <c r="B1765" s="6" t="s">
        <v>886</v>
      </c>
      <c r="C1765" s="14">
        <v>45194</v>
      </c>
      <c r="D1765" s="15">
        <v>115.04</v>
      </c>
      <c r="E1765" s="7">
        <f t="shared" si="27"/>
        <v>1</v>
      </c>
    </row>
    <row r="1766" spans="1:5" x14ac:dyDescent="0.25">
      <c r="A1766" s="7">
        <f>IF(E1766=1,
      SUM($E$2:E1766)-1,
"")</f>
        <v>1763</v>
      </c>
      <c r="B1766" s="6" t="s">
        <v>887</v>
      </c>
      <c r="C1766" s="14">
        <v>45085</v>
      </c>
      <c r="D1766" s="15">
        <v>123.27</v>
      </c>
      <c r="E1766" s="7">
        <f t="shared" si="27"/>
        <v>1</v>
      </c>
    </row>
    <row r="1767" spans="1:5" x14ac:dyDescent="0.25">
      <c r="A1767" s="7">
        <f>IF(E1767=1,
      SUM($E$2:E1767)-1,
"")</f>
        <v>1764</v>
      </c>
      <c r="B1767" s="6" t="s">
        <v>370</v>
      </c>
      <c r="C1767" s="14">
        <v>45285</v>
      </c>
      <c r="D1767" s="15">
        <v>90.98</v>
      </c>
      <c r="E1767" s="7">
        <f t="shared" si="27"/>
        <v>1</v>
      </c>
    </row>
    <row r="1768" spans="1:5" x14ac:dyDescent="0.25">
      <c r="A1768" s="7">
        <f>IF(E1768=1,
      SUM($E$2:E1768)-1,
"")</f>
        <v>1765</v>
      </c>
      <c r="B1768" s="6" t="s">
        <v>658</v>
      </c>
      <c r="C1768" s="14">
        <v>45103</v>
      </c>
      <c r="D1768" s="15">
        <v>165.19</v>
      </c>
      <c r="E1768" s="7">
        <f t="shared" si="27"/>
        <v>1</v>
      </c>
    </row>
    <row r="1769" spans="1:5" x14ac:dyDescent="0.25">
      <c r="A1769" s="7">
        <f>IF(E1769=1,
      SUM($E$2:E1769)-1,
"")</f>
        <v>1766</v>
      </c>
      <c r="B1769" s="6" t="s">
        <v>685</v>
      </c>
      <c r="C1769" s="14">
        <v>45118</v>
      </c>
      <c r="D1769" s="15">
        <v>30.77</v>
      </c>
      <c r="E1769" s="7">
        <f t="shared" si="27"/>
        <v>1</v>
      </c>
    </row>
    <row r="1770" spans="1:5" x14ac:dyDescent="0.25">
      <c r="A1770" s="7">
        <f>IF(E1770=1,
      SUM($E$2:E1770)-1,
"")</f>
        <v>1767</v>
      </c>
      <c r="B1770" s="6" t="s">
        <v>403</v>
      </c>
      <c r="C1770" s="14">
        <v>45020</v>
      </c>
      <c r="D1770" s="15">
        <v>143.74</v>
      </c>
      <c r="E1770" s="7">
        <f t="shared" si="27"/>
        <v>1</v>
      </c>
    </row>
    <row r="1771" spans="1:5" x14ac:dyDescent="0.25">
      <c r="A1771" s="7">
        <f>IF(E1771=1,
      SUM($E$2:E1771)-1,
"")</f>
        <v>1768</v>
      </c>
      <c r="B1771" s="6" t="s">
        <v>888</v>
      </c>
      <c r="C1771" s="14">
        <v>45276</v>
      </c>
      <c r="D1771" s="15">
        <v>127.06</v>
      </c>
      <c r="E1771" s="7">
        <f t="shared" si="27"/>
        <v>1</v>
      </c>
    </row>
    <row r="1772" spans="1:5" x14ac:dyDescent="0.25">
      <c r="A1772" s="7">
        <f>IF(E1772=1,
      SUM($E$2:E1772)-1,
"")</f>
        <v>1769</v>
      </c>
      <c r="B1772" s="6" t="s">
        <v>889</v>
      </c>
      <c r="C1772" s="14">
        <v>45203</v>
      </c>
      <c r="D1772" s="15">
        <v>107.45</v>
      </c>
      <c r="E1772" s="7">
        <f t="shared" si="27"/>
        <v>1</v>
      </c>
    </row>
    <row r="1773" spans="1:5" x14ac:dyDescent="0.25">
      <c r="A1773" s="7">
        <f>IF(E1773=1,
      SUM($E$2:E1773)-1,
"")</f>
        <v>1770</v>
      </c>
      <c r="B1773" s="6" t="s">
        <v>101</v>
      </c>
      <c r="C1773" s="14">
        <v>45152</v>
      </c>
      <c r="D1773" s="15">
        <v>102.4</v>
      </c>
      <c r="E1773" s="7">
        <f t="shared" si="27"/>
        <v>1</v>
      </c>
    </row>
    <row r="1774" spans="1:5" x14ac:dyDescent="0.25">
      <c r="A1774" s="7">
        <f>IF(E1774=1,
      SUM($E$2:E1774)-1,
"")</f>
        <v>1771</v>
      </c>
      <c r="B1774" s="6" t="s">
        <v>890</v>
      </c>
      <c r="C1774" s="14">
        <v>45148</v>
      </c>
      <c r="D1774" s="15">
        <v>95.33</v>
      </c>
      <c r="E1774" s="7">
        <f t="shared" si="27"/>
        <v>1</v>
      </c>
    </row>
    <row r="1775" spans="1:5" x14ac:dyDescent="0.25">
      <c r="A1775" s="7">
        <f>IF(E1775=1,
      SUM($E$2:E1775)-1,
"")</f>
        <v>1772</v>
      </c>
      <c r="B1775" s="6" t="s">
        <v>475</v>
      </c>
      <c r="C1775" s="14">
        <v>45127</v>
      </c>
      <c r="D1775" s="15">
        <v>133.1</v>
      </c>
      <c r="E1775" s="7">
        <f t="shared" si="27"/>
        <v>1</v>
      </c>
    </row>
    <row r="1776" spans="1:5" x14ac:dyDescent="0.25">
      <c r="A1776" s="7">
        <f>IF(E1776=1,
      SUM($E$2:E1776)-1,
"")</f>
        <v>1773</v>
      </c>
      <c r="B1776" s="6" t="s">
        <v>689</v>
      </c>
      <c r="C1776" s="14">
        <v>44956</v>
      </c>
      <c r="D1776" s="15">
        <v>98.8</v>
      </c>
      <c r="E1776" s="7">
        <f t="shared" si="27"/>
        <v>1</v>
      </c>
    </row>
    <row r="1777" spans="1:5" x14ac:dyDescent="0.25">
      <c r="A1777" s="7">
        <f>IF(E1777=1,
      SUM($E$2:E1777)-1,
"")</f>
        <v>1774</v>
      </c>
      <c r="B1777" s="6" t="s">
        <v>599</v>
      </c>
      <c r="C1777" s="14">
        <v>45215</v>
      </c>
      <c r="D1777" s="15">
        <v>78.16</v>
      </c>
      <c r="E1777" s="7">
        <f t="shared" si="27"/>
        <v>1</v>
      </c>
    </row>
    <row r="1778" spans="1:5" x14ac:dyDescent="0.25">
      <c r="A1778" s="7">
        <f>IF(E1778=1,
      SUM($E$2:E1778)-1,
"")</f>
        <v>1775</v>
      </c>
      <c r="B1778" s="6" t="s">
        <v>664</v>
      </c>
      <c r="C1778" s="14">
        <v>45031</v>
      </c>
      <c r="D1778" s="15">
        <v>127.06</v>
      </c>
      <c r="E1778" s="7">
        <f t="shared" si="27"/>
        <v>1</v>
      </c>
    </row>
    <row r="1779" spans="1:5" x14ac:dyDescent="0.25">
      <c r="A1779" s="7">
        <f>IF(E1779=1,
      SUM($E$2:E1779)-1,
"")</f>
        <v>1776</v>
      </c>
      <c r="B1779" s="6" t="s">
        <v>803</v>
      </c>
      <c r="C1779" s="14">
        <v>45130</v>
      </c>
      <c r="D1779" s="15">
        <v>147.54</v>
      </c>
      <c r="E1779" s="7">
        <f t="shared" si="27"/>
        <v>1</v>
      </c>
    </row>
    <row r="1780" spans="1:5" x14ac:dyDescent="0.25">
      <c r="A1780" s="7">
        <f>IF(E1780=1,
      SUM($E$2:E1780)-1,
"")</f>
        <v>1777</v>
      </c>
      <c r="B1780" s="6" t="s">
        <v>228</v>
      </c>
      <c r="C1780" s="14">
        <v>45279</v>
      </c>
      <c r="D1780" s="15">
        <v>42.18</v>
      </c>
      <c r="E1780" s="7">
        <f t="shared" si="27"/>
        <v>1</v>
      </c>
    </row>
    <row r="1781" spans="1:5" x14ac:dyDescent="0.25">
      <c r="A1781" s="7">
        <f>IF(E1781=1,
      SUM($E$2:E1781)-1,
"")</f>
        <v>1778</v>
      </c>
      <c r="B1781" s="6" t="s">
        <v>656</v>
      </c>
      <c r="C1781" s="14">
        <v>45054</v>
      </c>
      <c r="D1781" s="15">
        <v>170.71</v>
      </c>
      <c r="E1781" s="7">
        <f t="shared" si="27"/>
        <v>1</v>
      </c>
    </row>
    <row r="1782" spans="1:5" x14ac:dyDescent="0.25">
      <c r="A1782" s="7">
        <f>IF(E1782=1,
      SUM($E$2:E1782)-1,
"")</f>
        <v>1779</v>
      </c>
      <c r="B1782" s="6" t="s">
        <v>439</v>
      </c>
      <c r="C1782" s="14">
        <v>45221</v>
      </c>
      <c r="D1782" s="15">
        <v>68.900000000000006</v>
      </c>
      <c r="E1782" s="7">
        <f t="shared" si="27"/>
        <v>1</v>
      </c>
    </row>
    <row r="1783" spans="1:5" x14ac:dyDescent="0.25">
      <c r="A1783" s="7">
        <f>IF(E1783=1,
      SUM($E$2:E1783)-1,
"")</f>
        <v>1780</v>
      </c>
      <c r="B1783" s="6" t="s">
        <v>259</v>
      </c>
      <c r="C1783" s="14">
        <v>45150</v>
      </c>
      <c r="D1783" s="15">
        <v>71.19</v>
      </c>
      <c r="E1783" s="7">
        <f t="shared" si="27"/>
        <v>1</v>
      </c>
    </row>
    <row r="1784" spans="1:5" x14ac:dyDescent="0.25">
      <c r="A1784" s="7">
        <f>IF(E1784=1,
      SUM($E$2:E1784)-1,
"")</f>
        <v>1781</v>
      </c>
      <c r="B1784" s="6" t="s">
        <v>844</v>
      </c>
      <c r="C1784" s="14">
        <v>44983</v>
      </c>
      <c r="D1784" s="15">
        <v>62.65</v>
      </c>
      <c r="E1784" s="7">
        <f t="shared" si="27"/>
        <v>1</v>
      </c>
    </row>
    <row r="1785" spans="1:5" x14ac:dyDescent="0.25">
      <c r="A1785" s="7">
        <f>IF(E1785=1,
      SUM($E$2:E1785)-1,
"")</f>
        <v>1782</v>
      </c>
      <c r="B1785" s="6" t="s">
        <v>417</v>
      </c>
      <c r="C1785" s="14">
        <v>45010</v>
      </c>
      <c r="D1785" s="15">
        <v>100.03</v>
      </c>
      <c r="E1785" s="7">
        <f t="shared" si="27"/>
        <v>1</v>
      </c>
    </row>
    <row r="1786" spans="1:5" x14ac:dyDescent="0.25">
      <c r="A1786" s="7">
        <f>IF(E1786=1,
      SUM($E$2:E1786)-1,
"")</f>
        <v>1783</v>
      </c>
      <c r="B1786" s="6" t="s">
        <v>186</v>
      </c>
      <c r="C1786" s="14">
        <v>45024</v>
      </c>
      <c r="D1786" s="15">
        <v>61.61</v>
      </c>
      <c r="E1786" s="7">
        <f t="shared" si="27"/>
        <v>1</v>
      </c>
    </row>
    <row r="1787" spans="1:5" x14ac:dyDescent="0.25">
      <c r="A1787" s="7">
        <f>IF(E1787=1,
      SUM($E$2:E1787)-1,
"")</f>
        <v>1784</v>
      </c>
      <c r="B1787" s="6" t="s">
        <v>891</v>
      </c>
      <c r="C1787" s="14">
        <v>45052</v>
      </c>
      <c r="D1787" s="15">
        <v>65.25</v>
      </c>
      <c r="E1787" s="7">
        <f t="shared" si="27"/>
        <v>1</v>
      </c>
    </row>
    <row r="1788" spans="1:5" x14ac:dyDescent="0.25">
      <c r="A1788" s="7">
        <f>IF(E1788=1,
      SUM($E$2:E1788)-1,
"")</f>
        <v>1785</v>
      </c>
      <c r="B1788" s="6" t="s">
        <v>462</v>
      </c>
      <c r="C1788" s="14">
        <v>45048</v>
      </c>
      <c r="D1788" s="15">
        <v>79.34</v>
      </c>
      <c r="E1788" s="7">
        <f t="shared" si="27"/>
        <v>1</v>
      </c>
    </row>
    <row r="1789" spans="1:5" x14ac:dyDescent="0.25">
      <c r="A1789" s="7">
        <f>IF(E1789=1,
      SUM($E$2:E1789)-1,
"")</f>
        <v>1786</v>
      </c>
      <c r="B1789" s="6" t="s">
        <v>637</v>
      </c>
      <c r="C1789" s="14">
        <v>45130</v>
      </c>
      <c r="D1789" s="15">
        <v>104.15</v>
      </c>
      <c r="E1789" s="7">
        <f t="shared" si="27"/>
        <v>1</v>
      </c>
    </row>
    <row r="1790" spans="1:5" x14ac:dyDescent="0.25">
      <c r="A1790" s="7">
        <f>IF(E1790=1,
      SUM($E$2:E1790)-1,
"")</f>
        <v>1787</v>
      </c>
      <c r="B1790" s="6" t="s">
        <v>277</v>
      </c>
      <c r="C1790" s="14">
        <v>45233</v>
      </c>
      <c r="D1790" s="15">
        <v>107.05</v>
      </c>
      <c r="E1790" s="7">
        <f t="shared" si="27"/>
        <v>1</v>
      </c>
    </row>
    <row r="1791" spans="1:5" x14ac:dyDescent="0.25">
      <c r="A1791" s="7">
        <f>IF(E1791=1,
      SUM($E$2:E1791)-1,
"")</f>
        <v>1788</v>
      </c>
      <c r="B1791" s="6" t="s">
        <v>449</v>
      </c>
      <c r="C1791" s="14">
        <v>45287</v>
      </c>
      <c r="D1791" s="15">
        <v>137.24</v>
      </c>
      <c r="E1791" s="7">
        <f t="shared" si="27"/>
        <v>1</v>
      </c>
    </row>
    <row r="1792" spans="1:5" x14ac:dyDescent="0.25">
      <c r="A1792" s="7">
        <f>IF(E1792=1,
      SUM($E$2:E1792)-1,
"")</f>
        <v>1789</v>
      </c>
      <c r="B1792" s="6" t="s">
        <v>892</v>
      </c>
      <c r="C1792" s="14">
        <v>45096</v>
      </c>
      <c r="D1792" s="15">
        <v>136.54</v>
      </c>
      <c r="E1792" s="7">
        <f t="shared" si="27"/>
        <v>1</v>
      </c>
    </row>
    <row r="1793" spans="1:5" x14ac:dyDescent="0.25">
      <c r="A1793" s="7">
        <f>IF(E1793=1,
      SUM($E$2:E1793)-1,
"")</f>
        <v>1790</v>
      </c>
      <c r="B1793" s="6" t="s">
        <v>330</v>
      </c>
      <c r="C1793" s="14">
        <v>45235</v>
      </c>
      <c r="D1793" s="15">
        <v>130.74</v>
      </c>
      <c r="E1793" s="7">
        <f t="shared" si="27"/>
        <v>1</v>
      </c>
    </row>
    <row r="1794" spans="1:5" x14ac:dyDescent="0.25">
      <c r="A1794" s="7">
        <f>IF(E1794=1,
      SUM($E$2:E1794)-1,
"")</f>
        <v>1791</v>
      </c>
      <c r="B1794" s="6" t="s">
        <v>207</v>
      </c>
      <c r="C1794" s="14">
        <v>44988</v>
      </c>
      <c r="D1794" s="15">
        <v>92.15</v>
      </c>
      <c r="E1794" s="7">
        <f t="shared" ref="E1794:E1857" si="28">IF(D1794&gt;0,1,0)</f>
        <v>1</v>
      </c>
    </row>
    <row r="1795" spans="1:5" x14ac:dyDescent="0.25">
      <c r="A1795" s="7">
        <f>IF(E1795=1,
      SUM($E$2:E1795)-1,
"")</f>
        <v>1792</v>
      </c>
      <c r="B1795" s="6" t="s">
        <v>645</v>
      </c>
      <c r="C1795" s="14">
        <v>45076</v>
      </c>
      <c r="D1795" s="15">
        <v>44.76</v>
      </c>
      <c r="E1795" s="7">
        <f t="shared" si="28"/>
        <v>1</v>
      </c>
    </row>
    <row r="1796" spans="1:5" x14ac:dyDescent="0.25">
      <c r="A1796" s="7">
        <f>IF(E1796=1,
      SUM($E$2:E1796)-1,
"")</f>
        <v>1793</v>
      </c>
      <c r="B1796" s="6" t="s">
        <v>427</v>
      </c>
      <c r="C1796" s="14">
        <v>45267</v>
      </c>
      <c r="D1796" s="15">
        <v>44.1</v>
      </c>
      <c r="E1796" s="7">
        <f t="shared" si="28"/>
        <v>1</v>
      </c>
    </row>
    <row r="1797" spans="1:5" x14ac:dyDescent="0.25">
      <c r="A1797" s="7">
        <f>IF(E1797=1,
      SUM($E$2:E1797)-1,
"")</f>
        <v>1794</v>
      </c>
      <c r="B1797" s="6" t="s">
        <v>893</v>
      </c>
      <c r="C1797" s="14">
        <v>44990</v>
      </c>
      <c r="D1797" s="15">
        <v>130.53</v>
      </c>
      <c r="E1797" s="7">
        <f t="shared" si="28"/>
        <v>1</v>
      </c>
    </row>
    <row r="1798" spans="1:5" x14ac:dyDescent="0.25">
      <c r="A1798" s="7">
        <f>IF(E1798=1,
      SUM($E$2:E1798)-1,
"")</f>
        <v>1795</v>
      </c>
      <c r="B1798" s="6" t="s">
        <v>114</v>
      </c>
      <c r="C1798" s="14">
        <v>45288</v>
      </c>
      <c r="D1798" s="15">
        <v>125.31</v>
      </c>
      <c r="E1798" s="7">
        <f t="shared" si="28"/>
        <v>1</v>
      </c>
    </row>
    <row r="1799" spans="1:5" x14ac:dyDescent="0.25">
      <c r="A1799" s="7">
        <f>IF(E1799=1,
      SUM($E$2:E1799)-1,
"")</f>
        <v>1796</v>
      </c>
      <c r="B1799" s="6" t="s">
        <v>177</v>
      </c>
      <c r="C1799" s="14">
        <v>45273</v>
      </c>
      <c r="D1799" s="15">
        <v>81.5</v>
      </c>
      <c r="E1799" s="7">
        <f t="shared" si="28"/>
        <v>1</v>
      </c>
    </row>
    <row r="1800" spans="1:5" x14ac:dyDescent="0.25">
      <c r="A1800" s="7">
        <f>IF(E1800=1,
      SUM($E$2:E1800)-1,
"")</f>
        <v>1797</v>
      </c>
      <c r="B1800" s="6" t="s">
        <v>441</v>
      </c>
      <c r="C1800" s="14">
        <v>45095</v>
      </c>
      <c r="D1800" s="15">
        <v>56.78</v>
      </c>
      <c r="E1800" s="7">
        <f t="shared" si="28"/>
        <v>1</v>
      </c>
    </row>
    <row r="1801" spans="1:5" x14ac:dyDescent="0.25">
      <c r="A1801" s="7">
        <f>IF(E1801=1,
      SUM($E$2:E1801)-1,
"")</f>
        <v>1798</v>
      </c>
      <c r="B1801" s="6" t="s">
        <v>317</v>
      </c>
      <c r="C1801" s="14">
        <v>45234</v>
      </c>
      <c r="D1801" s="15">
        <v>68.59</v>
      </c>
      <c r="E1801" s="7">
        <f t="shared" si="28"/>
        <v>1</v>
      </c>
    </row>
    <row r="1802" spans="1:5" x14ac:dyDescent="0.25">
      <c r="A1802" s="7">
        <f>IF(E1802=1,
      SUM($E$2:E1802)-1,
"")</f>
        <v>1799</v>
      </c>
      <c r="B1802" s="6" t="s">
        <v>894</v>
      </c>
      <c r="C1802" s="14">
        <v>45051</v>
      </c>
      <c r="D1802" s="15">
        <v>105.24</v>
      </c>
      <c r="E1802" s="7">
        <f t="shared" si="28"/>
        <v>1</v>
      </c>
    </row>
    <row r="1803" spans="1:5" x14ac:dyDescent="0.25">
      <c r="A1803" s="7">
        <f>IF(E1803=1,
      SUM($E$2:E1803)-1,
"")</f>
        <v>1800</v>
      </c>
      <c r="B1803" s="6" t="s">
        <v>862</v>
      </c>
      <c r="C1803" s="14">
        <v>45147</v>
      </c>
      <c r="D1803" s="15">
        <v>105.3</v>
      </c>
      <c r="E1803" s="7">
        <f t="shared" si="28"/>
        <v>1</v>
      </c>
    </row>
    <row r="1804" spans="1:5" x14ac:dyDescent="0.25">
      <c r="A1804" s="7">
        <f>IF(E1804=1,
      SUM($E$2:E1804)-1,
"")</f>
        <v>1801</v>
      </c>
      <c r="B1804" s="6" t="s">
        <v>573</v>
      </c>
      <c r="C1804" s="14">
        <v>45020</v>
      </c>
      <c r="D1804" s="15">
        <v>131.28</v>
      </c>
      <c r="E1804" s="7">
        <f t="shared" si="28"/>
        <v>1</v>
      </c>
    </row>
    <row r="1805" spans="1:5" x14ac:dyDescent="0.25">
      <c r="A1805" s="7">
        <f>IF(E1805=1,
      SUM($E$2:E1805)-1,
"")</f>
        <v>1802</v>
      </c>
      <c r="B1805" s="6" t="s">
        <v>895</v>
      </c>
      <c r="C1805" s="14">
        <v>45044</v>
      </c>
      <c r="D1805" s="15">
        <v>86.49</v>
      </c>
      <c r="E1805" s="7">
        <f t="shared" si="28"/>
        <v>1</v>
      </c>
    </row>
    <row r="1806" spans="1:5" x14ac:dyDescent="0.25">
      <c r="A1806" s="7">
        <f>IF(E1806=1,
      SUM($E$2:E1806)-1,
"")</f>
        <v>1803</v>
      </c>
      <c r="B1806" s="6" t="s">
        <v>666</v>
      </c>
      <c r="C1806" s="14">
        <v>45279</v>
      </c>
      <c r="D1806" s="15">
        <v>92.68</v>
      </c>
      <c r="E1806" s="7">
        <f t="shared" si="28"/>
        <v>1</v>
      </c>
    </row>
    <row r="1807" spans="1:5" x14ac:dyDescent="0.25">
      <c r="A1807" s="7">
        <f>IF(E1807=1,
      SUM($E$2:E1807)-1,
"")</f>
        <v>1804</v>
      </c>
      <c r="B1807" s="6" t="s">
        <v>200</v>
      </c>
      <c r="C1807" s="14">
        <v>45280</v>
      </c>
      <c r="D1807" s="15">
        <v>133.76</v>
      </c>
      <c r="E1807" s="7">
        <f t="shared" si="28"/>
        <v>1</v>
      </c>
    </row>
    <row r="1808" spans="1:5" x14ac:dyDescent="0.25">
      <c r="A1808" s="7">
        <f>IF(E1808=1,
      SUM($E$2:E1808)-1,
"")</f>
        <v>1805</v>
      </c>
      <c r="B1808" s="6" t="s">
        <v>896</v>
      </c>
      <c r="C1808" s="14">
        <v>45249</v>
      </c>
      <c r="D1808" s="15">
        <v>36.25</v>
      </c>
      <c r="E1808" s="7">
        <f t="shared" si="28"/>
        <v>1</v>
      </c>
    </row>
    <row r="1809" spans="1:5" x14ac:dyDescent="0.25">
      <c r="A1809" s="7">
        <f>IF(E1809=1,
      SUM($E$2:E1809)-1,
"")</f>
        <v>1806</v>
      </c>
      <c r="B1809" s="6" t="s">
        <v>451</v>
      </c>
      <c r="C1809" s="14">
        <v>45274</v>
      </c>
      <c r="D1809" s="15">
        <v>109.52</v>
      </c>
      <c r="E1809" s="7">
        <f t="shared" si="28"/>
        <v>1</v>
      </c>
    </row>
    <row r="1810" spans="1:5" x14ac:dyDescent="0.25">
      <c r="A1810" s="7">
        <f>IF(E1810=1,
      SUM($E$2:E1810)-1,
"")</f>
        <v>1807</v>
      </c>
      <c r="B1810" s="6" t="s">
        <v>521</v>
      </c>
      <c r="C1810" s="14">
        <v>45230</v>
      </c>
      <c r="D1810" s="15">
        <v>89.97</v>
      </c>
      <c r="E1810" s="7">
        <f t="shared" si="28"/>
        <v>1</v>
      </c>
    </row>
    <row r="1811" spans="1:5" x14ac:dyDescent="0.25">
      <c r="A1811" s="7">
        <f>IF(E1811=1,
      SUM($E$2:E1811)-1,
"")</f>
        <v>1808</v>
      </c>
      <c r="B1811" s="6" t="s">
        <v>741</v>
      </c>
      <c r="C1811" s="14">
        <v>45054</v>
      </c>
      <c r="D1811" s="15">
        <v>121.38</v>
      </c>
      <c r="E1811" s="7">
        <f t="shared" si="28"/>
        <v>1</v>
      </c>
    </row>
    <row r="1812" spans="1:5" x14ac:dyDescent="0.25">
      <c r="A1812" s="7">
        <f>IF(E1812=1,
      SUM($E$2:E1812)-1,
"")</f>
        <v>1809</v>
      </c>
      <c r="B1812" s="6" t="s">
        <v>289</v>
      </c>
      <c r="C1812" s="14">
        <v>44956</v>
      </c>
      <c r="D1812" s="15">
        <v>115.38</v>
      </c>
      <c r="E1812" s="7">
        <f t="shared" si="28"/>
        <v>1</v>
      </c>
    </row>
    <row r="1813" spans="1:5" x14ac:dyDescent="0.25">
      <c r="A1813" s="7">
        <f>IF(E1813=1,
      SUM($E$2:E1813)-1,
"")</f>
        <v>1810</v>
      </c>
      <c r="B1813" s="6" t="s">
        <v>218</v>
      </c>
      <c r="C1813" s="14">
        <v>45193</v>
      </c>
      <c r="D1813" s="15">
        <v>79.11</v>
      </c>
      <c r="E1813" s="7">
        <f t="shared" si="28"/>
        <v>1</v>
      </c>
    </row>
    <row r="1814" spans="1:5" x14ac:dyDescent="0.25">
      <c r="A1814" s="7">
        <f>IF(E1814=1,
      SUM($E$2:E1814)-1,
"")</f>
        <v>1811</v>
      </c>
      <c r="B1814" s="6" t="s">
        <v>547</v>
      </c>
      <c r="C1814" s="14">
        <v>45130</v>
      </c>
      <c r="D1814" s="15">
        <v>84.78</v>
      </c>
      <c r="E1814" s="7">
        <f t="shared" si="28"/>
        <v>1</v>
      </c>
    </row>
    <row r="1815" spans="1:5" x14ac:dyDescent="0.25">
      <c r="A1815" s="7">
        <f>IF(E1815=1,
      SUM($E$2:E1815)-1,
"")</f>
        <v>1812</v>
      </c>
      <c r="B1815" s="6" t="s">
        <v>897</v>
      </c>
      <c r="C1815" s="14">
        <v>45171</v>
      </c>
      <c r="D1815" s="15">
        <v>30.94</v>
      </c>
      <c r="E1815" s="7">
        <f t="shared" si="28"/>
        <v>1</v>
      </c>
    </row>
    <row r="1816" spans="1:5" x14ac:dyDescent="0.25">
      <c r="A1816" s="7">
        <f>IF(E1816=1,
      SUM($E$2:E1816)-1,
"")</f>
        <v>1813</v>
      </c>
      <c r="B1816" s="6" t="s">
        <v>619</v>
      </c>
      <c r="C1816" s="14">
        <v>45249</v>
      </c>
      <c r="D1816" s="15">
        <v>122.5</v>
      </c>
      <c r="E1816" s="7">
        <f t="shared" si="28"/>
        <v>1</v>
      </c>
    </row>
    <row r="1817" spans="1:5" x14ac:dyDescent="0.25">
      <c r="A1817" s="7">
        <f>IF(E1817=1,
      SUM($E$2:E1817)-1,
"")</f>
        <v>1814</v>
      </c>
      <c r="B1817" s="6" t="s">
        <v>898</v>
      </c>
      <c r="C1817" s="14">
        <v>44933</v>
      </c>
      <c r="D1817" s="15">
        <v>107.19</v>
      </c>
      <c r="E1817" s="7">
        <f t="shared" si="28"/>
        <v>1</v>
      </c>
    </row>
    <row r="1818" spans="1:5" x14ac:dyDescent="0.25">
      <c r="A1818" s="7">
        <f>IF(E1818=1,
      SUM($E$2:E1818)-1,
"")</f>
        <v>1815</v>
      </c>
      <c r="B1818" s="6" t="s">
        <v>788</v>
      </c>
      <c r="C1818" s="14">
        <v>44976</v>
      </c>
      <c r="D1818" s="15">
        <v>141.96</v>
      </c>
      <c r="E1818" s="7">
        <f t="shared" si="28"/>
        <v>1</v>
      </c>
    </row>
    <row r="1819" spans="1:5" x14ac:dyDescent="0.25">
      <c r="A1819" s="7">
        <f>IF(E1819=1,
      SUM($E$2:E1819)-1,
"")</f>
        <v>1816</v>
      </c>
      <c r="B1819" s="6" t="s">
        <v>761</v>
      </c>
      <c r="C1819" s="14">
        <v>45148</v>
      </c>
      <c r="D1819" s="15">
        <v>88.02</v>
      </c>
      <c r="E1819" s="7">
        <f t="shared" si="28"/>
        <v>1</v>
      </c>
    </row>
    <row r="1820" spans="1:5" x14ac:dyDescent="0.25">
      <c r="A1820" s="7">
        <f>IF(E1820=1,
      SUM($E$2:E1820)-1,
"")</f>
        <v>1817</v>
      </c>
      <c r="B1820" s="6" t="s">
        <v>306</v>
      </c>
      <c r="C1820" s="14">
        <v>44966</v>
      </c>
      <c r="D1820" s="15">
        <v>127.43</v>
      </c>
      <c r="E1820" s="7">
        <f t="shared" si="28"/>
        <v>1</v>
      </c>
    </row>
    <row r="1821" spans="1:5" x14ac:dyDescent="0.25">
      <c r="A1821" s="7">
        <f>IF(E1821=1,
      SUM($E$2:E1821)-1,
"")</f>
        <v>1818</v>
      </c>
      <c r="B1821" s="6" t="s">
        <v>632</v>
      </c>
      <c r="C1821" s="14">
        <v>44930</v>
      </c>
      <c r="D1821" s="15">
        <v>67.900000000000006</v>
      </c>
      <c r="E1821" s="7">
        <f t="shared" si="28"/>
        <v>1</v>
      </c>
    </row>
    <row r="1822" spans="1:5" x14ac:dyDescent="0.25">
      <c r="A1822" s="7">
        <f>IF(E1822=1,
      SUM($E$2:E1822)-1,
"")</f>
        <v>1819</v>
      </c>
      <c r="B1822" s="6" t="s">
        <v>612</v>
      </c>
      <c r="C1822" s="14">
        <v>45243</v>
      </c>
      <c r="D1822" s="15">
        <v>18.86</v>
      </c>
      <c r="E1822" s="7">
        <f t="shared" si="28"/>
        <v>1</v>
      </c>
    </row>
    <row r="1823" spans="1:5" x14ac:dyDescent="0.25">
      <c r="A1823" s="7">
        <f>IF(E1823=1,
      SUM($E$2:E1823)-1,
"")</f>
        <v>1820</v>
      </c>
      <c r="B1823" s="6" t="s">
        <v>333</v>
      </c>
      <c r="C1823" s="14">
        <v>45228</v>
      </c>
      <c r="D1823" s="15">
        <v>97.16</v>
      </c>
      <c r="E1823" s="7">
        <f t="shared" si="28"/>
        <v>1</v>
      </c>
    </row>
    <row r="1824" spans="1:5" x14ac:dyDescent="0.25">
      <c r="A1824" s="7">
        <f>IF(E1824=1,
      SUM($E$2:E1824)-1,
"")</f>
        <v>1821</v>
      </c>
      <c r="B1824" s="6" t="s">
        <v>177</v>
      </c>
      <c r="C1824" s="14">
        <v>44938</v>
      </c>
      <c r="D1824" s="15">
        <v>83</v>
      </c>
      <c r="E1824" s="7">
        <f t="shared" si="28"/>
        <v>1</v>
      </c>
    </row>
    <row r="1825" spans="1:5" x14ac:dyDescent="0.25">
      <c r="A1825" s="7">
        <f>IF(E1825=1,
      SUM($E$2:E1825)-1,
"")</f>
        <v>1822</v>
      </c>
      <c r="B1825" s="6" t="s">
        <v>228</v>
      </c>
      <c r="C1825" s="14">
        <v>45005</v>
      </c>
      <c r="D1825" s="15">
        <v>68.48</v>
      </c>
      <c r="E1825" s="7">
        <f t="shared" si="28"/>
        <v>1</v>
      </c>
    </row>
    <row r="1826" spans="1:5" x14ac:dyDescent="0.25">
      <c r="A1826" s="7">
        <f>IF(E1826=1,
      SUM($E$2:E1826)-1,
"")</f>
        <v>1823</v>
      </c>
      <c r="B1826" s="6" t="s">
        <v>577</v>
      </c>
      <c r="C1826" s="14">
        <v>45129</v>
      </c>
      <c r="D1826" s="15">
        <v>126.94</v>
      </c>
      <c r="E1826" s="7">
        <f t="shared" si="28"/>
        <v>1</v>
      </c>
    </row>
    <row r="1827" spans="1:5" x14ac:dyDescent="0.25">
      <c r="A1827" s="7">
        <f>IF(E1827=1,
      SUM($E$2:E1827)-1,
"")</f>
        <v>1824</v>
      </c>
      <c r="B1827" s="6" t="s">
        <v>488</v>
      </c>
      <c r="C1827" s="14">
        <v>45152</v>
      </c>
      <c r="D1827" s="15">
        <v>136.25</v>
      </c>
      <c r="E1827" s="7">
        <f t="shared" si="28"/>
        <v>1</v>
      </c>
    </row>
    <row r="1828" spans="1:5" x14ac:dyDescent="0.25">
      <c r="A1828" s="7">
        <f>IF(E1828=1,
      SUM($E$2:E1828)-1,
"")</f>
        <v>1825</v>
      </c>
      <c r="B1828" s="6" t="s">
        <v>690</v>
      </c>
      <c r="C1828" s="14">
        <v>44979</v>
      </c>
      <c r="D1828" s="15">
        <v>103.16</v>
      </c>
      <c r="E1828" s="7">
        <f t="shared" si="28"/>
        <v>1</v>
      </c>
    </row>
    <row r="1829" spans="1:5" x14ac:dyDescent="0.25">
      <c r="A1829" s="7">
        <f>IF(E1829=1,
      SUM($E$2:E1829)-1,
"")</f>
        <v>1826</v>
      </c>
      <c r="B1829" s="6" t="s">
        <v>441</v>
      </c>
      <c r="C1829" s="14">
        <v>45165</v>
      </c>
      <c r="D1829" s="15">
        <v>94.52</v>
      </c>
      <c r="E1829" s="7">
        <f t="shared" si="28"/>
        <v>1</v>
      </c>
    </row>
    <row r="1830" spans="1:5" x14ac:dyDescent="0.25">
      <c r="A1830" s="7">
        <f>IF(E1830=1,
      SUM($E$2:E1830)-1,
"")</f>
        <v>1827</v>
      </c>
      <c r="B1830" s="6" t="s">
        <v>693</v>
      </c>
      <c r="C1830" s="14">
        <v>45054</v>
      </c>
      <c r="D1830" s="15">
        <v>101.88</v>
      </c>
      <c r="E1830" s="7">
        <f t="shared" si="28"/>
        <v>1</v>
      </c>
    </row>
    <row r="1831" spans="1:5" x14ac:dyDescent="0.25">
      <c r="A1831" s="7">
        <f>IF(E1831=1,
      SUM($E$2:E1831)-1,
"")</f>
        <v>1828</v>
      </c>
      <c r="B1831" s="6" t="s">
        <v>614</v>
      </c>
      <c r="C1831" s="14">
        <v>44969</v>
      </c>
      <c r="D1831" s="15">
        <v>80.41</v>
      </c>
      <c r="E1831" s="7">
        <f t="shared" si="28"/>
        <v>1</v>
      </c>
    </row>
    <row r="1832" spans="1:5" x14ac:dyDescent="0.25">
      <c r="A1832" s="7">
        <f>IF(E1832=1,
      SUM($E$2:E1832)-1,
"")</f>
        <v>1829</v>
      </c>
      <c r="B1832" s="6" t="s">
        <v>840</v>
      </c>
      <c r="C1832" s="14">
        <v>44997</v>
      </c>
      <c r="D1832" s="15">
        <v>116.88</v>
      </c>
      <c r="E1832" s="7">
        <f t="shared" si="28"/>
        <v>1</v>
      </c>
    </row>
    <row r="1833" spans="1:5" x14ac:dyDescent="0.25">
      <c r="A1833" s="7">
        <f>IF(E1833=1,
      SUM($E$2:E1833)-1,
"")</f>
        <v>1830</v>
      </c>
      <c r="B1833" s="6" t="s">
        <v>194</v>
      </c>
      <c r="C1833" s="14">
        <v>45106</v>
      </c>
      <c r="D1833" s="15">
        <v>53.82</v>
      </c>
      <c r="E1833" s="7">
        <f t="shared" si="28"/>
        <v>1</v>
      </c>
    </row>
    <row r="1834" spans="1:5" x14ac:dyDescent="0.25">
      <c r="A1834" s="7">
        <f>IF(E1834=1,
      SUM($E$2:E1834)-1,
"")</f>
        <v>1831</v>
      </c>
      <c r="B1834" s="6" t="s">
        <v>656</v>
      </c>
      <c r="C1834" s="14">
        <v>45085</v>
      </c>
      <c r="D1834" s="15">
        <v>67.81</v>
      </c>
      <c r="E1834" s="7">
        <f t="shared" si="28"/>
        <v>1</v>
      </c>
    </row>
    <row r="1835" spans="1:5" x14ac:dyDescent="0.25">
      <c r="A1835" s="7">
        <f>IF(E1835=1,
      SUM($E$2:E1835)-1,
"")</f>
        <v>1832</v>
      </c>
      <c r="B1835" s="6" t="s">
        <v>708</v>
      </c>
      <c r="C1835" s="14">
        <v>45073</v>
      </c>
      <c r="D1835" s="15">
        <v>76.260000000000005</v>
      </c>
      <c r="E1835" s="7">
        <f t="shared" si="28"/>
        <v>1</v>
      </c>
    </row>
    <row r="1836" spans="1:5" x14ac:dyDescent="0.25">
      <c r="A1836" s="7">
        <f>IF(E1836=1,
      SUM($E$2:E1836)-1,
"")</f>
        <v>1833</v>
      </c>
      <c r="B1836" s="6" t="s">
        <v>425</v>
      </c>
      <c r="C1836" s="14">
        <v>45103</v>
      </c>
      <c r="D1836" s="15">
        <v>116.24</v>
      </c>
      <c r="E1836" s="7">
        <f t="shared" si="28"/>
        <v>1</v>
      </c>
    </row>
    <row r="1837" spans="1:5" x14ac:dyDescent="0.25">
      <c r="A1837" s="7">
        <f>IF(E1837=1,
      SUM($E$2:E1837)-1,
"")</f>
        <v>1834</v>
      </c>
      <c r="B1837" s="6" t="s">
        <v>294</v>
      </c>
      <c r="C1837" s="14">
        <v>44947</v>
      </c>
      <c r="D1837" s="15">
        <v>90.93</v>
      </c>
      <c r="E1837" s="7">
        <f t="shared" si="28"/>
        <v>1</v>
      </c>
    </row>
    <row r="1838" spans="1:5" x14ac:dyDescent="0.25">
      <c r="A1838" s="7">
        <f>IF(E1838=1,
      SUM($E$2:E1838)-1,
"")</f>
        <v>1835</v>
      </c>
      <c r="B1838" s="6" t="s">
        <v>393</v>
      </c>
      <c r="C1838" s="14">
        <v>45009</v>
      </c>
      <c r="D1838" s="15">
        <v>140.81</v>
      </c>
      <c r="E1838" s="7">
        <f t="shared" si="28"/>
        <v>1</v>
      </c>
    </row>
    <row r="1839" spans="1:5" x14ac:dyDescent="0.25">
      <c r="A1839" s="7">
        <f>IF(E1839=1,
      SUM($E$2:E1839)-1,
"")</f>
        <v>1836</v>
      </c>
      <c r="B1839" s="6" t="s">
        <v>791</v>
      </c>
      <c r="C1839" s="14">
        <v>44941</v>
      </c>
      <c r="D1839" s="15">
        <v>124.1</v>
      </c>
      <c r="E1839" s="7">
        <f t="shared" si="28"/>
        <v>1</v>
      </c>
    </row>
    <row r="1840" spans="1:5" x14ac:dyDescent="0.25">
      <c r="A1840" s="7">
        <f>IF(E1840=1,
      SUM($E$2:E1840)-1,
"")</f>
        <v>1837</v>
      </c>
      <c r="B1840" s="6" t="s">
        <v>843</v>
      </c>
      <c r="C1840" s="14">
        <v>45056</v>
      </c>
      <c r="D1840" s="15">
        <v>75.97</v>
      </c>
      <c r="E1840" s="7">
        <f t="shared" si="28"/>
        <v>1</v>
      </c>
    </row>
    <row r="1841" spans="1:5" x14ac:dyDescent="0.25">
      <c r="A1841" s="7">
        <f>IF(E1841=1,
      SUM($E$2:E1841)-1,
"")</f>
        <v>1838</v>
      </c>
      <c r="B1841" s="6" t="s">
        <v>622</v>
      </c>
      <c r="C1841" s="14">
        <v>45099</v>
      </c>
      <c r="D1841" s="15">
        <v>119</v>
      </c>
      <c r="E1841" s="7">
        <f t="shared" si="28"/>
        <v>1</v>
      </c>
    </row>
    <row r="1842" spans="1:5" x14ac:dyDescent="0.25">
      <c r="A1842" s="7">
        <f>IF(E1842=1,
      SUM($E$2:E1842)-1,
"")</f>
        <v>1839</v>
      </c>
      <c r="B1842" s="6" t="s">
        <v>899</v>
      </c>
      <c r="C1842" s="14">
        <v>45006</v>
      </c>
      <c r="D1842" s="15">
        <v>87.75</v>
      </c>
      <c r="E1842" s="7">
        <f t="shared" si="28"/>
        <v>1</v>
      </c>
    </row>
    <row r="1843" spans="1:5" x14ac:dyDescent="0.25">
      <c r="A1843" s="7">
        <f>IF(E1843=1,
      SUM($E$2:E1843)-1,
"")</f>
        <v>1840</v>
      </c>
      <c r="B1843" s="6" t="s">
        <v>900</v>
      </c>
      <c r="C1843" s="14">
        <v>45034</v>
      </c>
      <c r="D1843" s="15">
        <v>114.2</v>
      </c>
      <c r="E1843" s="7">
        <f t="shared" si="28"/>
        <v>1</v>
      </c>
    </row>
    <row r="1844" spans="1:5" x14ac:dyDescent="0.25">
      <c r="A1844" s="7">
        <f>IF(E1844=1,
      SUM($E$2:E1844)-1,
"")</f>
        <v>1841</v>
      </c>
      <c r="B1844" s="6" t="s">
        <v>901</v>
      </c>
      <c r="C1844" s="14">
        <v>45047</v>
      </c>
      <c r="D1844" s="15">
        <v>125.55</v>
      </c>
      <c r="E1844" s="7">
        <f t="shared" si="28"/>
        <v>1</v>
      </c>
    </row>
    <row r="1845" spans="1:5" x14ac:dyDescent="0.25">
      <c r="A1845" s="7">
        <f>IF(E1845=1,
      SUM($E$2:E1845)-1,
"")</f>
        <v>1842</v>
      </c>
      <c r="B1845" s="6" t="s">
        <v>486</v>
      </c>
      <c r="C1845" s="14">
        <v>45157</v>
      </c>
      <c r="D1845" s="15">
        <v>133.44</v>
      </c>
      <c r="E1845" s="7">
        <f t="shared" si="28"/>
        <v>1</v>
      </c>
    </row>
    <row r="1846" spans="1:5" x14ac:dyDescent="0.25">
      <c r="A1846" s="7">
        <f>IF(E1846=1,
      SUM($E$2:E1846)-1,
"")</f>
        <v>1843</v>
      </c>
      <c r="B1846" s="6" t="s">
        <v>436</v>
      </c>
      <c r="C1846" s="14">
        <v>45013</v>
      </c>
      <c r="D1846" s="15">
        <v>106.06</v>
      </c>
      <c r="E1846" s="7">
        <f t="shared" si="28"/>
        <v>1</v>
      </c>
    </row>
    <row r="1847" spans="1:5" x14ac:dyDescent="0.25">
      <c r="A1847" s="7">
        <f>IF(E1847=1,
      SUM($E$2:E1847)-1,
"")</f>
        <v>1844</v>
      </c>
      <c r="B1847" s="6" t="s">
        <v>416</v>
      </c>
      <c r="C1847" s="14">
        <v>45022</v>
      </c>
      <c r="D1847" s="15">
        <v>148</v>
      </c>
      <c r="E1847" s="7">
        <f t="shared" si="28"/>
        <v>1</v>
      </c>
    </row>
    <row r="1848" spans="1:5" x14ac:dyDescent="0.25">
      <c r="A1848" s="7">
        <f>IF(E1848=1,
      SUM($E$2:E1848)-1,
"")</f>
        <v>1845</v>
      </c>
      <c r="B1848" s="6" t="s">
        <v>468</v>
      </c>
      <c r="C1848" s="14">
        <v>45122</v>
      </c>
      <c r="D1848" s="15">
        <v>113.24</v>
      </c>
      <c r="E1848" s="7">
        <f t="shared" si="28"/>
        <v>1</v>
      </c>
    </row>
    <row r="1849" spans="1:5" x14ac:dyDescent="0.25">
      <c r="A1849" s="7">
        <f>IF(E1849=1,
      SUM($E$2:E1849)-1,
"")</f>
        <v>1846</v>
      </c>
      <c r="B1849" s="6" t="s">
        <v>902</v>
      </c>
      <c r="C1849" s="14">
        <v>45134</v>
      </c>
      <c r="D1849" s="15">
        <v>104.05</v>
      </c>
      <c r="E1849" s="7">
        <f t="shared" si="28"/>
        <v>1</v>
      </c>
    </row>
    <row r="1850" spans="1:5" x14ac:dyDescent="0.25">
      <c r="A1850" s="7">
        <f>IF(E1850=1,
      SUM($E$2:E1850)-1,
"")</f>
        <v>1847</v>
      </c>
      <c r="B1850" s="6" t="s">
        <v>273</v>
      </c>
      <c r="C1850" s="14">
        <v>45092</v>
      </c>
      <c r="D1850" s="15">
        <v>90.92</v>
      </c>
      <c r="E1850" s="7">
        <f t="shared" si="28"/>
        <v>1</v>
      </c>
    </row>
    <row r="1851" spans="1:5" x14ac:dyDescent="0.25">
      <c r="A1851" s="7">
        <f>IF(E1851=1,
      SUM($E$2:E1851)-1,
"")</f>
        <v>1848</v>
      </c>
      <c r="B1851" s="6" t="s">
        <v>903</v>
      </c>
      <c r="C1851" s="14">
        <v>45248</v>
      </c>
      <c r="D1851" s="15">
        <v>81.06</v>
      </c>
      <c r="E1851" s="7">
        <f t="shared" si="28"/>
        <v>1</v>
      </c>
    </row>
    <row r="1852" spans="1:5" x14ac:dyDescent="0.25">
      <c r="A1852" s="7">
        <f>IF(E1852=1,
      SUM($E$2:E1852)-1,
"")</f>
        <v>1849</v>
      </c>
      <c r="B1852" s="6" t="s">
        <v>561</v>
      </c>
      <c r="C1852" s="14">
        <v>45029</v>
      </c>
      <c r="D1852" s="15">
        <v>112.6</v>
      </c>
      <c r="E1852" s="7">
        <f t="shared" si="28"/>
        <v>1</v>
      </c>
    </row>
    <row r="1853" spans="1:5" x14ac:dyDescent="0.25">
      <c r="A1853" s="7">
        <f>IF(E1853=1,
      SUM($E$2:E1853)-1,
"")</f>
        <v>1850</v>
      </c>
      <c r="B1853" s="6" t="s">
        <v>333</v>
      </c>
      <c r="C1853" s="14">
        <v>45222</v>
      </c>
      <c r="D1853" s="15">
        <v>103.02</v>
      </c>
      <c r="E1853" s="7">
        <f t="shared" si="28"/>
        <v>1</v>
      </c>
    </row>
    <row r="1854" spans="1:5" x14ac:dyDescent="0.25">
      <c r="A1854" s="7">
        <f>IF(E1854=1,
      SUM($E$2:E1854)-1,
"")</f>
        <v>1851</v>
      </c>
      <c r="B1854" s="6" t="s">
        <v>307</v>
      </c>
      <c r="C1854" s="14">
        <v>44929</v>
      </c>
      <c r="D1854" s="15">
        <v>107.82</v>
      </c>
      <c r="E1854" s="7">
        <f t="shared" si="28"/>
        <v>1</v>
      </c>
    </row>
    <row r="1855" spans="1:5" x14ac:dyDescent="0.25">
      <c r="A1855" s="7">
        <f>IF(E1855=1,
      SUM($E$2:E1855)-1,
"")</f>
        <v>1852</v>
      </c>
      <c r="B1855" s="6" t="s">
        <v>183</v>
      </c>
      <c r="C1855" s="14">
        <v>45190</v>
      </c>
      <c r="D1855" s="15">
        <v>114.42</v>
      </c>
      <c r="E1855" s="7">
        <f t="shared" si="28"/>
        <v>1</v>
      </c>
    </row>
    <row r="1856" spans="1:5" x14ac:dyDescent="0.25">
      <c r="A1856" s="7">
        <f>IF(E1856=1,
      SUM($E$2:E1856)-1,
"")</f>
        <v>1853</v>
      </c>
      <c r="B1856" s="6" t="s">
        <v>819</v>
      </c>
      <c r="C1856" s="14">
        <v>45168</v>
      </c>
      <c r="D1856" s="15">
        <v>107.7</v>
      </c>
      <c r="E1856" s="7">
        <f t="shared" si="28"/>
        <v>1</v>
      </c>
    </row>
    <row r="1857" spans="1:5" x14ac:dyDescent="0.25">
      <c r="A1857" s="7">
        <f>IF(E1857=1,
      SUM($E$2:E1857)-1,
"")</f>
        <v>1854</v>
      </c>
      <c r="B1857" s="6" t="s">
        <v>148</v>
      </c>
      <c r="C1857" s="14">
        <v>44980</v>
      </c>
      <c r="D1857" s="15">
        <v>160.4</v>
      </c>
      <c r="E1857" s="7">
        <f t="shared" si="28"/>
        <v>1</v>
      </c>
    </row>
    <row r="1858" spans="1:5" x14ac:dyDescent="0.25">
      <c r="A1858" s="7">
        <f>IF(E1858=1,
      SUM($E$2:E1858)-1,
"")</f>
        <v>1855</v>
      </c>
      <c r="B1858" s="6" t="s">
        <v>550</v>
      </c>
      <c r="C1858" s="14">
        <v>45007</v>
      </c>
      <c r="D1858" s="15">
        <v>84.16</v>
      </c>
      <c r="E1858" s="7">
        <f t="shared" ref="E1858:E1921" si="29">IF(D1858&gt;0,1,0)</f>
        <v>1</v>
      </c>
    </row>
    <row r="1859" spans="1:5" x14ac:dyDescent="0.25">
      <c r="A1859" s="7">
        <f>IF(E1859=1,
      SUM($E$2:E1859)-1,
"")</f>
        <v>1856</v>
      </c>
      <c r="B1859" s="6" t="s">
        <v>469</v>
      </c>
      <c r="C1859" s="14">
        <v>45063</v>
      </c>
      <c r="D1859" s="15">
        <v>112.97</v>
      </c>
      <c r="E1859" s="7">
        <f t="shared" si="29"/>
        <v>1</v>
      </c>
    </row>
    <row r="1860" spans="1:5" x14ac:dyDescent="0.25">
      <c r="A1860" s="7">
        <f>IF(E1860=1,
      SUM($E$2:E1860)-1,
"")</f>
        <v>1857</v>
      </c>
      <c r="B1860" s="6" t="s">
        <v>328</v>
      </c>
      <c r="C1860" s="14">
        <v>45147</v>
      </c>
      <c r="D1860" s="15">
        <v>93.17</v>
      </c>
      <c r="E1860" s="7">
        <f t="shared" si="29"/>
        <v>1</v>
      </c>
    </row>
    <row r="1861" spans="1:5" x14ac:dyDescent="0.25">
      <c r="A1861" s="7">
        <f>IF(E1861=1,
      SUM($E$2:E1861)-1,
"")</f>
        <v>1858</v>
      </c>
      <c r="B1861" s="6" t="s">
        <v>188</v>
      </c>
      <c r="C1861" s="14">
        <v>45096</v>
      </c>
      <c r="D1861" s="15">
        <v>26.16</v>
      </c>
      <c r="E1861" s="7">
        <f t="shared" si="29"/>
        <v>1</v>
      </c>
    </row>
    <row r="1862" spans="1:5" x14ac:dyDescent="0.25">
      <c r="A1862" s="7">
        <f>IF(E1862=1,
      SUM($E$2:E1862)-1,
"")</f>
        <v>1859</v>
      </c>
      <c r="B1862" s="6" t="s">
        <v>436</v>
      </c>
      <c r="C1862" s="14">
        <v>45072</v>
      </c>
      <c r="D1862" s="15">
        <v>94.2</v>
      </c>
      <c r="E1862" s="7">
        <f t="shared" si="29"/>
        <v>1</v>
      </c>
    </row>
    <row r="1863" spans="1:5" x14ac:dyDescent="0.25">
      <c r="A1863" s="7">
        <f>IF(E1863=1,
      SUM($E$2:E1863)-1,
"")</f>
        <v>1860</v>
      </c>
      <c r="B1863" s="6" t="s">
        <v>117</v>
      </c>
      <c r="C1863" s="14">
        <v>45233</v>
      </c>
      <c r="D1863" s="15">
        <v>71.91</v>
      </c>
      <c r="E1863" s="7">
        <f t="shared" si="29"/>
        <v>1</v>
      </c>
    </row>
    <row r="1864" spans="1:5" x14ac:dyDescent="0.25">
      <c r="A1864" s="7">
        <f>IF(E1864=1,
      SUM($E$2:E1864)-1,
"")</f>
        <v>1861</v>
      </c>
      <c r="B1864" s="6" t="s">
        <v>179</v>
      </c>
      <c r="C1864" s="14">
        <v>45195</v>
      </c>
      <c r="D1864" s="15">
        <v>98</v>
      </c>
      <c r="E1864" s="7">
        <f t="shared" si="29"/>
        <v>1</v>
      </c>
    </row>
    <row r="1865" spans="1:5" x14ac:dyDescent="0.25">
      <c r="A1865" s="7">
        <f>IF(E1865=1,
      SUM($E$2:E1865)-1,
"")</f>
        <v>1862</v>
      </c>
      <c r="B1865" s="6" t="s">
        <v>514</v>
      </c>
      <c r="C1865" s="14">
        <v>45122</v>
      </c>
      <c r="D1865" s="15">
        <v>99.21</v>
      </c>
      <c r="E1865" s="7">
        <f t="shared" si="29"/>
        <v>1</v>
      </c>
    </row>
    <row r="1866" spans="1:5" x14ac:dyDescent="0.25">
      <c r="A1866" s="7">
        <f>IF(E1866=1,
      SUM($E$2:E1866)-1,
"")</f>
        <v>1863</v>
      </c>
      <c r="B1866" s="6" t="s">
        <v>683</v>
      </c>
      <c r="C1866" s="14">
        <v>45120</v>
      </c>
      <c r="D1866" s="15">
        <v>111.56</v>
      </c>
      <c r="E1866" s="7">
        <f t="shared" si="29"/>
        <v>1</v>
      </c>
    </row>
    <row r="1867" spans="1:5" x14ac:dyDescent="0.25">
      <c r="A1867" s="7">
        <f>IF(E1867=1,
      SUM($E$2:E1867)-1,
"")</f>
        <v>1864</v>
      </c>
      <c r="B1867" s="6" t="s">
        <v>904</v>
      </c>
      <c r="C1867" s="14">
        <v>45142</v>
      </c>
      <c r="D1867" s="15">
        <v>84.09</v>
      </c>
      <c r="E1867" s="7">
        <f t="shared" si="29"/>
        <v>1</v>
      </c>
    </row>
    <row r="1868" spans="1:5" x14ac:dyDescent="0.25">
      <c r="A1868" s="7">
        <f>IF(E1868=1,
      SUM($E$2:E1868)-1,
"")</f>
        <v>1865</v>
      </c>
      <c r="B1868" s="6" t="s">
        <v>320</v>
      </c>
      <c r="C1868" s="14">
        <v>44943</v>
      </c>
      <c r="D1868" s="15">
        <v>87.85</v>
      </c>
      <c r="E1868" s="7">
        <f t="shared" si="29"/>
        <v>1</v>
      </c>
    </row>
    <row r="1869" spans="1:5" x14ac:dyDescent="0.25">
      <c r="A1869" s="7">
        <f>IF(E1869=1,
      SUM($E$2:E1869)-1,
"")</f>
        <v>1866</v>
      </c>
      <c r="B1869" s="6" t="s">
        <v>163</v>
      </c>
      <c r="C1869" s="14">
        <v>45171</v>
      </c>
      <c r="D1869" s="15">
        <v>121.02</v>
      </c>
      <c r="E1869" s="7">
        <f t="shared" si="29"/>
        <v>1</v>
      </c>
    </row>
    <row r="1870" spans="1:5" x14ac:dyDescent="0.25">
      <c r="A1870" s="7">
        <f>IF(E1870=1,
      SUM($E$2:E1870)-1,
"")</f>
        <v>1867</v>
      </c>
      <c r="B1870" s="6" t="s">
        <v>766</v>
      </c>
      <c r="C1870" s="14">
        <v>45185</v>
      </c>
      <c r="D1870" s="15">
        <v>75.73</v>
      </c>
      <c r="E1870" s="7">
        <f t="shared" si="29"/>
        <v>1</v>
      </c>
    </row>
    <row r="1871" spans="1:5" x14ac:dyDescent="0.25">
      <c r="A1871" s="7">
        <f>IF(E1871=1,
      SUM($E$2:E1871)-1,
"")</f>
        <v>1868</v>
      </c>
      <c r="B1871" s="6" t="s">
        <v>905</v>
      </c>
      <c r="C1871" s="14">
        <v>45289</v>
      </c>
      <c r="D1871" s="15">
        <v>44.85</v>
      </c>
      <c r="E1871" s="7">
        <f t="shared" si="29"/>
        <v>1</v>
      </c>
    </row>
    <row r="1872" spans="1:5" x14ac:dyDescent="0.25">
      <c r="A1872" s="7">
        <f>IF(E1872=1,
      SUM($E$2:E1872)-1,
"")</f>
        <v>1869</v>
      </c>
      <c r="B1872" s="6" t="s">
        <v>131</v>
      </c>
      <c r="C1872" s="14">
        <v>45200</v>
      </c>
      <c r="D1872" s="15">
        <v>104.71</v>
      </c>
      <c r="E1872" s="7">
        <f t="shared" si="29"/>
        <v>1</v>
      </c>
    </row>
    <row r="1873" spans="1:5" x14ac:dyDescent="0.25">
      <c r="A1873" s="7">
        <f>IF(E1873=1,
      SUM($E$2:E1873)-1,
"")</f>
        <v>1870</v>
      </c>
      <c r="B1873" s="6" t="s">
        <v>613</v>
      </c>
      <c r="C1873" s="14">
        <v>45287</v>
      </c>
      <c r="D1873" s="15">
        <v>132.13</v>
      </c>
      <c r="E1873" s="7">
        <f t="shared" si="29"/>
        <v>1</v>
      </c>
    </row>
    <row r="1874" spans="1:5" x14ac:dyDescent="0.25">
      <c r="A1874" s="7">
        <f>IF(E1874=1,
      SUM($E$2:E1874)-1,
"")</f>
        <v>1871</v>
      </c>
      <c r="B1874" s="6" t="s">
        <v>834</v>
      </c>
      <c r="C1874" s="14">
        <v>45005</v>
      </c>
      <c r="D1874" s="15">
        <v>120.68</v>
      </c>
      <c r="E1874" s="7">
        <f t="shared" si="29"/>
        <v>1</v>
      </c>
    </row>
    <row r="1875" spans="1:5" x14ac:dyDescent="0.25">
      <c r="A1875" s="7">
        <f>IF(E1875=1,
      SUM($E$2:E1875)-1,
"")</f>
        <v>1872</v>
      </c>
      <c r="B1875" s="6" t="s">
        <v>849</v>
      </c>
      <c r="C1875" s="14">
        <v>45187</v>
      </c>
      <c r="D1875" s="15">
        <v>105.26</v>
      </c>
      <c r="E1875" s="7">
        <f t="shared" si="29"/>
        <v>1</v>
      </c>
    </row>
    <row r="1876" spans="1:5" x14ac:dyDescent="0.25">
      <c r="A1876" s="7">
        <f>IF(E1876=1,
      SUM($E$2:E1876)-1,
"")</f>
        <v>1873</v>
      </c>
      <c r="B1876" s="6" t="s">
        <v>751</v>
      </c>
      <c r="C1876" s="14">
        <v>45147</v>
      </c>
      <c r="D1876" s="15">
        <v>137.52000000000001</v>
      </c>
      <c r="E1876" s="7">
        <f t="shared" si="29"/>
        <v>1</v>
      </c>
    </row>
    <row r="1877" spans="1:5" x14ac:dyDescent="0.25">
      <c r="A1877" s="7">
        <f>IF(E1877=1,
      SUM($E$2:E1877)-1,
"")</f>
        <v>1874</v>
      </c>
      <c r="B1877" s="6" t="s">
        <v>632</v>
      </c>
      <c r="C1877" s="14">
        <v>45022</v>
      </c>
      <c r="D1877" s="15">
        <v>132.46</v>
      </c>
      <c r="E1877" s="7">
        <f t="shared" si="29"/>
        <v>1</v>
      </c>
    </row>
    <row r="1878" spans="1:5" x14ac:dyDescent="0.25">
      <c r="A1878" s="7">
        <f>IF(E1878=1,
      SUM($E$2:E1878)-1,
"")</f>
        <v>1875</v>
      </c>
      <c r="B1878" s="6" t="s">
        <v>659</v>
      </c>
      <c r="C1878" s="14">
        <v>45197</v>
      </c>
      <c r="D1878" s="15">
        <v>90.07</v>
      </c>
      <c r="E1878" s="7">
        <f t="shared" si="29"/>
        <v>1</v>
      </c>
    </row>
    <row r="1879" spans="1:5" x14ac:dyDescent="0.25">
      <c r="A1879" s="7">
        <f>IF(E1879=1,
      SUM($E$2:E1879)-1,
"")</f>
        <v>1876</v>
      </c>
      <c r="B1879" s="6" t="s">
        <v>358</v>
      </c>
      <c r="C1879" s="14">
        <v>45064</v>
      </c>
      <c r="D1879" s="15">
        <v>107.43</v>
      </c>
      <c r="E1879" s="7">
        <f t="shared" si="29"/>
        <v>1</v>
      </c>
    </row>
    <row r="1880" spans="1:5" x14ac:dyDescent="0.25">
      <c r="A1880" s="7">
        <f>IF(E1880=1,
      SUM($E$2:E1880)-1,
"")</f>
        <v>1877</v>
      </c>
      <c r="B1880" s="6" t="s">
        <v>180</v>
      </c>
      <c r="C1880" s="14">
        <v>45091</v>
      </c>
      <c r="D1880" s="15">
        <v>108.71</v>
      </c>
      <c r="E1880" s="7">
        <f t="shared" si="29"/>
        <v>1</v>
      </c>
    </row>
    <row r="1881" spans="1:5" x14ac:dyDescent="0.25">
      <c r="A1881" s="7">
        <f>IF(E1881=1,
      SUM($E$2:E1881)-1,
"")</f>
        <v>1878</v>
      </c>
      <c r="B1881" s="6" t="s">
        <v>835</v>
      </c>
      <c r="C1881" s="14">
        <v>45081</v>
      </c>
      <c r="D1881" s="15">
        <v>97.4</v>
      </c>
      <c r="E1881" s="7">
        <f t="shared" si="29"/>
        <v>1</v>
      </c>
    </row>
    <row r="1882" spans="1:5" x14ac:dyDescent="0.25">
      <c r="A1882" s="7">
        <f>IF(E1882=1,
      SUM($E$2:E1882)-1,
"")</f>
        <v>1879</v>
      </c>
      <c r="B1882" s="6" t="s">
        <v>424</v>
      </c>
      <c r="C1882" s="14">
        <v>45287</v>
      </c>
      <c r="D1882" s="15">
        <v>134.03</v>
      </c>
      <c r="E1882" s="7">
        <f t="shared" si="29"/>
        <v>1</v>
      </c>
    </row>
    <row r="1883" spans="1:5" x14ac:dyDescent="0.25">
      <c r="A1883" s="7">
        <f>IF(E1883=1,
      SUM($E$2:E1883)-1,
"")</f>
        <v>1880</v>
      </c>
      <c r="B1883" s="6" t="s">
        <v>582</v>
      </c>
      <c r="C1883" s="14">
        <v>45181</v>
      </c>
      <c r="D1883" s="15">
        <v>95.44</v>
      </c>
      <c r="E1883" s="7">
        <f t="shared" si="29"/>
        <v>1</v>
      </c>
    </row>
    <row r="1884" spans="1:5" x14ac:dyDescent="0.25">
      <c r="A1884" s="7">
        <f>IF(E1884=1,
      SUM($E$2:E1884)-1,
"")</f>
        <v>1881</v>
      </c>
      <c r="B1884" s="6" t="s">
        <v>303</v>
      </c>
      <c r="C1884" s="14">
        <v>44970</v>
      </c>
      <c r="D1884" s="15">
        <v>84.99</v>
      </c>
      <c r="E1884" s="7">
        <f t="shared" si="29"/>
        <v>1</v>
      </c>
    </row>
    <row r="1885" spans="1:5" x14ac:dyDescent="0.25">
      <c r="A1885" s="7">
        <f>IF(E1885=1,
      SUM($E$2:E1885)-1,
"")</f>
        <v>1882</v>
      </c>
      <c r="B1885" s="6" t="s">
        <v>341</v>
      </c>
      <c r="C1885" s="14">
        <v>45187</v>
      </c>
      <c r="D1885" s="15">
        <v>22.25</v>
      </c>
      <c r="E1885" s="7">
        <f t="shared" si="29"/>
        <v>1</v>
      </c>
    </row>
    <row r="1886" spans="1:5" x14ac:dyDescent="0.25">
      <c r="A1886" s="7">
        <f>IF(E1886=1,
      SUM($E$2:E1886)-1,
"")</f>
        <v>1883</v>
      </c>
      <c r="B1886" s="6" t="s">
        <v>309</v>
      </c>
      <c r="C1886" s="14">
        <v>45154</v>
      </c>
      <c r="D1886" s="15">
        <v>76.05</v>
      </c>
      <c r="E1886" s="7">
        <f t="shared" si="29"/>
        <v>1</v>
      </c>
    </row>
    <row r="1887" spans="1:5" x14ac:dyDescent="0.25">
      <c r="A1887" s="7">
        <f>IF(E1887=1,
      SUM($E$2:E1887)-1,
"")</f>
        <v>1884</v>
      </c>
      <c r="B1887" s="6" t="s">
        <v>906</v>
      </c>
      <c r="C1887" s="14">
        <v>44994</v>
      </c>
      <c r="D1887" s="15">
        <v>60.54</v>
      </c>
      <c r="E1887" s="7">
        <f t="shared" si="29"/>
        <v>1</v>
      </c>
    </row>
    <row r="1888" spans="1:5" x14ac:dyDescent="0.25">
      <c r="A1888" s="7">
        <f>IF(E1888=1,
      SUM($E$2:E1888)-1,
"")</f>
        <v>1885</v>
      </c>
      <c r="B1888" s="6" t="s">
        <v>391</v>
      </c>
      <c r="C1888" s="14">
        <v>45197</v>
      </c>
      <c r="D1888" s="15">
        <v>98.79</v>
      </c>
      <c r="E1888" s="7">
        <f t="shared" si="29"/>
        <v>1</v>
      </c>
    </row>
    <row r="1889" spans="1:5" x14ac:dyDescent="0.25">
      <c r="A1889" s="7">
        <f>IF(E1889=1,
      SUM($E$2:E1889)-1,
"")</f>
        <v>1886</v>
      </c>
      <c r="B1889" s="6" t="s">
        <v>907</v>
      </c>
      <c r="C1889" s="14">
        <v>44956</v>
      </c>
      <c r="D1889" s="15">
        <v>62.39</v>
      </c>
      <c r="E1889" s="7">
        <f t="shared" si="29"/>
        <v>1</v>
      </c>
    </row>
    <row r="1890" spans="1:5" x14ac:dyDescent="0.25">
      <c r="A1890" s="7">
        <f>IF(E1890=1,
      SUM($E$2:E1890)-1,
"")</f>
        <v>1887</v>
      </c>
      <c r="B1890" s="6" t="s">
        <v>720</v>
      </c>
      <c r="C1890" s="14">
        <v>44996</v>
      </c>
      <c r="D1890" s="15">
        <v>118.26</v>
      </c>
      <c r="E1890" s="7">
        <f t="shared" si="29"/>
        <v>1</v>
      </c>
    </row>
    <row r="1891" spans="1:5" x14ac:dyDescent="0.25">
      <c r="A1891" s="7">
        <f>IF(E1891=1,
      SUM($E$2:E1891)-1,
"")</f>
        <v>1888</v>
      </c>
      <c r="B1891" s="6" t="s">
        <v>876</v>
      </c>
      <c r="C1891" s="14">
        <v>45079</v>
      </c>
      <c r="D1891" s="15">
        <v>133.25</v>
      </c>
      <c r="E1891" s="7">
        <f t="shared" si="29"/>
        <v>1</v>
      </c>
    </row>
    <row r="1892" spans="1:5" x14ac:dyDescent="0.25">
      <c r="A1892" s="7">
        <f>IF(E1892=1,
      SUM($E$2:E1892)-1,
"")</f>
        <v>1889</v>
      </c>
      <c r="B1892" s="6" t="s">
        <v>765</v>
      </c>
      <c r="C1892" s="14">
        <v>45002</v>
      </c>
      <c r="D1892" s="15">
        <v>99.07</v>
      </c>
      <c r="E1892" s="7">
        <f t="shared" si="29"/>
        <v>1</v>
      </c>
    </row>
    <row r="1893" spans="1:5" x14ac:dyDescent="0.25">
      <c r="A1893" s="7">
        <f>IF(E1893=1,
      SUM($E$2:E1893)-1,
"")</f>
        <v>1890</v>
      </c>
      <c r="B1893" s="6" t="s">
        <v>92</v>
      </c>
      <c r="C1893" s="14">
        <v>45271</v>
      </c>
      <c r="D1893" s="15">
        <v>70.48</v>
      </c>
      <c r="E1893" s="7">
        <f t="shared" si="29"/>
        <v>1</v>
      </c>
    </row>
    <row r="1894" spans="1:5" x14ac:dyDescent="0.25">
      <c r="A1894" s="7">
        <f>IF(E1894=1,
      SUM($E$2:E1894)-1,
"")</f>
        <v>1891</v>
      </c>
      <c r="B1894" s="6" t="s">
        <v>547</v>
      </c>
      <c r="C1894" s="14">
        <v>45100</v>
      </c>
      <c r="D1894" s="15">
        <v>108.59</v>
      </c>
      <c r="E1894" s="7">
        <f t="shared" si="29"/>
        <v>1</v>
      </c>
    </row>
    <row r="1895" spans="1:5" x14ac:dyDescent="0.25">
      <c r="A1895" s="7">
        <f>IF(E1895=1,
      SUM($E$2:E1895)-1,
"")</f>
        <v>1892</v>
      </c>
      <c r="B1895" s="6" t="s">
        <v>908</v>
      </c>
      <c r="C1895" s="14">
        <v>45143</v>
      </c>
      <c r="D1895" s="15">
        <v>156.80000000000001</v>
      </c>
      <c r="E1895" s="7">
        <f t="shared" si="29"/>
        <v>1</v>
      </c>
    </row>
    <row r="1896" spans="1:5" x14ac:dyDescent="0.25">
      <c r="A1896" s="7">
        <f>IF(E1896=1,
      SUM($E$2:E1896)-1,
"")</f>
        <v>1893</v>
      </c>
      <c r="B1896" s="6" t="s">
        <v>536</v>
      </c>
      <c r="C1896" s="14">
        <v>45046</v>
      </c>
      <c r="D1896" s="15">
        <v>147.47</v>
      </c>
      <c r="E1896" s="7">
        <f t="shared" si="29"/>
        <v>1</v>
      </c>
    </row>
    <row r="1897" spans="1:5" x14ac:dyDescent="0.25">
      <c r="A1897" s="7">
        <f>IF(E1897=1,
      SUM($E$2:E1897)-1,
"")</f>
        <v>1894</v>
      </c>
      <c r="B1897" s="6" t="s">
        <v>762</v>
      </c>
      <c r="C1897" s="14">
        <v>45026</v>
      </c>
      <c r="D1897" s="15">
        <v>57.82</v>
      </c>
      <c r="E1897" s="7">
        <f t="shared" si="29"/>
        <v>1</v>
      </c>
    </row>
    <row r="1898" spans="1:5" x14ac:dyDescent="0.25">
      <c r="A1898" s="7">
        <f>IF(E1898=1,
      SUM($E$2:E1898)-1,
"")</f>
        <v>1895</v>
      </c>
      <c r="B1898" s="6" t="s">
        <v>211</v>
      </c>
      <c r="C1898" s="14">
        <v>45042</v>
      </c>
      <c r="D1898" s="15">
        <v>56.7</v>
      </c>
      <c r="E1898" s="7">
        <f t="shared" si="29"/>
        <v>1</v>
      </c>
    </row>
    <row r="1899" spans="1:5" x14ac:dyDescent="0.25">
      <c r="A1899" s="7">
        <f>IF(E1899=1,
      SUM($E$2:E1899)-1,
"")</f>
        <v>1896</v>
      </c>
      <c r="B1899" s="6" t="s">
        <v>545</v>
      </c>
      <c r="C1899" s="14">
        <v>45290</v>
      </c>
      <c r="D1899" s="15">
        <v>49.01</v>
      </c>
      <c r="E1899" s="7">
        <f t="shared" si="29"/>
        <v>1</v>
      </c>
    </row>
    <row r="1900" spans="1:5" x14ac:dyDescent="0.25">
      <c r="A1900" s="7">
        <f>IF(E1900=1,
      SUM($E$2:E1900)-1,
"")</f>
        <v>1897</v>
      </c>
      <c r="B1900" s="6" t="s">
        <v>587</v>
      </c>
      <c r="C1900" s="14">
        <v>44977</v>
      </c>
      <c r="D1900" s="15">
        <v>65.89</v>
      </c>
      <c r="E1900" s="7">
        <f t="shared" si="29"/>
        <v>1</v>
      </c>
    </row>
    <row r="1901" spans="1:5" x14ac:dyDescent="0.25">
      <c r="A1901" s="7">
        <f>IF(E1901=1,
      SUM($E$2:E1901)-1,
"")</f>
        <v>1898</v>
      </c>
      <c r="B1901" s="6" t="s">
        <v>516</v>
      </c>
      <c r="C1901" s="14">
        <v>45217</v>
      </c>
      <c r="D1901" s="15">
        <v>107.55</v>
      </c>
      <c r="E1901" s="7">
        <f t="shared" si="29"/>
        <v>1</v>
      </c>
    </row>
    <row r="1902" spans="1:5" x14ac:dyDescent="0.25">
      <c r="A1902" s="7">
        <f>IF(E1902=1,
      SUM($E$2:E1902)-1,
"")</f>
        <v>1899</v>
      </c>
      <c r="B1902" s="6" t="s">
        <v>350</v>
      </c>
      <c r="C1902" s="14">
        <v>45206</v>
      </c>
      <c r="D1902" s="15">
        <v>83.3</v>
      </c>
      <c r="E1902" s="7">
        <f t="shared" si="29"/>
        <v>1</v>
      </c>
    </row>
    <row r="1903" spans="1:5" x14ac:dyDescent="0.25">
      <c r="A1903" s="7">
        <f>IF(E1903=1,
      SUM($E$2:E1903)-1,
"")</f>
        <v>1900</v>
      </c>
      <c r="B1903" s="6" t="s">
        <v>84</v>
      </c>
      <c r="C1903" s="14">
        <v>45023</v>
      </c>
      <c r="D1903" s="15">
        <v>74.84</v>
      </c>
      <c r="E1903" s="7">
        <f t="shared" si="29"/>
        <v>1</v>
      </c>
    </row>
    <row r="1904" spans="1:5" x14ac:dyDescent="0.25">
      <c r="A1904" s="7">
        <f>IF(E1904=1,
      SUM($E$2:E1904)-1,
"")</f>
        <v>1901</v>
      </c>
      <c r="B1904" s="6" t="s">
        <v>235</v>
      </c>
      <c r="C1904" s="14">
        <v>45068</v>
      </c>
      <c r="D1904" s="15">
        <v>131.16999999999999</v>
      </c>
      <c r="E1904" s="7">
        <f t="shared" si="29"/>
        <v>1</v>
      </c>
    </row>
    <row r="1905" spans="1:5" x14ac:dyDescent="0.25">
      <c r="A1905" s="7">
        <f>IF(E1905=1,
      SUM($E$2:E1905)-1,
"")</f>
        <v>1902</v>
      </c>
      <c r="B1905" s="6" t="s">
        <v>127</v>
      </c>
      <c r="C1905" s="14">
        <v>45275</v>
      </c>
      <c r="D1905" s="15">
        <v>115.9</v>
      </c>
      <c r="E1905" s="7">
        <f t="shared" si="29"/>
        <v>1</v>
      </c>
    </row>
    <row r="1906" spans="1:5" x14ac:dyDescent="0.25">
      <c r="A1906" s="7">
        <f>IF(E1906=1,
      SUM($E$2:E1906)-1,
"")</f>
        <v>1903</v>
      </c>
      <c r="B1906" s="6" t="s">
        <v>881</v>
      </c>
      <c r="C1906" s="14">
        <v>45180</v>
      </c>
      <c r="D1906" s="15">
        <v>48.86</v>
      </c>
      <c r="E1906" s="7">
        <f t="shared" si="29"/>
        <v>1</v>
      </c>
    </row>
    <row r="1907" spans="1:5" x14ac:dyDescent="0.25">
      <c r="A1907" s="7">
        <f>IF(E1907=1,
      SUM($E$2:E1907)-1,
"")</f>
        <v>1904</v>
      </c>
      <c r="B1907" s="6" t="s">
        <v>567</v>
      </c>
      <c r="C1907" s="14">
        <v>45042</v>
      </c>
      <c r="D1907" s="15">
        <v>129.44999999999999</v>
      </c>
      <c r="E1907" s="7">
        <f t="shared" si="29"/>
        <v>1</v>
      </c>
    </row>
    <row r="1908" spans="1:5" x14ac:dyDescent="0.25">
      <c r="A1908" s="7">
        <f>IF(E1908=1,
      SUM($E$2:E1908)-1,
"")</f>
        <v>1905</v>
      </c>
      <c r="B1908" s="6" t="s">
        <v>122</v>
      </c>
      <c r="C1908" s="14">
        <v>45060</v>
      </c>
      <c r="D1908" s="15">
        <v>115.18</v>
      </c>
      <c r="E1908" s="7">
        <f t="shared" si="29"/>
        <v>1</v>
      </c>
    </row>
    <row r="1909" spans="1:5" x14ac:dyDescent="0.25">
      <c r="A1909" s="7">
        <f>IF(E1909=1,
      SUM($E$2:E1909)-1,
"")</f>
        <v>1906</v>
      </c>
      <c r="B1909" s="6" t="s">
        <v>909</v>
      </c>
      <c r="C1909" s="14">
        <v>44964</v>
      </c>
      <c r="D1909" s="15">
        <v>115.85</v>
      </c>
      <c r="E1909" s="7">
        <f t="shared" si="29"/>
        <v>1</v>
      </c>
    </row>
    <row r="1910" spans="1:5" x14ac:dyDescent="0.25">
      <c r="A1910" s="7">
        <f>IF(E1910=1,
      SUM($E$2:E1910)-1,
"")</f>
        <v>1907</v>
      </c>
      <c r="B1910" s="6" t="s">
        <v>414</v>
      </c>
      <c r="C1910" s="14">
        <v>45014</v>
      </c>
      <c r="D1910" s="15">
        <v>82.89</v>
      </c>
      <c r="E1910" s="7">
        <f t="shared" si="29"/>
        <v>1</v>
      </c>
    </row>
    <row r="1911" spans="1:5" x14ac:dyDescent="0.25">
      <c r="A1911" s="7">
        <f>IF(E1911=1,
      SUM($E$2:E1911)-1,
"")</f>
        <v>1908</v>
      </c>
      <c r="B1911" s="6" t="s">
        <v>910</v>
      </c>
      <c r="C1911" s="14">
        <v>45091</v>
      </c>
      <c r="D1911" s="15">
        <v>94.38</v>
      </c>
      <c r="E1911" s="7">
        <f t="shared" si="29"/>
        <v>1</v>
      </c>
    </row>
    <row r="1912" spans="1:5" x14ac:dyDescent="0.25">
      <c r="A1912" s="7">
        <f>IF(E1912=1,
      SUM($E$2:E1912)-1,
"")</f>
        <v>1909</v>
      </c>
      <c r="B1912" s="6" t="s">
        <v>218</v>
      </c>
      <c r="C1912" s="14">
        <v>45210</v>
      </c>
      <c r="D1912" s="15">
        <v>40.82</v>
      </c>
      <c r="E1912" s="7">
        <f t="shared" si="29"/>
        <v>1</v>
      </c>
    </row>
    <row r="1913" spans="1:5" x14ac:dyDescent="0.25">
      <c r="A1913" s="7">
        <f>IF(E1913=1,
      SUM($E$2:E1913)-1,
"")</f>
        <v>1910</v>
      </c>
      <c r="B1913" s="6" t="s">
        <v>531</v>
      </c>
      <c r="C1913" s="14">
        <v>45168</v>
      </c>
      <c r="D1913" s="15">
        <v>126.01</v>
      </c>
      <c r="E1913" s="7">
        <f t="shared" si="29"/>
        <v>1</v>
      </c>
    </row>
    <row r="1914" spans="1:5" x14ac:dyDescent="0.25">
      <c r="A1914" s="7">
        <f>IF(E1914=1,
      SUM($E$2:E1914)-1,
"")</f>
        <v>1911</v>
      </c>
      <c r="B1914" s="6" t="s">
        <v>686</v>
      </c>
      <c r="C1914" s="14">
        <v>45118</v>
      </c>
      <c r="D1914" s="15">
        <v>70.03</v>
      </c>
      <c r="E1914" s="7">
        <f t="shared" si="29"/>
        <v>1</v>
      </c>
    </row>
    <row r="1915" spans="1:5" x14ac:dyDescent="0.25">
      <c r="A1915" s="7">
        <f>IF(E1915=1,
      SUM($E$2:E1915)-1,
"")</f>
        <v>1912</v>
      </c>
      <c r="B1915" s="6" t="s">
        <v>576</v>
      </c>
      <c r="C1915" s="14">
        <v>45224</v>
      </c>
      <c r="D1915" s="15">
        <v>73.88</v>
      </c>
      <c r="E1915" s="7">
        <f t="shared" si="29"/>
        <v>1</v>
      </c>
    </row>
    <row r="1916" spans="1:5" x14ac:dyDescent="0.25">
      <c r="A1916" s="7">
        <f>IF(E1916=1,
      SUM($E$2:E1916)-1,
"")</f>
        <v>1913</v>
      </c>
      <c r="B1916" s="6" t="s">
        <v>750</v>
      </c>
      <c r="C1916" s="14">
        <v>45246</v>
      </c>
      <c r="D1916" s="15">
        <v>73.48</v>
      </c>
      <c r="E1916" s="7">
        <f t="shared" si="29"/>
        <v>1</v>
      </c>
    </row>
    <row r="1917" spans="1:5" x14ac:dyDescent="0.25">
      <c r="A1917" s="7">
        <f>IF(E1917=1,
      SUM($E$2:E1917)-1,
"")</f>
        <v>1914</v>
      </c>
      <c r="B1917" s="6" t="s">
        <v>911</v>
      </c>
      <c r="C1917" s="14">
        <v>45037</v>
      </c>
      <c r="D1917" s="15">
        <v>154.01</v>
      </c>
      <c r="E1917" s="7">
        <f t="shared" si="29"/>
        <v>1</v>
      </c>
    </row>
    <row r="1918" spans="1:5" x14ac:dyDescent="0.25">
      <c r="A1918" s="7">
        <f>IF(E1918=1,
      SUM($E$2:E1918)-1,
"")</f>
        <v>1915</v>
      </c>
      <c r="B1918" s="6" t="s">
        <v>180</v>
      </c>
      <c r="C1918" s="14">
        <v>45078</v>
      </c>
      <c r="D1918" s="15">
        <v>79.94</v>
      </c>
      <c r="E1918" s="7">
        <f t="shared" si="29"/>
        <v>1</v>
      </c>
    </row>
    <row r="1919" spans="1:5" x14ac:dyDescent="0.25">
      <c r="A1919" s="7">
        <f>IF(E1919=1,
      SUM($E$2:E1919)-1,
"")</f>
        <v>1916</v>
      </c>
      <c r="B1919" s="6" t="s">
        <v>425</v>
      </c>
      <c r="C1919" s="14">
        <v>45263</v>
      </c>
      <c r="D1919" s="15">
        <v>128.27000000000001</v>
      </c>
      <c r="E1919" s="7">
        <f t="shared" si="29"/>
        <v>1</v>
      </c>
    </row>
    <row r="1920" spans="1:5" x14ac:dyDescent="0.25">
      <c r="A1920" s="7">
        <f>IF(E1920=1,
      SUM($E$2:E1920)-1,
"")</f>
        <v>1917</v>
      </c>
      <c r="B1920" s="6" t="s">
        <v>357</v>
      </c>
      <c r="C1920" s="14">
        <v>45012</v>
      </c>
      <c r="D1920" s="15">
        <v>99.28</v>
      </c>
      <c r="E1920" s="7">
        <f t="shared" si="29"/>
        <v>1</v>
      </c>
    </row>
    <row r="1921" spans="1:5" x14ac:dyDescent="0.25">
      <c r="A1921" s="7">
        <f>IF(E1921=1,
      SUM($E$2:E1921)-1,
"")</f>
        <v>1918</v>
      </c>
      <c r="B1921" s="6" t="s">
        <v>189</v>
      </c>
      <c r="C1921" s="14">
        <v>45056</v>
      </c>
      <c r="D1921" s="15">
        <v>75.13</v>
      </c>
      <c r="E1921" s="7">
        <f t="shared" si="29"/>
        <v>1</v>
      </c>
    </row>
    <row r="1922" spans="1:5" x14ac:dyDescent="0.25">
      <c r="A1922" s="7">
        <f>IF(E1922=1,
      SUM($E$2:E1922)-1,
"")</f>
        <v>1919</v>
      </c>
      <c r="B1922" s="6" t="s">
        <v>744</v>
      </c>
      <c r="C1922" s="14">
        <v>45045</v>
      </c>
      <c r="D1922" s="15">
        <v>69.69</v>
      </c>
      <c r="E1922" s="7">
        <f t="shared" ref="E1922:E1985" si="30">IF(D1922&gt;0,1,0)</f>
        <v>1</v>
      </c>
    </row>
    <row r="1923" spans="1:5" x14ac:dyDescent="0.25">
      <c r="A1923" s="7">
        <f>IF(E1923=1,
      SUM($E$2:E1923)-1,
"")</f>
        <v>1920</v>
      </c>
      <c r="B1923" s="6" t="s">
        <v>858</v>
      </c>
      <c r="C1923" s="14">
        <v>45268</v>
      </c>
      <c r="D1923" s="15">
        <v>81.13</v>
      </c>
      <c r="E1923" s="7">
        <f t="shared" si="30"/>
        <v>1</v>
      </c>
    </row>
    <row r="1924" spans="1:5" x14ac:dyDescent="0.25">
      <c r="A1924" s="7">
        <f>IF(E1924=1,
      SUM($E$2:E1924)-1,
"")</f>
        <v>1921</v>
      </c>
      <c r="B1924" s="6" t="s">
        <v>816</v>
      </c>
      <c r="C1924" s="14">
        <v>45219</v>
      </c>
      <c r="D1924" s="15">
        <v>97.77</v>
      </c>
      <c r="E1924" s="7">
        <f t="shared" si="30"/>
        <v>1</v>
      </c>
    </row>
    <row r="1925" spans="1:5" x14ac:dyDescent="0.25">
      <c r="A1925" s="7">
        <f>IF(E1925=1,
      SUM($E$2:E1925)-1,
"")</f>
        <v>1922</v>
      </c>
      <c r="B1925" s="6" t="s">
        <v>614</v>
      </c>
      <c r="C1925" s="14">
        <v>45087</v>
      </c>
      <c r="D1925" s="15">
        <v>118.05</v>
      </c>
      <c r="E1925" s="7">
        <f t="shared" si="30"/>
        <v>1</v>
      </c>
    </row>
    <row r="1926" spans="1:5" x14ac:dyDescent="0.25">
      <c r="A1926" s="7">
        <f>IF(E1926=1,
      SUM($E$2:E1926)-1,
"")</f>
        <v>1923</v>
      </c>
      <c r="B1926" s="6" t="s">
        <v>606</v>
      </c>
      <c r="C1926" s="14">
        <v>44979</v>
      </c>
      <c r="D1926" s="15">
        <v>85.87</v>
      </c>
      <c r="E1926" s="7">
        <f t="shared" si="30"/>
        <v>1</v>
      </c>
    </row>
    <row r="1927" spans="1:5" x14ac:dyDescent="0.25">
      <c r="A1927" s="7">
        <f>IF(E1927=1,
      SUM($E$2:E1927)-1,
"")</f>
        <v>1924</v>
      </c>
      <c r="B1927" s="6" t="s">
        <v>459</v>
      </c>
      <c r="C1927" s="14">
        <v>45199</v>
      </c>
      <c r="D1927" s="15">
        <v>84.75</v>
      </c>
      <c r="E1927" s="7">
        <f t="shared" si="30"/>
        <v>1</v>
      </c>
    </row>
    <row r="1928" spans="1:5" x14ac:dyDescent="0.25">
      <c r="A1928" s="7">
        <f>IF(E1928=1,
      SUM($E$2:E1928)-1,
"")</f>
        <v>1925</v>
      </c>
      <c r="B1928" s="6" t="s">
        <v>855</v>
      </c>
      <c r="C1928" s="14">
        <v>45166</v>
      </c>
      <c r="D1928" s="15">
        <v>73.569999999999993</v>
      </c>
      <c r="E1928" s="7">
        <f t="shared" si="30"/>
        <v>1</v>
      </c>
    </row>
    <row r="1929" spans="1:5" x14ac:dyDescent="0.25">
      <c r="A1929" s="7">
        <f>IF(E1929=1,
      SUM($E$2:E1929)-1,
"")</f>
        <v>1926</v>
      </c>
      <c r="B1929" s="6" t="s">
        <v>93</v>
      </c>
      <c r="C1929" s="14">
        <v>45268</v>
      </c>
      <c r="D1929" s="15">
        <v>64.180000000000007</v>
      </c>
      <c r="E1929" s="7">
        <f t="shared" si="30"/>
        <v>1</v>
      </c>
    </row>
    <row r="1930" spans="1:5" x14ac:dyDescent="0.25">
      <c r="A1930" s="7">
        <f>IF(E1930=1,
      SUM($E$2:E1930)-1,
"")</f>
        <v>1927</v>
      </c>
      <c r="B1930" s="6" t="s">
        <v>912</v>
      </c>
      <c r="C1930" s="14">
        <v>44959</v>
      </c>
      <c r="D1930" s="15">
        <v>61.67</v>
      </c>
      <c r="E1930" s="7">
        <f t="shared" si="30"/>
        <v>1</v>
      </c>
    </row>
    <row r="1931" spans="1:5" x14ac:dyDescent="0.25">
      <c r="A1931" s="7">
        <f>IF(E1931=1,
      SUM($E$2:E1931)-1,
"")</f>
        <v>1928</v>
      </c>
      <c r="B1931" s="6" t="s">
        <v>663</v>
      </c>
      <c r="C1931" s="14">
        <v>44938</v>
      </c>
      <c r="D1931" s="15">
        <v>129.63999999999999</v>
      </c>
      <c r="E1931" s="7">
        <f t="shared" si="30"/>
        <v>1</v>
      </c>
    </row>
    <row r="1932" spans="1:5" x14ac:dyDescent="0.25">
      <c r="A1932" s="7">
        <f>IF(E1932=1,
      SUM($E$2:E1932)-1,
"")</f>
        <v>1929</v>
      </c>
      <c r="B1932" s="6" t="s">
        <v>913</v>
      </c>
      <c r="C1932" s="14">
        <v>45177</v>
      </c>
      <c r="D1932" s="15">
        <v>84.13</v>
      </c>
      <c r="E1932" s="7">
        <f t="shared" si="30"/>
        <v>1</v>
      </c>
    </row>
    <row r="1933" spans="1:5" x14ac:dyDescent="0.25">
      <c r="A1933" s="7">
        <f>IF(E1933=1,
      SUM($E$2:E1933)-1,
"")</f>
        <v>1930</v>
      </c>
      <c r="B1933" s="6" t="s">
        <v>426</v>
      </c>
      <c r="C1933" s="14">
        <v>45245</v>
      </c>
      <c r="D1933" s="15">
        <v>86.79</v>
      </c>
      <c r="E1933" s="7">
        <f t="shared" si="30"/>
        <v>1</v>
      </c>
    </row>
    <row r="1934" spans="1:5" x14ac:dyDescent="0.25">
      <c r="A1934" s="7">
        <f>IF(E1934=1,
      SUM($E$2:E1934)-1,
"")</f>
        <v>1931</v>
      </c>
      <c r="B1934" s="6" t="s">
        <v>532</v>
      </c>
      <c r="C1934" s="14">
        <v>45067</v>
      </c>
      <c r="D1934" s="15">
        <v>80</v>
      </c>
      <c r="E1934" s="7">
        <f t="shared" si="30"/>
        <v>1</v>
      </c>
    </row>
    <row r="1935" spans="1:5" x14ac:dyDescent="0.25">
      <c r="A1935" s="7">
        <f>IF(E1935=1,
      SUM($E$2:E1935)-1,
"")</f>
        <v>1932</v>
      </c>
      <c r="B1935" s="6" t="s">
        <v>825</v>
      </c>
      <c r="C1935" s="14">
        <v>45027</v>
      </c>
      <c r="D1935" s="15">
        <v>90.49</v>
      </c>
      <c r="E1935" s="7">
        <f t="shared" si="30"/>
        <v>1</v>
      </c>
    </row>
    <row r="1936" spans="1:5" x14ac:dyDescent="0.25">
      <c r="A1936" s="7">
        <f>IF(E1936=1,
      SUM($E$2:E1936)-1,
"")</f>
        <v>1933</v>
      </c>
      <c r="B1936" s="6" t="s">
        <v>914</v>
      </c>
      <c r="C1936" s="14">
        <v>45194</v>
      </c>
      <c r="D1936" s="15">
        <v>111.13</v>
      </c>
      <c r="E1936" s="7">
        <f t="shared" si="30"/>
        <v>1</v>
      </c>
    </row>
    <row r="1937" spans="1:5" x14ac:dyDescent="0.25">
      <c r="A1937" s="7">
        <f>IF(E1937=1,
      SUM($E$2:E1937)-1,
"")</f>
        <v>1934</v>
      </c>
      <c r="B1937" s="6" t="s">
        <v>915</v>
      </c>
      <c r="C1937" s="14">
        <v>45282</v>
      </c>
      <c r="D1937" s="15">
        <v>85.39</v>
      </c>
      <c r="E1937" s="7">
        <f t="shared" si="30"/>
        <v>1</v>
      </c>
    </row>
    <row r="1938" spans="1:5" x14ac:dyDescent="0.25">
      <c r="A1938" s="7">
        <f>IF(E1938=1,
      SUM($E$2:E1938)-1,
"")</f>
        <v>1935</v>
      </c>
      <c r="B1938" s="6" t="s">
        <v>748</v>
      </c>
      <c r="C1938" s="14">
        <v>45208</v>
      </c>
      <c r="D1938" s="15">
        <v>105.42</v>
      </c>
      <c r="E1938" s="7">
        <f t="shared" si="30"/>
        <v>1</v>
      </c>
    </row>
    <row r="1939" spans="1:5" x14ac:dyDescent="0.25">
      <c r="A1939" s="7">
        <f>IF(E1939=1,
      SUM($E$2:E1939)-1,
"")</f>
        <v>1936</v>
      </c>
      <c r="B1939" s="6" t="s">
        <v>916</v>
      </c>
      <c r="C1939" s="14">
        <v>45079</v>
      </c>
      <c r="D1939" s="15">
        <v>142.55000000000001</v>
      </c>
      <c r="E1939" s="7">
        <f t="shared" si="30"/>
        <v>1</v>
      </c>
    </row>
    <row r="1940" spans="1:5" x14ac:dyDescent="0.25">
      <c r="A1940" s="7">
        <f>IF(E1940=1,
      SUM($E$2:E1940)-1,
"")</f>
        <v>1937</v>
      </c>
      <c r="B1940" s="6" t="s">
        <v>236</v>
      </c>
      <c r="C1940" s="14">
        <v>45120</v>
      </c>
      <c r="D1940" s="15">
        <v>75.41</v>
      </c>
      <c r="E1940" s="7">
        <f t="shared" si="30"/>
        <v>1</v>
      </c>
    </row>
    <row r="1941" spans="1:5" x14ac:dyDescent="0.25">
      <c r="A1941" s="7">
        <f>IF(E1941=1,
      SUM($E$2:E1941)-1,
"")</f>
        <v>1938</v>
      </c>
      <c r="B1941" s="6" t="s">
        <v>917</v>
      </c>
      <c r="C1941" s="14">
        <v>45084</v>
      </c>
      <c r="D1941" s="15">
        <v>86.82</v>
      </c>
      <c r="E1941" s="7">
        <f t="shared" si="30"/>
        <v>1</v>
      </c>
    </row>
    <row r="1942" spans="1:5" x14ac:dyDescent="0.25">
      <c r="A1942" s="7">
        <f>IF(E1942=1,
      SUM($E$2:E1942)-1,
"")</f>
        <v>1939</v>
      </c>
      <c r="B1942" s="6" t="s">
        <v>347</v>
      </c>
      <c r="C1942" s="14">
        <v>45229</v>
      </c>
      <c r="D1942" s="15">
        <v>119.23</v>
      </c>
      <c r="E1942" s="7">
        <f t="shared" si="30"/>
        <v>1</v>
      </c>
    </row>
    <row r="1943" spans="1:5" x14ac:dyDescent="0.25">
      <c r="A1943" s="7">
        <f>IF(E1943=1,
      SUM($E$2:E1943)-1,
"")</f>
        <v>1940</v>
      </c>
      <c r="B1943" s="6" t="s">
        <v>809</v>
      </c>
      <c r="C1943" s="14">
        <v>45035</v>
      </c>
      <c r="D1943" s="15">
        <v>144.91999999999999</v>
      </c>
      <c r="E1943" s="7">
        <f t="shared" si="30"/>
        <v>1</v>
      </c>
    </row>
    <row r="1944" spans="1:5" x14ac:dyDescent="0.25">
      <c r="A1944" s="7">
        <f>IF(E1944=1,
      SUM($E$2:E1944)-1,
"")</f>
        <v>1941</v>
      </c>
      <c r="B1944" s="6" t="s">
        <v>399</v>
      </c>
      <c r="C1944" s="14">
        <v>44961</v>
      </c>
      <c r="D1944" s="15">
        <v>62.73</v>
      </c>
      <c r="E1944" s="7">
        <f t="shared" si="30"/>
        <v>1</v>
      </c>
    </row>
    <row r="1945" spans="1:5" x14ac:dyDescent="0.25">
      <c r="A1945" s="7">
        <f>IF(E1945=1,
      SUM($E$2:E1945)-1,
"")</f>
        <v>1942</v>
      </c>
      <c r="B1945" s="6" t="s">
        <v>425</v>
      </c>
      <c r="C1945" s="14">
        <v>45172</v>
      </c>
      <c r="D1945" s="15">
        <v>48.98</v>
      </c>
      <c r="E1945" s="7">
        <f t="shared" si="30"/>
        <v>1</v>
      </c>
    </row>
    <row r="1946" spans="1:5" x14ac:dyDescent="0.25">
      <c r="A1946" s="7">
        <f>IF(E1946=1,
      SUM($E$2:E1946)-1,
"")</f>
        <v>1943</v>
      </c>
      <c r="B1946" s="6" t="s">
        <v>668</v>
      </c>
      <c r="C1946" s="14">
        <v>44995</v>
      </c>
      <c r="D1946" s="15">
        <v>99.98</v>
      </c>
      <c r="E1946" s="7">
        <f t="shared" si="30"/>
        <v>1</v>
      </c>
    </row>
    <row r="1947" spans="1:5" x14ac:dyDescent="0.25">
      <c r="A1947" s="7">
        <f>IF(E1947=1,
      SUM($E$2:E1947)-1,
"")</f>
        <v>1944</v>
      </c>
      <c r="B1947" s="6" t="s">
        <v>611</v>
      </c>
      <c r="C1947" s="14">
        <v>45239</v>
      </c>
      <c r="D1947" s="15">
        <v>96.88</v>
      </c>
      <c r="E1947" s="7">
        <f t="shared" si="30"/>
        <v>1</v>
      </c>
    </row>
    <row r="1948" spans="1:5" x14ac:dyDescent="0.25">
      <c r="A1948" s="7">
        <f>IF(E1948=1,
      SUM($E$2:E1948)-1,
"")</f>
        <v>1945</v>
      </c>
      <c r="B1948" s="6" t="s">
        <v>497</v>
      </c>
      <c r="C1948" s="14">
        <v>44962</v>
      </c>
      <c r="D1948" s="15">
        <v>121.01</v>
      </c>
      <c r="E1948" s="7">
        <f t="shared" si="30"/>
        <v>1</v>
      </c>
    </row>
    <row r="1949" spans="1:5" x14ac:dyDescent="0.25">
      <c r="A1949" s="7">
        <f>IF(E1949=1,
      SUM($E$2:E1949)-1,
"")</f>
        <v>1946</v>
      </c>
      <c r="B1949" s="6" t="s">
        <v>305</v>
      </c>
      <c r="C1949" s="14">
        <v>45021</v>
      </c>
      <c r="D1949" s="15">
        <v>116.43</v>
      </c>
      <c r="E1949" s="7">
        <f t="shared" si="30"/>
        <v>1</v>
      </c>
    </row>
    <row r="1950" spans="1:5" x14ac:dyDescent="0.25">
      <c r="A1950" s="7">
        <f>IF(E1950=1,
      SUM($E$2:E1950)-1,
"")</f>
        <v>1947</v>
      </c>
      <c r="B1950" s="6" t="s">
        <v>658</v>
      </c>
      <c r="C1950" s="14">
        <v>45052</v>
      </c>
      <c r="D1950" s="15">
        <v>98.98</v>
      </c>
      <c r="E1950" s="7">
        <f t="shared" si="30"/>
        <v>1</v>
      </c>
    </row>
    <row r="1951" spans="1:5" x14ac:dyDescent="0.25">
      <c r="A1951" s="7">
        <f>IF(E1951=1,
      SUM($E$2:E1951)-1,
"")</f>
        <v>1948</v>
      </c>
      <c r="B1951" s="6" t="s">
        <v>565</v>
      </c>
      <c r="C1951" s="14">
        <v>45050</v>
      </c>
      <c r="D1951" s="15">
        <v>131.47999999999999</v>
      </c>
      <c r="E1951" s="7">
        <f t="shared" si="30"/>
        <v>1</v>
      </c>
    </row>
    <row r="1952" spans="1:5" x14ac:dyDescent="0.25">
      <c r="A1952" s="7">
        <f>IF(E1952=1,
      SUM($E$2:E1952)-1,
"")</f>
        <v>1949</v>
      </c>
      <c r="B1952" s="6" t="s">
        <v>293</v>
      </c>
      <c r="C1952" s="14">
        <v>45275</v>
      </c>
      <c r="D1952" s="15">
        <v>79.569999999999993</v>
      </c>
      <c r="E1952" s="7">
        <f t="shared" si="30"/>
        <v>1</v>
      </c>
    </row>
    <row r="1953" spans="1:5" x14ac:dyDescent="0.25">
      <c r="A1953" s="7">
        <f>IF(E1953=1,
      SUM($E$2:E1953)-1,
"")</f>
        <v>1950</v>
      </c>
      <c r="B1953" s="6" t="s">
        <v>918</v>
      </c>
      <c r="C1953" s="14">
        <v>45106</v>
      </c>
      <c r="D1953" s="15">
        <v>106.35</v>
      </c>
      <c r="E1953" s="7">
        <f t="shared" si="30"/>
        <v>1</v>
      </c>
    </row>
    <row r="1954" spans="1:5" x14ac:dyDescent="0.25">
      <c r="A1954" s="7">
        <f>IF(E1954=1,
      SUM($E$2:E1954)-1,
"")</f>
        <v>1951</v>
      </c>
      <c r="B1954" s="6" t="s">
        <v>760</v>
      </c>
      <c r="C1954" s="14">
        <v>44947</v>
      </c>
      <c r="D1954" s="15">
        <v>63.53</v>
      </c>
      <c r="E1954" s="7">
        <f t="shared" si="30"/>
        <v>1</v>
      </c>
    </row>
    <row r="1955" spans="1:5" x14ac:dyDescent="0.25">
      <c r="A1955" s="7">
        <f>IF(E1955=1,
      SUM($E$2:E1955)-1,
"")</f>
        <v>1952</v>
      </c>
      <c r="B1955" s="6" t="s">
        <v>634</v>
      </c>
      <c r="C1955" s="14">
        <v>45149</v>
      </c>
      <c r="D1955" s="15">
        <v>98.74</v>
      </c>
      <c r="E1955" s="7">
        <f t="shared" si="30"/>
        <v>1</v>
      </c>
    </row>
    <row r="1956" spans="1:5" x14ac:dyDescent="0.25">
      <c r="A1956" s="7">
        <f>IF(E1956=1,
      SUM($E$2:E1956)-1,
"")</f>
        <v>1953</v>
      </c>
      <c r="B1956" s="6" t="s">
        <v>151</v>
      </c>
      <c r="C1956" s="14">
        <v>45031</v>
      </c>
      <c r="D1956" s="15">
        <v>56.17</v>
      </c>
      <c r="E1956" s="7">
        <f t="shared" si="30"/>
        <v>1</v>
      </c>
    </row>
    <row r="1957" spans="1:5" x14ac:dyDescent="0.25">
      <c r="A1957" s="7">
        <f>IF(E1957=1,
      SUM($E$2:E1957)-1,
"")</f>
        <v>1954</v>
      </c>
      <c r="B1957" s="6" t="s">
        <v>919</v>
      </c>
      <c r="C1957" s="14">
        <v>44929</v>
      </c>
      <c r="D1957" s="15">
        <v>66.52</v>
      </c>
      <c r="E1957" s="7">
        <f t="shared" si="30"/>
        <v>1</v>
      </c>
    </row>
    <row r="1958" spans="1:5" x14ac:dyDescent="0.25">
      <c r="A1958" s="7">
        <f>IF(E1958=1,
      SUM($E$2:E1958)-1,
"")</f>
        <v>1955</v>
      </c>
      <c r="B1958" s="6" t="s">
        <v>850</v>
      </c>
      <c r="C1958" s="14">
        <v>45054</v>
      </c>
      <c r="D1958" s="15">
        <v>151.28</v>
      </c>
      <c r="E1958" s="7">
        <f t="shared" si="30"/>
        <v>1</v>
      </c>
    </row>
    <row r="1959" spans="1:5" x14ac:dyDescent="0.25">
      <c r="A1959" s="7">
        <f>IF(E1959=1,
      SUM($E$2:E1959)-1,
"")</f>
        <v>1956</v>
      </c>
      <c r="B1959" s="6" t="s">
        <v>155</v>
      </c>
      <c r="C1959" s="14">
        <v>44989</v>
      </c>
      <c r="D1959" s="15">
        <v>45.26</v>
      </c>
      <c r="E1959" s="7">
        <f t="shared" si="30"/>
        <v>1</v>
      </c>
    </row>
    <row r="1960" spans="1:5" x14ac:dyDescent="0.25">
      <c r="A1960" s="7">
        <f>IF(E1960=1,
      SUM($E$2:E1960)-1,
"")</f>
        <v>1957</v>
      </c>
      <c r="B1960" s="6" t="s">
        <v>177</v>
      </c>
      <c r="C1960" s="14">
        <v>44995</v>
      </c>
      <c r="D1960" s="15">
        <v>93.5</v>
      </c>
      <c r="E1960" s="7">
        <f t="shared" si="30"/>
        <v>1</v>
      </c>
    </row>
    <row r="1961" spans="1:5" x14ac:dyDescent="0.25">
      <c r="A1961" s="7">
        <f>IF(E1961=1,
      SUM($E$2:E1961)-1,
"")</f>
        <v>1958</v>
      </c>
      <c r="B1961" s="6" t="s">
        <v>130</v>
      </c>
      <c r="C1961" s="14">
        <v>45217</v>
      </c>
      <c r="D1961" s="15">
        <v>124.82</v>
      </c>
      <c r="E1961" s="7">
        <f t="shared" si="30"/>
        <v>1</v>
      </c>
    </row>
    <row r="1962" spans="1:5" x14ac:dyDescent="0.25">
      <c r="A1962" s="7">
        <f>IF(E1962=1,
      SUM($E$2:E1962)-1,
"")</f>
        <v>1959</v>
      </c>
      <c r="B1962" s="6" t="s">
        <v>298</v>
      </c>
      <c r="C1962" s="14">
        <v>45105</v>
      </c>
      <c r="D1962" s="15">
        <v>166.64</v>
      </c>
      <c r="E1962" s="7">
        <f t="shared" si="30"/>
        <v>1</v>
      </c>
    </row>
    <row r="1963" spans="1:5" x14ac:dyDescent="0.25">
      <c r="A1963" s="7">
        <f>IF(E1963=1,
      SUM($E$2:E1963)-1,
"")</f>
        <v>1960</v>
      </c>
      <c r="B1963" s="6" t="s">
        <v>119</v>
      </c>
      <c r="C1963" s="14">
        <v>44960</v>
      </c>
      <c r="D1963" s="15">
        <v>105.31</v>
      </c>
      <c r="E1963" s="7">
        <f t="shared" si="30"/>
        <v>1</v>
      </c>
    </row>
    <row r="1964" spans="1:5" x14ac:dyDescent="0.25">
      <c r="A1964" s="7">
        <f>IF(E1964=1,
      SUM($E$2:E1964)-1,
"")</f>
        <v>1961</v>
      </c>
      <c r="B1964" s="6" t="s">
        <v>290</v>
      </c>
      <c r="C1964" s="14">
        <v>45047</v>
      </c>
      <c r="D1964" s="15">
        <v>107.03</v>
      </c>
      <c r="E1964" s="7">
        <f t="shared" si="30"/>
        <v>1</v>
      </c>
    </row>
    <row r="1965" spans="1:5" x14ac:dyDescent="0.25">
      <c r="A1965" s="7">
        <f>IF(E1965=1,
      SUM($E$2:E1965)-1,
"")</f>
        <v>1962</v>
      </c>
      <c r="B1965" s="6" t="s">
        <v>920</v>
      </c>
      <c r="C1965" s="14">
        <v>45163</v>
      </c>
      <c r="D1965" s="15">
        <v>101.19</v>
      </c>
      <c r="E1965" s="7">
        <f t="shared" si="30"/>
        <v>1</v>
      </c>
    </row>
    <row r="1966" spans="1:5" x14ac:dyDescent="0.25">
      <c r="A1966" s="7">
        <f>IF(E1966=1,
      SUM($E$2:E1966)-1,
"")</f>
        <v>1963</v>
      </c>
      <c r="B1966" s="6" t="s">
        <v>770</v>
      </c>
      <c r="C1966" s="14">
        <v>44978</v>
      </c>
      <c r="D1966" s="15">
        <v>131.72</v>
      </c>
      <c r="E1966" s="7">
        <f t="shared" si="30"/>
        <v>1</v>
      </c>
    </row>
    <row r="1967" spans="1:5" x14ac:dyDescent="0.25">
      <c r="A1967" s="7">
        <f>IF(E1967=1,
      SUM($E$2:E1967)-1,
"")</f>
        <v>1964</v>
      </c>
      <c r="B1967" s="6" t="s">
        <v>746</v>
      </c>
      <c r="C1967" s="14">
        <v>45010</v>
      </c>
      <c r="D1967" s="15">
        <v>112.95</v>
      </c>
      <c r="E1967" s="7">
        <f t="shared" si="30"/>
        <v>1</v>
      </c>
    </row>
    <row r="1968" spans="1:5" x14ac:dyDescent="0.25">
      <c r="A1968" s="7">
        <f>IF(E1968=1,
      SUM($E$2:E1968)-1,
"")</f>
        <v>1965</v>
      </c>
      <c r="B1968" s="6" t="s">
        <v>814</v>
      </c>
      <c r="C1968" s="14">
        <v>45214</v>
      </c>
      <c r="D1968" s="15">
        <v>82.75</v>
      </c>
      <c r="E1968" s="7">
        <f t="shared" si="30"/>
        <v>1</v>
      </c>
    </row>
    <row r="1969" spans="1:5" x14ac:dyDescent="0.25">
      <c r="A1969" s="7">
        <f>IF(E1969=1,
      SUM($E$2:E1969)-1,
"")</f>
        <v>1966</v>
      </c>
      <c r="B1969" s="6" t="s">
        <v>307</v>
      </c>
      <c r="C1969" s="14">
        <v>45221</v>
      </c>
      <c r="D1969" s="15">
        <v>133.47</v>
      </c>
      <c r="E1969" s="7">
        <f t="shared" si="30"/>
        <v>1</v>
      </c>
    </row>
    <row r="1970" spans="1:5" x14ac:dyDescent="0.25">
      <c r="A1970" s="7">
        <f>IF(E1970=1,
      SUM($E$2:E1970)-1,
"")</f>
        <v>1967</v>
      </c>
      <c r="B1970" s="6" t="s">
        <v>260</v>
      </c>
      <c r="C1970" s="14">
        <v>45030</v>
      </c>
      <c r="D1970" s="15">
        <v>86.13</v>
      </c>
      <c r="E1970" s="7">
        <f t="shared" si="30"/>
        <v>1</v>
      </c>
    </row>
    <row r="1971" spans="1:5" x14ac:dyDescent="0.25">
      <c r="A1971" s="7">
        <f>IF(E1971=1,
      SUM($E$2:E1971)-1,
"")</f>
        <v>1968</v>
      </c>
      <c r="B1971" s="6" t="s">
        <v>921</v>
      </c>
      <c r="C1971" s="14">
        <v>45102</v>
      </c>
      <c r="D1971" s="15">
        <v>52.05</v>
      </c>
      <c r="E1971" s="7">
        <f t="shared" si="30"/>
        <v>1</v>
      </c>
    </row>
    <row r="1972" spans="1:5" x14ac:dyDescent="0.25">
      <c r="A1972" s="7">
        <f>IF(E1972=1,
      SUM($E$2:E1972)-1,
"")</f>
        <v>1969</v>
      </c>
      <c r="B1972" s="6" t="s">
        <v>188</v>
      </c>
      <c r="C1972" s="14">
        <v>45230</v>
      </c>
      <c r="D1972" s="15">
        <v>52.14</v>
      </c>
      <c r="E1972" s="7">
        <f t="shared" si="30"/>
        <v>1</v>
      </c>
    </row>
    <row r="1973" spans="1:5" x14ac:dyDescent="0.25">
      <c r="A1973" s="7">
        <f>IF(E1973=1,
      SUM($E$2:E1973)-1,
"")</f>
        <v>1970</v>
      </c>
      <c r="B1973" s="6" t="s">
        <v>353</v>
      </c>
      <c r="C1973" s="14">
        <v>45281</v>
      </c>
      <c r="D1973" s="15">
        <v>93.97</v>
      </c>
      <c r="E1973" s="7">
        <f t="shared" si="30"/>
        <v>1</v>
      </c>
    </row>
    <row r="1974" spans="1:5" x14ac:dyDescent="0.25">
      <c r="A1974" s="7">
        <f>IF(E1974=1,
      SUM($E$2:E1974)-1,
"")</f>
        <v>1971</v>
      </c>
      <c r="B1974" s="6" t="s">
        <v>493</v>
      </c>
      <c r="C1974" s="14">
        <v>45152</v>
      </c>
      <c r="D1974" s="15">
        <v>103.09</v>
      </c>
      <c r="E1974" s="7">
        <f t="shared" si="30"/>
        <v>1</v>
      </c>
    </row>
    <row r="1975" spans="1:5" x14ac:dyDescent="0.25">
      <c r="A1975" s="7">
        <f>IF(E1975=1,
      SUM($E$2:E1975)-1,
"")</f>
        <v>1972</v>
      </c>
      <c r="B1975" s="6" t="s">
        <v>461</v>
      </c>
      <c r="C1975" s="14">
        <v>45039</v>
      </c>
      <c r="D1975" s="15">
        <v>128.66999999999999</v>
      </c>
      <c r="E1975" s="7">
        <f t="shared" si="30"/>
        <v>1</v>
      </c>
    </row>
    <row r="1976" spans="1:5" x14ac:dyDescent="0.25">
      <c r="A1976" s="7">
        <f>IF(E1976=1,
      SUM($E$2:E1976)-1,
"")</f>
        <v>1973</v>
      </c>
      <c r="B1976" s="6" t="s">
        <v>496</v>
      </c>
      <c r="C1976" s="14">
        <v>45250</v>
      </c>
      <c r="D1976" s="15">
        <v>119.22</v>
      </c>
      <c r="E1976" s="7">
        <f t="shared" si="30"/>
        <v>1</v>
      </c>
    </row>
    <row r="1977" spans="1:5" x14ac:dyDescent="0.25">
      <c r="A1977" s="7">
        <f>IF(E1977=1,
      SUM($E$2:E1977)-1,
"")</f>
        <v>1974</v>
      </c>
      <c r="B1977" s="6" t="s">
        <v>448</v>
      </c>
      <c r="C1977" s="14">
        <v>45276</v>
      </c>
      <c r="D1977" s="15">
        <v>102.4</v>
      </c>
      <c r="E1977" s="7">
        <f t="shared" si="30"/>
        <v>1</v>
      </c>
    </row>
    <row r="1978" spans="1:5" x14ac:dyDescent="0.25">
      <c r="A1978" s="7">
        <f>IF(E1978=1,
      SUM($E$2:E1978)-1,
"")</f>
        <v>1975</v>
      </c>
      <c r="B1978" s="6" t="s">
        <v>877</v>
      </c>
      <c r="C1978" s="14">
        <v>45230</v>
      </c>
      <c r="D1978" s="15">
        <v>130.35</v>
      </c>
      <c r="E1978" s="7">
        <f t="shared" si="30"/>
        <v>1</v>
      </c>
    </row>
    <row r="1979" spans="1:5" x14ac:dyDescent="0.25">
      <c r="A1979" s="7">
        <f>IF(E1979=1,
      SUM($E$2:E1979)-1,
"")</f>
        <v>1976</v>
      </c>
      <c r="B1979" s="6" t="s">
        <v>552</v>
      </c>
      <c r="C1979" s="14">
        <v>45040</v>
      </c>
      <c r="D1979" s="15">
        <v>100.38</v>
      </c>
      <c r="E1979" s="7">
        <f t="shared" si="30"/>
        <v>1</v>
      </c>
    </row>
    <row r="1980" spans="1:5" x14ac:dyDescent="0.25">
      <c r="A1980" s="7">
        <f>IF(E1980=1,
      SUM($E$2:E1980)-1,
"")</f>
        <v>1977</v>
      </c>
      <c r="B1980" s="6" t="s">
        <v>351</v>
      </c>
      <c r="C1980" s="14">
        <v>45001</v>
      </c>
      <c r="D1980" s="15">
        <v>61.29</v>
      </c>
      <c r="E1980" s="7">
        <f t="shared" si="30"/>
        <v>1</v>
      </c>
    </row>
    <row r="1981" spans="1:5" x14ac:dyDescent="0.25">
      <c r="A1981" s="7">
        <f>IF(E1981=1,
      SUM($E$2:E1981)-1,
"")</f>
        <v>1978</v>
      </c>
      <c r="B1981" s="6" t="s">
        <v>328</v>
      </c>
      <c r="C1981" s="14">
        <v>45285</v>
      </c>
      <c r="D1981" s="15">
        <v>54.75</v>
      </c>
      <c r="E1981" s="7">
        <f t="shared" si="30"/>
        <v>1</v>
      </c>
    </row>
    <row r="1982" spans="1:5" x14ac:dyDescent="0.25">
      <c r="A1982" s="7">
        <f>IF(E1982=1,
      SUM($E$2:E1982)-1,
"")</f>
        <v>1979</v>
      </c>
      <c r="B1982" s="6" t="s">
        <v>717</v>
      </c>
      <c r="C1982" s="14">
        <v>44968</v>
      </c>
      <c r="D1982" s="15">
        <v>138.36000000000001</v>
      </c>
      <c r="E1982" s="7">
        <f t="shared" si="30"/>
        <v>1</v>
      </c>
    </row>
    <row r="1983" spans="1:5" x14ac:dyDescent="0.25">
      <c r="A1983" s="7">
        <f>IF(E1983=1,
      SUM($E$2:E1983)-1,
"")</f>
        <v>1980</v>
      </c>
      <c r="B1983" s="6" t="s">
        <v>751</v>
      </c>
      <c r="C1983" s="14">
        <v>45203</v>
      </c>
      <c r="D1983" s="15">
        <v>32.64</v>
      </c>
      <c r="E1983" s="7">
        <f t="shared" si="30"/>
        <v>1</v>
      </c>
    </row>
    <row r="1984" spans="1:5" x14ac:dyDescent="0.25">
      <c r="A1984" s="7">
        <f>IF(E1984=1,
      SUM($E$2:E1984)-1,
"")</f>
        <v>1981</v>
      </c>
      <c r="B1984" s="6" t="s">
        <v>436</v>
      </c>
      <c r="C1984" s="14">
        <v>45085</v>
      </c>
      <c r="D1984" s="15">
        <v>93.98</v>
      </c>
      <c r="E1984" s="7">
        <f t="shared" si="30"/>
        <v>1</v>
      </c>
    </row>
    <row r="1985" spans="1:5" x14ac:dyDescent="0.25">
      <c r="A1985" s="7">
        <f>IF(E1985=1,
      SUM($E$2:E1985)-1,
"")</f>
        <v>1982</v>
      </c>
      <c r="B1985" s="6" t="s">
        <v>268</v>
      </c>
      <c r="C1985" s="14">
        <v>45001</v>
      </c>
      <c r="D1985" s="15">
        <v>189.45</v>
      </c>
      <c r="E1985" s="7">
        <f t="shared" si="30"/>
        <v>1</v>
      </c>
    </row>
    <row r="1986" spans="1:5" x14ac:dyDescent="0.25">
      <c r="A1986" s="7">
        <f>IF(E1986=1,
      SUM($E$2:E1986)-1,
"")</f>
        <v>1983</v>
      </c>
      <c r="B1986" s="6" t="s">
        <v>710</v>
      </c>
      <c r="C1986" s="14">
        <v>45009</v>
      </c>
      <c r="D1986" s="15">
        <v>113.78</v>
      </c>
      <c r="E1986" s="7">
        <f t="shared" ref="E1986:E2049" si="31">IF(D1986&gt;0,1,0)</f>
        <v>1</v>
      </c>
    </row>
    <row r="1987" spans="1:5" x14ac:dyDescent="0.25">
      <c r="A1987" s="7">
        <f>IF(E1987=1,
      SUM($E$2:E1987)-1,
"")</f>
        <v>1984</v>
      </c>
      <c r="B1987" s="6" t="s">
        <v>821</v>
      </c>
      <c r="C1987" s="14">
        <v>45175</v>
      </c>
      <c r="D1987" s="15">
        <v>93.74</v>
      </c>
      <c r="E1987" s="7">
        <f t="shared" si="31"/>
        <v>1</v>
      </c>
    </row>
    <row r="1988" spans="1:5" x14ac:dyDescent="0.25">
      <c r="A1988" s="7">
        <f>IF(E1988=1,
      SUM($E$2:E1988)-1,
"")</f>
        <v>1985</v>
      </c>
      <c r="B1988" s="6" t="s">
        <v>922</v>
      </c>
      <c r="C1988" s="14">
        <v>44944</v>
      </c>
      <c r="D1988" s="15">
        <v>49.47</v>
      </c>
      <c r="E1988" s="7">
        <f t="shared" si="31"/>
        <v>1</v>
      </c>
    </row>
    <row r="1989" spans="1:5" x14ac:dyDescent="0.25">
      <c r="A1989" s="7">
        <f>IF(E1989=1,
      SUM($E$2:E1989)-1,
"")</f>
        <v>1986</v>
      </c>
      <c r="B1989" s="6" t="s">
        <v>722</v>
      </c>
      <c r="C1989" s="14">
        <v>45118</v>
      </c>
      <c r="D1989" s="15">
        <v>148.52000000000001</v>
      </c>
      <c r="E1989" s="7">
        <f t="shared" si="31"/>
        <v>1</v>
      </c>
    </row>
    <row r="1990" spans="1:5" x14ac:dyDescent="0.25">
      <c r="A1990" s="7">
        <f>IF(E1990=1,
      SUM($E$2:E1990)-1,
"")</f>
        <v>1987</v>
      </c>
      <c r="B1990" s="6" t="s">
        <v>900</v>
      </c>
      <c r="C1990" s="14">
        <v>45217</v>
      </c>
      <c r="D1990" s="15">
        <v>136.41</v>
      </c>
      <c r="E1990" s="7">
        <f t="shared" si="31"/>
        <v>1</v>
      </c>
    </row>
    <row r="1991" spans="1:5" x14ac:dyDescent="0.25">
      <c r="A1991" s="7">
        <f>IF(E1991=1,
      SUM($E$2:E1991)-1,
"")</f>
        <v>1988</v>
      </c>
      <c r="B1991" s="6" t="s">
        <v>626</v>
      </c>
      <c r="C1991" s="14">
        <v>45192</v>
      </c>
      <c r="D1991" s="15">
        <v>120.54</v>
      </c>
      <c r="E1991" s="7">
        <f t="shared" si="31"/>
        <v>1</v>
      </c>
    </row>
    <row r="1992" spans="1:5" x14ac:dyDescent="0.25">
      <c r="A1992" s="7">
        <f>IF(E1992=1,
      SUM($E$2:E1992)-1,
"")</f>
        <v>1989</v>
      </c>
      <c r="B1992" s="6" t="s">
        <v>781</v>
      </c>
      <c r="C1992" s="14">
        <v>45142</v>
      </c>
      <c r="D1992" s="15">
        <v>99.98</v>
      </c>
      <c r="E1992" s="7">
        <f t="shared" si="31"/>
        <v>1</v>
      </c>
    </row>
    <row r="1993" spans="1:5" x14ac:dyDescent="0.25">
      <c r="A1993" s="7">
        <f>IF(E1993=1,
      SUM($E$2:E1993)-1,
"")</f>
        <v>1990</v>
      </c>
      <c r="B1993" s="6" t="s">
        <v>407</v>
      </c>
      <c r="C1993" s="14">
        <v>45023</v>
      </c>
      <c r="D1993" s="15">
        <v>117.16</v>
      </c>
      <c r="E1993" s="7">
        <f t="shared" si="31"/>
        <v>1</v>
      </c>
    </row>
    <row r="1994" spans="1:5" x14ac:dyDescent="0.25">
      <c r="A1994" s="7">
        <f>IF(E1994=1,
      SUM($E$2:E1994)-1,
"")</f>
        <v>1991</v>
      </c>
      <c r="B1994" s="6" t="s">
        <v>406</v>
      </c>
      <c r="C1994" s="14">
        <v>45222</v>
      </c>
      <c r="D1994" s="15">
        <v>95.54</v>
      </c>
      <c r="E1994" s="7">
        <f t="shared" si="31"/>
        <v>1</v>
      </c>
    </row>
    <row r="1995" spans="1:5" x14ac:dyDescent="0.25">
      <c r="A1995" s="7">
        <f>IF(E1995=1,
      SUM($E$2:E1995)-1,
"")</f>
        <v>1992</v>
      </c>
      <c r="B1995" s="6" t="s">
        <v>219</v>
      </c>
      <c r="C1995" s="14">
        <v>45113</v>
      </c>
      <c r="D1995" s="15">
        <v>70.8</v>
      </c>
      <c r="E1995" s="7">
        <f t="shared" si="31"/>
        <v>1</v>
      </c>
    </row>
    <row r="1996" spans="1:5" x14ac:dyDescent="0.25">
      <c r="A1996" s="7">
        <f>IF(E1996=1,
      SUM($E$2:E1996)-1,
"")</f>
        <v>1993</v>
      </c>
      <c r="B1996" s="6" t="s">
        <v>912</v>
      </c>
      <c r="C1996" s="14">
        <v>45169</v>
      </c>
      <c r="D1996" s="15">
        <v>128.69</v>
      </c>
      <c r="E1996" s="7">
        <f t="shared" si="31"/>
        <v>1</v>
      </c>
    </row>
    <row r="1997" spans="1:5" x14ac:dyDescent="0.25">
      <c r="A1997" s="7">
        <f>IF(E1997=1,
      SUM($E$2:E1997)-1,
"")</f>
        <v>1994</v>
      </c>
      <c r="B1997" s="6" t="s">
        <v>297</v>
      </c>
      <c r="C1997" s="14">
        <v>45000</v>
      </c>
      <c r="D1997" s="15">
        <v>98.48</v>
      </c>
      <c r="E1997" s="7">
        <f t="shared" si="31"/>
        <v>1</v>
      </c>
    </row>
    <row r="1998" spans="1:5" x14ac:dyDescent="0.25">
      <c r="A1998" s="7">
        <f>IF(E1998=1,
      SUM($E$2:E1998)-1,
"")</f>
        <v>1995</v>
      </c>
      <c r="B1998" s="6" t="s">
        <v>177</v>
      </c>
      <c r="C1998" s="14">
        <v>45008</v>
      </c>
      <c r="D1998" s="15">
        <v>115.66</v>
      </c>
      <c r="E1998" s="7">
        <f t="shared" si="31"/>
        <v>1</v>
      </c>
    </row>
    <row r="1999" spans="1:5" x14ac:dyDescent="0.25">
      <c r="A1999" s="7">
        <f>IF(E1999=1,
      SUM($E$2:E1999)-1,
"")</f>
        <v>1996</v>
      </c>
      <c r="B1999" s="6" t="s">
        <v>164</v>
      </c>
      <c r="C1999" s="14">
        <v>45098</v>
      </c>
      <c r="D1999" s="15">
        <v>96.37</v>
      </c>
      <c r="E1999" s="7">
        <f t="shared" si="31"/>
        <v>1</v>
      </c>
    </row>
    <row r="2000" spans="1:5" x14ac:dyDescent="0.25">
      <c r="A2000" s="7">
        <f>IF(E2000=1,
      SUM($E$2:E2000)-1,
"")</f>
        <v>1997</v>
      </c>
      <c r="B2000" s="6" t="s">
        <v>684</v>
      </c>
      <c r="C2000" s="14">
        <v>45065</v>
      </c>
      <c r="D2000" s="15">
        <v>113.85</v>
      </c>
      <c r="E2000" s="7">
        <f t="shared" si="31"/>
        <v>1</v>
      </c>
    </row>
    <row r="2001" spans="1:5" x14ac:dyDescent="0.25">
      <c r="A2001" s="7">
        <f>IF(E2001=1,
      SUM($E$2:E2001)-1,
"")</f>
        <v>1998</v>
      </c>
      <c r="B2001" s="6" t="s">
        <v>549</v>
      </c>
      <c r="C2001" s="14">
        <v>45018</v>
      </c>
      <c r="D2001" s="15">
        <v>99.57</v>
      </c>
      <c r="E2001" s="7">
        <f t="shared" si="31"/>
        <v>1</v>
      </c>
    </row>
    <row r="2002" spans="1:5" x14ac:dyDescent="0.25">
      <c r="A2002" s="7">
        <f>IF(E2002=1,
      SUM($E$2:E2002)-1,
"")</f>
        <v>1999</v>
      </c>
      <c r="B2002" s="6" t="s">
        <v>363</v>
      </c>
      <c r="C2002" s="14">
        <v>45187</v>
      </c>
      <c r="D2002" s="15">
        <v>97.22</v>
      </c>
      <c r="E2002" s="7">
        <f t="shared" si="31"/>
        <v>1</v>
      </c>
    </row>
    <row r="2003" spans="1:5" x14ac:dyDescent="0.25">
      <c r="A2003" s="7">
        <f>IF(E2003=1,
      SUM($E$2:E2003)-1,
"")</f>
        <v>2000</v>
      </c>
      <c r="B2003" s="6" t="s">
        <v>923</v>
      </c>
      <c r="C2003" s="14">
        <v>45272</v>
      </c>
      <c r="D2003" s="15">
        <v>100.9</v>
      </c>
      <c r="E2003" s="7">
        <f t="shared" si="31"/>
        <v>1</v>
      </c>
    </row>
    <row r="2004" spans="1:5" x14ac:dyDescent="0.25">
      <c r="A2004" s="7">
        <f>IF(E2004=1,
      SUM($E$2:E2004)-1,
"")</f>
        <v>2001</v>
      </c>
      <c r="B2004" s="6" t="s">
        <v>616</v>
      </c>
      <c r="C2004" s="14">
        <v>45229</v>
      </c>
      <c r="D2004" s="15">
        <v>188.83</v>
      </c>
      <c r="E2004" s="7">
        <f t="shared" si="31"/>
        <v>1</v>
      </c>
    </row>
    <row r="2005" spans="1:5" x14ac:dyDescent="0.25">
      <c r="A2005" s="7">
        <f>IF(E2005=1,
      SUM($E$2:E2005)-1,
"")</f>
        <v>2002</v>
      </c>
      <c r="B2005" s="6" t="s">
        <v>811</v>
      </c>
      <c r="C2005" s="14">
        <v>45128</v>
      </c>
      <c r="D2005" s="15">
        <v>124.07</v>
      </c>
      <c r="E2005" s="7">
        <f t="shared" si="31"/>
        <v>1</v>
      </c>
    </row>
    <row r="2006" spans="1:5" x14ac:dyDescent="0.25">
      <c r="A2006" s="7">
        <f>IF(E2006=1,
      SUM($E$2:E2006)-1,
"")</f>
        <v>2003</v>
      </c>
      <c r="B2006" s="6" t="s">
        <v>166</v>
      </c>
      <c r="C2006" s="14">
        <v>45266</v>
      </c>
      <c r="D2006" s="15">
        <v>177.58</v>
      </c>
      <c r="E2006" s="7">
        <f t="shared" si="31"/>
        <v>1</v>
      </c>
    </row>
    <row r="2007" spans="1:5" x14ac:dyDescent="0.25">
      <c r="A2007" s="7">
        <f>IF(E2007=1,
      SUM($E$2:E2007)-1,
"")</f>
        <v>2004</v>
      </c>
      <c r="B2007" s="6" t="s">
        <v>777</v>
      </c>
      <c r="C2007" s="14">
        <v>44982</v>
      </c>
      <c r="D2007" s="15">
        <v>99.76</v>
      </c>
      <c r="E2007" s="7">
        <f t="shared" si="31"/>
        <v>1</v>
      </c>
    </row>
    <row r="2008" spans="1:5" x14ac:dyDescent="0.25">
      <c r="A2008" s="7">
        <f>IF(E2008=1,
      SUM($E$2:E2008)-1,
"")</f>
        <v>2005</v>
      </c>
      <c r="B2008" s="6" t="s">
        <v>214</v>
      </c>
      <c r="C2008" s="14">
        <v>45008</v>
      </c>
      <c r="D2008" s="15">
        <v>90.73</v>
      </c>
      <c r="E2008" s="7">
        <f t="shared" si="31"/>
        <v>1</v>
      </c>
    </row>
    <row r="2009" spans="1:5" x14ac:dyDescent="0.25">
      <c r="A2009" s="7">
        <f>IF(E2009=1,
      SUM($E$2:E2009)-1,
"")</f>
        <v>2006</v>
      </c>
      <c r="B2009" s="6" t="s">
        <v>82</v>
      </c>
      <c r="C2009" s="14">
        <v>45145</v>
      </c>
      <c r="D2009" s="15">
        <v>67.77</v>
      </c>
      <c r="E2009" s="7">
        <f t="shared" si="31"/>
        <v>1</v>
      </c>
    </row>
    <row r="2010" spans="1:5" x14ac:dyDescent="0.25">
      <c r="A2010" s="7">
        <f>IF(E2010=1,
      SUM($E$2:E2010)-1,
"")</f>
        <v>2007</v>
      </c>
      <c r="B2010" s="6" t="s">
        <v>593</v>
      </c>
      <c r="C2010" s="14">
        <v>45012</v>
      </c>
      <c r="D2010" s="15">
        <v>148.1</v>
      </c>
      <c r="E2010" s="7">
        <f t="shared" si="31"/>
        <v>1</v>
      </c>
    </row>
    <row r="2011" spans="1:5" x14ac:dyDescent="0.25">
      <c r="A2011" s="7">
        <f>IF(E2011=1,
      SUM($E$2:E2011)-1,
"")</f>
        <v>2008</v>
      </c>
      <c r="B2011" s="6" t="s">
        <v>666</v>
      </c>
      <c r="C2011" s="14">
        <v>44967</v>
      </c>
      <c r="D2011" s="15">
        <v>72.84</v>
      </c>
      <c r="E2011" s="7">
        <f t="shared" si="31"/>
        <v>1</v>
      </c>
    </row>
    <row r="2012" spans="1:5" x14ac:dyDescent="0.25">
      <c r="A2012" s="7">
        <f>IF(E2012=1,
      SUM($E$2:E2012)-1,
"")</f>
        <v>2009</v>
      </c>
      <c r="B2012" s="6" t="s">
        <v>829</v>
      </c>
      <c r="C2012" s="14">
        <v>44974</v>
      </c>
      <c r="D2012" s="15">
        <v>154.29</v>
      </c>
      <c r="E2012" s="7">
        <f t="shared" si="31"/>
        <v>1</v>
      </c>
    </row>
    <row r="2013" spans="1:5" x14ac:dyDescent="0.25">
      <c r="A2013" s="7">
        <f>IF(E2013=1,
      SUM($E$2:E2013)-1,
"")</f>
        <v>2010</v>
      </c>
      <c r="B2013" s="6" t="s">
        <v>380</v>
      </c>
      <c r="C2013" s="14">
        <v>45129</v>
      </c>
      <c r="D2013" s="15">
        <v>69.510000000000005</v>
      </c>
      <c r="E2013" s="7">
        <f t="shared" si="31"/>
        <v>1</v>
      </c>
    </row>
    <row r="2014" spans="1:5" x14ac:dyDescent="0.25">
      <c r="A2014" s="7">
        <f>IF(E2014=1,
      SUM($E$2:E2014)-1,
"")</f>
        <v>2011</v>
      </c>
      <c r="B2014" s="6" t="s">
        <v>811</v>
      </c>
      <c r="C2014" s="14">
        <v>45069</v>
      </c>
      <c r="D2014" s="15">
        <v>126.6</v>
      </c>
      <c r="E2014" s="7">
        <f t="shared" si="31"/>
        <v>1</v>
      </c>
    </row>
    <row r="2015" spans="1:5" x14ac:dyDescent="0.25">
      <c r="A2015" s="7">
        <f>IF(E2015=1,
      SUM($E$2:E2015)-1,
"")</f>
        <v>2012</v>
      </c>
      <c r="B2015" s="6" t="s">
        <v>274</v>
      </c>
      <c r="C2015" s="14">
        <v>45021</v>
      </c>
      <c r="D2015" s="15">
        <v>52.27</v>
      </c>
      <c r="E2015" s="7">
        <f t="shared" si="31"/>
        <v>1</v>
      </c>
    </row>
    <row r="2016" spans="1:5" x14ac:dyDescent="0.25">
      <c r="A2016" s="7">
        <f>IF(E2016=1,
      SUM($E$2:E2016)-1,
"")</f>
        <v>2013</v>
      </c>
      <c r="B2016" s="6" t="s">
        <v>191</v>
      </c>
      <c r="C2016" s="14">
        <v>45147</v>
      </c>
      <c r="D2016" s="15">
        <v>86.74</v>
      </c>
      <c r="E2016" s="7">
        <f t="shared" si="31"/>
        <v>1</v>
      </c>
    </row>
    <row r="2017" spans="1:5" x14ac:dyDescent="0.25">
      <c r="A2017" s="7">
        <f>IF(E2017=1,
      SUM($E$2:E2017)-1,
"")</f>
        <v>2014</v>
      </c>
      <c r="B2017" s="6" t="s">
        <v>197</v>
      </c>
      <c r="C2017" s="14">
        <v>44937</v>
      </c>
      <c r="D2017" s="15">
        <v>100.66</v>
      </c>
      <c r="E2017" s="7">
        <f t="shared" si="31"/>
        <v>1</v>
      </c>
    </row>
    <row r="2018" spans="1:5" x14ac:dyDescent="0.25">
      <c r="A2018" s="7">
        <f>IF(E2018=1,
      SUM($E$2:E2018)-1,
"")</f>
        <v>2015</v>
      </c>
      <c r="B2018" s="6" t="s">
        <v>720</v>
      </c>
      <c r="C2018" s="14">
        <v>45263</v>
      </c>
      <c r="D2018" s="15">
        <v>82.08</v>
      </c>
      <c r="E2018" s="7">
        <f t="shared" si="31"/>
        <v>1</v>
      </c>
    </row>
    <row r="2019" spans="1:5" x14ac:dyDescent="0.25">
      <c r="A2019" s="7">
        <f>IF(E2019=1,
      SUM($E$2:E2019)-1,
"")</f>
        <v>2016</v>
      </c>
      <c r="B2019" s="6" t="s">
        <v>93</v>
      </c>
      <c r="C2019" s="14">
        <v>45248</v>
      </c>
      <c r="D2019" s="15">
        <v>94.92</v>
      </c>
      <c r="E2019" s="7">
        <f t="shared" si="31"/>
        <v>1</v>
      </c>
    </row>
    <row r="2020" spans="1:5" x14ac:dyDescent="0.25">
      <c r="A2020" s="7">
        <f>IF(E2020=1,
      SUM($E$2:E2020)-1,
"")</f>
        <v>2017</v>
      </c>
      <c r="B2020" s="6" t="s">
        <v>228</v>
      </c>
      <c r="C2020" s="14">
        <v>45018</v>
      </c>
      <c r="D2020" s="15">
        <v>95.06</v>
      </c>
      <c r="E2020" s="7">
        <f t="shared" si="31"/>
        <v>1</v>
      </c>
    </row>
    <row r="2021" spans="1:5" x14ac:dyDescent="0.25">
      <c r="A2021" s="7">
        <f>IF(E2021=1,
      SUM($E$2:E2021)-1,
"")</f>
        <v>2018</v>
      </c>
      <c r="B2021" s="6" t="s">
        <v>261</v>
      </c>
      <c r="C2021" s="14">
        <v>45259</v>
      </c>
      <c r="D2021" s="15">
        <v>124.21</v>
      </c>
      <c r="E2021" s="7">
        <f t="shared" si="31"/>
        <v>1</v>
      </c>
    </row>
    <row r="2022" spans="1:5" x14ac:dyDescent="0.25">
      <c r="A2022" s="7">
        <f>IF(E2022=1,
      SUM($E$2:E2022)-1,
"")</f>
        <v>2019</v>
      </c>
      <c r="B2022" s="6" t="s">
        <v>355</v>
      </c>
      <c r="C2022" s="14">
        <v>45152</v>
      </c>
      <c r="D2022" s="15">
        <v>37.4</v>
      </c>
      <c r="E2022" s="7">
        <f t="shared" si="31"/>
        <v>1</v>
      </c>
    </row>
    <row r="2023" spans="1:5" x14ac:dyDescent="0.25">
      <c r="A2023" s="7">
        <f>IF(E2023=1,
      SUM($E$2:E2023)-1,
"")</f>
        <v>2020</v>
      </c>
      <c r="B2023" s="6" t="s">
        <v>454</v>
      </c>
      <c r="C2023" s="14">
        <v>44975</v>
      </c>
      <c r="D2023" s="15">
        <v>83.11</v>
      </c>
      <c r="E2023" s="7">
        <f t="shared" si="31"/>
        <v>1</v>
      </c>
    </row>
    <row r="2024" spans="1:5" x14ac:dyDescent="0.25">
      <c r="A2024" s="7">
        <f>IF(E2024=1,
      SUM($E$2:E2024)-1,
"")</f>
        <v>2021</v>
      </c>
      <c r="B2024" s="6" t="s">
        <v>736</v>
      </c>
      <c r="C2024" s="14">
        <v>45072</v>
      </c>
      <c r="D2024" s="15">
        <v>137.63999999999999</v>
      </c>
      <c r="E2024" s="7">
        <f t="shared" si="31"/>
        <v>1</v>
      </c>
    </row>
    <row r="2025" spans="1:5" x14ac:dyDescent="0.25">
      <c r="A2025" s="7">
        <f>IF(E2025=1,
      SUM($E$2:E2025)-1,
"")</f>
        <v>2022</v>
      </c>
      <c r="B2025" s="6" t="s">
        <v>438</v>
      </c>
      <c r="C2025" s="14">
        <v>44937</v>
      </c>
      <c r="D2025" s="15">
        <v>116.87</v>
      </c>
      <c r="E2025" s="7">
        <f t="shared" si="31"/>
        <v>1</v>
      </c>
    </row>
    <row r="2026" spans="1:5" x14ac:dyDescent="0.25">
      <c r="A2026" s="7">
        <f>IF(E2026=1,
      SUM($E$2:E2026)-1,
"")</f>
        <v>2023</v>
      </c>
      <c r="B2026" s="6" t="s">
        <v>892</v>
      </c>
      <c r="C2026" s="14">
        <v>45271</v>
      </c>
      <c r="D2026" s="15">
        <v>138.13999999999999</v>
      </c>
      <c r="E2026" s="7">
        <f t="shared" si="31"/>
        <v>1</v>
      </c>
    </row>
    <row r="2027" spans="1:5" x14ac:dyDescent="0.25">
      <c r="A2027" s="7">
        <f>IF(E2027=1,
      SUM($E$2:E2027)-1,
"")</f>
        <v>2024</v>
      </c>
      <c r="B2027" s="6" t="s">
        <v>459</v>
      </c>
      <c r="C2027" s="14">
        <v>45113</v>
      </c>
      <c r="D2027" s="15">
        <v>122.76</v>
      </c>
      <c r="E2027" s="7">
        <f t="shared" si="31"/>
        <v>1</v>
      </c>
    </row>
    <row r="2028" spans="1:5" x14ac:dyDescent="0.25">
      <c r="A2028" s="7">
        <f>IF(E2028=1,
      SUM($E$2:E2028)-1,
"")</f>
        <v>2025</v>
      </c>
      <c r="B2028" s="6" t="s">
        <v>924</v>
      </c>
      <c r="C2028" s="14">
        <v>44964</v>
      </c>
      <c r="D2028" s="15">
        <v>67.489999999999995</v>
      </c>
      <c r="E2028" s="7">
        <f t="shared" si="31"/>
        <v>1</v>
      </c>
    </row>
    <row r="2029" spans="1:5" x14ac:dyDescent="0.25">
      <c r="A2029" s="7">
        <f>IF(E2029=1,
      SUM($E$2:E2029)-1,
"")</f>
        <v>2026</v>
      </c>
      <c r="B2029" s="6" t="s">
        <v>841</v>
      </c>
      <c r="C2029" s="14">
        <v>45062</v>
      </c>
      <c r="D2029" s="15">
        <v>119.83</v>
      </c>
      <c r="E2029" s="7">
        <f t="shared" si="31"/>
        <v>1</v>
      </c>
    </row>
    <row r="2030" spans="1:5" x14ac:dyDescent="0.25">
      <c r="A2030" s="7">
        <f>IF(E2030=1,
      SUM($E$2:E2030)-1,
"")</f>
        <v>2027</v>
      </c>
      <c r="B2030" s="6" t="s">
        <v>305</v>
      </c>
      <c r="C2030" s="14">
        <v>45255</v>
      </c>
      <c r="D2030" s="15">
        <v>103.01</v>
      </c>
      <c r="E2030" s="7">
        <f t="shared" si="31"/>
        <v>1</v>
      </c>
    </row>
    <row r="2031" spans="1:5" x14ac:dyDescent="0.25">
      <c r="A2031" s="7">
        <f>IF(E2031=1,
      SUM($E$2:E2031)-1,
"")</f>
        <v>2028</v>
      </c>
      <c r="B2031" s="6" t="s">
        <v>422</v>
      </c>
      <c r="C2031" s="14">
        <v>45223</v>
      </c>
      <c r="D2031" s="15">
        <v>168.04</v>
      </c>
      <c r="E2031" s="7">
        <f t="shared" si="31"/>
        <v>1</v>
      </c>
    </row>
    <row r="2032" spans="1:5" x14ac:dyDescent="0.25">
      <c r="A2032" s="7">
        <f>IF(E2032=1,
      SUM($E$2:E2032)-1,
"")</f>
        <v>2029</v>
      </c>
      <c r="B2032" s="6" t="s">
        <v>344</v>
      </c>
      <c r="C2032" s="14">
        <v>45177</v>
      </c>
      <c r="D2032" s="15">
        <v>124.06</v>
      </c>
      <c r="E2032" s="7">
        <f t="shared" si="31"/>
        <v>1</v>
      </c>
    </row>
    <row r="2033" spans="1:5" x14ac:dyDescent="0.25">
      <c r="A2033" s="7">
        <f>IF(E2033=1,
      SUM($E$2:E2033)-1,
"")</f>
        <v>2030</v>
      </c>
      <c r="B2033" s="6" t="s">
        <v>335</v>
      </c>
      <c r="C2033" s="14">
        <v>45054</v>
      </c>
      <c r="D2033" s="15">
        <v>115.7</v>
      </c>
      <c r="E2033" s="7">
        <f t="shared" si="31"/>
        <v>1</v>
      </c>
    </row>
    <row r="2034" spans="1:5" x14ac:dyDescent="0.25">
      <c r="A2034" s="7">
        <f>IF(E2034=1,
      SUM($E$2:E2034)-1,
"")</f>
        <v>2031</v>
      </c>
      <c r="B2034" s="6" t="s">
        <v>464</v>
      </c>
      <c r="C2034" s="14">
        <v>44958</v>
      </c>
      <c r="D2034" s="15">
        <v>120.08</v>
      </c>
      <c r="E2034" s="7">
        <f t="shared" si="31"/>
        <v>1</v>
      </c>
    </row>
    <row r="2035" spans="1:5" x14ac:dyDescent="0.25">
      <c r="A2035" s="7">
        <f>IF(E2035=1,
      SUM($E$2:E2035)-1,
"")</f>
        <v>2032</v>
      </c>
      <c r="B2035" s="6" t="s">
        <v>564</v>
      </c>
      <c r="C2035" s="14">
        <v>45145</v>
      </c>
      <c r="D2035" s="15">
        <v>114.07</v>
      </c>
      <c r="E2035" s="7">
        <f t="shared" si="31"/>
        <v>1</v>
      </c>
    </row>
    <row r="2036" spans="1:5" x14ac:dyDescent="0.25">
      <c r="A2036" s="7">
        <f>IF(E2036=1,
      SUM($E$2:E2036)-1,
"")</f>
        <v>2033</v>
      </c>
      <c r="B2036" s="6" t="s">
        <v>925</v>
      </c>
      <c r="C2036" s="14">
        <v>45284</v>
      </c>
      <c r="D2036" s="15">
        <v>113.25</v>
      </c>
      <c r="E2036" s="7">
        <f t="shared" si="31"/>
        <v>1</v>
      </c>
    </row>
    <row r="2037" spans="1:5" x14ac:dyDescent="0.25">
      <c r="A2037" s="7">
        <f>IF(E2037=1,
      SUM($E$2:E2037)-1,
"")</f>
        <v>2034</v>
      </c>
      <c r="B2037" s="6" t="s">
        <v>105</v>
      </c>
      <c r="C2037" s="14">
        <v>45005</v>
      </c>
      <c r="D2037" s="15">
        <v>92.01</v>
      </c>
      <c r="E2037" s="7">
        <f t="shared" si="31"/>
        <v>1</v>
      </c>
    </row>
    <row r="2038" spans="1:5" x14ac:dyDescent="0.25">
      <c r="A2038" s="7">
        <f>IF(E2038=1,
      SUM($E$2:E2038)-1,
"")</f>
        <v>2035</v>
      </c>
      <c r="B2038" s="6" t="s">
        <v>552</v>
      </c>
      <c r="C2038" s="14">
        <v>45243</v>
      </c>
      <c r="D2038" s="15">
        <v>116.06</v>
      </c>
      <c r="E2038" s="7">
        <f t="shared" si="31"/>
        <v>1</v>
      </c>
    </row>
    <row r="2039" spans="1:5" x14ac:dyDescent="0.25">
      <c r="A2039" s="7">
        <f>IF(E2039=1,
      SUM($E$2:E2039)-1,
"")</f>
        <v>2036</v>
      </c>
      <c r="B2039" s="6" t="s">
        <v>193</v>
      </c>
      <c r="C2039" s="14">
        <v>44955</v>
      </c>
      <c r="D2039" s="15">
        <v>128.44999999999999</v>
      </c>
      <c r="E2039" s="7">
        <f t="shared" si="31"/>
        <v>1</v>
      </c>
    </row>
    <row r="2040" spans="1:5" x14ac:dyDescent="0.25">
      <c r="A2040" s="7">
        <f>IF(E2040=1,
      SUM($E$2:E2040)-1,
"")</f>
        <v>2037</v>
      </c>
      <c r="B2040" s="6" t="s">
        <v>926</v>
      </c>
      <c r="C2040" s="14">
        <v>45288</v>
      </c>
      <c r="D2040" s="15">
        <v>131.81</v>
      </c>
      <c r="E2040" s="7">
        <f t="shared" si="31"/>
        <v>1</v>
      </c>
    </row>
    <row r="2041" spans="1:5" x14ac:dyDescent="0.25">
      <c r="A2041" s="7">
        <f>IF(E2041=1,
      SUM($E$2:E2041)-1,
"")</f>
        <v>2038</v>
      </c>
      <c r="B2041" s="6" t="s">
        <v>913</v>
      </c>
      <c r="C2041" s="14">
        <v>44950</v>
      </c>
      <c r="D2041" s="15">
        <v>128.16999999999999</v>
      </c>
      <c r="E2041" s="7">
        <f t="shared" si="31"/>
        <v>1</v>
      </c>
    </row>
    <row r="2042" spans="1:5" x14ac:dyDescent="0.25">
      <c r="A2042" s="7">
        <f>IF(E2042=1,
      SUM($E$2:E2042)-1,
"")</f>
        <v>2039</v>
      </c>
      <c r="B2042" s="6" t="s">
        <v>799</v>
      </c>
      <c r="C2042" s="14">
        <v>45167</v>
      </c>
      <c r="D2042" s="15">
        <v>145.24</v>
      </c>
      <c r="E2042" s="7">
        <f t="shared" si="31"/>
        <v>1</v>
      </c>
    </row>
    <row r="2043" spans="1:5" x14ac:dyDescent="0.25">
      <c r="A2043" s="7">
        <f>IF(E2043=1,
      SUM($E$2:E2043)-1,
"")</f>
        <v>2040</v>
      </c>
      <c r="B2043" s="6" t="s">
        <v>686</v>
      </c>
      <c r="C2043" s="14">
        <v>45218</v>
      </c>
      <c r="D2043" s="15">
        <v>133.69</v>
      </c>
      <c r="E2043" s="7">
        <f t="shared" si="31"/>
        <v>1</v>
      </c>
    </row>
    <row r="2044" spans="1:5" x14ac:dyDescent="0.25">
      <c r="A2044" s="7">
        <f>IF(E2044=1,
      SUM($E$2:E2044)-1,
"")</f>
        <v>2041</v>
      </c>
      <c r="B2044" s="6" t="s">
        <v>927</v>
      </c>
      <c r="C2044" s="14">
        <v>45128</v>
      </c>
      <c r="D2044" s="15">
        <v>118.86</v>
      </c>
      <c r="E2044" s="7">
        <f t="shared" si="31"/>
        <v>1</v>
      </c>
    </row>
    <row r="2045" spans="1:5" x14ac:dyDescent="0.25">
      <c r="A2045" s="7">
        <f>IF(E2045=1,
      SUM($E$2:E2045)-1,
"")</f>
        <v>2042</v>
      </c>
      <c r="B2045" s="6" t="s">
        <v>235</v>
      </c>
      <c r="C2045" s="14">
        <v>45015</v>
      </c>
      <c r="D2045" s="15">
        <v>65.69</v>
      </c>
      <c r="E2045" s="7">
        <f t="shared" si="31"/>
        <v>1</v>
      </c>
    </row>
    <row r="2046" spans="1:5" x14ac:dyDescent="0.25">
      <c r="A2046" s="7">
        <f>IF(E2046=1,
      SUM($E$2:E2046)-1,
"")</f>
        <v>2043</v>
      </c>
      <c r="B2046" s="6" t="s">
        <v>629</v>
      </c>
      <c r="C2046" s="14">
        <v>44969</v>
      </c>
      <c r="D2046" s="15">
        <v>65.7</v>
      </c>
      <c r="E2046" s="7">
        <f t="shared" si="31"/>
        <v>1</v>
      </c>
    </row>
    <row r="2047" spans="1:5" x14ac:dyDescent="0.25">
      <c r="A2047" s="7">
        <f>IF(E2047=1,
      SUM($E$2:E2047)-1,
"")</f>
        <v>2044</v>
      </c>
      <c r="B2047" s="6" t="s">
        <v>732</v>
      </c>
      <c r="C2047" s="14">
        <v>44993</v>
      </c>
      <c r="D2047" s="15">
        <v>92.56</v>
      </c>
      <c r="E2047" s="7">
        <f t="shared" si="31"/>
        <v>1</v>
      </c>
    </row>
    <row r="2048" spans="1:5" x14ac:dyDescent="0.25">
      <c r="A2048" s="7">
        <f>IF(E2048=1,
      SUM($E$2:E2048)-1,
"")</f>
        <v>2045</v>
      </c>
      <c r="B2048" s="6" t="s">
        <v>99</v>
      </c>
      <c r="C2048" s="14">
        <v>45003</v>
      </c>
      <c r="D2048" s="15">
        <v>101.4</v>
      </c>
      <c r="E2048" s="7">
        <f t="shared" si="31"/>
        <v>1</v>
      </c>
    </row>
    <row r="2049" spans="1:5" x14ac:dyDescent="0.25">
      <c r="A2049" s="7">
        <f>IF(E2049=1,
      SUM($E$2:E2049)-1,
"")</f>
        <v>2046</v>
      </c>
      <c r="B2049" s="6" t="s">
        <v>688</v>
      </c>
      <c r="C2049" s="14">
        <v>45216</v>
      </c>
      <c r="D2049" s="15">
        <v>141.94</v>
      </c>
      <c r="E2049" s="7">
        <f t="shared" si="31"/>
        <v>1</v>
      </c>
    </row>
    <row r="2050" spans="1:5" x14ac:dyDescent="0.25">
      <c r="A2050" s="7">
        <f>IF(E2050=1,
      SUM($E$2:E2050)-1,
"")</f>
        <v>2047</v>
      </c>
      <c r="B2050" s="6" t="s">
        <v>460</v>
      </c>
      <c r="C2050" s="14">
        <v>44995</v>
      </c>
      <c r="D2050" s="15">
        <v>16.61</v>
      </c>
      <c r="E2050" s="7">
        <f t="shared" ref="E2050:E2113" si="32">IF(D2050&gt;0,1,0)</f>
        <v>1</v>
      </c>
    </row>
    <row r="2051" spans="1:5" x14ac:dyDescent="0.25">
      <c r="A2051" s="7">
        <f>IF(E2051=1,
      SUM($E$2:E2051)-1,
"")</f>
        <v>2048</v>
      </c>
      <c r="B2051" s="6" t="s">
        <v>928</v>
      </c>
      <c r="C2051" s="14">
        <v>45156</v>
      </c>
      <c r="D2051" s="15">
        <v>69</v>
      </c>
      <c r="E2051" s="7">
        <f t="shared" si="32"/>
        <v>1</v>
      </c>
    </row>
    <row r="2052" spans="1:5" x14ac:dyDescent="0.25">
      <c r="A2052" s="7">
        <f>IF(E2052=1,
      SUM($E$2:E2052)-1,
"")</f>
        <v>2049</v>
      </c>
      <c r="B2052" s="6" t="s">
        <v>837</v>
      </c>
      <c r="C2052" s="14">
        <v>45187</v>
      </c>
      <c r="D2052" s="15">
        <v>94.17</v>
      </c>
      <c r="E2052" s="7">
        <f t="shared" si="32"/>
        <v>1</v>
      </c>
    </row>
    <row r="2053" spans="1:5" x14ac:dyDescent="0.25">
      <c r="A2053" s="7">
        <f>IF(E2053=1,
      SUM($E$2:E2053)-1,
"")</f>
        <v>2050</v>
      </c>
      <c r="B2053" s="6" t="s">
        <v>135</v>
      </c>
      <c r="C2053" s="14">
        <v>45198</v>
      </c>
      <c r="D2053" s="15">
        <v>70.09</v>
      </c>
      <c r="E2053" s="7">
        <f t="shared" si="32"/>
        <v>1</v>
      </c>
    </row>
    <row r="2054" spans="1:5" x14ac:dyDescent="0.25">
      <c r="A2054" s="7">
        <f>IF(E2054=1,
      SUM($E$2:E2054)-1,
"")</f>
        <v>2051</v>
      </c>
      <c r="B2054" s="6" t="s">
        <v>321</v>
      </c>
      <c r="C2054" s="14">
        <v>45158</v>
      </c>
      <c r="D2054" s="15">
        <v>76.06</v>
      </c>
      <c r="E2054" s="7">
        <f t="shared" si="32"/>
        <v>1</v>
      </c>
    </row>
    <row r="2055" spans="1:5" x14ac:dyDescent="0.25">
      <c r="A2055" s="7">
        <f>IF(E2055=1,
      SUM($E$2:E2055)-1,
"")</f>
        <v>2052</v>
      </c>
      <c r="B2055" s="6" t="s">
        <v>300</v>
      </c>
      <c r="C2055" s="14">
        <v>45225</v>
      </c>
      <c r="D2055" s="15">
        <v>85.03</v>
      </c>
      <c r="E2055" s="7">
        <f t="shared" si="32"/>
        <v>1</v>
      </c>
    </row>
    <row r="2056" spans="1:5" x14ac:dyDescent="0.25">
      <c r="A2056" s="7">
        <f>IF(E2056=1,
      SUM($E$2:E2056)-1,
"")</f>
        <v>2053</v>
      </c>
      <c r="B2056" s="6" t="s">
        <v>235</v>
      </c>
      <c r="C2056" s="14">
        <v>45146</v>
      </c>
      <c r="D2056" s="15">
        <v>71.63</v>
      </c>
      <c r="E2056" s="7">
        <f t="shared" si="32"/>
        <v>1</v>
      </c>
    </row>
    <row r="2057" spans="1:5" x14ac:dyDescent="0.25">
      <c r="A2057" s="7">
        <f>IF(E2057=1,
      SUM($E$2:E2057)-1,
"")</f>
        <v>2054</v>
      </c>
      <c r="B2057" s="6" t="s">
        <v>608</v>
      </c>
      <c r="C2057" s="14">
        <v>45134</v>
      </c>
      <c r="D2057" s="15">
        <v>76.83</v>
      </c>
      <c r="E2057" s="7">
        <f t="shared" si="32"/>
        <v>1</v>
      </c>
    </row>
    <row r="2058" spans="1:5" x14ac:dyDescent="0.25">
      <c r="A2058" s="7">
        <f>IF(E2058=1,
      SUM($E$2:E2058)-1,
"")</f>
        <v>2055</v>
      </c>
      <c r="B2058" s="6" t="s">
        <v>459</v>
      </c>
      <c r="C2058" s="14">
        <v>45130</v>
      </c>
      <c r="D2058" s="15">
        <v>140.9</v>
      </c>
      <c r="E2058" s="7">
        <f t="shared" si="32"/>
        <v>1</v>
      </c>
    </row>
    <row r="2059" spans="1:5" x14ac:dyDescent="0.25">
      <c r="A2059" s="7">
        <f>IF(E2059=1,
      SUM($E$2:E2059)-1,
"")</f>
        <v>2056</v>
      </c>
      <c r="B2059" s="6" t="s">
        <v>846</v>
      </c>
      <c r="C2059" s="14">
        <v>44952</v>
      </c>
      <c r="D2059" s="15">
        <v>118.43</v>
      </c>
      <c r="E2059" s="7">
        <f t="shared" si="32"/>
        <v>1</v>
      </c>
    </row>
    <row r="2060" spans="1:5" x14ac:dyDescent="0.25">
      <c r="A2060" s="7">
        <f>IF(E2060=1,
      SUM($E$2:E2060)-1,
"")</f>
        <v>2057</v>
      </c>
      <c r="B2060" s="6" t="s">
        <v>632</v>
      </c>
      <c r="C2060" s="14">
        <v>45104</v>
      </c>
      <c r="D2060" s="15">
        <v>122.92</v>
      </c>
      <c r="E2060" s="7">
        <f t="shared" si="32"/>
        <v>1</v>
      </c>
    </row>
    <row r="2061" spans="1:5" x14ac:dyDescent="0.25">
      <c r="A2061" s="7">
        <f>IF(E2061=1,
      SUM($E$2:E2061)-1,
"")</f>
        <v>2058</v>
      </c>
      <c r="B2061" s="6" t="s">
        <v>122</v>
      </c>
      <c r="C2061" s="14">
        <v>44954</v>
      </c>
      <c r="D2061" s="15">
        <v>98.98</v>
      </c>
      <c r="E2061" s="7">
        <f t="shared" si="32"/>
        <v>1</v>
      </c>
    </row>
    <row r="2062" spans="1:5" x14ac:dyDescent="0.25">
      <c r="A2062" s="7">
        <f>IF(E2062=1,
      SUM($E$2:E2062)-1,
"")</f>
        <v>2059</v>
      </c>
      <c r="B2062" s="6" t="s">
        <v>164</v>
      </c>
      <c r="C2062" s="14">
        <v>45198</v>
      </c>
      <c r="D2062" s="15">
        <v>130.33000000000001</v>
      </c>
      <c r="E2062" s="7">
        <f t="shared" si="32"/>
        <v>1</v>
      </c>
    </row>
    <row r="2063" spans="1:5" x14ac:dyDescent="0.25">
      <c r="A2063" s="7">
        <f>IF(E2063=1,
      SUM($E$2:E2063)-1,
"")</f>
        <v>2060</v>
      </c>
      <c r="B2063" s="6" t="s">
        <v>293</v>
      </c>
      <c r="C2063" s="14">
        <v>45112</v>
      </c>
      <c r="D2063" s="15">
        <v>125.43</v>
      </c>
      <c r="E2063" s="7">
        <f t="shared" si="32"/>
        <v>1</v>
      </c>
    </row>
    <row r="2064" spans="1:5" x14ac:dyDescent="0.25">
      <c r="A2064" s="7">
        <f>IF(E2064=1,
      SUM($E$2:E2064)-1,
"")</f>
        <v>2061</v>
      </c>
      <c r="B2064" s="6" t="s">
        <v>929</v>
      </c>
      <c r="C2064" s="14">
        <v>45005</v>
      </c>
      <c r="D2064" s="15">
        <v>117.96</v>
      </c>
      <c r="E2064" s="7">
        <f t="shared" si="32"/>
        <v>1</v>
      </c>
    </row>
    <row r="2065" spans="1:5" x14ac:dyDescent="0.25">
      <c r="A2065" s="7">
        <f>IF(E2065=1,
      SUM($E$2:E2065)-1,
"")</f>
        <v>2062</v>
      </c>
      <c r="B2065" s="6" t="s">
        <v>110</v>
      </c>
      <c r="C2065" s="14">
        <v>44971</v>
      </c>
      <c r="D2065" s="15">
        <v>80.38</v>
      </c>
      <c r="E2065" s="7">
        <f t="shared" si="32"/>
        <v>1</v>
      </c>
    </row>
    <row r="2066" spans="1:5" x14ac:dyDescent="0.25">
      <c r="A2066" s="7">
        <f>IF(E2066=1,
      SUM($E$2:E2066)-1,
"")</f>
        <v>2063</v>
      </c>
      <c r="B2066" s="6" t="s">
        <v>533</v>
      </c>
      <c r="C2066" s="14">
        <v>45106</v>
      </c>
      <c r="D2066" s="15">
        <v>86.74</v>
      </c>
      <c r="E2066" s="7">
        <f t="shared" si="32"/>
        <v>1</v>
      </c>
    </row>
    <row r="2067" spans="1:5" x14ac:dyDescent="0.25">
      <c r="A2067" s="7">
        <f>IF(E2067=1,
      SUM($E$2:E2067)-1,
"")</f>
        <v>2064</v>
      </c>
      <c r="B2067" s="6" t="s">
        <v>523</v>
      </c>
      <c r="C2067" s="14">
        <v>45155</v>
      </c>
      <c r="D2067" s="15">
        <v>131.74</v>
      </c>
      <c r="E2067" s="7">
        <f t="shared" si="32"/>
        <v>1</v>
      </c>
    </row>
    <row r="2068" spans="1:5" x14ac:dyDescent="0.25">
      <c r="A2068" s="7">
        <f>IF(E2068=1,
      SUM($E$2:E2068)-1,
"")</f>
        <v>2065</v>
      </c>
      <c r="B2068" s="6" t="s">
        <v>930</v>
      </c>
      <c r="C2068" s="14">
        <v>45163</v>
      </c>
      <c r="D2068" s="15">
        <v>84.5</v>
      </c>
      <c r="E2068" s="7">
        <f t="shared" si="32"/>
        <v>1</v>
      </c>
    </row>
    <row r="2069" spans="1:5" x14ac:dyDescent="0.25">
      <c r="A2069" s="7">
        <f>IF(E2069=1,
      SUM($E$2:E2069)-1,
"")</f>
        <v>2066</v>
      </c>
      <c r="B2069" s="6" t="s">
        <v>110</v>
      </c>
      <c r="C2069" s="14">
        <v>45099</v>
      </c>
      <c r="D2069" s="15">
        <v>61.34</v>
      </c>
      <c r="E2069" s="7">
        <f t="shared" si="32"/>
        <v>1</v>
      </c>
    </row>
    <row r="2070" spans="1:5" x14ac:dyDescent="0.25">
      <c r="A2070" s="7">
        <f>IF(E2070=1,
      SUM($E$2:E2070)-1,
"")</f>
        <v>2067</v>
      </c>
      <c r="B2070" s="6" t="s">
        <v>692</v>
      </c>
      <c r="C2070" s="14">
        <v>44977</v>
      </c>
      <c r="D2070" s="15">
        <v>83.92</v>
      </c>
      <c r="E2070" s="7">
        <f t="shared" si="32"/>
        <v>1</v>
      </c>
    </row>
    <row r="2071" spans="1:5" x14ac:dyDescent="0.25">
      <c r="A2071" s="7">
        <f>IF(E2071=1,
      SUM($E$2:E2071)-1,
"")</f>
        <v>2068</v>
      </c>
      <c r="B2071" s="6" t="s">
        <v>282</v>
      </c>
      <c r="C2071" s="14">
        <v>45020</v>
      </c>
      <c r="D2071" s="15">
        <v>146.78</v>
      </c>
      <c r="E2071" s="7">
        <f t="shared" si="32"/>
        <v>1</v>
      </c>
    </row>
    <row r="2072" spans="1:5" x14ac:dyDescent="0.25">
      <c r="A2072" s="7">
        <f>IF(E2072=1,
      SUM($E$2:E2072)-1,
"")</f>
        <v>2069</v>
      </c>
      <c r="B2072" s="6" t="s">
        <v>931</v>
      </c>
      <c r="C2072" s="14">
        <v>44941</v>
      </c>
      <c r="D2072" s="15">
        <v>83.95</v>
      </c>
      <c r="E2072" s="7">
        <f t="shared" si="32"/>
        <v>1</v>
      </c>
    </row>
    <row r="2073" spans="1:5" x14ac:dyDescent="0.25">
      <c r="A2073" s="7">
        <f>IF(E2073=1,
      SUM($E$2:E2073)-1,
"")</f>
        <v>2070</v>
      </c>
      <c r="B2073" s="6" t="s">
        <v>932</v>
      </c>
      <c r="C2073" s="14">
        <v>45149</v>
      </c>
      <c r="D2073" s="15">
        <v>109.83</v>
      </c>
      <c r="E2073" s="7">
        <f t="shared" si="32"/>
        <v>1</v>
      </c>
    </row>
    <row r="2074" spans="1:5" x14ac:dyDescent="0.25">
      <c r="A2074" s="7">
        <f>IF(E2074=1,
      SUM($E$2:E2074)-1,
"")</f>
        <v>2071</v>
      </c>
      <c r="B2074" s="6" t="s">
        <v>464</v>
      </c>
      <c r="C2074" s="14">
        <v>45277</v>
      </c>
      <c r="D2074" s="15">
        <v>81.53</v>
      </c>
      <c r="E2074" s="7">
        <f t="shared" si="32"/>
        <v>1</v>
      </c>
    </row>
    <row r="2075" spans="1:5" x14ac:dyDescent="0.25">
      <c r="A2075" s="7">
        <f>IF(E2075=1,
      SUM($E$2:E2075)-1,
"")</f>
        <v>2072</v>
      </c>
      <c r="B2075" s="6" t="s">
        <v>289</v>
      </c>
      <c r="C2075" s="14">
        <v>44991</v>
      </c>
      <c r="D2075" s="15">
        <v>122.9</v>
      </c>
      <c r="E2075" s="7">
        <f t="shared" si="32"/>
        <v>1</v>
      </c>
    </row>
    <row r="2076" spans="1:5" x14ac:dyDescent="0.25">
      <c r="A2076" s="7">
        <f>IF(E2076=1,
      SUM($E$2:E2076)-1,
"")</f>
        <v>2073</v>
      </c>
      <c r="B2076" s="6" t="s">
        <v>145</v>
      </c>
      <c r="C2076" s="14">
        <v>45048</v>
      </c>
      <c r="D2076" s="15">
        <v>116.1</v>
      </c>
      <c r="E2076" s="7">
        <f t="shared" si="32"/>
        <v>1</v>
      </c>
    </row>
    <row r="2077" spans="1:5" x14ac:dyDescent="0.25">
      <c r="A2077" s="7">
        <f>IF(E2077=1,
      SUM($E$2:E2077)-1,
"")</f>
        <v>2074</v>
      </c>
      <c r="B2077" s="6" t="s">
        <v>714</v>
      </c>
      <c r="C2077" s="14">
        <v>45186</v>
      </c>
      <c r="D2077" s="15">
        <v>55.26</v>
      </c>
      <c r="E2077" s="7">
        <f t="shared" si="32"/>
        <v>1</v>
      </c>
    </row>
    <row r="2078" spans="1:5" x14ac:dyDescent="0.25">
      <c r="A2078" s="7">
        <f>IF(E2078=1,
      SUM($E$2:E2078)-1,
"")</f>
        <v>2075</v>
      </c>
      <c r="B2078" s="6" t="s">
        <v>559</v>
      </c>
      <c r="C2078" s="14">
        <v>45205</v>
      </c>
      <c r="D2078" s="15">
        <v>108.04</v>
      </c>
      <c r="E2078" s="7">
        <f t="shared" si="32"/>
        <v>1</v>
      </c>
    </row>
    <row r="2079" spans="1:5" x14ac:dyDescent="0.25">
      <c r="A2079" s="7">
        <f>IF(E2079=1,
      SUM($E$2:E2079)-1,
"")</f>
        <v>2076</v>
      </c>
      <c r="B2079" s="6" t="s">
        <v>363</v>
      </c>
      <c r="C2079" s="14">
        <v>45164</v>
      </c>
      <c r="D2079" s="15">
        <v>49.52</v>
      </c>
      <c r="E2079" s="7">
        <f t="shared" si="32"/>
        <v>1</v>
      </c>
    </row>
    <row r="2080" spans="1:5" x14ac:dyDescent="0.25">
      <c r="A2080" s="7">
        <f>IF(E2080=1,
      SUM($E$2:E2080)-1,
"")</f>
        <v>2077</v>
      </c>
      <c r="B2080" s="6" t="s">
        <v>586</v>
      </c>
      <c r="C2080" s="14">
        <v>44952</v>
      </c>
      <c r="D2080" s="15">
        <v>83.38</v>
      </c>
      <c r="E2080" s="7">
        <f t="shared" si="32"/>
        <v>1</v>
      </c>
    </row>
    <row r="2081" spans="1:5" x14ac:dyDescent="0.25">
      <c r="A2081" s="7">
        <f>IF(E2081=1,
      SUM($E$2:E2081)-1,
"")</f>
        <v>2078</v>
      </c>
      <c r="B2081" s="6" t="s">
        <v>764</v>
      </c>
      <c r="C2081" s="14">
        <v>45289</v>
      </c>
      <c r="D2081" s="15">
        <v>99.66</v>
      </c>
      <c r="E2081" s="7">
        <f t="shared" si="32"/>
        <v>1</v>
      </c>
    </row>
    <row r="2082" spans="1:5" x14ac:dyDescent="0.25">
      <c r="A2082" s="7">
        <f>IF(E2082=1,
      SUM($E$2:E2082)-1,
"")</f>
        <v>2079</v>
      </c>
      <c r="B2082" s="6" t="s">
        <v>867</v>
      </c>
      <c r="C2082" s="14">
        <v>44966</v>
      </c>
      <c r="D2082" s="15">
        <v>155.41</v>
      </c>
      <c r="E2082" s="7">
        <f t="shared" si="32"/>
        <v>1</v>
      </c>
    </row>
    <row r="2083" spans="1:5" x14ac:dyDescent="0.25">
      <c r="A2083" s="7">
        <f>IF(E2083=1,
      SUM($E$2:E2083)-1,
"")</f>
        <v>2080</v>
      </c>
      <c r="B2083" s="6" t="s">
        <v>933</v>
      </c>
      <c r="C2083" s="14">
        <v>44987</v>
      </c>
      <c r="D2083" s="15">
        <v>109.54</v>
      </c>
      <c r="E2083" s="7">
        <f t="shared" si="32"/>
        <v>1</v>
      </c>
    </row>
    <row r="2084" spans="1:5" x14ac:dyDescent="0.25">
      <c r="A2084" s="7">
        <f>IF(E2084=1,
      SUM($E$2:E2084)-1,
"")</f>
        <v>2081</v>
      </c>
      <c r="B2084" s="6" t="s">
        <v>579</v>
      </c>
      <c r="C2084" s="14">
        <v>45198</v>
      </c>
      <c r="D2084" s="15">
        <v>76.989999999999995</v>
      </c>
      <c r="E2084" s="7">
        <f t="shared" si="32"/>
        <v>1</v>
      </c>
    </row>
    <row r="2085" spans="1:5" x14ac:dyDescent="0.25">
      <c r="A2085" s="7">
        <f>IF(E2085=1,
      SUM($E$2:E2085)-1,
"")</f>
        <v>2082</v>
      </c>
      <c r="B2085" s="6" t="s">
        <v>411</v>
      </c>
      <c r="C2085" s="14">
        <v>45084</v>
      </c>
      <c r="D2085" s="15">
        <v>90.48</v>
      </c>
      <c r="E2085" s="7">
        <f t="shared" si="32"/>
        <v>1</v>
      </c>
    </row>
    <row r="2086" spans="1:5" x14ac:dyDescent="0.25">
      <c r="A2086" s="7">
        <f>IF(E2086=1,
      SUM($E$2:E2086)-1,
"")</f>
        <v>2083</v>
      </c>
      <c r="B2086" s="6" t="s">
        <v>830</v>
      </c>
      <c r="C2086" s="14">
        <v>45068</v>
      </c>
      <c r="D2086" s="15">
        <v>127.73</v>
      </c>
      <c r="E2086" s="7">
        <f t="shared" si="32"/>
        <v>1</v>
      </c>
    </row>
    <row r="2087" spans="1:5" x14ac:dyDescent="0.25">
      <c r="A2087" s="7">
        <f>IF(E2087=1,
      SUM($E$2:E2087)-1,
"")</f>
        <v>2084</v>
      </c>
      <c r="B2087" s="6" t="s">
        <v>690</v>
      </c>
      <c r="C2087" s="14">
        <v>44945</v>
      </c>
      <c r="D2087" s="15">
        <v>77.39</v>
      </c>
      <c r="E2087" s="7">
        <f t="shared" si="32"/>
        <v>1</v>
      </c>
    </row>
    <row r="2088" spans="1:5" x14ac:dyDescent="0.25">
      <c r="A2088" s="7">
        <f>IF(E2088=1,
      SUM($E$2:E2088)-1,
"")</f>
        <v>2085</v>
      </c>
      <c r="B2088" s="6" t="s">
        <v>122</v>
      </c>
      <c r="C2088" s="14">
        <v>44972</v>
      </c>
      <c r="D2088" s="15">
        <v>132.91</v>
      </c>
      <c r="E2088" s="7">
        <f t="shared" si="32"/>
        <v>1</v>
      </c>
    </row>
    <row r="2089" spans="1:5" x14ac:dyDescent="0.25">
      <c r="A2089" s="7">
        <f>IF(E2089=1,
      SUM($E$2:E2089)-1,
"")</f>
        <v>2086</v>
      </c>
      <c r="B2089" s="6" t="s">
        <v>934</v>
      </c>
      <c r="C2089" s="14">
        <v>45246</v>
      </c>
      <c r="D2089" s="15">
        <v>84.31</v>
      </c>
      <c r="E2089" s="7">
        <f t="shared" si="32"/>
        <v>1</v>
      </c>
    </row>
    <row r="2090" spans="1:5" x14ac:dyDescent="0.25">
      <c r="A2090" s="7">
        <f>IF(E2090=1,
      SUM($E$2:E2090)-1,
"")</f>
        <v>2087</v>
      </c>
      <c r="B2090" s="6" t="s">
        <v>482</v>
      </c>
      <c r="C2090" s="14">
        <v>45112</v>
      </c>
      <c r="D2090" s="15">
        <v>72.540000000000006</v>
      </c>
      <c r="E2090" s="7">
        <f t="shared" si="32"/>
        <v>1</v>
      </c>
    </row>
    <row r="2091" spans="1:5" x14ac:dyDescent="0.25">
      <c r="A2091" s="7">
        <f>IF(E2091=1,
      SUM($E$2:E2091)-1,
"")</f>
        <v>2088</v>
      </c>
      <c r="B2091" s="6" t="s">
        <v>540</v>
      </c>
      <c r="C2091" s="14">
        <v>45187</v>
      </c>
      <c r="D2091" s="15">
        <v>85.27</v>
      </c>
      <c r="E2091" s="7">
        <f t="shared" si="32"/>
        <v>1</v>
      </c>
    </row>
    <row r="2092" spans="1:5" x14ac:dyDescent="0.25">
      <c r="A2092" s="7">
        <f>IF(E2092=1,
      SUM($E$2:E2092)-1,
"")</f>
        <v>2089</v>
      </c>
      <c r="B2092" s="6" t="s">
        <v>905</v>
      </c>
      <c r="C2092" s="14">
        <v>45094</v>
      </c>
      <c r="D2092" s="15">
        <v>51.51</v>
      </c>
      <c r="E2092" s="7">
        <f t="shared" si="32"/>
        <v>1</v>
      </c>
    </row>
    <row r="2093" spans="1:5" x14ac:dyDescent="0.25">
      <c r="A2093" s="7">
        <f>IF(E2093=1,
      SUM($E$2:E2093)-1,
"")</f>
        <v>2090</v>
      </c>
      <c r="B2093" s="6" t="s">
        <v>935</v>
      </c>
      <c r="C2093" s="14">
        <v>45187</v>
      </c>
      <c r="D2093" s="15">
        <v>34.82</v>
      </c>
      <c r="E2093" s="7">
        <f t="shared" si="32"/>
        <v>1</v>
      </c>
    </row>
    <row r="2094" spans="1:5" x14ac:dyDescent="0.25">
      <c r="A2094" s="7">
        <f>IF(E2094=1,
      SUM($E$2:E2094)-1,
"")</f>
        <v>2091</v>
      </c>
      <c r="B2094" s="6" t="s">
        <v>296</v>
      </c>
      <c r="C2094" s="14">
        <v>45013</v>
      </c>
      <c r="D2094" s="15">
        <v>97.52</v>
      </c>
      <c r="E2094" s="7">
        <f t="shared" si="32"/>
        <v>1</v>
      </c>
    </row>
    <row r="2095" spans="1:5" x14ac:dyDescent="0.25">
      <c r="A2095" s="7">
        <f>IF(E2095=1,
      SUM($E$2:E2095)-1,
"")</f>
        <v>2092</v>
      </c>
      <c r="B2095" s="6" t="s">
        <v>936</v>
      </c>
      <c r="C2095" s="14">
        <v>45033</v>
      </c>
      <c r="D2095" s="15">
        <v>97.98</v>
      </c>
      <c r="E2095" s="7">
        <f t="shared" si="32"/>
        <v>1</v>
      </c>
    </row>
    <row r="2096" spans="1:5" x14ac:dyDescent="0.25">
      <c r="A2096" s="7">
        <f>IF(E2096=1,
      SUM($E$2:E2096)-1,
"")</f>
        <v>2093</v>
      </c>
      <c r="B2096" s="6" t="s">
        <v>937</v>
      </c>
      <c r="C2096" s="14">
        <v>45185</v>
      </c>
      <c r="D2096" s="15">
        <v>107.69</v>
      </c>
      <c r="E2096" s="7">
        <f t="shared" si="32"/>
        <v>1</v>
      </c>
    </row>
    <row r="2097" spans="1:5" x14ac:dyDescent="0.25">
      <c r="A2097" s="7">
        <f>IF(E2097=1,
      SUM($E$2:E2097)-1,
"")</f>
        <v>2094</v>
      </c>
      <c r="B2097" s="6" t="s">
        <v>809</v>
      </c>
      <c r="C2097" s="14">
        <v>45274</v>
      </c>
      <c r="D2097" s="15">
        <v>97.38</v>
      </c>
      <c r="E2097" s="7">
        <f t="shared" si="32"/>
        <v>1</v>
      </c>
    </row>
    <row r="2098" spans="1:5" x14ac:dyDescent="0.25">
      <c r="A2098" s="7">
        <f>IF(E2098=1,
      SUM($E$2:E2098)-1,
"")</f>
        <v>2095</v>
      </c>
      <c r="B2098" s="6" t="s">
        <v>938</v>
      </c>
      <c r="C2098" s="14">
        <v>44997</v>
      </c>
      <c r="D2098" s="15">
        <v>169.88</v>
      </c>
      <c r="E2098" s="7">
        <f t="shared" si="32"/>
        <v>1</v>
      </c>
    </row>
    <row r="2099" spans="1:5" x14ac:dyDescent="0.25">
      <c r="A2099" s="7">
        <f>IF(E2099=1,
      SUM($E$2:E2099)-1,
"")</f>
        <v>2096</v>
      </c>
      <c r="B2099" s="6" t="s">
        <v>97</v>
      </c>
      <c r="C2099" s="14">
        <v>44987</v>
      </c>
      <c r="D2099" s="15">
        <v>105.05</v>
      </c>
      <c r="E2099" s="7">
        <f t="shared" si="32"/>
        <v>1</v>
      </c>
    </row>
    <row r="2100" spans="1:5" x14ac:dyDescent="0.25">
      <c r="A2100" s="7">
        <f>IF(E2100=1,
      SUM($E$2:E2100)-1,
"")</f>
        <v>2097</v>
      </c>
      <c r="B2100" s="6" t="s">
        <v>939</v>
      </c>
      <c r="C2100" s="14">
        <v>45122</v>
      </c>
      <c r="D2100" s="15">
        <v>58.71</v>
      </c>
      <c r="E2100" s="7">
        <f t="shared" si="32"/>
        <v>1</v>
      </c>
    </row>
    <row r="2101" spans="1:5" x14ac:dyDescent="0.25">
      <c r="A2101" s="7">
        <f>IF(E2101=1,
      SUM($E$2:E2101)-1,
"")</f>
        <v>2098</v>
      </c>
      <c r="B2101" s="6" t="s">
        <v>796</v>
      </c>
      <c r="C2101" s="14">
        <v>44962</v>
      </c>
      <c r="D2101" s="15">
        <v>66.400000000000006</v>
      </c>
      <c r="E2101" s="7">
        <f t="shared" si="32"/>
        <v>1</v>
      </c>
    </row>
    <row r="2102" spans="1:5" x14ac:dyDescent="0.25">
      <c r="A2102" s="7">
        <f>IF(E2102=1,
      SUM($E$2:E2102)-1,
"")</f>
        <v>2099</v>
      </c>
      <c r="B2102" s="6" t="s">
        <v>341</v>
      </c>
      <c r="C2102" s="14">
        <v>45098</v>
      </c>
      <c r="D2102" s="15">
        <v>100.01</v>
      </c>
      <c r="E2102" s="7">
        <f t="shared" si="32"/>
        <v>1</v>
      </c>
    </row>
    <row r="2103" spans="1:5" x14ac:dyDescent="0.25">
      <c r="A2103" s="7">
        <f>IF(E2103=1,
      SUM($E$2:E2103)-1,
"")</f>
        <v>2100</v>
      </c>
      <c r="B2103" s="6" t="s">
        <v>228</v>
      </c>
      <c r="C2103" s="14">
        <v>45281</v>
      </c>
      <c r="D2103" s="15">
        <v>86.94</v>
      </c>
      <c r="E2103" s="7">
        <f t="shared" si="32"/>
        <v>1</v>
      </c>
    </row>
    <row r="2104" spans="1:5" x14ac:dyDescent="0.25">
      <c r="A2104" s="7">
        <f>IF(E2104=1,
      SUM($E$2:E2104)-1,
"")</f>
        <v>2101</v>
      </c>
      <c r="B2104" s="6" t="s">
        <v>744</v>
      </c>
      <c r="C2104" s="14">
        <v>45098</v>
      </c>
      <c r="D2104" s="15">
        <v>63.15</v>
      </c>
      <c r="E2104" s="7">
        <f t="shared" si="32"/>
        <v>1</v>
      </c>
    </row>
    <row r="2105" spans="1:5" x14ac:dyDescent="0.25">
      <c r="A2105" s="7">
        <f>IF(E2105=1,
      SUM($E$2:E2105)-1,
"")</f>
        <v>2102</v>
      </c>
      <c r="B2105" s="6" t="s">
        <v>316</v>
      </c>
      <c r="C2105" s="14">
        <v>45010</v>
      </c>
      <c r="D2105" s="15">
        <v>98.23</v>
      </c>
      <c r="E2105" s="7">
        <f t="shared" si="32"/>
        <v>1</v>
      </c>
    </row>
    <row r="2106" spans="1:5" x14ac:dyDescent="0.25">
      <c r="A2106" s="7">
        <f>IF(E2106=1,
      SUM($E$2:E2106)-1,
"")</f>
        <v>2103</v>
      </c>
      <c r="B2106" s="6" t="s">
        <v>858</v>
      </c>
      <c r="C2106" s="14">
        <v>45111</v>
      </c>
      <c r="D2106" s="15">
        <v>98.67</v>
      </c>
      <c r="E2106" s="7">
        <f t="shared" si="32"/>
        <v>1</v>
      </c>
    </row>
    <row r="2107" spans="1:5" x14ac:dyDescent="0.25">
      <c r="A2107" s="7">
        <f>IF(E2107=1,
      SUM($E$2:E2107)-1,
"")</f>
        <v>2104</v>
      </c>
      <c r="B2107" s="6" t="s">
        <v>192</v>
      </c>
      <c r="C2107" s="14">
        <v>44988</v>
      </c>
      <c r="D2107" s="15">
        <v>147.87</v>
      </c>
      <c r="E2107" s="7">
        <f t="shared" si="32"/>
        <v>1</v>
      </c>
    </row>
    <row r="2108" spans="1:5" x14ac:dyDescent="0.25">
      <c r="A2108" s="7">
        <f>IF(E2108=1,
      SUM($E$2:E2108)-1,
"")</f>
        <v>2105</v>
      </c>
      <c r="B2108" s="6" t="s">
        <v>290</v>
      </c>
      <c r="C2108" s="14">
        <v>45149</v>
      </c>
      <c r="D2108" s="15">
        <v>72.52</v>
      </c>
      <c r="E2108" s="7">
        <f t="shared" si="32"/>
        <v>1</v>
      </c>
    </row>
    <row r="2109" spans="1:5" x14ac:dyDescent="0.25">
      <c r="A2109" s="7">
        <f>IF(E2109=1,
      SUM($E$2:E2109)-1,
"")</f>
        <v>2106</v>
      </c>
      <c r="B2109" s="6" t="s">
        <v>309</v>
      </c>
      <c r="C2109" s="14">
        <v>44977</v>
      </c>
      <c r="D2109" s="15">
        <v>87.47</v>
      </c>
      <c r="E2109" s="7">
        <f t="shared" si="32"/>
        <v>1</v>
      </c>
    </row>
    <row r="2110" spans="1:5" x14ac:dyDescent="0.25">
      <c r="A2110" s="7">
        <f>IF(E2110=1,
      SUM($E$2:E2110)-1,
"")</f>
        <v>2107</v>
      </c>
      <c r="B2110" s="6" t="s">
        <v>930</v>
      </c>
      <c r="C2110" s="14">
        <v>45111</v>
      </c>
      <c r="D2110" s="15">
        <v>147.78</v>
      </c>
      <c r="E2110" s="7">
        <f t="shared" si="32"/>
        <v>1</v>
      </c>
    </row>
    <row r="2111" spans="1:5" x14ac:dyDescent="0.25">
      <c r="A2111" s="7">
        <f>IF(E2111=1,
      SUM($E$2:E2111)-1,
"")</f>
        <v>2108</v>
      </c>
      <c r="B2111" s="6" t="s">
        <v>806</v>
      </c>
      <c r="C2111" s="14">
        <v>45263</v>
      </c>
      <c r="D2111" s="15">
        <v>109.86</v>
      </c>
      <c r="E2111" s="7">
        <f t="shared" si="32"/>
        <v>1</v>
      </c>
    </row>
    <row r="2112" spans="1:5" x14ac:dyDescent="0.25">
      <c r="A2112" s="7">
        <f>IF(E2112=1,
      SUM($E$2:E2112)-1,
"")</f>
        <v>2109</v>
      </c>
      <c r="B2112" s="6" t="s">
        <v>430</v>
      </c>
      <c r="C2112" s="14">
        <v>45209</v>
      </c>
      <c r="D2112" s="15">
        <v>72.34</v>
      </c>
      <c r="E2112" s="7">
        <f t="shared" si="32"/>
        <v>1</v>
      </c>
    </row>
    <row r="2113" spans="1:5" x14ac:dyDescent="0.25">
      <c r="A2113" s="7">
        <f>IF(E2113=1,
      SUM($E$2:E2113)-1,
"")</f>
        <v>2110</v>
      </c>
      <c r="B2113" s="6" t="s">
        <v>97</v>
      </c>
      <c r="C2113" s="14">
        <v>45127</v>
      </c>
      <c r="D2113" s="15">
        <v>78.56</v>
      </c>
      <c r="E2113" s="7">
        <f t="shared" si="32"/>
        <v>1</v>
      </c>
    </row>
    <row r="2114" spans="1:5" x14ac:dyDescent="0.25">
      <c r="A2114" s="7">
        <f>IF(E2114=1,
      SUM($E$2:E2114)-1,
"")</f>
        <v>2111</v>
      </c>
      <c r="B2114" s="6" t="s">
        <v>835</v>
      </c>
      <c r="C2114" s="14">
        <v>45009</v>
      </c>
      <c r="D2114" s="15">
        <v>63.58</v>
      </c>
      <c r="E2114" s="7">
        <f t="shared" ref="E2114:E2177" si="33">IF(D2114&gt;0,1,0)</f>
        <v>1</v>
      </c>
    </row>
    <row r="2115" spans="1:5" x14ac:dyDescent="0.25">
      <c r="A2115" s="7">
        <f>IF(E2115=1,
      SUM($E$2:E2115)-1,
"")</f>
        <v>2112</v>
      </c>
      <c r="B2115" s="6" t="s">
        <v>594</v>
      </c>
      <c r="C2115" s="14">
        <v>45012</v>
      </c>
      <c r="D2115" s="15">
        <v>102.32</v>
      </c>
      <c r="E2115" s="7">
        <f t="shared" si="33"/>
        <v>1</v>
      </c>
    </row>
    <row r="2116" spans="1:5" x14ac:dyDescent="0.25">
      <c r="A2116" s="7">
        <f>IF(E2116=1,
      SUM($E$2:E2116)-1,
"")</f>
        <v>2113</v>
      </c>
      <c r="B2116" s="6" t="s">
        <v>801</v>
      </c>
      <c r="C2116" s="14">
        <v>45197</v>
      </c>
      <c r="D2116" s="15">
        <v>130.93</v>
      </c>
      <c r="E2116" s="7">
        <f t="shared" si="33"/>
        <v>1</v>
      </c>
    </row>
    <row r="2117" spans="1:5" x14ac:dyDescent="0.25">
      <c r="A2117" s="7">
        <f>IF(E2117=1,
      SUM($E$2:E2117)-1,
"")</f>
        <v>2114</v>
      </c>
      <c r="B2117" s="6" t="s">
        <v>417</v>
      </c>
      <c r="C2117" s="14">
        <v>45027</v>
      </c>
      <c r="D2117" s="15">
        <v>148.93</v>
      </c>
      <c r="E2117" s="7">
        <f t="shared" si="33"/>
        <v>1</v>
      </c>
    </row>
    <row r="2118" spans="1:5" x14ac:dyDescent="0.25">
      <c r="A2118" s="7">
        <f>IF(E2118=1,
      SUM($E$2:E2118)-1,
"")</f>
        <v>2115</v>
      </c>
      <c r="B2118" s="6" t="s">
        <v>393</v>
      </c>
      <c r="C2118" s="14">
        <v>44995</v>
      </c>
      <c r="D2118" s="15">
        <v>55.41</v>
      </c>
      <c r="E2118" s="7">
        <f t="shared" si="33"/>
        <v>1</v>
      </c>
    </row>
    <row r="2119" spans="1:5" x14ac:dyDescent="0.25">
      <c r="A2119" s="7">
        <f>IF(E2119=1,
      SUM($E$2:E2119)-1,
"")</f>
        <v>2116</v>
      </c>
      <c r="B2119" s="6" t="s">
        <v>351</v>
      </c>
      <c r="C2119" s="14">
        <v>44997</v>
      </c>
      <c r="D2119" s="15">
        <v>126.07</v>
      </c>
      <c r="E2119" s="7">
        <f t="shared" si="33"/>
        <v>1</v>
      </c>
    </row>
    <row r="2120" spans="1:5" x14ac:dyDescent="0.25">
      <c r="A2120" s="7">
        <f>IF(E2120=1,
      SUM($E$2:E2120)-1,
"")</f>
        <v>2117</v>
      </c>
      <c r="B2120" s="6" t="s">
        <v>256</v>
      </c>
      <c r="C2120" s="14">
        <v>45068</v>
      </c>
      <c r="D2120" s="15">
        <v>104.93</v>
      </c>
      <c r="E2120" s="7">
        <f t="shared" si="33"/>
        <v>1</v>
      </c>
    </row>
    <row r="2121" spans="1:5" x14ac:dyDescent="0.25">
      <c r="A2121" s="7">
        <f>IF(E2121=1,
      SUM($E$2:E2121)-1,
"")</f>
        <v>2118</v>
      </c>
      <c r="B2121" s="6" t="s">
        <v>162</v>
      </c>
      <c r="C2121" s="14">
        <v>44960</v>
      </c>
      <c r="D2121" s="15">
        <v>92.14</v>
      </c>
      <c r="E2121" s="7">
        <f t="shared" si="33"/>
        <v>1</v>
      </c>
    </row>
    <row r="2122" spans="1:5" x14ac:dyDescent="0.25">
      <c r="A2122" s="7">
        <f>IF(E2122=1,
      SUM($E$2:E2122)-1,
"")</f>
        <v>2119</v>
      </c>
      <c r="B2122" s="6" t="s">
        <v>921</v>
      </c>
      <c r="C2122" s="14">
        <v>44932</v>
      </c>
      <c r="D2122" s="15">
        <v>87.48</v>
      </c>
      <c r="E2122" s="7">
        <f t="shared" si="33"/>
        <v>1</v>
      </c>
    </row>
    <row r="2123" spans="1:5" x14ac:dyDescent="0.25">
      <c r="A2123" s="7">
        <f>IF(E2123=1,
      SUM($E$2:E2123)-1,
"")</f>
        <v>2120</v>
      </c>
      <c r="B2123" s="6" t="s">
        <v>940</v>
      </c>
      <c r="C2123" s="14">
        <v>45251</v>
      </c>
      <c r="D2123" s="15">
        <v>42.37</v>
      </c>
      <c r="E2123" s="7">
        <f t="shared" si="33"/>
        <v>1</v>
      </c>
    </row>
    <row r="2124" spans="1:5" x14ac:dyDescent="0.25">
      <c r="A2124" s="7">
        <f>IF(E2124=1,
      SUM($E$2:E2124)-1,
"")</f>
        <v>2121</v>
      </c>
      <c r="B2124" s="6" t="s">
        <v>346</v>
      </c>
      <c r="C2124" s="14">
        <v>44990</v>
      </c>
      <c r="D2124" s="15">
        <v>119.14</v>
      </c>
      <c r="E2124" s="7">
        <f t="shared" si="33"/>
        <v>1</v>
      </c>
    </row>
    <row r="2125" spans="1:5" x14ac:dyDescent="0.25">
      <c r="A2125" s="7">
        <f>IF(E2125=1,
      SUM($E$2:E2125)-1,
"")</f>
        <v>2122</v>
      </c>
      <c r="B2125" s="6" t="s">
        <v>76</v>
      </c>
      <c r="C2125" s="14">
        <v>45047</v>
      </c>
      <c r="D2125" s="15">
        <v>60.43</v>
      </c>
      <c r="E2125" s="7">
        <f t="shared" si="33"/>
        <v>1</v>
      </c>
    </row>
    <row r="2126" spans="1:5" x14ac:dyDescent="0.25">
      <c r="A2126" s="7">
        <f>IF(E2126=1,
      SUM($E$2:E2126)-1,
"")</f>
        <v>2123</v>
      </c>
      <c r="B2126" s="6" t="s">
        <v>252</v>
      </c>
      <c r="C2126" s="14">
        <v>45085</v>
      </c>
      <c r="D2126" s="15">
        <v>77.55</v>
      </c>
      <c r="E2126" s="7">
        <f t="shared" si="33"/>
        <v>1</v>
      </c>
    </row>
    <row r="2127" spans="1:5" x14ac:dyDescent="0.25">
      <c r="A2127" s="7">
        <f>IF(E2127=1,
      SUM($E$2:E2127)-1,
"")</f>
        <v>2124</v>
      </c>
      <c r="B2127" s="6" t="s">
        <v>907</v>
      </c>
      <c r="C2127" s="14">
        <v>45056</v>
      </c>
      <c r="D2127" s="15">
        <v>112.54</v>
      </c>
      <c r="E2127" s="7">
        <f t="shared" si="33"/>
        <v>1</v>
      </c>
    </row>
    <row r="2128" spans="1:5" x14ac:dyDescent="0.25">
      <c r="A2128" s="7">
        <f>IF(E2128=1,
      SUM($E$2:E2128)-1,
"")</f>
        <v>2125</v>
      </c>
      <c r="B2128" s="6" t="s">
        <v>522</v>
      </c>
      <c r="C2128" s="14">
        <v>45271</v>
      </c>
      <c r="D2128" s="15">
        <v>45.5</v>
      </c>
      <c r="E2128" s="7">
        <f t="shared" si="33"/>
        <v>1</v>
      </c>
    </row>
    <row r="2129" spans="1:5" x14ac:dyDescent="0.25">
      <c r="A2129" s="7">
        <f>IF(E2129=1,
      SUM($E$2:E2129)-1,
"")</f>
        <v>2126</v>
      </c>
      <c r="B2129" s="6" t="s">
        <v>267</v>
      </c>
      <c r="C2129" s="14">
        <v>45108</v>
      </c>
      <c r="D2129" s="15">
        <v>60.38</v>
      </c>
      <c r="E2129" s="7">
        <f t="shared" si="33"/>
        <v>1</v>
      </c>
    </row>
    <row r="2130" spans="1:5" x14ac:dyDescent="0.25">
      <c r="A2130" s="7">
        <f>IF(E2130=1,
      SUM($E$2:E2130)-1,
"")</f>
        <v>2127</v>
      </c>
      <c r="B2130" s="6" t="s">
        <v>193</v>
      </c>
      <c r="C2130" s="14">
        <v>45051</v>
      </c>
      <c r="D2130" s="15">
        <v>136.56</v>
      </c>
      <c r="E2130" s="7">
        <f t="shared" si="33"/>
        <v>1</v>
      </c>
    </row>
    <row r="2131" spans="1:5" x14ac:dyDescent="0.25">
      <c r="A2131" s="7">
        <f>IF(E2131=1,
      SUM($E$2:E2131)-1,
"")</f>
        <v>2128</v>
      </c>
      <c r="B2131" s="6" t="s">
        <v>941</v>
      </c>
      <c r="C2131" s="14">
        <v>44930</v>
      </c>
      <c r="D2131" s="15">
        <v>103.66</v>
      </c>
      <c r="E2131" s="7">
        <f t="shared" si="33"/>
        <v>1</v>
      </c>
    </row>
    <row r="2132" spans="1:5" x14ac:dyDescent="0.25">
      <c r="A2132" s="7">
        <f>IF(E2132=1,
      SUM($E$2:E2132)-1,
"")</f>
        <v>2129</v>
      </c>
      <c r="B2132" s="6" t="s">
        <v>668</v>
      </c>
      <c r="C2132" s="14">
        <v>45010</v>
      </c>
      <c r="D2132" s="15">
        <v>80.13</v>
      </c>
      <c r="E2132" s="7">
        <f t="shared" si="33"/>
        <v>1</v>
      </c>
    </row>
    <row r="2133" spans="1:5" x14ac:dyDescent="0.25">
      <c r="A2133" s="7">
        <f>IF(E2133=1,
      SUM($E$2:E2133)-1,
"")</f>
        <v>2130</v>
      </c>
      <c r="B2133" s="6" t="s">
        <v>78</v>
      </c>
      <c r="C2133" s="14">
        <v>45252</v>
      </c>
      <c r="D2133" s="15">
        <v>103.78</v>
      </c>
      <c r="E2133" s="7">
        <f t="shared" si="33"/>
        <v>1</v>
      </c>
    </row>
    <row r="2134" spans="1:5" x14ac:dyDescent="0.25">
      <c r="A2134" s="7">
        <f>IF(E2134=1,
      SUM($E$2:E2134)-1,
"")</f>
        <v>2131</v>
      </c>
      <c r="B2134" s="6" t="s">
        <v>417</v>
      </c>
      <c r="C2134" s="14">
        <v>44957</v>
      </c>
      <c r="D2134" s="15">
        <v>120.08</v>
      </c>
      <c r="E2134" s="7">
        <f t="shared" si="33"/>
        <v>1</v>
      </c>
    </row>
    <row r="2135" spans="1:5" x14ac:dyDescent="0.25">
      <c r="A2135" s="7">
        <f>IF(E2135=1,
      SUM($E$2:E2135)-1,
"")</f>
        <v>2132</v>
      </c>
      <c r="B2135" s="6" t="s">
        <v>468</v>
      </c>
      <c r="C2135" s="14">
        <v>45131</v>
      </c>
      <c r="D2135" s="15">
        <v>133.74</v>
      </c>
      <c r="E2135" s="7">
        <f t="shared" si="33"/>
        <v>1</v>
      </c>
    </row>
    <row r="2136" spans="1:5" x14ac:dyDescent="0.25">
      <c r="A2136" s="7">
        <f>IF(E2136=1,
      SUM($E$2:E2136)-1,
"")</f>
        <v>2133</v>
      </c>
      <c r="B2136" s="6" t="s">
        <v>240</v>
      </c>
      <c r="C2136" s="14">
        <v>45133</v>
      </c>
      <c r="D2136" s="15">
        <v>66.63</v>
      </c>
      <c r="E2136" s="7">
        <f t="shared" si="33"/>
        <v>1</v>
      </c>
    </row>
    <row r="2137" spans="1:5" x14ac:dyDescent="0.25">
      <c r="A2137" s="7">
        <f>IF(E2137=1,
      SUM($E$2:E2137)-1,
"")</f>
        <v>2134</v>
      </c>
      <c r="B2137" s="6" t="s">
        <v>854</v>
      </c>
      <c r="C2137" s="14">
        <v>45204</v>
      </c>
      <c r="D2137" s="15">
        <v>69.25</v>
      </c>
      <c r="E2137" s="7">
        <f t="shared" si="33"/>
        <v>1</v>
      </c>
    </row>
    <row r="2138" spans="1:5" x14ac:dyDescent="0.25">
      <c r="A2138" s="7">
        <f>IF(E2138=1,
      SUM($E$2:E2138)-1,
"")</f>
        <v>2135</v>
      </c>
      <c r="B2138" s="6" t="s">
        <v>942</v>
      </c>
      <c r="C2138" s="14">
        <v>44971</v>
      </c>
      <c r="D2138" s="15">
        <v>118.25</v>
      </c>
      <c r="E2138" s="7">
        <f t="shared" si="33"/>
        <v>1</v>
      </c>
    </row>
    <row r="2139" spans="1:5" x14ac:dyDescent="0.25">
      <c r="A2139" s="7">
        <f>IF(E2139=1,
      SUM($E$2:E2139)-1,
"")</f>
        <v>2136</v>
      </c>
      <c r="B2139" s="6" t="s">
        <v>277</v>
      </c>
      <c r="C2139" s="14">
        <v>45281</v>
      </c>
      <c r="D2139" s="15">
        <v>119.21</v>
      </c>
      <c r="E2139" s="7">
        <f t="shared" si="33"/>
        <v>1</v>
      </c>
    </row>
    <row r="2140" spans="1:5" x14ac:dyDescent="0.25">
      <c r="A2140" s="7">
        <f>IF(E2140=1,
      SUM($E$2:E2140)-1,
"")</f>
        <v>2137</v>
      </c>
      <c r="B2140" s="6" t="s">
        <v>288</v>
      </c>
      <c r="C2140" s="14">
        <v>45220</v>
      </c>
      <c r="D2140" s="15">
        <v>59.68</v>
      </c>
      <c r="E2140" s="7">
        <f t="shared" si="33"/>
        <v>1</v>
      </c>
    </row>
    <row r="2141" spans="1:5" x14ac:dyDescent="0.25">
      <c r="A2141" s="7">
        <f>IF(E2141=1,
      SUM($E$2:E2141)-1,
"")</f>
        <v>2138</v>
      </c>
      <c r="B2141" s="6" t="s">
        <v>841</v>
      </c>
      <c r="C2141" s="14">
        <v>45217</v>
      </c>
      <c r="D2141" s="15">
        <v>70.38</v>
      </c>
      <c r="E2141" s="7">
        <f t="shared" si="33"/>
        <v>1</v>
      </c>
    </row>
    <row r="2142" spans="1:5" x14ac:dyDescent="0.25">
      <c r="A2142" s="7">
        <f>IF(E2142=1,
      SUM($E$2:E2142)-1,
"")</f>
        <v>2139</v>
      </c>
      <c r="B2142" s="6" t="s">
        <v>492</v>
      </c>
      <c r="C2142" s="14">
        <v>44947</v>
      </c>
      <c r="D2142" s="15">
        <v>94.19</v>
      </c>
      <c r="E2142" s="7">
        <f t="shared" si="33"/>
        <v>1</v>
      </c>
    </row>
    <row r="2143" spans="1:5" x14ac:dyDescent="0.25">
      <c r="A2143" s="7">
        <f>IF(E2143=1,
      SUM($E$2:E2143)-1,
"")</f>
        <v>2140</v>
      </c>
      <c r="B2143" s="6" t="s">
        <v>631</v>
      </c>
      <c r="C2143" s="14">
        <v>45092</v>
      </c>
      <c r="D2143" s="15">
        <v>100.71</v>
      </c>
      <c r="E2143" s="7">
        <f t="shared" si="33"/>
        <v>1</v>
      </c>
    </row>
    <row r="2144" spans="1:5" x14ac:dyDescent="0.25">
      <c r="A2144" s="7">
        <f>IF(E2144=1,
      SUM($E$2:E2144)-1,
"")</f>
        <v>2141</v>
      </c>
      <c r="B2144" s="6" t="s">
        <v>213</v>
      </c>
      <c r="C2144" s="14">
        <v>45283</v>
      </c>
      <c r="D2144" s="15">
        <v>101.56</v>
      </c>
      <c r="E2144" s="7">
        <f t="shared" si="33"/>
        <v>1</v>
      </c>
    </row>
    <row r="2145" spans="1:5" x14ac:dyDescent="0.25">
      <c r="A2145" s="7">
        <f>IF(E2145=1,
      SUM($E$2:E2145)-1,
"")</f>
        <v>2142</v>
      </c>
      <c r="B2145" s="6" t="s">
        <v>381</v>
      </c>
      <c r="C2145" s="14">
        <v>44941</v>
      </c>
      <c r="D2145" s="15">
        <v>59.22</v>
      </c>
      <c r="E2145" s="7">
        <f t="shared" si="33"/>
        <v>1</v>
      </c>
    </row>
    <row r="2146" spans="1:5" x14ac:dyDescent="0.25">
      <c r="A2146" s="7">
        <f>IF(E2146=1,
      SUM($E$2:E2146)-1,
"")</f>
        <v>2143</v>
      </c>
      <c r="B2146" s="6" t="s">
        <v>496</v>
      </c>
      <c r="C2146" s="14">
        <v>45067</v>
      </c>
      <c r="D2146" s="15">
        <v>101.25</v>
      </c>
      <c r="E2146" s="7">
        <f t="shared" si="33"/>
        <v>1</v>
      </c>
    </row>
    <row r="2147" spans="1:5" x14ac:dyDescent="0.25">
      <c r="A2147" s="7">
        <f>IF(E2147=1,
      SUM($E$2:E2147)-1,
"")</f>
        <v>2144</v>
      </c>
      <c r="B2147" s="6" t="s">
        <v>177</v>
      </c>
      <c r="C2147" s="14">
        <v>45117</v>
      </c>
      <c r="D2147" s="15">
        <v>78.48</v>
      </c>
      <c r="E2147" s="7">
        <f t="shared" si="33"/>
        <v>1</v>
      </c>
    </row>
    <row r="2148" spans="1:5" x14ac:dyDescent="0.25">
      <c r="A2148" s="7">
        <f>IF(E2148=1,
      SUM($E$2:E2148)-1,
"")</f>
        <v>2145</v>
      </c>
      <c r="B2148" s="6" t="s">
        <v>586</v>
      </c>
      <c r="C2148" s="14">
        <v>45017</v>
      </c>
      <c r="D2148" s="15">
        <v>65.010000000000005</v>
      </c>
      <c r="E2148" s="7">
        <f t="shared" si="33"/>
        <v>1</v>
      </c>
    </row>
    <row r="2149" spans="1:5" x14ac:dyDescent="0.25">
      <c r="A2149" s="7">
        <f>IF(E2149=1,
      SUM($E$2:E2149)-1,
"")</f>
        <v>2146</v>
      </c>
      <c r="B2149" s="6" t="s">
        <v>200</v>
      </c>
      <c r="C2149" s="14">
        <v>45254</v>
      </c>
      <c r="D2149" s="15">
        <v>99.67</v>
      </c>
      <c r="E2149" s="7">
        <f t="shared" si="33"/>
        <v>1</v>
      </c>
    </row>
    <row r="2150" spans="1:5" x14ac:dyDescent="0.25">
      <c r="A2150" s="7">
        <f>IF(E2150=1,
      SUM($E$2:E2150)-1,
"")</f>
        <v>2147</v>
      </c>
      <c r="B2150" s="6" t="s">
        <v>229</v>
      </c>
      <c r="C2150" s="14">
        <v>45233</v>
      </c>
      <c r="D2150" s="15">
        <v>96.61</v>
      </c>
      <c r="E2150" s="7">
        <f t="shared" si="33"/>
        <v>1</v>
      </c>
    </row>
    <row r="2151" spans="1:5" x14ac:dyDescent="0.25">
      <c r="A2151" s="7">
        <f>IF(E2151=1,
      SUM($E$2:E2151)-1,
"")</f>
        <v>2148</v>
      </c>
      <c r="B2151" s="6" t="s">
        <v>470</v>
      </c>
      <c r="C2151" s="14">
        <v>45227</v>
      </c>
      <c r="D2151" s="15">
        <v>124.05</v>
      </c>
      <c r="E2151" s="7">
        <f t="shared" si="33"/>
        <v>1</v>
      </c>
    </row>
    <row r="2152" spans="1:5" x14ac:dyDescent="0.25">
      <c r="A2152" s="7">
        <f>IF(E2152=1,
      SUM($E$2:E2152)-1,
"")</f>
        <v>2149</v>
      </c>
      <c r="B2152" s="6" t="s">
        <v>943</v>
      </c>
      <c r="C2152" s="14">
        <v>44972</v>
      </c>
      <c r="D2152" s="15">
        <v>74.17</v>
      </c>
      <c r="E2152" s="7">
        <f t="shared" si="33"/>
        <v>1</v>
      </c>
    </row>
    <row r="2153" spans="1:5" x14ac:dyDescent="0.25">
      <c r="A2153" s="7">
        <f>IF(E2153=1,
      SUM($E$2:E2153)-1,
"")</f>
        <v>2150</v>
      </c>
      <c r="B2153" s="6" t="s">
        <v>942</v>
      </c>
      <c r="C2153" s="14">
        <v>45169</v>
      </c>
      <c r="D2153" s="15">
        <v>107.06</v>
      </c>
      <c r="E2153" s="7">
        <f t="shared" si="33"/>
        <v>1</v>
      </c>
    </row>
    <row r="2154" spans="1:5" x14ac:dyDescent="0.25">
      <c r="A2154" s="7">
        <f>IF(E2154=1,
      SUM($E$2:E2154)-1,
"")</f>
        <v>2151</v>
      </c>
      <c r="B2154" s="6" t="s">
        <v>755</v>
      </c>
      <c r="C2154" s="14">
        <v>45129</v>
      </c>
      <c r="D2154" s="15">
        <v>52.94</v>
      </c>
      <c r="E2154" s="7">
        <f t="shared" si="33"/>
        <v>1</v>
      </c>
    </row>
    <row r="2155" spans="1:5" x14ac:dyDescent="0.25">
      <c r="A2155" s="7">
        <f>IF(E2155=1,
      SUM($E$2:E2155)-1,
"")</f>
        <v>2152</v>
      </c>
      <c r="B2155" s="6" t="s">
        <v>608</v>
      </c>
      <c r="C2155" s="14">
        <v>45134</v>
      </c>
      <c r="D2155" s="15">
        <v>91.75</v>
      </c>
      <c r="E2155" s="7">
        <f t="shared" si="33"/>
        <v>1</v>
      </c>
    </row>
    <row r="2156" spans="1:5" x14ac:dyDescent="0.25">
      <c r="A2156" s="7">
        <f>IF(E2156=1,
      SUM($E$2:E2156)-1,
"")</f>
        <v>2153</v>
      </c>
      <c r="B2156" s="6" t="s">
        <v>214</v>
      </c>
      <c r="C2156" s="14">
        <v>45236</v>
      </c>
      <c r="D2156" s="15">
        <v>113.91</v>
      </c>
      <c r="E2156" s="7">
        <f t="shared" si="33"/>
        <v>1</v>
      </c>
    </row>
    <row r="2157" spans="1:5" x14ac:dyDescent="0.25">
      <c r="A2157" s="7">
        <f>IF(E2157=1,
      SUM($E$2:E2157)-1,
"")</f>
        <v>2154</v>
      </c>
      <c r="B2157" s="6" t="s">
        <v>210</v>
      </c>
      <c r="C2157" s="14">
        <v>45215</v>
      </c>
      <c r="D2157" s="15">
        <v>116.44</v>
      </c>
      <c r="E2157" s="7">
        <f t="shared" si="33"/>
        <v>1</v>
      </c>
    </row>
    <row r="2158" spans="1:5" x14ac:dyDescent="0.25">
      <c r="A2158" s="7">
        <f>IF(E2158=1,
      SUM($E$2:E2158)-1,
"")</f>
        <v>2155</v>
      </c>
      <c r="B2158" s="6" t="s">
        <v>555</v>
      </c>
      <c r="C2158" s="14">
        <v>45099</v>
      </c>
      <c r="D2158" s="15">
        <v>116.65</v>
      </c>
      <c r="E2158" s="7">
        <f t="shared" si="33"/>
        <v>1</v>
      </c>
    </row>
    <row r="2159" spans="1:5" x14ac:dyDescent="0.25">
      <c r="A2159" s="7">
        <f>IF(E2159=1,
      SUM($E$2:E2159)-1,
"")</f>
        <v>2156</v>
      </c>
      <c r="B2159" s="6" t="s">
        <v>721</v>
      </c>
      <c r="C2159" s="14">
        <v>45008</v>
      </c>
      <c r="D2159" s="15">
        <v>124.13</v>
      </c>
      <c r="E2159" s="7">
        <f t="shared" si="33"/>
        <v>1</v>
      </c>
    </row>
    <row r="2160" spans="1:5" x14ac:dyDescent="0.25">
      <c r="A2160" s="7">
        <f>IF(E2160=1,
      SUM($E$2:E2160)-1,
"")</f>
        <v>2157</v>
      </c>
      <c r="B2160" s="6" t="s">
        <v>594</v>
      </c>
      <c r="C2160" s="14">
        <v>45278</v>
      </c>
      <c r="D2160" s="15">
        <v>86.63</v>
      </c>
      <c r="E2160" s="7">
        <f t="shared" si="33"/>
        <v>1</v>
      </c>
    </row>
    <row r="2161" spans="1:5" x14ac:dyDescent="0.25">
      <c r="A2161" s="7">
        <f>IF(E2161=1,
      SUM($E$2:E2161)-1,
"")</f>
        <v>2158</v>
      </c>
      <c r="B2161" s="6" t="s">
        <v>679</v>
      </c>
      <c r="C2161" s="14">
        <v>45281</v>
      </c>
      <c r="D2161" s="15">
        <v>114.87</v>
      </c>
      <c r="E2161" s="7">
        <f t="shared" si="33"/>
        <v>1</v>
      </c>
    </row>
    <row r="2162" spans="1:5" x14ac:dyDescent="0.25">
      <c r="A2162" s="7">
        <f>IF(E2162=1,
      SUM($E$2:E2162)-1,
"")</f>
        <v>2159</v>
      </c>
      <c r="B2162" s="6" t="s">
        <v>760</v>
      </c>
      <c r="C2162" s="14">
        <v>45192</v>
      </c>
      <c r="D2162" s="15">
        <v>156.06</v>
      </c>
      <c r="E2162" s="7">
        <f t="shared" si="33"/>
        <v>1</v>
      </c>
    </row>
    <row r="2163" spans="1:5" x14ac:dyDescent="0.25">
      <c r="A2163" s="7">
        <f>IF(E2163=1,
      SUM($E$2:E2163)-1,
"")</f>
        <v>2160</v>
      </c>
      <c r="B2163" s="6" t="s">
        <v>764</v>
      </c>
      <c r="C2163" s="14">
        <v>45137</v>
      </c>
      <c r="D2163" s="15">
        <v>85.99</v>
      </c>
      <c r="E2163" s="7">
        <f t="shared" si="33"/>
        <v>1</v>
      </c>
    </row>
    <row r="2164" spans="1:5" x14ac:dyDescent="0.25">
      <c r="A2164" s="7">
        <f>IF(E2164=1,
      SUM($E$2:E2164)-1,
"")</f>
        <v>2161</v>
      </c>
      <c r="B2164" s="6" t="s">
        <v>265</v>
      </c>
      <c r="C2164" s="14">
        <v>44953</v>
      </c>
      <c r="D2164" s="15">
        <v>141.41</v>
      </c>
      <c r="E2164" s="7">
        <f t="shared" si="33"/>
        <v>1</v>
      </c>
    </row>
    <row r="2165" spans="1:5" x14ac:dyDescent="0.25">
      <c r="A2165" s="7">
        <f>IF(E2165=1,
      SUM($E$2:E2165)-1,
"")</f>
        <v>2162</v>
      </c>
      <c r="B2165" s="6" t="s">
        <v>235</v>
      </c>
      <c r="C2165" s="14">
        <v>45168</v>
      </c>
      <c r="D2165" s="15">
        <v>126.29</v>
      </c>
      <c r="E2165" s="7">
        <f t="shared" si="33"/>
        <v>1</v>
      </c>
    </row>
    <row r="2166" spans="1:5" x14ac:dyDescent="0.25">
      <c r="A2166" s="7">
        <f>IF(E2166=1,
      SUM($E$2:E2166)-1,
"")</f>
        <v>2163</v>
      </c>
      <c r="B2166" s="6" t="s">
        <v>791</v>
      </c>
      <c r="C2166" s="14">
        <v>44934</v>
      </c>
      <c r="D2166" s="15">
        <v>92.01</v>
      </c>
      <c r="E2166" s="7">
        <f t="shared" si="33"/>
        <v>1</v>
      </c>
    </row>
    <row r="2167" spans="1:5" x14ac:dyDescent="0.25">
      <c r="A2167" s="7">
        <f>IF(E2167=1,
      SUM($E$2:E2167)-1,
"")</f>
        <v>2164</v>
      </c>
      <c r="B2167" s="6" t="s">
        <v>928</v>
      </c>
      <c r="C2167" s="14">
        <v>45013</v>
      </c>
      <c r="D2167" s="15">
        <v>94.51</v>
      </c>
      <c r="E2167" s="7">
        <f t="shared" si="33"/>
        <v>1</v>
      </c>
    </row>
    <row r="2168" spans="1:5" x14ac:dyDescent="0.25">
      <c r="A2168" s="7">
        <f>IF(E2168=1,
      SUM($E$2:E2168)-1,
"")</f>
        <v>2165</v>
      </c>
      <c r="B2168" s="6" t="s">
        <v>382</v>
      </c>
      <c r="C2168" s="14">
        <v>45183</v>
      </c>
      <c r="D2168" s="15">
        <v>103.55</v>
      </c>
      <c r="E2168" s="7">
        <f t="shared" si="33"/>
        <v>1</v>
      </c>
    </row>
    <row r="2169" spans="1:5" x14ac:dyDescent="0.25">
      <c r="A2169" s="7">
        <f>IF(E2169=1,
      SUM($E$2:E2169)-1,
"")</f>
        <v>2166</v>
      </c>
      <c r="B2169" s="6" t="s">
        <v>944</v>
      </c>
      <c r="C2169" s="14">
        <v>44959</v>
      </c>
      <c r="D2169" s="15">
        <v>124.6</v>
      </c>
      <c r="E2169" s="7">
        <f t="shared" si="33"/>
        <v>1</v>
      </c>
    </row>
    <row r="2170" spans="1:5" x14ac:dyDescent="0.25">
      <c r="A2170" s="7">
        <f>IF(E2170=1,
      SUM($E$2:E2170)-1,
"")</f>
        <v>2167</v>
      </c>
      <c r="B2170" s="6" t="s">
        <v>814</v>
      </c>
      <c r="C2170" s="14">
        <v>44936</v>
      </c>
      <c r="D2170" s="15">
        <v>112.08</v>
      </c>
      <c r="E2170" s="7">
        <f t="shared" si="33"/>
        <v>1</v>
      </c>
    </row>
    <row r="2171" spans="1:5" x14ac:dyDescent="0.25">
      <c r="A2171" s="7">
        <f>IF(E2171=1,
      SUM($E$2:E2171)-1,
"")</f>
        <v>2168</v>
      </c>
      <c r="B2171" s="6" t="s">
        <v>807</v>
      </c>
      <c r="C2171" s="14">
        <v>45147</v>
      </c>
      <c r="D2171" s="15">
        <v>85.75</v>
      </c>
      <c r="E2171" s="7">
        <f t="shared" si="33"/>
        <v>1</v>
      </c>
    </row>
    <row r="2172" spans="1:5" x14ac:dyDescent="0.25">
      <c r="A2172" s="7">
        <f>IF(E2172=1,
      SUM($E$2:E2172)-1,
"")</f>
        <v>2169</v>
      </c>
      <c r="B2172" s="6" t="s">
        <v>401</v>
      </c>
      <c r="C2172" s="14">
        <v>45077</v>
      </c>
      <c r="D2172" s="15">
        <v>37.54</v>
      </c>
      <c r="E2172" s="7">
        <f t="shared" si="33"/>
        <v>1</v>
      </c>
    </row>
    <row r="2173" spans="1:5" x14ac:dyDescent="0.25">
      <c r="A2173" s="7">
        <f>IF(E2173=1,
      SUM($E$2:E2173)-1,
"")</f>
        <v>2170</v>
      </c>
      <c r="B2173" s="6" t="s">
        <v>718</v>
      </c>
      <c r="C2173" s="14">
        <v>45131</v>
      </c>
      <c r="D2173" s="15">
        <v>120.17</v>
      </c>
      <c r="E2173" s="7">
        <f t="shared" si="33"/>
        <v>1</v>
      </c>
    </row>
    <row r="2174" spans="1:5" x14ac:dyDescent="0.25">
      <c r="A2174" s="7">
        <f>IF(E2174=1,
      SUM($E$2:E2174)-1,
"")</f>
        <v>2171</v>
      </c>
      <c r="B2174" s="6" t="s">
        <v>543</v>
      </c>
      <c r="C2174" s="14">
        <v>45165</v>
      </c>
      <c r="D2174" s="15">
        <v>42.03</v>
      </c>
      <c r="E2174" s="7">
        <f t="shared" si="33"/>
        <v>1</v>
      </c>
    </row>
    <row r="2175" spans="1:5" x14ac:dyDescent="0.25">
      <c r="A2175" s="7">
        <f>IF(E2175=1,
      SUM($E$2:E2175)-1,
"")</f>
        <v>2172</v>
      </c>
      <c r="B2175" s="6" t="s">
        <v>333</v>
      </c>
      <c r="C2175" s="14">
        <v>44979</v>
      </c>
      <c r="D2175" s="15">
        <v>59.02</v>
      </c>
      <c r="E2175" s="7">
        <f t="shared" si="33"/>
        <v>1</v>
      </c>
    </row>
    <row r="2176" spans="1:5" x14ac:dyDescent="0.25">
      <c r="A2176" s="7">
        <f>IF(E2176=1,
      SUM($E$2:E2176)-1,
"")</f>
        <v>2173</v>
      </c>
      <c r="B2176" s="6" t="s">
        <v>945</v>
      </c>
      <c r="C2176" s="14">
        <v>44961</v>
      </c>
      <c r="D2176" s="15">
        <v>87.93</v>
      </c>
      <c r="E2176" s="7">
        <f t="shared" si="33"/>
        <v>1</v>
      </c>
    </row>
    <row r="2177" spans="1:5" x14ac:dyDescent="0.25">
      <c r="A2177" s="7">
        <f>IF(E2177=1,
      SUM($E$2:E2177)-1,
"")</f>
        <v>2174</v>
      </c>
      <c r="B2177" s="6" t="s">
        <v>574</v>
      </c>
      <c r="C2177" s="14">
        <v>45143</v>
      </c>
      <c r="D2177" s="15">
        <v>63.58</v>
      </c>
      <c r="E2177" s="7">
        <f t="shared" si="33"/>
        <v>1</v>
      </c>
    </row>
    <row r="2178" spans="1:5" x14ac:dyDescent="0.25">
      <c r="A2178" s="7">
        <f>IF(E2178=1,
      SUM($E$2:E2178)-1,
"")</f>
        <v>2175</v>
      </c>
      <c r="B2178" s="6" t="s">
        <v>312</v>
      </c>
      <c r="C2178" s="14">
        <v>45257</v>
      </c>
      <c r="D2178" s="15">
        <v>109.53</v>
      </c>
      <c r="E2178" s="7">
        <f t="shared" ref="E2178:E2241" si="34">IF(D2178&gt;0,1,0)</f>
        <v>1</v>
      </c>
    </row>
    <row r="2179" spans="1:5" x14ac:dyDescent="0.25">
      <c r="A2179" s="7">
        <f>IF(E2179=1,
      SUM($E$2:E2179)-1,
"")</f>
        <v>2176</v>
      </c>
      <c r="B2179" s="6" t="s">
        <v>440</v>
      </c>
      <c r="C2179" s="14">
        <v>45120</v>
      </c>
      <c r="D2179" s="15">
        <v>91.11</v>
      </c>
      <c r="E2179" s="7">
        <f t="shared" si="34"/>
        <v>1</v>
      </c>
    </row>
    <row r="2180" spans="1:5" x14ac:dyDescent="0.25">
      <c r="A2180" s="7">
        <f>IF(E2180=1,
      SUM($E$2:E2180)-1,
"")</f>
        <v>2177</v>
      </c>
      <c r="B2180" s="6" t="s">
        <v>828</v>
      </c>
      <c r="C2180" s="14">
        <v>45271</v>
      </c>
      <c r="D2180" s="15">
        <v>123.56</v>
      </c>
      <c r="E2180" s="7">
        <f t="shared" si="34"/>
        <v>1</v>
      </c>
    </row>
    <row r="2181" spans="1:5" x14ac:dyDescent="0.25">
      <c r="A2181" s="7">
        <f>IF(E2181=1,
      SUM($E$2:E2181)-1,
"")</f>
        <v>2178</v>
      </c>
      <c r="B2181" s="6" t="s">
        <v>359</v>
      </c>
      <c r="C2181" s="14">
        <v>45087</v>
      </c>
      <c r="D2181" s="15">
        <v>51.77</v>
      </c>
      <c r="E2181" s="7">
        <f t="shared" si="34"/>
        <v>1</v>
      </c>
    </row>
    <row r="2182" spans="1:5" x14ac:dyDescent="0.25">
      <c r="A2182" s="7">
        <f>IF(E2182=1,
      SUM($E$2:E2182)-1,
"")</f>
        <v>2179</v>
      </c>
      <c r="B2182" s="6" t="s">
        <v>262</v>
      </c>
      <c r="C2182" s="14">
        <v>45166</v>
      </c>
      <c r="D2182" s="15">
        <v>80.14</v>
      </c>
      <c r="E2182" s="7">
        <f t="shared" si="34"/>
        <v>1</v>
      </c>
    </row>
    <row r="2183" spans="1:5" x14ac:dyDescent="0.25">
      <c r="A2183" s="7">
        <f>IF(E2183=1,
      SUM($E$2:E2183)-1,
"")</f>
        <v>2180</v>
      </c>
      <c r="B2183" s="6" t="s">
        <v>292</v>
      </c>
      <c r="C2183" s="14">
        <v>44957</v>
      </c>
      <c r="D2183" s="15">
        <v>100.13</v>
      </c>
      <c r="E2183" s="7">
        <f t="shared" si="34"/>
        <v>1</v>
      </c>
    </row>
    <row r="2184" spans="1:5" x14ac:dyDescent="0.25">
      <c r="A2184" s="7">
        <f>IF(E2184=1,
      SUM($E$2:E2184)-1,
"")</f>
        <v>2181</v>
      </c>
      <c r="B2184" s="6" t="s">
        <v>405</v>
      </c>
      <c r="C2184" s="14">
        <v>44937</v>
      </c>
      <c r="D2184" s="15">
        <v>101.28</v>
      </c>
      <c r="E2184" s="7">
        <f t="shared" si="34"/>
        <v>1</v>
      </c>
    </row>
    <row r="2185" spans="1:5" x14ac:dyDescent="0.25">
      <c r="A2185" s="7">
        <f>IF(E2185=1,
      SUM($E$2:E2185)-1,
"")</f>
        <v>2182</v>
      </c>
      <c r="B2185" s="6" t="s">
        <v>464</v>
      </c>
      <c r="C2185" s="14">
        <v>45076</v>
      </c>
      <c r="D2185" s="15">
        <v>120.82</v>
      </c>
      <c r="E2185" s="7">
        <f t="shared" si="34"/>
        <v>1</v>
      </c>
    </row>
    <row r="2186" spans="1:5" x14ac:dyDescent="0.25">
      <c r="A2186" s="7">
        <f>IF(E2186=1,
      SUM($E$2:E2186)-1,
"")</f>
        <v>2183</v>
      </c>
      <c r="B2186" s="6" t="s">
        <v>719</v>
      </c>
      <c r="C2186" s="14">
        <v>45197</v>
      </c>
      <c r="D2186" s="15">
        <v>72.56</v>
      </c>
      <c r="E2186" s="7">
        <f t="shared" si="34"/>
        <v>1</v>
      </c>
    </row>
    <row r="2187" spans="1:5" x14ac:dyDescent="0.25">
      <c r="A2187" s="7">
        <f>IF(E2187=1,
      SUM($E$2:E2187)-1,
"")</f>
        <v>2184</v>
      </c>
      <c r="B2187" s="6" t="s">
        <v>946</v>
      </c>
      <c r="C2187" s="14">
        <v>45129</v>
      </c>
      <c r="D2187" s="15">
        <v>85.96</v>
      </c>
      <c r="E2187" s="7">
        <f t="shared" si="34"/>
        <v>1</v>
      </c>
    </row>
    <row r="2188" spans="1:5" x14ac:dyDescent="0.25">
      <c r="A2188" s="7">
        <f>IF(E2188=1,
      SUM($E$2:E2188)-1,
"")</f>
        <v>2185</v>
      </c>
      <c r="B2188" s="6" t="s">
        <v>629</v>
      </c>
      <c r="C2188" s="14">
        <v>45145</v>
      </c>
      <c r="D2188" s="15">
        <v>115.22</v>
      </c>
      <c r="E2188" s="7">
        <f t="shared" si="34"/>
        <v>1</v>
      </c>
    </row>
    <row r="2189" spans="1:5" x14ac:dyDescent="0.25">
      <c r="A2189" s="7">
        <f>IF(E2189=1,
      SUM($E$2:E2189)-1,
"")</f>
        <v>2186</v>
      </c>
      <c r="B2189" s="6" t="s">
        <v>200</v>
      </c>
      <c r="C2189" s="14">
        <v>45275</v>
      </c>
      <c r="D2189" s="15">
        <v>34.04</v>
      </c>
      <c r="E2189" s="7">
        <f t="shared" si="34"/>
        <v>1</v>
      </c>
    </row>
    <row r="2190" spans="1:5" x14ac:dyDescent="0.25">
      <c r="A2190" s="7">
        <f>IF(E2190=1,
      SUM($E$2:E2190)-1,
"")</f>
        <v>2187</v>
      </c>
      <c r="B2190" s="6" t="s">
        <v>947</v>
      </c>
      <c r="C2190" s="14">
        <v>44999</v>
      </c>
      <c r="D2190" s="15">
        <v>111.55</v>
      </c>
      <c r="E2190" s="7">
        <f t="shared" si="34"/>
        <v>1</v>
      </c>
    </row>
    <row r="2191" spans="1:5" x14ac:dyDescent="0.25">
      <c r="A2191" s="7">
        <f>IF(E2191=1,
      SUM($E$2:E2191)-1,
"")</f>
        <v>2188</v>
      </c>
      <c r="B2191" s="6" t="s">
        <v>784</v>
      </c>
      <c r="C2191" s="14">
        <v>45098</v>
      </c>
      <c r="D2191" s="15">
        <v>122.92</v>
      </c>
      <c r="E2191" s="7">
        <f t="shared" si="34"/>
        <v>1</v>
      </c>
    </row>
    <row r="2192" spans="1:5" x14ac:dyDescent="0.25">
      <c r="A2192" s="7">
        <f>IF(E2192=1,
      SUM($E$2:E2192)-1,
"")</f>
        <v>2189</v>
      </c>
      <c r="B2192" s="6" t="s">
        <v>770</v>
      </c>
      <c r="C2192" s="14">
        <v>45142</v>
      </c>
      <c r="D2192" s="15">
        <v>59.99</v>
      </c>
      <c r="E2192" s="7">
        <f t="shared" si="34"/>
        <v>1</v>
      </c>
    </row>
    <row r="2193" spans="1:5" x14ac:dyDescent="0.25">
      <c r="A2193" s="7">
        <f>IF(E2193=1,
      SUM($E$2:E2193)-1,
"")</f>
        <v>2190</v>
      </c>
      <c r="B2193" s="6" t="s">
        <v>803</v>
      </c>
      <c r="C2193" s="14">
        <v>44928</v>
      </c>
      <c r="D2193" s="15">
        <v>90.55</v>
      </c>
      <c r="E2193" s="7">
        <f t="shared" si="34"/>
        <v>1</v>
      </c>
    </row>
    <row r="2194" spans="1:5" x14ac:dyDescent="0.25">
      <c r="A2194" s="7">
        <f>IF(E2194=1,
      SUM($E$2:E2194)-1,
"")</f>
        <v>2191</v>
      </c>
      <c r="B2194" s="6" t="s">
        <v>948</v>
      </c>
      <c r="C2194" s="14">
        <v>45170</v>
      </c>
      <c r="D2194" s="15">
        <v>144.78</v>
      </c>
      <c r="E2194" s="7">
        <f t="shared" si="34"/>
        <v>1</v>
      </c>
    </row>
    <row r="2195" spans="1:5" x14ac:dyDescent="0.25">
      <c r="A2195" s="7">
        <f>IF(E2195=1,
      SUM($E$2:E2195)-1,
"")</f>
        <v>2192</v>
      </c>
      <c r="B2195" s="6" t="s">
        <v>347</v>
      </c>
      <c r="C2195" s="14">
        <v>45106</v>
      </c>
      <c r="D2195" s="15">
        <v>119.79</v>
      </c>
      <c r="E2195" s="7">
        <f t="shared" si="34"/>
        <v>1</v>
      </c>
    </row>
    <row r="2196" spans="1:5" x14ac:dyDescent="0.25">
      <c r="A2196" s="7">
        <f>IF(E2196=1,
      SUM($E$2:E2196)-1,
"")</f>
        <v>2193</v>
      </c>
      <c r="B2196" s="6" t="s">
        <v>417</v>
      </c>
      <c r="C2196" s="14">
        <v>45144</v>
      </c>
      <c r="D2196" s="15">
        <v>113.41</v>
      </c>
      <c r="E2196" s="7">
        <f t="shared" si="34"/>
        <v>1</v>
      </c>
    </row>
    <row r="2197" spans="1:5" x14ac:dyDescent="0.25">
      <c r="A2197" s="7">
        <f>IF(E2197=1,
      SUM($E$2:E2197)-1,
"")</f>
        <v>2194</v>
      </c>
      <c r="B2197" s="6" t="s">
        <v>728</v>
      </c>
      <c r="C2197" s="14">
        <v>45189</v>
      </c>
      <c r="D2197" s="15">
        <v>129.72999999999999</v>
      </c>
      <c r="E2197" s="7">
        <f t="shared" si="34"/>
        <v>1</v>
      </c>
    </row>
    <row r="2198" spans="1:5" x14ac:dyDescent="0.25">
      <c r="A2198" s="7">
        <f>IF(E2198=1,
      SUM($E$2:E2198)-1,
"")</f>
        <v>2195</v>
      </c>
      <c r="B2198" s="6" t="s">
        <v>340</v>
      </c>
      <c r="C2198" s="14">
        <v>45050</v>
      </c>
      <c r="D2198" s="15">
        <v>154.13999999999999</v>
      </c>
      <c r="E2198" s="7">
        <f t="shared" si="34"/>
        <v>1</v>
      </c>
    </row>
    <row r="2199" spans="1:5" x14ac:dyDescent="0.25">
      <c r="A2199" s="7">
        <f>IF(E2199=1,
      SUM($E$2:E2199)-1,
"")</f>
        <v>2196</v>
      </c>
      <c r="B2199" s="6" t="s">
        <v>296</v>
      </c>
      <c r="C2199" s="14">
        <v>45062</v>
      </c>
      <c r="D2199" s="15">
        <v>100.56</v>
      </c>
      <c r="E2199" s="7">
        <f t="shared" si="34"/>
        <v>1</v>
      </c>
    </row>
    <row r="2200" spans="1:5" x14ac:dyDescent="0.25">
      <c r="A2200" s="7">
        <f>IF(E2200=1,
      SUM($E$2:E2200)-1,
"")</f>
        <v>2197</v>
      </c>
      <c r="B2200" s="6" t="s">
        <v>412</v>
      </c>
      <c r="C2200" s="14">
        <v>45087</v>
      </c>
      <c r="D2200" s="15">
        <v>87.78</v>
      </c>
      <c r="E2200" s="7">
        <f t="shared" si="34"/>
        <v>1</v>
      </c>
    </row>
    <row r="2201" spans="1:5" x14ac:dyDescent="0.25">
      <c r="A2201" s="7">
        <f>IF(E2201=1,
      SUM($E$2:E2201)-1,
"")</f>
        <v>2198</v>
      </c>
      <c r="B2201" s="6" t="s">
        <v>880</v>
      </c>
      <c r="C2201" s="14">
        <v>45095</v>
      </c>
      <c r="D2201" s="15">
        <v>129.66</v>
      </c>
      <c r="E2201" s="7">
        <f t="shared" si="34"/>
        <v>1</v>
      </c>
    </row>
    <row r="2202" spans="1:5" x14ac:dyDescent="0.25">
      <c r="A2202" s="7">
        <f>IF(E2202=1,
      SUM($E$2:E2202)-1,
"")</f>
        <v>2199</v>
      </c>
      <c r="B2202" s="6" t="s">
        <v>688</v>
      </c>
      <c r="C2202" s="14">
        <v>44956</v>
      </c>
      <c r="D2202" s="15">
        <v>94.38</v>
      </c>
      <c r="E2202" s="7">
        <f t="shared" si="34"/>
        <v>1</v>
      </c>
    </row>
    <row r="2203" spans="1:5" x14ac:dyDescent="0.25">
      <c r="A2203" s="7">
        <f>IF(E2203=1,
      SUM($E$2:E2203)-1,
"")</f>
        <v>2200</v>
      </c>
      <c r="B2203" s="6" t="s">
        <v>949</v>
      </c>
      <c r="C2203" s="14">
        <v>45206</v>
      </c>
      <c r="D2203" s="15">
        <v>72.16</v>
      </c>
      <c r="E2203" s="7">
        <f t="shared" si="34"/>
        <v>1</v>
      </c>
    </row>
    <row r="2204" spans="1:5" x14ac:dyDescent="0.25">
      <c r="A2204" s="7">
        <f>IF(E2204=1,
      SUM($E$2:E2204)-1,
"")</f>
        <v>2201</v>
      </c>
      <c r="B2204" s="6" t="s">
        <v>458</v>
      </c>
      <c r="C2204" s="14">
        <v>45151</v>
      </c>
      <c r="D2204" s="15">
        <v>83.8</v>
      </c>
      <c r="E2204" s="7">
        <f t="shared" si="34"/>
        <v>1</v>
      </c>
    </row>
    <row r="2205" spans="1:5" x14ac:dyDescent="0.25">
      <c r="A2205" s="7">
        <f>IF(E2205=1,
      SUM($E$2:E2205)-1,
"")</f>
        <v>2202</v>
      </c>
      <c r="B2205" s="6" t="s">
        <v>571</v>
      </c>
      <c r="C2205" s="14">
        <v>44976</v>
      </c>
      <c r="D2205" s="15">
        <v>109.37</v>
      </c>
      <c r="E2205" s="7">
        <f t="shared" si="34"/>
        <v>1</v>
      </c>
    </row>
    <row r="2206" spans="1:5" x14ac:dyDescent="0.25">
      <c r="A2206" s="7">
        <f>IF(E2206=1,
      SUM($E$2:E2206)-1,
"")</f>
        <v>2203</v>
      </c>
      <c r="B2206" s="6" t="s">
        <v>394</v>
      </c>
      <c r="C2206" s="14">
        <v>45094</v>
      </c>
      <c r="D2206" s="15">
        <v>86.51</v>
      </c>
      <c r="E2206" s="7">
        <f t="shared" si="34"/>
        <v>1</v>
      </c>
    </row>
    <row r="2207" spans="1:5" x14ac:dyDescent="0.25">
      <c r="A2207" s="7">
        <f>IF(E2207=1,
      SUM($E$2:E2207)-1,
"")</f>
        <v>2204</v>
      </c>
      <c r="B2207" s="6" t="s">
        <v>950</v>
      </c>
      <c r="C2207" s="14">
        <v>45247</v>
      </c>
      <c r="D2207" s="15">
        <v>88.75</v>
      </c>
      <c r="E2207" s="7">
        <f t="shared" si="34"/>
        <v>1</v>
      </c>
    </row>
    <row r="2208" spans="1:5" x14ac:dyDescent="0.25">
      <c r="A2208" s="7">
        <f>IF(E2208=1,
      SUM($E$2:E2208)-1,
"")</f>
        <v>2205</v>
      </c>
      <c r="B2208" s="6" t="s">
        <v>375</v>
      </c>
      <c r="C2208" s="14">
        <v>45005</v>
      </c>
      <c r="D2208" s="15">
        <v>69.180000000000007</v>
      </c>
      <c r="E2208" s="7">
        <f t="shared" si="34"/>
        <v>1</v>
      </c>
    </row>
    <row r="2209" spans="1:5" x14ac:dyDescent="0.25">
      <c r="A2209" s="7">
        <f>IF(E2209=1,
      SUM($E$2:E2209)-1,
"")</f>
        <v>2206</v>
      </c>
      <c r="B2209" s="6" t="s">
        <v>138</v>
      </c>
      <c r="C2209" s="14">
        <v>45278</v>
      </c>
      <c r="D2209" s="15">
        <v>143.06</v>
      </c>
      <c r="E2209" s="7">
        <f t="shared" si="34"/>
        <v>1</v>
      </c>
    </row>
    <row r="2210" spans="1:5" x14ac:dyDescent="0.25">
      <c r="A2210" s="7">
        <f>IF(E2210=1,
      SUM($E$2:E2210)-1,
"")</f>
        <v>2207</v>
      </c>
      <c r="B2210" s="6" t="s">
        <v>406</v>
      </c>
      <c r="C2210" s="14">
        <v>45249</v>
      </c>
      <c r="D2210" s="15">
        <v>89.72</v>
      </c>
      <c r="E2210" s="7">
        <f t="shared" si="34"/>
        <v>1</v>
      </c>
    </row>
    <row r="2211" spans="1:5" x14ac:dyDescent="0.25">
      <c r="A2211" s="7">
        <f>IF(E2211=1,
      SUM($E$2:E2211)-1,
"")</f>
        <v>2208</v>
      </c>
      <c r="B2211" s="6" t="s">
        <v>286</v>
      </c>
      <c r="C2211" s="14">
        <v>45124</v>
      </c>
      <c r="D2211" s="15">
        <v>78.650000000000006</v>
      </c>
      <c r="E2211" s="7">
        <f t="shared" si="34"/>
        <v>1</v>
      </c>
    </row>
    <row r="2212" spans="1:5" x14ac:dyDescent="0.25">
      <c r="A2212" s="7">
        <f>IF(E2212=1,
      SUM($E$2:E2212)-1,
"")</f>
        <v>2209</v>
      </c>
      <c r="B2212" s="6" t="s">
        <v>269</v>
      </c>
      <c r="C2212" s="14">
        <v>44983</v>
      </c>
      <c r="D2212" s="15">
        <v>81.849999999999994</v>
      </c>
      <c r="E2212" s="7">
        <f t="shared" si="34"/>
        <v>1</v>
      </c>
    </row>
    <row r="2213" spans="1:5" x14ac:dyDescent="0.25">
      <c r="A2213" s="7">
        <f>IF(E2213=1,
      SUM($E$2:E2213)-1,
"")</f>
        <v>2210</v>
      </c>
      <c r="B2213" s="6" t="s">
        <v>951</v>
      </c>
      <c r="C2213" s="14">
        <v>45249</v>
      </c>
      <c r="D2213" s="15">
        <v>124.08</v>
      </c>
      <c r="E2213" s="7">
        <f t="shared" si="34"/>
        <v>1</v>
      </c>
    </row>
    <row r="2214" spans="1:5" x14ac:dyDescent="0.25">
      <c r="A2214" s="7">
        <f>IF(E2214=1,
      SUM($E$2:E2214)-1,
"")</f>
        <v>2211</v>
      </c>
      <c r="B2214" s="6" t="s">
        <v>286</v>
      </c>
      <c r="C2214" s="14">
        <v>45195</v>
      </c>
      <c r="D2214" s="15">
        <v>117.2</v>
      </c>
      <c r="E2214" s="7">
        <f t="shared" si="34"/>
        <v>1</v>
      </c>
    </row>
    <row r="2215" spans="1:5" x14ac:dyDescent="0.25">
      <c r="A2215" s="7">
        <f>IF(E2215=1,
      SUM($E$2:E2215)-1,
"")</f>
        <v>2212</v>
      </c>
      <c r="B2215" s="6" t="s">
        <v>207</v>
      </c>
      <c r="C2215" s="14">
        <v>45032</v>
      </c>
      <c r="D2215" s="15">
        <v>84.94</v>
      </c>
      <c r="E2215" s="7">
        <f t="shared" si="34"/>
        <v>1</v>
      </c>
    </row>
    <row r="2216" spans="1:5" x14ac:dyDescent="0.25">
      <c r="A2216" s="7">
        <f>IF(E2216=1,
      SUM($E$2:E2216)-1,
"")</f>
        <v>2213</v>
      </c>
      <c r="B2216" s="6" t="s">
        <v>872</v>
      </c>
      <c r="C2216" s="14">
        <v>45184</v>
      </c>
      <c r="D2216" s="15">
        <v>100.97</v>
      </c>
      <c r="E2216" s="7">
        <f t="shared" si="34"/>
        <v>1</v>
      </c>
    </row>
    <row r="2217" spans="1:5" x14ac:dyDescent="0.25">
      <c r="A2217" s="7">
        <f>IF(E2217=1,
      SUM($E$2:E2217)-1,
"")</f>
        <v>2214</v>
      </c>
      <c r="B2217" s="6" t="s">
        <v>784</v>
      </c>
      <c r="C2217" s="14">
        <v>45010</v>
      </c>
      <c r="D2217" s="15">
        <v>108.3</v>
      </c>
      <c r="E2217" s="7">
        <f t="shared" si="34"/>
        <v>1</v>
      </c>
    </row>
    <row r="2218" spans="1:5" x14ac:dyDescent="0.25">
      <c r="A2218" s="7">
        <f>IF(E2218=1,
      SUM($E$2:E2218)-1,
"")</f>
        <v>2215</v>
      </c>
      <c r="B2218" s="6" t="s">
        <v>639</v>
      </c>
      <c r="C2218" s="14">
        <v>44950</v>
      </c>
      <c r="D2218" s="15">
        <v>78.88</v>
      </c>
      <c r="E2218" s="7">
        <f t="shared" si="34"/>
        <v>1</v>
      </c>
    </row>
    <row r="2219" spans="1:5" x14ac:dyDescent="0.25">
      <c r="A2219" s="7">
        <f>IF(E2219=1,
      SUM($E$2:E2219)-1,
"")</f>
        <v>2216</v>
      </c>
      <c r="B2219" s="6" t="s">
        <v>691</v>
      </c>
      <c r="C2219" s="14">
        <v>45189</v>
      </c>
      <c r="D2219" s="15">
        <v>53.78</v>
      </c>
      <c r="E2219" s="7">
        <f t="shared" si="34"/>
        <v>1</v>
      </c>
    </row>
    <row r="2220" spans="1:5" x14ac:dyDescent="0.25">
      <c r="A2220" s="7">
        <f>IF(E2220=1,
      SUM($E$2:E2220)-1,
"")</f>
        <v>2217</v>
      </c>
      <c r="B2220" s="6" t="s">
        <v>293</v>
      </c>
      <c r="C2220" s="14">
        <v>45037</v>
      </c>
      <c r="D2220" s="15">
        <v>115.45</v>
      </c>
      <c r="E2220" s="7">
        <f t="shared" si="34"/>
        <v>1</v>
      </c>
    </row>
    <row r="2221" spans="1:5" x14ac:dyDescent="0.25">
      <c r="A2221" s="7">
        <f>IF(E2221=1,
      SUM($E$2:E2221)-1,
"")</f>
        <v>2218</v>
      </c>
      <c r="B2221" s="6" t="s">
        <v>344</v>
      </c>
      <c r="C2221" s="14">
        <v>45087</v>
      </c>
      <c r="D2221" s="15">
        <v>80.540000000000006</v>
      </c>
      <c r="E2221" s="7">
        <f t="shared" si="34"/>
        <v>1</v>
      </c>
    </row>
    <row r="2222" spans="1:5" x14ac:dyDescent="0.25">
      <c r="A2222" s="7">
        <f>IF(E2222=1,
      SUM($E$2:E2222)-1,
"")</f>
        <v>2219</v>
      </c>
      <c r="B2222" s="6" t="s">
        <v>573</v>
      </c>
      <c r="C2222" s="14">
        <v>44958</v>
      </c>
      <c r="D2222" s="15">
        <v>113.21</v>
      </c>
      <c r="E2222" s="7">
        <f t="shared" si="34"/>
        <v>1</v>
      </c>
    </row>
    <row r="2223" spans="1:5" x14ac:dyDescent="0.25">
      <c r="A2223" s="7">
        <f>IF(E2223=1,
      SUM($E$2:E2223)-1,
"")</f>
        <v>2220</v>
      </c>
      <c r="B2223" s="6" t="s">
        <v>483</v>
      </c>
      <c r="C2223" s="14">
        <v>45250</v>
      </c>
      <c r="D2223" s="15">
        <v>109.63</v>
      </c>
      <c r="E2223" s="7">
        <f t="shared" si="34"/>
        <v>1</v>
      </c>
    </row>
    <row r="2224" spans="1:5" x14ac:dyDescent="0.25">
      <c r="A2224" s="7">
        <f>IF(E2224=1,
      SUM($E$2:E2224)-1,
"")</f>
        <v>2221</v>
      </c>
      <c r="B2224" s="6" t="s">
        <v>440</v>
      </c>
      <c r="C2224" s="14">
        <v>44940</v>
      </c>
      <c r="D2224" s="15">
        <v>101.67</v>
      </c>
      <c r="E2224" s="7">
        <f t="shared" si="34"/>
        <v>1</v>
      </c>
    </row>
    <row r="2225" spans="1:5" x14ac:dyDescent="0.25">
      <c r="A2225" s="7">
        <f>IF(E2225=1,
      SUM($E$2:E2225)-1,
"")</f>
        <v>2222</v>
      </c>
      <c r="B2225" s="6" t="s">
        <v>952</v>
      </c>
      <c r="C2225" s="14">
        <v>45048</v>
      </c>
      <c r="D2225" s="15">
        <v>87.22</v>
      </c>
      <c r="E2225" s="7">
        <f t="shared" si="34"/>
        <v>1</v>
      </c>
    </row>
    <row r="2226" spans="1:5" x14ac:dyDescent="0.25">
      <c r="A2226" s="7">
        <f>IF(E2226=1,
      SUM($E$2:E2226)-1,
"")</f>
        <v>2223</v>
      </c>
      <c r="B2226" s="6" t="s">
        <v>784</v>
      </c>
      <c r="C2226" s="14">
        <v>45006</v>
      </c>
      <c r="D2226" s="15">
        <v>80.98</v>
      </c>
      <c r="E2226" s="7">
        <f t="shared" si="34"/>
        <v>1</v>
      </c>
    </row>
    <row r="2227" spans="1:5" x14ac:dyDescent="0.25">
      <c r="A2227" s="7">
        <f>IF(E2227=1,
      SUM($E$2:E2227)-1,
"")</f>
        <v>2224</v>
      </c>
      <c r="B2227" s="6" t="s">
        <v>915</v>
      </c>
      <c r="C2227" s="14">
        <v>44938</v>
      </c>
      <c r="D2227" s="15">
        <v>65.849999999999994</v>
      </c>
      <c r="E2227" s="7">
        <f t="shared" si="34"/>
        <v>1</v>
      </c>
    </row>
    <row r="2228" spans="1:5" x14ac:dyDescent="0.25">
      <c r="A2228" s="7">
        <f>IF(E2228=1,
      SUM($E$2:E2228)-1,
"")</f>
        <v>2225</v>
      </c>
      <c r="B2228" s="6" t="s">
        <v>784</v>
      </c>
      <c r="C2228" s="14">
        <v>45020</v>
      </c>
      <c r="D2228" s="15">
        <v>81.56</v>
      </c>
      <c r="E2228" s="7">
        <f t="shared" si="34"/>
        <v>1</v>
      </c>
    </row>
    <row r="2229" spans="1:5" x14ac:dyDescent="0.25">
      <c r="A2229" s="7">
        <f>IF(E2229=1,
      SUM($E$2:E2229)-1,
"")</f>
        <v>2226</v>
      </c>
      <c r="B2229" s="6" t="s">
        <v>723</v>
      </c>
      <c r="C2229" s="14">
        <v>45210</v>
      </c>
      <c r="D2229" s="15">
        <v>117.06</v>
      </c>
      <c r="E2229" s="7">
        <f t="shared" si="34"/>
        <v>1</v>
      </c>
    </row>
    <row r="2230" spans="1:5" x14ac:dyDescent="0.25">
      <c r="A2230" s="7">
        <f>IF(E2230=1,
      SUM($E$2:E2230)-1,
"")</f>
        <v>2227</v>
      </c>
      <c r="B2230" s="6" t="s">
        <v>286</v>
      </c>
      <c r="C2230" s="14">
        <v>45183</v>
      </c>
      <c r="D2230" s="15">
        <v>141.93</v>
      </c>
      <c r="E2230" s="7">
        <f t="shared" si="34"/>
        <v>1</v>
      </c>
    </row>
    <row r="2231" spans="1:5" x14ac:dyDescent="0.25">
      <c r="A2231" s="7">
        <f>IF(E2231=1,
      SUM($E$2:E2231)-1,
"")</f>
        <v>2228</v>
      </c>
      <c r="B2231" s="6" t="s">
        <v>183</v>
      </c>
      <c r="C2231" s="14">
        <v>45103</v>
      </c>
      <c r="D2231" s="15">
        <v>137.53</v>
      </c>
      <c r="E2231" s="7">
        <f t="shared" si="34"/>
        <v>1</v>
      </c>
    </row>
    <row r="2232" spans="1:5" x14ac:dyDescent="0.25">
      <c r="A2232" s="7">
        <f>IF(E2232=1,
      SUM($E$2:E2232)-1,
"")</f>
        <v>2229</v>
      </c>
      <c r="B2232" s="6" t="s">
        <v>211</v>
      </c>
      <c r="C2232" s="14">
        <v>45005</v>
      </c>
      <c r="D2232" s="15">
        <v>104.36</v>
      </c>
      <c r="E2232" s="7">
        <f t="shared" si="34"/>
        <v>1</v>
      </c>
    </row>
    <row r="2233" spans="1:5" x14ac:dyDescent="0.25">
      <c r="A2233" s="7">
        <f>IF(E2233=1,
      SUM($E$2:E2233)-1,
"")</f>
        <v>2230</v>
      </c>
      <c r="B2233" s="6" t="s">
        <v>953</v>
      </c>
      <c r="C2233" s="14">
        <v>45042</v>
      </c>
      <c r="D2233" s="15">
        <v>141.91999999999999</v>
      </c>
      <c r="E2233" s="7">
        <f t="shared" si="34"/>
        <v>1</v>
      </c>
    </row>
    <row r="2234" spans="1:5" x14ac:dyDescent="0.25">
      <c r="A2234" s="7">
        <f>IF(E2234=1,
      SUM($E$2:E2234)-1,
"")</f>
        <v>2231</v>
      </c>
      <c r="B2234" s="6" t="s">
        <v>760</v>
      </c>
      <c r="C2234" s="14">
        <v>45081</v>
      </c>
      <c r="D2234" s="15">
        <v>90.8</v>
      </c>
      <c r="E2234" s="7">
        <f t="shared" si="34"/>
        <v>1</v>
      </c>
    </row>
    <row r="2235" spans="1:5" x14ac:dyDescent="0.25">
      <c r="A2235" s="7">
        <f>IF(E2235=1,
      SUM($E$2:E2235)-1,
"")</f>
        <v>2232</v>
      </c>
      <c r="B2235" s="6" t="s">
        <v>349</v>
      </c>
      <c r="C2235" s="14">
        <v>45002</v>
      </c>
      <c r="D2235" s="15">
        <v>61.27</v>
      </c>
      <c r="E2235" s="7">
        <f t="shared" si="34"/>
        <v>1</v>
      </c>
    </row>
    <row r="2236" spans="1:5" x14ac:dyDescent="0.25">
      <c r="A2236" s="7">
        <f>IF(E2236=1,
      SUM($E$2:E2236)-1,
"")</f>
        <v>2233</v>
      </c>
      <c r="B2236" s="6" t="s">
        <v>553</v>
      </c>
      <c r="C2236" s="14">
        <v>45160</v>
      </c>
      <c r="D2236" s="15">
        <v>157.63</v>
      </c>
      <c r="E2236" s="7">
        <f t="shared" si="34"/>
        <v>1</v>
      </c>
    </row>
    <row r="2237" spans="1:5" x14ac:dyDescent="0.25">
      <c r="A2237" s="7">
        <f>IF(E2237=1,
      SUM($E$2:E2237)-1,
"")</f>
        <v>2234</v>
      </c>
      <c r="B2237" s="6" t="s">
        <v>561</v>
      </c>
      <c r="C2237" s="14">
        <v>45092</v>
      </c>
      <c r="D2237" s="15">
        <v>115.98</v>
      </c>
      <c r="E2237" s="7">
        <f t="shared" si="34"/>
        <v>1</v>
      </c>
    </row>
    <row r="2238" spans="1:5" x14ac:dyDescent="0.25">
      <c r="A2238" s="7">
        <f>IF(E2238=1,
      SUM($E$2:E2238)-1,
"")</f>
        <v>2235</v>
      </c>
      <c r="B2238" s="6" t="s">
        <v>146</v>
      </c>
      <c r="C2238" s="14">
        <v>45008</v>
      </c>
      <c r="D2238" s="15">
        <v>53.96</v>
      </c>
      <c r="E2238" s="7">
        <f t="shared" si="34"/>
        <v>1</v>
      </c>
    </row>
    <row r="2239" spans="1:5" x14ac:dyDescent="0.25">
      <c r="A2239" s="7">
        <f>IF(E2239=1,
      SUM($E$2:E2239)-1,
"")</f>
        <v>2236</v>
      </c>
      <c r="B2239" s="6" t="s">
        <v>954</v>
      </c>
      <c r="C2239" s="14">
        <v>44967</v>
      </c>
      <c r="D2239" s="15">
        <v>146.77000000000001</v>
      </c>
      <c r="E2239" s="7">
        <f t="shared" si="34"/>
        <v>1</v>
      </c>
    </row>
    <row r="2240" spans="1:5" x14ac:dyDescent="0.25">
      <c r="A2240" s="7">
        <f>IF(E2240=1,
      SUM($E$2:E2240)-1,
"")</f>
        <v>2237</v>
      </c>
      <c r="B2240" s="6" t="s">
        <v>921</v>
      </c>
      <c r="C2240" s="14">
        <v>45198</v>
      </c>
      <c r="D2240" s="15">
        <v>77.7</v>
      </c>
      <c r="E2240" s="7">
        <f t="shared" si="34"/>
        <v>1</v>
      </c>
    </row>
    <row r="2241" spans="1:5" x14ac:dyDescent="0.25">
      <c r="A2241" s="7">
        <f>IF(E2241=1,
      SUM($E$2:E2241)-1,
"")</f>
        <v>2238</v>
      </c>
      <c r="B2241" s="6" t="s">
        <v>921</v>
      </c>
      <c r="C2241" s="14">
        <v>45015</v>
      </c>
      <c r="D2241" s="15">
        <v>84.22</v>
      </c>
      <c r="E2241" s="7">
        <f t="shared" si="34"/>
        <v>1</v>
      </c>
    </row>
    <row r="2242" spans="1:5" x14ac:dyDescent="0.25">
      <c r="A2242" s="7">
        <f>IF(E2242=1,
      SUM($E$2:E2242)-1,
"")</f>
        <v>2239</v>
      </c>
      <c r="B2242" s="6" t="s">
        <v>174</v>
      </c>
      <c r="C2242" s="14">
        <v>44968</v>
      </c>
      <c r="D2242" s="15">
        <v>130.63999999999999</v>
      </c>
      <c r="E2242" s="7">
        <f t="shared" ref="E2242:E2305" si="35">IF(D2242&gt;0,1,0)</f>
        <v>1</v>
      </c>
    </row>
    <row r="2243" spans="1:5" x14ac:dyDescent="0.25">
      <c r="A2243" s="7">
        <f>IF(E2243=1,
      SUM($E$2:E2243)-1,
"")</f>
        <v>2240</v>
      </c>
      <c r="B2243" s="6" t="s">
        <v>400</v>
      </c>
      <c r="C2243" s="14">
        <v>45074</v>
      </c>
      <c r="D2243" s="15">
        <v>140.85</v>
      </c>
      <c r="E2243" s="7">
        <f t="shared" si="35"/>
        <v>1</v>
      </c>
    </row>
    <row r="2244" spans="1:5" x14ac:dyDescent="0.25">
      <c r="A2244" s="7">
        <f>IF(E2244=1,
      SUM($E$2:E2244)-1,
"")</f>
        <v>2241</v>
      </c>
      <c r="B2244" s="6" t="s">
        <v>928</v>
      </c>
      <c r="C2244" s="14">
        <v>45204</v>
      </c>
      <c r="D2244" s="15">
        <v>69.98</v>
      </c>
      <c r="E2244" s="7">
        <f t="shared" si="35"/>
        <v>1</v>
      </c>
    </row>
    <row r="2245" spans="1:5" x14ac:dyDescent="0.25">
      <c r="A2245" s="7">
        <f>IF(E2245=1,
      SUM($E$2:E2245)-1,
"")</f>
        <v>2242</v>
      </c>
      <c r="B2245" s="6" t="s">
        <v>766</v>
      </c>
      <c r="C2245" s="14">
        <v>45221</v>
      </c>
      <c r="D2245" s="15">
        <v>144.13</v>
      </c>
      <c r="E2245" s="7">
        <f t="shared" si="35"/>
        <v>1</v>
      </c>
    </row>
    <row r="2246" spans="1:5" x14ac:dyDescent="0.25">
      <c r="A2246" s="7">
        <f>IF(E2246=1,
      SUM($E$2:E2246)-1,
"")</f>
        <v>2243</v>
      </c>
      <c r="B2246" s="6" t="s">
        <v>271</v>
      </c>
      <c r="C2246" s="14">
        <v>45046</v>
      </c>
      <c r="D2246" s="15">
        <v>126.23</v>
      </c>
      <c r="E2246" s="7">
        <f t="shared" si="35"/>
        <v>1</v>
      </c>
    </row>
    <row r="2247" spans="1:5" x14ac:dyDescent="0.25">
      <c r="A2247" s="7">
        <f>IF(E2247=1,
      SUM($E$2:E2247)-1,
"")</f>
        <v>2244</v>
      </c>
      <c r="B2247" s="6" t="s">
        <v>955</v>
      </c>
      <c r="C2247" s="14">
        <v>45164</v>
      </c>
      <c r="D2247" s="15">
        <v>76.010000000000005</v>
      </c>
      <c r="E2247" s="7">
        <f t="shared" si="35"/>
        <v>1</v>
      </c>
    </row>
    <row r="2248" spans="1:5" x14ac:dyDescent="0.25">
      <c r="A2248" s="7">
        <f>IF(E2248=1,
      SUM($E$2:E2248)-1,
"")</f>
        <v>2245</v>
      </c>
      <c r="B2248" s="6" t="s">
        <v>613</v>
      </c>
      <c r="C2248" s="14">
        <v>45081</v>
      </c>
      <c r="D2248" s="15">
        <v>92.62</v>
      </c>
      <c r="E2248" s="7">
        <f t="shared" si="35"/>
        <v>1</v>
      </c>
    </row>
    <row r="2249" spans="1:5" x14ac:dyDescent="0.25">
      <c r="A2249" s="7">
        <f>IF(E2249=1,
      SUM($E$2:E2249)-1,
"")</f>
        <v>2246</v>
      </c>
      <c r="B2249" s="6" t="s">
        <v>629</v>
      </c>
      <c r="C2249" s="14">
        <v>44950</v>
      </c>
      <c r="D2249" s="15">
        <v>145.47999999999999</v>
      </c>
      <c r="E2249" s="7">
        <f t="shared" si="35"/>
        <v>1</v>
      </c>
    </row>
    <row r="2250" spans="1:5" x14ac:dyDescent="0.25">
      <c r="A2250" s="7">
        <f>IF(E2250=1,
      SUM($E$2:E2250)-1,
"")</f>
        <v>2247</v>
      </c>
      <c r="B2250" s="6" t="s">
        <v>840</v>
      </c>
      <c r="C2250" s="14">
        <v>45197</v>
      </c>
      <c r="D2250" s="15">
        <v>53.18</v>
      </c>
      <c r="E2250" s="7">
        <f t="shared" si="35"/>
        <v>1</v>
      </c>
    </row>
    <row r="2251" spans="1:5" x14ac:dyDescent="0.25">
      <c r="A2251" s="7">
        <f>IF(E2251=1,
      SUM($E$2:E2251)-1,
"")</f>
        <v>2248</v>
      </c>
      <c r="B2251" s="6" t="s">
        <v>435</v>
      </c>
      <c r="C2251" s="14">
        <v>45218</v>
      </c>
      <c r="D2251" s="15">
        <v>141.41999999999999</v>
      </c>
      <c r="E2251" s="7">
        <f t="shared" si="35"/>
        <v>1</v>
      </c>
    </row>
    <row r="2252" spans="1:5" x14ac:dyDescent="0.25">
      <c r="A2252" s="7">
        <f>IF(E2252=1,
      SUM($E$2:E2252)-1,
"")</f>
        <v>2249</v>
      </c>
      <c r="B2252" s="6" t="s">
        <v>742</v>
      </c>
      <c r="C2252" s="14">
        <v>45239</v>
      </c>
      <c r="D2252" s="15">
        <v>125.39</v>
      </c>
      <c r="E2252" s="7">
        <f t="shared" si="35"/>
        <v>1</v>
      </c>
    </row>
    <row r="2253" spans="1:5" x14ac:dyDescent="0.25">
      <c r="A2253" s="7">
        <f>IF(E2253=1,
      SUM($E$2:E2253)-1,
"")</f>
        <v>2250</v>
      </c>
      <c r="B2253" s="6" t="s">
        <v>388</v>
      </c>
      <c r="C2253" s="14">
        <v>44949</v>
      </c>
      <c r="D2253" s="15">
        <v>115.27</v>
      </c>
      <c r="E2253" s="7">
        <f t="shared" si="35"/>
        <v>1</v>
      </c>
    </row>
    <row r="2254" spans="1:5" x14ac:dyDescent="0.25">
      <c r="A2254" s="7">
        <f>IF(E2254=1,
      SUM($E$2:E2254)-1,
"")</f>
        <v>2251</v>
      </c>
      <c r="B2254" s="6" t="s">
        <v>118</v>
      </c>
      <c r="C2254" s="14">
        <v>45239</v>
      </c>
      <c r="D2254" s="15">
        <v>103.95</v>
      </c>
      <c r="E2254" s="7">
        <f t="shared" si="35"/>
        <v>1</v>
      </c>
    </row>
    <row r="2255" spans="1:5" x14ac:dyDescent="0.25">
      <c r="A2255" s="7">
        <f>IF(E2255=1,
      SUM($E$2:E2255)-1,
"")</f>
        <v>2252</v>
      </c>
      <c r="B2255" s="6" t="s">
        <v>763</v>
      </c>
      <c r="C2255" s="14">
        <v>45075</v>
      </c>
      <c r="D2255" s="15">
        <v>159.1</v>
      </c>
      <c r="E2255" s="7">
        <f t="shared" si="35"/>
        <v>1</v>
      </c>
    </row>
    <row r="2256" spans="1:5" x14ac:dyDescent="0.25">
      <c r="A2256" s="7">
        <f>IF(E2256=1,
      SUM($E$2:E2256)-1,
"")</f>
        <v>2253</v>
      </c>
      <c r="B2256" s="6" t="s">
        <v>617</v>
      </c>
      <c r="C2256" s="14">
        <v>45277</v>
      </c>
      <c r="D2256" s="15">
        <v>163.54</v>
      </c>
      <c r="E2256" s="7">
        <f t="shared" si="35"/>
        <v>1</v>
      </c>
    </row>
    <row r="2257" spans="1:5" x14ac:dyDescent="0.25">
      <c r="A2257" s="7">
        <f>IF(E2257=1,
      SUM($E$2:E2257)-1,
"")</f>
        <v>2254</v>
      </c>
      <c r="B2257" s="6" t="s">
        <v>734</v>
      </c>
      <c r="C2257" s="14">
        <v>45194</v>
      </c>
      <c r="D2257" s="15">
        <v>81.540000000000006</v>
      </c>
      <c r="E2257" s="7">
        <f t="shared" si="35"/>
        <v>1</v>
      </c>
    </row>
    <row r="2258" spans="1:5" x14ac:dyDescent="0.25">
      <c r="A2258" s="7">
        <f>IF(E2258=1,
      SUM($E$2:E2258)-1,
"")</f>
        <v>2255</v>
      </c>
      <c r="B2258" s="6" t="s">
        <v>271</v>
      </c>
      <c r="C2258" s="14">
        <v>45273</v>
      </c>
      <c r="D2258" s="15">
        <v>118.37</v>
      </c>
      <c r="E2258" s="7">
        <f t="shared" si="35"/>
        <v>1</v>
      </c>
    </row>
    <row r="2259" spans="1:5" x14ac:dyDescent="0.25">
      <c r="A2259" s="7">
        <f>IF(E2259=1,
      SUM($E$2:E2259)-1,
"")</f>
        <v>2256</v>
      </c>
      <c r="B2259" s="6" t="s">
        <v>575</v>
      </c>
      <c r="C2259" s="14">
        <v>45247</v>
      </c>
      <c r="D2259" s="15">
        <v>156.22999999999999</v>
      </c>
      <c r="E2259" s="7">
        <f t="shared" si="35"/>
        <v>1</v>
      </c>
    </row>
    <row r="2260" spans="1:5" x14ac:dyDescent="0.25">
      <c r="A2260" s="7">
        <f>IF(E2260=1,
      SUM($E$2:E2260)-1,
"")</f>
        <v>2257</v>
      </c>
      <c r="B2260" s="6" t="s">
        <v>581</v>
      </c>
      <c r="C2260" s="14">
        <v>45100</v>
      </c>
      <c r="D2260" s="15">
        <v>76.45</v>
      </c>
      <c r="E2260" s="7">
        <f t="shared" si="35"/>
        <v>1</v>
      </c>
    </row>
    <row r="2261" spans="1:5" x14ac:dyDescent="0.25">
      <c r="A2261" s="7">
        <f>IF(E2261=1,
      SUM($E$2:E2261)-1,
"")</f>
        <v>2258</v>
      </c>
      <c r="B2261" s="6" t="s">
        <v>956</v>
      </c>
      <c r="C2261" s="14">
        <v>45235</v>
      </c>
      <c r="D2261" s="15">
        <v>107.29</v>
      </c>
      <c r="E2261" s="7">
        <f t="shared" si="35"/>
        <v>1</v>
      </c>
    </row>
    <row r="2262" spans="1:5" x14ac:dyDescent="0.25">
      <c r="A2262" s="7">
        <f>IF(E2262=1,
      SUM($E$2:E2262)-1,
"")</f>
        <v>2259</v>
      </c>
      <c r="B2262" s="6" t="s">
        <v>957</v>
      </c>
      <c r="C2262" s="14">
        <v>45182</v>
      </c>
      <c r="D2262" s="15">
        <v>130.12</v>
      </c>
      <c r="E2262" s="7">
        <f t="shared" si="35"/>
        <v>1</v>
      </c>
    </row>
    <row r="2263" spans="1:5" x14ac:dyDescent="0.25">
      <c r="A2263" s="7">
        <f>IF(E2263=1,
      SUM($E$2:E2263)-1,
"")</f>
        <v>2260</v>
      </c>
      <c r="B2263" s="6" t="s">
        <v>926</v>
      </c>
      <c r="C2263" s="14">
        <v>45164</v>
      </c>
      <c r="D2263" s="15">
        <v>39.549999999999997</v>
      </c>
      <c r="E2263" s="7">
        <f t="shared" si="35"/>
        <v>1</v>
      </c>
    </row>
    <row r="2264" spans="1:5" x14ac:dyDescent="0.25">
      <c r="A2264" s="7">
        <f>IF(E2264=1,
      SUM($E$2:E2264)-1,
"")</f>
        <v>2261</v>
      </c>
      <c r="B2264" s="6" t="s">
        <v>583</v>
      </c>
      <c r="C2264" s="14">
        <v>44956</v>
      </c>
      <c r="D2264" s="15">
        <v>124.86</v>
      </c>
      <c r="E2264" s="7">
        <f t="shared" si="35"/>
        <v>1</v>
      </c>
    </row>
    <row r="2265" spans="1:5" x14ac:dyDescent="0.25">
      <c r="A2265" s="7">
        <f>IF(E2265=1,
      SUM($E$2:E2265)-1,
"")</f>
        <v>2262</v>
      </c>
      <c r="B2265" s="6" t="s">
        <v>299</v>
      </c>
      <c r="C2265" s="14">
        <v>45099</v>
      </c>
      <c r="D2265" s="15">
        <v>67.349999999999994</v>
      </c>
      <c r="E2265" s="7">
        <f t="shared" si="35"/>
        <v>1</v>
      </c>
    </row>
    <row r="2266" spans="1:5" x14ac:dyDescent="0.25">
      <c r="A2266" s="7">
        <f>IF(E2266=1,
      SUM($E$2:E2266)-1,
"")</f>
        <v>2263</v>
      </c>
      <c r="B2266" s="6" t="s">
        <v>766</v>
      </c>
      <c r="C2266" s="14">
        <v>44953</v>
      </c>
      <c r="D2266" s="15">
        <v>105.77</v>
      </c>
      <c r="E2266" s="7">
        <f t="shared" si="35"/>
        <v>1</v>
      </c>
    </row>
    <row r="2267" spans="1:5" x14ac:dyDescent="0.25">
      <c r="A2267" s="7">
        <f>IF(E2267=1,
      SUM($E$2:E2267)-1,
"")</f>
        <v>2264</v>
      </c>
      <c r="B2267" s="6" t="s">
        <v>700</v>
      </c>
      <c r="C2267" s="14">
        <v>44967</v>
      </c>
      <c r="D2267" s="15">
        <v>134.33000000000001</v>
      </c>
      <c r="E2267" s="7">
        <f t="shared" si="35"/>
        <v>1</v>
      </c>
    </row>
    <row r="2268" spans="1:5" x14ac:dyDescent="0.25">
      <c r="A2268" s="7">
        <f>IF(E2268=1,
      SUM($E$2:E2268)-1,
"")</f>
        <v>2265</v>
      </c>
      <c r="B2268" s="6" t="s">
        <v>411</v>
      </c>
      <c r="C2268" s="14">
        <v>45285</v>
      </c>
      <c r="D2268" s="15">
        <v>28.32</v>
      </c>
      <c r="E2268" s="7">
        <f t="shared" si="35"/>
        <v>1</v>
      </c>
    </row>
    <row r="2269" spans="1:5" x14ac:dyDescent="0.25">
      <c r="A2269" s="7">
        <f>IF(E2269=1,
      SUM($E$2:E2269)-1,
"")</f>
        <v>2266</v>
      </c>
      <c r="B2269" s="6" t="s">
        <v>356</v>
      </c>
      <c r="C2269" s="14">
        <v>45264</v>
      </c>
      <c r="D2269" s="15">
        <v>123.58</v>
      </c>
      <c r="E2269" s="7">
        <f t="shared" si="35"/>
        <v>1</v>
      </c>
    </row>
    <row r="2270" spans="1:5" x14ac:dyDescent="0.25">
      <c r="A2270" s="7">
        <f>IF(E2270=1,
      SUM($E$2:E2270)-1,
"")</f>
        <v>2267</v>
      </c>
      <c r="B2270" s="6" t="s">
        <v>958</v>
      </c>
      <c r="C2270" s="14">
        <v>45181</v>
      </c>
      <c r="D2270" s="15">
        <v>161.15</v>
      </c>
      <c r="E2270" s="7">
        <f t="shared" si="35"/>
        <v>1</v>
      </c>
    </row>
    <row r="2271" spans="1:5" x14ac:dyDescent="0.25">
      <c r="A2271" s="7">
        <f>IF(E2271=1,
      SUM($E$2:E2271)-1,
"")</f>
        <v>2268</v>
      </c>
      <c r="B2271" s="6" t="s">
        <v>886</v>
      </c>
      <c r="C2271" s="14">
        <v>45132</v>
      </c>
      <c r="D2271" s="15">
        <v>84</v>
      </c>
      <c r="E2271" s="7">
        <f t="shared" si="35"/>
        <v>1</v>
      </c>
    </row>
    <row r="2272" spans="1:5" x14ac:dyDescent="0.25">
      <c r="A2272" s="7">
        <f>IF(E2272=1,
      SUM($E$2:E2272)-1,
"")</f>
        <v>2269</v>
      </c>
      <c r="B2272" s="6" t="s">
        <v>840</v>
      </c>
      <c r="C2272" s="14">
        <v>45162</v>
      </c>
      <c r="D2272" s="15">
        <v>117.3</v>
      </c>
      <c r="E2272" s="7">
        <f t="shared" si="35"/>
        <v>1</v>
      </c>
    </row>
    <row r="2273" spans="1:5" x14ac:dyDescent="0.25">
      <c r="A2273" s="7">
        <f>IF(E2273=1,
      SUM($E$2:E2273)-1,
"")</f>
        <v>2270</v>
      </c>
      <c r="B2273" s="6" t="s">
        <v>554</v>
      </c>
      <c r="C2273" s="14">
        <v>45105</v>
      </c>
      <c r="D2273" s="15">
        <v>140.06</v>
      </c>
      <c r="E2273" s="7">
        <f t="shared" si="35"/>
        <v>1</v>
      </c>
    </row>
    <row r="2274" spans="1:5" x14ac:dyDescent="0.25">
      <c r="A2274" s="7">
        <f>IF(E2274=1,
      SUM($E$2:E2274)-1,
"")</f>
        <v>2271</v>
      </c>
      <c r="B2274" s="6" t="s">
        <v>603</v>
      </c>
      <c r="C2274" s="14">
        <v>45130</v>
      </c>
      <c r="D2274" s="15">
        <v>52.21</v>
      </c>
      <c r="E2274" s="7">
        <f t="shared" si="35"/>
        <v>1</v>
      </c>
    </row>
    <row r="2275" spans="1:5" x14ac:dyDescent="0.25">
      <c r="A2275" s="7">
        <f>IF(E2275=1,
      SUM($E$2:E2275)-1,
"")</f>
        <v>2272</v>
      </c>
      <c r="B2275" s="6" t="s">
        <v>959</v>
      </c>
      <c r="C2275" s="14">
        <v>45096</v>
      </c>
      <c r="D2275" s="15">
        <v>122.72</v>
      </c>
      <c r="E2275" s="7">
        <f t="shared" si="35"/>
        <v>1</v>
      </c>
    </row>
    <row r="2276" spans="1:5" x14ac:dyDescent="0.25">
      <c r="A2276" s="7">
        <f>IF(E2276=1,
      SUM($E$2:E2276)-1,
"")</f>
        <v>2273</v>
      </c>
      <c r="B2276" s="6" t="s">
        <v>960</v>
      </c>
      <c r="C2276" s="14">
        <v>44929</v>
      </c>
      <c r="D2276" s="15">
        <v>130.71</v>
      </c>
      <c r="E2276" s="7">
        <f t="shared" si="35"/>
        <v>1</v>
      </c>
    </row>
    <row r="2277" spans="1:5" x14ac:dyDescent="0.25">
      <c r="A2277" s="7">
        <f>IF(E2277=1,
      SUM($E$2:E2277)-1,
"")</f>
        <v>2274</v>
      </c>
      <c r="B2277" s="6" t="s">
        <v>748</v>
      </c>
      <c r="C2277" s="14">
        <v>45089</v>
      </c>
      <c r="D2277" s="15">
        <v>119.16</v>
      </c>
      <c r="E2277" s="7">
        <f t="shared" si="35"/>
        <v>1</v>
      </c>
    </row>
    <row r="2278" spans="1:5" x14ac:dyDescent="0.25">
      <c r="A2278" s="7">
        <f>IF(E2278=1,
      SUM($E$2:E2278)-1,
"")</f>
        <v>2275</v>
      </c>
      <c r="B2278" s="6" t="s">
        <v>815</v>
      </c>
      <c r="C2278" s="14">
        <v>45081</v>
      </c>
      <c r="D2278" s="15">
        <v>102.6</v>
      </c>
      <c r="E2278" s="7">
        <f t="shared" si="35"/>
        <v>1</v>
      </c>
    </row>
    <row r="2279" spans="1:5" x14ac:dyDescent="0.25">
      <c r="A2279" s="7">
        <f>IF(E2279=1,
      SUM($E$2:E2279)-1,
"")</f>
        <v>2276</v>
      </c>
      <c r="B2279" s="6" t="s">
        <v>451</v>
      </c>
      <c r="C2279" s="14">
        <v>45184</v>
      </c>
      <c r="D2279" s="15">
        <v>69.989999999999995</v>
      </c>
      <c r="E2279" s="7">
        <f t="shared" si="35"/>
        <v>1</v>
      </c>
    </row>
    <row r="2280" spans="1:5" x14ac:dyDescent="0.25">
      <c r="A2280" s="7">
        <f>IF(E2280=1,
      SUM($E$2:E2280)-1,
"")</f>
        <v>2277</v>
      </c>
      <c r="B2280" s="6" t="s">
        <v>691</v>
      </c>
      <c r="C2280" s="14">
        <v>45017</v>
      </c>
      <c r="D2280" s="15">
        <v>141.74</v>
      </c>
      <c r="E2280" s="7">
        <f t="shared" si="35"/>
        <v>1</v>
      </c>
    </row>
    <row r="2281" spans="1:5" x14ac:dyDescent="0.25">
      <c r="A2281" s="7">
        <f>IF(E2281=1,
      SUM($E$2:E2281)-1,
"")</f>
        <v>2278</v>
      </c>
      <c r="B2281" s="6" t="s">
        <v>264</v>
      </c>
      <c r="C2281" s="14">
        <v>45220</v>
      </c>
      <c r="D2281" s="15">
        <v>101.04</v>
      </c>
      <c r="E2281" s="7">
        <f t="shared" si="35"/>
        <v>1</v>
      </c>
    </row>
    <row r="2282" spans="1:5" x14ac:dyDescent="0.25">
      <c r="A2282" s="7">
        <f>IF(E2282=1,
      SUM($E$2:E2282)-1,
"")</f>
        <v>2279</v>
      </c>
      <c r="B2282" s="6" t="s">
        <v>428</v>
      </c>
      <c r="C2282" s="14">
        <v>45126</v>
      </c>
      <c r="D2282" s="15">
        <v>72.88</v>
      </c>
      <c r="E2282" s="7">
        <f t="shared" si="35"/>
        <v>1</v>
      </c>
    </row>
    <row r="2283" spans="1:5" x14ac:dyDescent="0.25">
      <c r="A2283" s="7">
        <f>IF(E2283=1,
      SUM($E$2:E2283)-1,
"")</f>
        <v>2280</v>
      </c>
      <c r="B2283" s="6" t="s">
        <v>742</v>
      </c>
      <c r="C2283" s="14">
        <v>45033</v>
      </c>
      <c r="D2283" s="15">
        <v>90.46</v>
      </c>
      <c r="E2283" s="7">
        <f t="shared" si="35"/>
        <v>1</v>
      </c>
    </row>
    <row r="2284" spans="1:5" x14ac:dyDescent="0.25">
      <c r="A2284" s="7">
        <f>IF(E2284=1,
      SUM($E$2:E2284)-1,
"")</f>
        <v>2281</v>
      </c>
      <c r="B2284" s="6" t="s">
        <v>303</v>
      </c>
      <c r="C2284" s="14">
        <v>45050</v>
      </c>
      <c r="D2284" s="15">
        <v>111.05</v>
      </c>
      <c r="E2284" s="7">
        <f t="shared" si="35"/>
        <v>1</v>
      </c>
    </row>
    <row r="2285" spans="1:5" x14ac:dyDescent="0.25">
      <c r="A2285" s="7">
        <f>IF(E2285=1,
      SUM($E$2:E2285)-1,
"")</f>
        <v>2282</v>
      </c>
      <c r="B2285" s="6" t="s">
        <v>301</v>
      </c>
      <c r="C2285" s="14">
        <v>45018</v>
      </c>
      <c r="D2285" s="15">
        <v>53.16</v>
      </c>
      <c r="E2285" s="7">
        <f t="shared" si="35"/>
        <v>1</v>
      </c>
    </row>
    <row r="2286" spans="1:5" x14ac:dyDescent="0.25">
      <c r="A2286" s="7">
        <f>IF(E2286=1,
      SUM($E$2:E2286)-1,
"")</f>
        <v>2283</v>
      </c>
      <c r="B2286" s="6" t="s">
        <v>425</v>
      </c>
      <c r="C2286" s="14">
        <v>45191</v>
      </c>
      <c r="D2286" s="15">
        <v>100.54</v>
      </c>
      <c r="E2286" s="7">
        <f t="shared" si="35"/>
        <v>1</v>
      </c>
    </row>
    <row r="2287" spans="1:5" x14ac:dyDescent="0.25">
      <c r="A2287" s="7">
        <f>IF(E2287=1,
      SUM($E$2:E2287)-1,
"")</f>
        <v>2284</v>
      </c>
      <c r="B2287" s="6" t="s">
        <v>739</v>
      </c>
      <c r="C2287" s="14">
        <v>45120</v>
      </c>
      <c r="D2287" s="15">
        <v>87.49</v>
      </c>
      <c r="E2287" s="7">
        <f t="shared" si="35"/>
        <v>1</v>
      </c>
    </row>
    <row r="2288" spans="1:5" x14ac:dyDescent="0.25">
      <c r="A2288" s="7">
        <f>IF(E2288=1,
      SUM($E$2:E2288)-1,
"")</f>
        <v>2285</v>
      </c>
      <c r="B2288" s="6" t="s">
        <v>549</v>
      </c>
      <c r="C2288" s="14">
        <v>45122</v>
      </c>
      <c r="D2288" s="15">
        <v>140.08000000000001</v>
      </c>
      <c r="E2288" s="7">
        <f t="shared" si="35"/>
        <v>1</v>
      </c>
    </row>
    <row r="2289" spans="1:5" x14ac:dyDescent="0.25">
      <c r="A2289" s="7">
        <f>IF(E2289=1,
      SUM($E$2:E2289)-1,
"")</f>
        <v>2286</v>
      </c>
      <c r="B2289" s="6" t="s">
        <v>915</v>
      </c>
      <c r="C2289" s="14">
        <v>45152</v>
      </c>
      <c r="D2289" s="15">
        <v>43.75</v>
      </c>
      <c r="E2289" s="7">
        <f t="shared" si="35"/>
        <v>1</v>
      </c>
    </row>
    <row r="2290" spans="1:5" x14ac:dyDescent="0.25">
      <c r="A2290" s="7">
        <f>IF(E2290=1,
      SUM($E$2:E2290)-1,
"")</f>
        <v>2287</v>
      </c>
      <c r="B2290" s="6" t="s">
        <v>118</v>
      </c>
      <c r="C2290" s="14">
        <v>45105</v>
      </c>
      <c r="D2290" s="15">
        <v>128.16</v>
      </c>
      <c r="E2290" s="7">
        <f t="shared" si="35"/>
        <v>1</v>
      </c>
    </row>
    <row r="2291" spans="1:5" x14ac:dyDescent="0.25">
      <c r="A2291" s="7">
        <f>IF(E2291=1,
      SUM($E$2:E2291)-1,
"")</f>
        <v>2288</v>
      </c>
      <c r="B2291" s="6" t="s">
        <v>823</v>
      </c>
      <c r="C2291" s="14">
        <v>45207</v>
      </c>
      <c r="D2291" s="15">
        <v>142.51</v>
      </c>
      <c r="E2291" s="7">
        <f t="shared" si="35"/>
        <v>1</v>
      </c>
    </row>
    <row r="2292" spans="1:5" x14ac:dyDescent="0.25">
      <c r="A2292" s="7">
        <f>IF(E2292=1,
      SUM($E$2:E2292)-1,
"")</f>
        <v>2289</v>
      </c>
      <c r="B2292" s="6" t="s">
        <v>860</v>
      </c>
      <c r="C2292" s="14">
        <v>45241</v>
      </c>
      <c r="D2292" s="15">
        <v>44.89</v>
      </c>
      <c r="E2292" s="7">
        <f t="shared" si="35"/>
        <v>1</v>
      </c>
    </row>
    <row r="2293" spans="1:5" x14ac:dyDescent="0.25">
      <c r="A2293" s="7">
        <f>IF(E2293=1,
      SUM($E$2:E2293)-1,
"")</f>
        <v>2290</v>
      </c>
      <c r="B2293" s="6" t="s">
        <v>414</v>
      </c>
      <c r="C2293" s="14">
        <v>45182</v>
      </c>
      <c r="D2293" s="15">
        <v>48.48</v>
      </c>
      <c r="E2293" s="7">
        <f t="shared" si="35"/>
        <v>1</v>
      </c>
    </row>
    <row r="2294" spans="1:5" x14ac:dyDescent="0.25">
      <c r="A2294" s="7">
        <f>IF(E2294=1,
      SUM($E$2:E2294)-1,
"")</f>
        <v>2291</v>
      </c>
      <c r="B2294" s="6" t="s">
        <v>209</v>
      </c>
      <c r="C2294" s="14">
        <v>44928</v>
      </c>
      <c r="D2294" s="15">
        <v>153.58000000000001</v>
      </c>
      <c r="E2294" s="7">
        <f t="shared" si="35"/>
        <v>1</v>
      </c>
    </row>
    <row r="2295" spans="1:5" x14ac:dyDescent="0.25">
      <c r="A2295" s="7">
        <f>IF(E2295=1,
      SUM($E$2:E2295)-1,
"")</f>
        <v>2292</v>
      </c>
      <c r="B2295" s="6" t="s">
        <v>342</v>
      </c>
      <c r="C2295" s="14">
        <v>44951</v>
      </c>
      <c r="D2295" s="15">
        <v>72.87</v>
      </c>
      <c r="E2295" s="7">
        <f t="shared" si="35"/>
        <v>1</v>
      </c>
    </row>
    <row r="2296" spans="1:5" x14ac:dyDescent="0.25">
      <c r="A2296" s="7">
        <f>IF(E2296=1,
      SUM($E$2:E2296)-1,
"")</f>
        <v>2293</v>
      </c>
      <c r="B2296" s="6" t="s">
        <v>84</v>
      </c>
      <c r="C2296" s="14">
        <v>45250</v>
      </c>
      <c r="D2296" s="15">
        <v>192.84</v>
      </c>
      <c r="E2296" s="7">
        <f t="shared" si="35"/>
        <v>1</v>
      </c>
    </row>
    <row r="2297" spans="1:5" x14ac:dyDescent="0.25">
      <c r="A2297" s="7">
        <f>IF(E2297=1,
      SUM($E$2:E2297)-1,
"")</f>
        <v>2294</v>
      </c>
      <c r="B2297" s="6" t="s">
        <v>99</v>
      </c>
      <c r="C2297" s="14">
        <v>45082</v>
      </c>
      <c r="D2297" s="15">
        <v>45.82</v>
      </c>
      <c r="E2297" s="7">
        <f t="shared" si="35"/>
        <v>1</v>
      </c>
    </row>
    <row r="2298" spans="1:5" x14ac:dyDescent="0.25">
      <c r="A2298" s="7">
        <f>IF(E2298=1,
      SUM($E$2:E2298)-1,
"")</f>
        <v>2295</v>
      </c>
      <c r="B2298" s="6" t="s">
        <v>148</v>
      </c>
      <c r="C2298" s="14">
        <v>45093</v>
      </c>
      <c r="D2298" s="15">
        <v>105.1</v>
      </c>
      <c r="E2298" s="7">
        <f t="shared" si="35"/>
        <v>1</v>
      </c>
    </row>
    <row r="2299" spans="1:5" x14ac:dyDescent="0.25">
      <c r="A2299" s="7">
        <f>IF(E2299=1,
      SUM($E$2:E2299)-1,
"")</f>
        <v>2296</v>
      </c>
      <c r="B2299" s="6" t="s">
        <v>961</v>
      </c>
      <c r="C2299" s="14">
        <v>44995</v>
      </c>
      <c r="D2299" s="15">
        <v>99.3</v>
      </c>
      <c r="E2299" s="7">
        <f t="shared" si="35"/>
        <v>1</v>
      </c>
    </row>
    <row r="2300" spans="1:5" x14ac:dyDescent="0.25">
      <c r="A2300" s="7">
        <f>IF(E2300=1,
      SUM($E$2:E2300)-1,
"")</f>
        <v>2297</v>
      </c>
      <c r="B2300" s="6" t="s">
        <v>301</v>
      </c>
      <c r="C2300" s="14">
        <v>44947</v>
      </c>
      <c r="D2300" s="15">
        <v>93.75</v>
      </c>
      <c r="E2300" s="7">
        <f t="shared" si="35"/>
        <v>1</v>
      </c>
    </row>
    <row r="2301" spans="1:5" x14ac:dyDescent="0.25">
      <c r="A2301" s="7">
        <f>IF(E2301=1,
      SUM($E$2:E2301)-1,
"")</f>
        <v>2298</v>
      </c>
      <c r="B2301" s="6" t="s">
        <v>691</v>
      </c>
      <c r="C2301" s="14">
        <v>45053</v>
      </c>
      <c r="D2301" s="15">
        <v>113.89</v>
      </c>
      <c r="E2301" s="7">
        <f t="shared" si="35"/>
        <v>1</v>
      </c>
    </row>
    <row r="2302" spans="1:5" x14ac:dyDescent="0.25">
      <c r="A2302" s="7">
        <f>IF(E2302=1,
      SUM($E$2:E2302)-1,
"")</f>
        <v>2299</v>
      </c>
      <c r="B2302" s="6" t="s">
        <v>724</v>
      </c>
      <c r="C2302" s="14">
        <v>45178</v>
      </c>
      <c r="D2302" s="15">
        <v>115.62</v>
      </c>
      <c r="E2302" s="7">
        <f t="shared" si="35"/>
        <v>1</v>
      </c>
    </row>
    <row r="2303" spans="1:5" x14ac:dyDescent="0.25">
      <c r="A2303" s="7">
        <f>IF(E2303=1,
      SUM($E$2:E2303)-1,
"")</f>
        <v>2300</v>
      </c>
      <c r="B2303" s="6" t="s">
        <v>503</v>
      </c>
      <c r="C2303" s="14">
        <v>45267</v>
      </c>
      <c r="D2303" s="15">
        <v>94.97</v>
      </c>
      <c r="E2303" s="7">
        <f t="shared" si="35"/>
        <v>1</v>
      </c>
    </row>
    <row r="2304" spans="1:5" x14ac:dyDescent="0.25">
      <c r="A2304" s="7">
        <f>IF(E2304=1,
      SUM($E$2:E2304)-1,
"")</f>
        <v>2301</v>
      </c>
      <c r="B2304" s="6" t="s">
        <v>962</v>
      </c>
      <c r="C2304" s="14">
        <v>44994</v>
      </c>
      <c r="D2304" s="15">
        <v>69.569999999999993</v>
      </c>
      <c r="E2304" s="7">
        <f t="shared" si="35"/>
        <v>1</v>
      </c>
    </row>
    <row r="2305" spans="1:5" x14ac:dyDescent="0.25">
      <c r="A2305" s="7">
        <f>IF(E2305=1,
      SUM($E$2:E2305)-1,
"")</f>
        <v>2302</v>
      </c>
      <c r="B2305" s="6" t="s">
        <v>368</v>
      </c>
      <c r="C2305" s="14">
        <v>45216</v>
      </c>
      <c r="D2305" s="15">
        <v>131.43</v>
      </c>
      <c r="E2305" s="7">
        <f t="shared" si="35"/>
        <v>1</v>
      </c>
    </row>
    <row r="2306" spans="1:5" x14ac:dyDescent="0.25">
      <c r="A2306" s="7">
        <f>IF(E2306=1,
      SUM($E$2:E2306)-1,
"")</f>
        <v>2303</v>
      </c>
      <c r="B2306" s="6" t="s">
        <v>722</v>
      </c>
      <c r="C2306" s="14">
        <v>45156</v>
      </c>
      <c r="D2306" s="15">
        <v>118.84</v>
      </c>
      <c r="E2306" s="7">
        <f t="shared" ref="E2306:E2369" si="36">IF(D2306&gt;0,1,0)</f>
        <v>1</v>
      </c>
    </row>
    <row r="2307" spans="1:5" x14ac:dyDescent="0.25">
      <c r="A2307" s="7">
        <f>IF(E2307=1,
      SUM($E$2:E2307)-1,
"")</f>
        <v>2304</v>
      </c>
      <c r="B2307" s="6" t="s">
        <v>873</v>
      </c>
      <c r="C2307" s="14">
        <v>45273</v>
      </c>
      <c r="D2307" s="15">
        <v>103.44</v>
      </c>
      <c r="E2307" s="7">
        <f t="shared" si="36"/>
        <v>1</v>
      </c>
    </row>
    <row r="2308" spans="1:5" x14ac:dyDescent="0.25">
      <c r="A2308" s="7">
        <f>IF(E2308=1,
      SUM($E$2:E2308)-1,
"")</f>
        <v>2305</v>
      </c>
      <c r="B2308" s="6" t="s">
        <v>375</v>
      </c>
      <c r="C2308" s="14">
        <v>45082</v>
      </c>
      <c r="D2308" s="15">
        <v>117.89</v>
      </c>
      <c r="E2308" s="7">
        <f t="shared" si="36"/>
        <v>1</v>
      </c>
    </row>
    <row r="2309" spans="1:5" x14ac:dyDescent="0.25">
      <c r="A2309" s="7">
        <f>IF(E2309=1,
      SUM($E$2:E2309)-1,
"")</f>
        <v>2306</v>
      </c>
      <c r="B2309" s="6" t="s">
        <v>960</v>
      </c>
      <c r="C2309" s="14">
        <v>45053</v>
      </c>
      <c r="D2309" s="15">
        <v>123.07</v>
      </c>
      <c r="E2309" s="7">
        <f t="shared" si="36"/>
        <v>1</v>
      </c>
    </row>
    <row r="2310" spans="1:5" x14ac:dyDescent="0.25">
      <c r="A2310" s="7">
        <f>IF(E2310=1,
      SUM($E$2:E2310)-1,
"")</f>
        <v>2307</v>
      </c>
      <c r="B2310" s="6" t="s">
        <v>897</v>
      </c>
      <c r="C2310" s="14">
        <v>45254</v>
      </c>
      <c r="D2310" s="15">
        <v>77.150000000000006</v>
      </c>
      <c r="E2310" s="7">
        <f t="shared" si="36"/>
        <v>1</v>
      </c>
    </row>
    <row r="2311" spans="1:5" x14ac:dyDescent="0.25">
      <c r="A2311" s="7">
        <f>IF(E2311=1,
      SUM($E$2:E2311)-1,
"")</f>
        <v>2308</v>
      </c>
      <c r="B2311" s="6" t="s">
        <v>491</v>
      </c>
      <c r="C2311" s="14">
        <v>45025</v>
      </c>
      <c r="D2311" s="15">
        <v>116.82</v>
      </c>
      <c r="E2311" s="7">
        <f t="shared" si="36"/>
        <v>1</v>
      </c>
    </row>
    <row r="2312" spans="1:5" x14ac:dyDescent="0.25">
      <c r="A2312" s="7">
        <f>IF(E2312=1,
      SUM($E$2:E2312)-1,
"")</f>
        <v>2309</v>
      </c>
      <c r="B2312" s="6" t="s">
        <v>403</v>
      </c>
      <c r="C2312" s="14">
        <v>45086</v>
      </c>
      <c r="D2312" s="15">
        <v>83.41</v>
      </c>
      <c r="E2312" s="7">
        <f t="shared" si="36"/>
        <v>1</v>
      </c>
    </row>
    <row r="2313" spans="1:5" x14ac:dyDescent="0.25">
      <c r="A2313" s="7">
        <f>IF(E2313=1,
      SUM($E$2:E2313)-1,
"")</f>
        <v>2310</v>
      </c>
      <c r="B2313" s="6" t="s">
        <v>253</v>
      </c>
      <c r="C2313" s="14">
        <v>45026</v>
      </c>
      <c r="D2313" s="15">
        <v>124.06</v>
      </c>
      <c r="E2313" s="7">
        <f t="shared" si="36"/>
        <v>1</v>
      </c>
    </row>
    <row r="2314" spans="1:5" x14ac:dyDescent="0.25">
      <c r="A2314" s="7">
        <f>IF(E2314=1,
      SUM($E$2:E2314)-1,
"")</f>
        <v>2311</v>
      </c>
      <c r="B2314" s="6" t="s">
        <v>610</v>
      </c>
      <c r="C2314" s="14">
        <v>45139</v>
      </c>
      <c r="D2314" s="15">
        <v>94.23</v>
      </c>
      <c r="E2314" s="7">
        <f t="shared" si="36"/>
        <v>1</v>
      </c>
    </row>
    <row r="2315" spans="1:5" x14ac:dyDescent="0.25">
      <c r="A2315" s="7">
        <f>IF(E2315=1,
      SUM($E$2:E2315)-1,
"")</f>
        <v>2312</v>
      </c>
      <c r="B2315" s="6" t="s">
        <v>140</v>
      </c>
      <c r="C2315" s="14">
        <v>45251</v>
      </c>
      <c r="D2315" s="15">
        <v>118.35</v>
      </c>
      <c r="E2315" s="7">
        <f t="shared" si="36"/>
        <v>1</v>
      </c>
    </row>
    <row r="2316" spans="1:5" x14ac:dyDescent="0.25">
      <c r="A2316" s="7">
        <f>IF(E2316=1,
      SUM($E$2:E2316)-1,
"")</f>
        <v>2313</v>
      </c>
      <c r="B2316" s="6" t="s">
        <v>830</v>
      </c>
      <c r="C2316" s="14">
        <v>45282</v>
      </c>
      <c r="D2316" s="15">
        <v>86.99</v>
      </c>
      <c r="E2316" s="7">
        <f t="shared" si="36"/>
        <v>1</v>
      </c>
    </row>
    <row r="2317" spans="1:5" x14ac:dyDescent="0.25">
      <c r="A2317" s="7">
        <f>IF(E2317=1,
      SUM($E$2:E2317)-1,
"")</f>
        <v>2314</v>
      </c>
      <c r="B2317" s="6" t="s">
        <v>903</v>
      </c>
      <c r="C2317" s="14">
        <v>44999</v>
      </c>
      <c r="D2317" s="15">
        <v>119.91</v>
      </c>
      <c r="E2317" s="7">
        <f t="shared" si="36"/>
        <v>1</v>
      </c>
    </row>
    <row r="2318" spans="1:5" x14ac:dyDescent="0.25">
      <c r="A2318" s="7">
        <f>IF(E2318=1,
      SUM($E$2:E2318)-1,
"")</f>
        <v>2315</v>
      </c>
      <c r="B2318" s="6" t="s">
        <v>102</v>
      </c>
      <c r="C2318" s="14">
        <v>45195</v>
      </c>
      <c r="D2318" s="15">
        <v>70.64</v>
      </c>
      <c r="E2318" s="7">
        <f t="shared" si="36"/>
        <v>1</v>
      </c>
    </row>
    <row r="2319" spans="1:5" x14ac:dyDescent="0.25">
      <c r="A2319" s="7">
        <f>IF(E2319=1,
      SUM($E$2:E2319)-1,
"")</f>
        <v>2316</v>
      </c>
      <c r="B2319" s="6" t="s">
        <v>425</v>
      </c>
      <c r="C2319" s="14">
        <v>45018</v>
      </c>
      <c r="D2319" s="15">
        <v>101.09</v>
      </c>
      <c r="E2319" s="7">
        <f t="shared" si="36"/>
        <v>1</v>
      </c>
    </row>
    <row r="2320" spans="1:5" x14ac:dyDescent="0.25">
      <c r="A2320" s="7">
        <f>IF(E2320=1,
      SUM($E$2:E2320)-1,
"")</f>
        <v>2317</v>
      </c>
      <c r="B2320" s="6" t="s">
        <v>748</v>
      </c>
      <c r="C2320" s="14">
        <v>45063</v>
      </c>
      <c r="D2320" s="15">
        <v>129.41999999999999</v>
      </c>
      <c r="E2320" s="7">
        <f t="shared" si="36"/>
        <v>1</v>
      </c>
    </row>
    <row r="2321" spans="1:5" x14ac:dyDescent="0.25">
      <c r="A2321" s="7">
        <f>IF(E2321=1,
      SUM($E$2:E2321)-1,
"")</f>
        <v>2318</v>
      </c>
      <c r="B2321" s="6" t="s">
        <v>812</v>
      </c>
      <c r="C2321" s="14">
        <v>45073</v>
      </c>
      <c r="D2321" s="15">
        <v>114.02</v>
      </c>
      <c r="E2321" s="7">
        <f t="shared" si="36"/>
        <v>1</v>
      </c>
    </row>
    <row r="2322" spans="1:5" x14ac:dyDescent="0.25">
      <c r="A2322" s="7">
        <f>IF(E2322=1,
      SUM($E$2:E2322)-1,
"")</f>
        <v>2319</v>
      </c>
      <c r="B2322" s="6" t="s">
        <v>328</v>
      </c>
      <c r="C2322" s="14">
        <v>45228</v>
      </c>
      <c r="D2322" s="15">
        <v>105.76</v>
      </c>
      <c r="E2322" s="7">
        <f t="shared" si="36"/>
        <v>1</v>
      </c>
    </row>
    <row r="2323" spans="1:5" x14ac:dyDescent="0.25">
      <c r="A2323" s="7">
        <f>IF(E2323=1,
      SUM($E$2:E2323)-1,
"")</f>
        <v>2320</v>
      </c>
      <c r="B2323" s="6" t="s">
        <v>550</v>
      </c>
      <c r="C2323" s="14">
        <v>44938</v>
      </c>
      <c r="D2323" s="15">
        <v>154.11000000000001</v>
      </c>
      <c r="E2323" s="7">
        <f t="shared" si="36"/>
        <v>1</v>
      </c>
    </row>
    <row r="2324" spans="1:5" x14ac:dyDescent="0.25">
      <c r="A2324" s="7">
        <f>IF(E2324=1,
      SUM($E$2:E2324)-1,
"")</f>
        <v>2321</v>
      </c>
      <c r="B2324" s="6" t="s">
        <v>661</v>
      </c>
      <c r="C2324" s="14">
        <v>45061</v>
      </c>
      <c r="D2324" s="15">
        <v>130.71</v>
      </c>
      <c r="E2324" s="7">
        <f t="shared" si="36"/>
        <v>1</v>
      </c>
    </row>
    <row r="2325" spans="1:5" x14ac:dyDescent="0.25">
      <c r="A2325" s="7">
        <f>IF(E2325=1,
      SUM($E$2:E2325)-1,
"")</f>
        <v>2322</v>
      </c>
      <c r="B2325" s="6" t="s">
        <v>905</v>
      </c>
      <c r="C2325" s="14">
        <v>44965</v>
      </c>
      <c r="D2325" s="15">
        <v>125.67</v>
      </c>
      <c r="E2325" s="7">
        <f t="shared" si="36"/>
        <v>1</v>
      </c>
    </row>
    <row r="2326" spans="1:5" x14ac:dyDescent="0.25">
      <c r="A2326" s="7">
        <f>IF(E2326=1,
      SUM($E$2:E2326)-1,
"")</f>
        <v>2323</v>
      </c>
      <c r="B2326" s="6" t="s">
        <v>108</v>
      </c>
      <c r="C2326" s="14">
        <v>45241</v>
      </c>
      <c r="D2326" s="15">
        <v>119.74</v>
      </c>
      <c r="E2326" s="7">
        <f t="shared" si="36"/>
        <v>1</v>
      </c>
    </row>
    <row r="2327" spans="1:5" x14ac:dyDescent="0.25">
      <c r="A2327" s="7">
        <f>IF(E2327=1,
      SUM($E$2:E2327)-1,
"")</f>
        <v>2324</v>
      </c>
      <c r="B2327" s="6" t="s">
        <v>509</v>
      </c>
      <c r="C2327" s="14">
        <v>45030</v>
      </c>
      <c r="D2327" s="15">
        <v>123.48</v>
      </c>
      <c r="E2327" s="7">
        <f t="shared" si="36"/>
        <v>1</v>
      </c>
    </row>
    <row r="2328" spans="1:5" x14ac:dyDescent="0.25">
      <c r="A2328" s="7">
        <f>IF(E2328=1,
      SUM($E$2:E2328)-1,
"")</f>
        <v>2325</v>
      </c>
      <c r="B2328" s="6" t="s">
        <v>382</v>
      </c>
      <c r="C2328" s="14">
        <v>45026</v>
      </c>
      <c r="D2328" s="15">
        <v>149.71</v>
      </c>
      <c r="E2328" s="7">
        <f t="shared" si="36"/>
        <v>1</v>
      </c>
    </row>
    <row r="2329" spans="1:5" x14ac:dyDescent="0.25">
      <c r="A2329" s="7">
        <f>IF(E2329=1,
      SUM($E$2:E2329)-1,
"")</f>
        <v>2326</v>
      </c>
      <c r="B2329" s="6" t="s">
        <v>838</v>
      </c>
      <c r="C2329" s="14">
        <v>44934</v>
      </c>
      <c r="D2329" s="15">
        <v>87.47</v>
      </c>
      <c r="E2329" s="7">
        <f t="shared" si="36"/>
        <v>1</v>
      </c>
    </row>
    <row r="2330" spans="1:5" x14ac:dyDescent="0.25">
      <c r="A2330" s="7">
        <f>IF(E2330=1,
      SUM($E$2:E2330)-1,
"")</f>
        <v>2327</v>
      </c>
      <c r="B2330" s="6" t="s">
        <v>712</v>
      </c>
      <c r="C2330" s="14">
        <v>44976</v>
      </c>
      <c r="D2330" s="15">
        <v>130.28</v>
      </c>
      <c r="E2330" s="7">
        <f t="shared" si="36"/>
        <v>1</v>
      </c>
    </row>
    <row r="2331" spans="1:5" x14ac:dyDescent="0.25">
      <c r="A2331" s="7">
        <f>IF(E2331=1,
      SUM($E$2:E2331)-1,
"")</f>
        <v>2328</v>
      </c>
      <c r="B2331" s="6" t="s">
        <v>172</v>
      </c>
      <c r="C2331" s="14">
        <v>44969</v>
      </c>
      <c r="D2331" s="15">
        <v>110.69</v>
      </c>
      <c r="E2331" s="7">
        <f t="shared" si="36"/>
        <v>1</v>
      </c>
    </row>
    <row r="2332" spans="1:5" x14ac:dyDescent="0.25">
      <c r="A2332" s="7">
        <f>IF(E2332=1,
      SUM($E$2:E2332)-1,
"")</f>
        <v>2329</v>
      </c>
      <c r="B2332" s="6" t="s">
        <v>526</v>
      </c>
      <c r="C2332" s="14">
        <v>45139</v>
      </c>
      <c r="D2332" s="15">
        <v>88.51</v>
      </c>
      <c r="E2332" s="7">
        <f t="shared" si="36"/>
        <v>1</v>
      </c>
    </row>
    <row r="2333" spans="1:5" x14ac:dyDescent="0.25">
      <c r="A2333" s="7">
        <f>IF(E2333=1,
      SUM($E$2:E2333)-1,
"")</f>
        <v>2330</v>
      </c>
      <c r="B2333" s="6" t="s">
        <v>123</v>
      </c>
      <c r="C2333" s="14">
        <v>44935</v>
      </c>
      <c r="D2333" s="15">
        <v>97.01</v>
      </c>
      <c r="E2333" s="7">
        <f t="shared" si="36"/>
        <v>1</v>
      </c>
    </row>
    <row r="2334" spans="1:5" x14ac:dyDescent="0.25">
      <c r="A2334" s="7">
        <f>IF(E2334=1,
      SUM($E$2:E2334)-1,
"")</f>
        <v>2331</v>
      </c>
      <c r="B2334" s="6" t="s">
        <v>534</v>
      </c>
      <c r="C2334" s="14">
        <v>45153</v>
      </c>
      <c r="D2334" s="15">
        <v>106.57</v>
      </c>
      <c r="E2334" s="7">
        <f t="shared" si="36"/>
        <v>1</v>
      </c>
    </row>
    <row r="2335" spans="1:5" x14ac:dyDescent="0.25">
      <c r="A2335" s="7">
        <f>IF(E2335=1,
      SUM($E$2:E2335)-1,
"")</f>
        <v>2332</v>
      </c>
      <c r="B2335" s="6" t="s">
        <v>963</v>
      </c>
      <c r="C2335" s="14">
        <v>45242</v>
      </c>
      <c r="D2335" s="15">
        <v>74.2</v>
      </c>
      <c r="E2335" s="7">
        <f t="shared" si="36"/>
        <v>1</v>
      </c>
    </row>
    <row r="2336" spans="1:5" x14ac:dyDescent="0.25">
      <c r="A2336" s="7">
        <f>IF(E2336=1,
      SUM($E$2:E2336)-1,
"")</f>
        <v>2333</v>
      </c>
      <c r="B2336" s="6" t="s">
        <v>582</v>
      </c>
      <c r="C2336" s="14">
        <v>45176</v>
      </c>
      <c r="D2336" s="15">
        <v>125.92</v>
      </c>
      <c r="E2336" s="7">
        <f t="shared" si="36"/>
        <v>1</v>
      </c>
    </row>
    <row r="2337" spans="1:5" x14ac:dyDescent="0.25">
      <c r="A2337" s="7">
        <f>IF(E2337=1,
      SUM($E$2:E2337)-1,
"")</f>
        <v>2334</v>
      </c>
      <c r="B2337" s="6" t="s">
        <v>715</v>
      </c>
      <c r="C2337" s="14">
        <v>45247</v>
      </c>
      <c r="D2337" s="15">
        <v>96.91</v>
      </c>
      <c r="E2337" s="7">
        <f t="shared" si="36"/>
        <v>1</v>
      </c>
    </row>
    <row r="2338" spans="1:5" x14ac:dyDescent="0.25">
      <c r="A2338" s="7">
        <f>IF(E2338=1,
      SUM($E$2:E2338)-1,
"")</f>
        <v>2335</v>
      </c>
      <c r="B2338" s="6" t="s">
        <v>391</v>
      </c>
      <c r="C2338" s="14">
        <v>44984</v>
      </c>
      <c r="D2338" s="15">
        <v>102.55</v>
      </c>
      <c r="E2338" s="7">
        <f t="shared" si="36"/>
        <v>1</v>
      </c>
    </row>
    <row r="2339" spans="1:5" x14ac:dyDescent="0.25">
      <c r="A2339" s="7">
        <f>IF(E2339=1,
      SUM($E$2:E2339)-1,
"")</f>
        <v>2336</v>
      </c>
      <c r="B2339" s="6" t="s">
        <v>607</v>
      </c>
      <c r="C2339" s="14">
        <v>45205</v>
      </c>
      <c r="D2339" s="15">
        <v>140.72</v>
      </c>
      <c r="E2339" s="7">
        <f t="shared" si="36"/>
        <v>1</v>
      </c>
    </row>
    <row r="2340" spans="1:5" x14ac:dyDescent="0.25">
      <c r="A2340" s="7">
        <f>IF(E2340=1,
      SUM($E$2:E2340)-1,
"")</f>
        <v>2337</v>
      </c>
      <c r="B2340" s="6" t="s">
        <v>885</v>
      </c>
      <c r="C2340" s="14">
        <v>45085</v>
      </c>
      <c r="D2340" s="15">
        <v>103.89</v>
      </c>
      <c r="E2340" s="7">
        <f t="shared" si="36"/>
        <v>1</v>
      </c>
    </row>
    <row r="2341" spans="1:5" x14ac:dyDescent="0.25">
      <c r="A2341" s="7">
        <f>IF(E2341=1,
      SUM($E$2:E2341)-1,
"")</f>
        <v>2338</v>
      </c>
      <c r="B2341" s="6" t="s">
        <v>106</v>
      </c>
      <c r="C2341" s="14">
        <v>45024</v>
      </c>
      <c r="D2341" s="15">
        <v>146.58000000000001</v>
      </c>
      <c r="E2341" s="7">
        <f t="shared" si="36"/>
        <v>1</v>
      </c>
    </row>
    <row r="2342" spans="1:5" x14ac:dyDescent="0.25">
      <c r="A2342" s="7">
        <f>IF(E2342=1,
      SUM($E$2:E2342)-1,
"")</f>
        <v>2339</v>
      </c>
      <c r="B2342" s="6" t="s">
        <v>763</v>
      </c>
      <c r="C2342" s="14">
        <v>45204</v>
      </c>
      <c r="D2342" s="15">
        <v>84.26</v>
      </c>
      <c r="E2342" s="7">
        <f t="shared" si="36"/>
        <v>1</v>
      </c>
    </row>
    <row r="2343" spans="1:5" x14ac:dyDescent="0.25">
      <c r="A2343" s="7">
        <f>IF(E2343=1,
      SUM($E$2:E2343)-1,
"")</f>
        <v>2340</v>
      </c>
      <c r="B2343" s="6" t="s">
        <v>632</v>
      </c>
      <c r="C2343" s="14">
        <v>45175</v>
      </c>
      <c r="D2343" s="15">
        <v>67.09</v>
      </c>
      <c r="E2343" s="7">
        <f t="shared" si="36"/>
        <v>1</v>
      </c>
    </row>
    <row r="2344" spans="1:5" x14ac:dyDescent="0.25">
      <c r="A2344" s="7">
        <f>IF(E2344=1,
      SUM($E$2:E2344)-1,
"")</f>
        <v>2341</v>
      </c>
      <c r="B2344" s="6" t="s">
        <v>336</v>
      </c>
      <c r="C2344" s="14">
        <v>45239</v>
      </c>
      <c r="D2344" s="15">
        <v>91.3</v>
      </c>
      <c r="E2344" s="7">
        <f t="shared" si="36"/>
        <v>1</v>
      </c>
    </row>
    <row r="2345" spans="1:5" x14ac:dyDescent="0.25">
      <c r="A2345" s="7">
        <f>IF(E2345=1,
      SUM($E$2:E2345)-1,
"")</f>
        <v>2342</v>
      </c>
      <c r="B2345" s="6" t="s">
        <v>222</v>
      </c>
      <c r="C2345" s="14">
        <v>45177</v>
      </c>
      <c r="D2345" s="15">
        <v>15.56</v>
      </c>
      <c r="E2345" s="7">
        <f t="shared" si="36"/>
        <v>1</v>
      </c>
    </row>
    <row r="2346" spans="1:5" x14ac:dyDescent="0.25">
      <c r="A2346" s="7">
        <f>IF(E2346=1,
      SUM($E$2:E2346)-1,
"")</f>
        <v>2343</v>
      </c>
      <c r="B2346" s="6" t="s">
        <v>273</v>
      </c>
      <c r="C2346" s="14">
        <v>45175</v>
      </c>
      <c r="D2346" s="15">
        <v>127.17</v>
      </c>
      <c r="E2346" s="7">
        <f t="shared" si="36"/>
        <v>1</v>
      </c>
    </row>
    <row r="2347" spans="1:5" x14ac:dyDescent="0.25">
      <c r="A2347" s="7">
        <f>IF(E2347=1,
      SUM($E$2:E2347)-1,
"")</f>
        <v>2344</v>
      </c>
      <c r="B2347" s="6" t="s">
        <v>185</v>
      </c>
      <c r="C2347" s="14">
        <v>45033</v>
      </c>
      <c r="D2347" s="15">
        <v>68.83</v>
      </c>
      <c r="E2347" s="7">
        <f t="shared" si="36"/>
        <v>1</v>
      </c>
    </row>
    <row r="2348" spans="1:5" x14ac:dyDescent="0.25">
      <c r="A2348" s="7">
        <f>IF(E2348=1,
      SUM($E$2:E2348)-1,
"")</f>
        <v>2345</v>
      </c>
      <c r="B2348" s="6" t="s">
        <v>964</v>
      </c>
      <c r="C2348" s="14">
        <v>45218</v>
      </c>
      <c r="D2348" s="15">
        <v>81.47</v>
      </c>
      <c r="E2348" s="7">
        <f t="shared" si="36"/>
        <v>1</v>
      </c>
    </row>
    <row r="2349" spans="1:5" x14ac:dyDescent="0.25">
      <c r="A2349" s="7">
        <f>IF(E2349=1,
      SUM($E$2:E2349)-1,
"")</f>
        <v>2346</v>
      </c>
      <c r="B2349" s="6" t="s">
        <v>437</v>
      </c>
      <c r="C2349" s="14">
        <v>44988</v>
      </c>
      <c r="D2349" s="15">
        <v>121.49</v>
      </c>
      <c r="E2349" s="7">
        <f t="shared" si="36"/>
        <v>1</v>
      </c>
    </row>
    <row r="2350" spans="1:5" x14ac:dyDescent="0.25">
      <c r="A2350" s="7">
        <f>IF(E2350=1,
      SUM($E$2:E2350)-1,
"")</f>
        <v>2347</v>
      </c>
      <c r="B2350" s="6" t="s">
        <v>792</v>
      </c>
      <c r="C2350" s="14">
        <v>45286</v>
      </c>
      <c r="D2350" s="15">
        <v>103.57</v>
      </c>
      <c r="E2350" s="7">
        <f t="shared" si="36"/>
        <v>1</v>
      </c>
    </row>
    <row r="2351" spans="1:5" x14ac:dyDescent="0.25">
      <c r="A2351" s="7">
        <f>IF(E2351=1,
      SUM($E$2:E2351)-1,
"")</f>
        <v>2348</v>
      </c>
      <c r="B2351" s="6" t="s">
        <v>87</v>
      </c>
      <c r="C2351" s="14">
        <v>45171</v>
      </c>
      <c r="D2351" s="15">
        <v>86.78</v>
      </c>
      <c r="E2351" s="7">
        <f t="shared" si="36"/>
        <v>1</v>
      </c>
    </row>
    <row r="2352" spans="1:5" x14ac:dyDescent="0.25">
      <c r="A2352" s="7">
        <f>IF(E2352=1,
      SUM($E$2:E2352)-1,
"")</f>
        <v>2349</v>
      </c>
      <c r="B2352" s="6" t="s">
        <v>445</v>
      </c>
      <c r="C2352" s="14">
        <v>45282</v>
      </c>
      <c r="D2352" s="15">
        <v>38.9</v>
      </c>
      <c r="E2352" s="7">
        <f t="shared" si="36"/>
        <v>1</v>
      </c>
    </row>
    <row r="2353" spans="1:5" x14ac:dyDescent="0.25">
      <c r="A2353" s="7">
        <f>IF(E2353=1,
      SUM($E$2:E2353)-1,
"")</f>
        <v>2350</v>
      </c>
      <c r="B2353" s="6" t="s">
        <v>438</v>
      </c>
      <c r="C2353" s="14">
        <v>44945</v>
      </c>
      <c r="D2353" s="15">
        <v>139.02000000000001</v>
      </c>
      <c r="E2353" s="7">
        <f t="shared" si="36"/>
        <v>1</v>
      </c>
    </row>
    <row r="2354" spans="1:5" x14ac:dyDescent="0.25">
      <c r="A2354" s="7">
        <f>IF(E2354=1,
      SUM($E$2:E2354)-1,
"")</f>
        <v>2351</v>
      </c>
      <c r="B2354" s="6" t="s">
        <v>461</v>
      </c>
      <c r="C2354" s="14">
        <v>45078</v>
      </c>
      <c r="D2354" s="15">
        <v>121.69</v>
      </c>
      <c r="E2354" s="7">
        <f t="shared" si="36"/>
        <v>1</v>
      </c>
    </row>
    <row r="2355" spans="1:5" x14ac:dyDescent="0.25">
      <c r="A2355" s="7">
        <f>IF(E2355=1,
      SUM($E$2:E2355)-1,
"")</f>
        <v>2352</v>
      </c>
      <c r="B2355" s="6" t="s">
        <v>910</v>
      </c>
      <c r="C2355" s="14">
        <v>45014</v>
      </c>
      <c r="D2355" s="15">
        <v>161.66999999999999</v>
      </c>
      <c r="E2355" s="7">
        <f t="shared" si="36"/>
        <v>1</v>
      </c>
    </row>
    <row r="2356" spans="1:5" x14ac:dyDescent="0.25">
      <c r="A2356" s="7">
        <f>IF(E2356=1,
      SUM($E$2:E2356)-1,
"")</f>
        <v>2353</v>
      </c>
      <c r="B2356" s="6" t="s">
        <v>965</v>
      </c>
      <c r="C2356" s="14">
        <v>45265</v>
      </c>
      <c r="D2356" s="15">
        <v>82.11</v>
      </c>
      <c r="E2356" s="7">
        <f t="shared" si="36"/>
        <v>1</v>
      </c>
    </row>
    <row r="2357" spans="1:5" x14ac:dyDescent="0.25">
      <c r="A2357" s="7">
        <f>IF(E2357=1,
      SUM($E$2:E2357)-1,
"")</f>
        <v>2354</v>
      </c>
      <c r="B2357" s="6" t="s">
        <v>719</v>
      </c>
      <c r="C2357" s="14">
        <v>45058</v>
      </c>
      <c r="D2357" s="15">
        <v>56.37</v>
      </c>
      <c r="E2357" s="7">
        <f t="shared" si="36"/>
        <v>1</v>
      </c>
    </row>
    <row r="2358" spans="1:5" x14ac:dyDescent="0.25">
      <c r="A2358" s="7">
        <f>IF(E2358=1,
      SUM($E$2:E2358)-1,
"")</f>
        <v>2355</v>
      </c>
      <c r="B2358" s="6" t="s">
        <v>534</v>
      </c>
      <c r="C2358" s="14">
        <v>44980</v>
      </c>
      <c r="D2358" s="15">
        <v>129.84</v>
      </c>
      <c r="E2358" s="7">
        <f t="shared" si="36"/>
        <v>1</v>
      </c>
    </row>
    <row r="2359" spans="1:5" x14ac:dyDescent="0.25">
      <c r="A2359" s="7">
        <f>IF(E2359=1,
      SUM($E$2:E2359)-1,
"")</f>
        <v>2356</v>
      </c>
      <c r="B2359" s="6" t="s">
        <v>422</v>
      </c>
      <c r="C2359" s="14">
        <v>45267</v>
      </c>
      <c r="D2359" s="15">
        <v>94.36</v>
      </c>
      <c r="E2359" s="7">
        <f t="shared" si="36"/>
        <v>1</v>
      </c>
    </row>
    <row r="2360" spans="1:5" x14ac:dyDescent="0.25">
      <c r="A2360" s="7">
        <f>IF(E2360=1,
      SUM($E$2:E2360)-1,
"")</f>
        <v>2357</v>
      </c>
      <c r="B2360" s="6" t="s">
        <v>697</v>
      </c>
      <c r="C2360" s="14">
        <v>45239</v>
      </c>
      <c r="D2360" s="15">
        <v>118.85</v>
      </c>
      <c r="E2360" s="7">
        <f t="shared" si="36"/>
        <v>1</v>
      </c>
    </row>
    <row r="2361" spans="1:5" x14ac:dyDescent="0.25">
      <c r="A2361" s="7">
        <f>IF(E2361=1,
      SUM($E$2:E2361)-1,
"")</f>
        <v>2358</v>
      </c>
      <c r="B2361" s="6" t="s">
        <v>229</v>
      </c>
      <c r="C2361" s="14">
        <v>45264</v>
      </c>
      <c r="D2361" s="15">
        <v>148.6</v>
      </c>
      <c r="E2361" s="7">
        <f t="shared" si="36"/>
        <v>1</v>
      </c>
    </row>
    <row r="2362" spans="1:5" x14ac:dyDescent="0.25">
      <c r="A2362" s="7">
        <f>IF(E2362=1,
      SUM($E$2:E2362)-1,
"")</f>
        <v>2359</v>
      </c>
      <c r="B2362" s="6" t="s">
        <v>564</v>
      </c>
      <c r="C2362" s="14">
        <v>44940</v>
      </c>
      <c r="D2362" s="15">
        <v>111.64</v>
      </c>
      <c r="E2362" s="7">
        <f t="shared" si="36"/>
        <v>1</v>
      </c>
    </row>
    <row r="2363" spans="1:5" x14ac:dyDescent="0.25">
      <c r="A2363" s="7">
        <f>IF(E2363=1,
      SUM($E$2:E2363)-1,
"")</f>
        <v>2360</v>
      </c>
      <c r="B2363" s="6" t="s">
        <v>353</v>
      </c>
      <c r="C2363" s="14">
        <v>45129</v>
      </c>
      <c r="D2363" s="15">
        <v>105.02</v>
      </c>
      <c r="E2363" s="7">
        <f t="shared" si="36"/>
        <v>1</v>
      </c>
    </row>
    <row r="2364" spans="1:5" x14ac:dyDescent="0.25">
      <c r="A2364" s="7">
        <f>IF(E2364=1,
      SUM($E$2:E2364)-1,
"")</f>
        <v>2361</v>
      </c>
      <c r="B2364" s="6" t="s">
        <v>459</v>
      </c>
      <c r="C2364" s="14">
        <v>45023</v>
      </c>
      <c r="D2364" s="15">
        <v>106.9</v>
      </c>
      <c r="E2364" s="7">
        <f t="shared" si="36"/>
        <v>1</v>
      </c>
    </row>
    <row r="2365" spans="1:5" x14ac:dyDescent="0.25">
      <c r="A2365" s="7">
        <f>IF(E2365=1,
      SUM($E$2:E2365)-1,
"")</f>
        <v>2362</v>
      </c>
      <c r="B2365" s="6" t="s">
        <v>77</v>
      </c>
      <c r="C2365" s="14">
        <v>44959</v>
      </c>
      <c r="D2365" s="15">
        <v>50.88</v>
      </c>
      <c r="E2365" s="7">
        <f t="shared" si="36"/>
        <v>1</v>
      </c>
    </row>
    <row r="2366" spans="1:5" x14ac:dyDescent="0.25">
      <c r="A2366" s="7">
        <f>IF(E2366=1,
      SUM($E$2:E2366)-1,
"")</f>
        <v>2363</v>
      </c>
      <c r="B2366" s="6" t="s">
        <v>966</v>
      </c>
      <c r="C2366" s="14">
        <v>45258</v>
      </c>
      <c r="D2366" s="15">
        <v>133.24</v>
      </c>
      <c r="E2366" s="7">
        <f t="shared" si="36"/>
        <v>1</v>
      </c>
    </row>
    <row r="2367" spans="1:5" x14ac:dyDescent="0.25">
      <c r="A2367" s="7">
        <f>IF(E2367=1,
      SUM($E$2:E2367)-1,
"")</f>
        <v>2364</v>
      </c>
      <c r="B2367" s="6" t="s">
        <v>730</v>
      </c>
      <c r="C2367" s="14">
        <v>45007</v>
      </c>
      <c r="D2367" s="15">
        <v>135.16</v>
      </c>
      <c r="E2367" s="7">
        <f t="shared" si="36"/>
        <v>1</v>
      </c>
    </row>
    <row r="2368" spans="1:5" x14ac:dyDescent="0.25">
      <c r="A2368" s="7">
        <f>IF(E2368=1,
      SUM($E$2:E2368)-1,
"")</f>
        <v>2365</v>
      </c>
      <c r="B2368" s="6" t="s">
        <v>195</v>
      </c>
      <c r="C2368" s="14">
        <v>44945</v>
      </c>
      <c r="D2368" s="15">
        <v>115.92</v>
      </c>
      <c r="E2368" s="7">
        <f t="shared" si="36"/>
        <v>1</v>
      </c>
    </row>
    <row r="2369" spans="1:5" x14ac:dyDescent="0.25">
      <c r="A2369" s="7">
        <f>IF(E2369=1,
      SUM($E$2:E2369)-1,
"")</f>
        <v>2366</v>
      </c>
      <c r="B2369" s="6" t="s">
        <v>577</v>
      </c>
      <c r="C2369" s="14">
        <v>45020</v>
      </c>
      <c r="D2369" s="15">
        <v>54.54</v>
      </c>
      <c r="E2369" s="7">
        <f t="shared" si="36"/>
        <v>1</v>
      </c>
    </row>
    <row r="2370" spans="1:5" x14ac:dyDescent="0.25">
      <c r="A2370" s="7">
        <f>IF(E2370=1,
      SUM($E$2:E2370)-1,
"")</f>
        <v>2367</v>
      </c>
      <c r="B2370" s="6" t="s">
        <v>332</v>
      </c>
      <c r="C2370" s="14">
        <v>45085</v>
      </c>
      <c r="D2370" s="15">
        <v>96.37</v>
      </c>
      <c r="E2370" s="7">
        <f t="shared" ref="E2370:E2433" si="37">IF(D2370&gt;0,1,0)</f>
        <v>1</v>
      </c>
    </row>
    <row r="2371" spans="1:5" x14ac:dyDescent="0.25">
      <c r="A2371" s="7">
        <f>IF(E2371=1,
      SUM($E$2:E2371)-1,
"")</f>
        <v>2368</v>
      </c>
      <c r="B2371" s="6" t="s">
        <v>479</v>
      </c>
      <c r="C2371" s="14">
        <v>45055</v>
      </c>
      <c r="D2371" s="15">
        <v>143.16</v>
      </c>
      <c r="E2371" s="7">
        <f t="shared" si="37"/>
        <v>1</v>
      </c>
    </row>
    <row r="2372" spans="1:5" x14ac:dyDescent="0.25">
      <c r="A2372" s="7">
        <f>IF(E2372=1,
      SUM($E$2:E2372)-1,
"")</f>
        <v>2369</v>
      </c>
      <c r="B2372" s="6" t="s">
        <v>320</v>
      </c>
      <c r="C2372" s="14">
        <v>45200</v>
      </c>
      <c r="D2372" s="15">
        <v>83.03</v>
      </c>
      <c r="E2372" s="7">
        <f t="shared" si="37"/>
        <v>1</v>
      </c>
    </row>
    <row r="2373" spans="1:5" x14ac:dyDescent="0.25">
      <c r="A2373" s="7">
        <f>IF(E2373=1,
      SUM($E$2:E2373)-1,
"")</f>
        <v>2370</v>
      </c>
      <c r="B2373" s="6" t="s">
        <v>123</v>
      </c>
      <c r="C2373" s="14">
        <v>45120</v>
      </c>
      <c r="D2373" s="15">
        <v>135.53</v>
      </c>
      <c r="E2373" s="7">
        <f t="shared" si="37"/>
        <v>1</v>
      </c>
    </row>
    <row r="2374" spans="1:5" x14ac:dyDescent="0.25">
      <c r="A2374" s="7">
        <f>IF(E2374=1,
      SUM($E$2:E2374)-1,
"")</f>
        <v>2371</v>
      </c>
      <c r="B2374" s="6" t="s">
        <v>535</v>
      </c>
      <c r="C2374" s="14">
        <v>45214</v>
      </c>
      <c r="D2374" s="15">
        <v>101.65</v>
      </c>
      <c r="E2374" s="7">
        <f t="shared" si="37"/>
        <v>1</v>
      </c>
    </row>
    <row r="2375" spans="1:5" x14ac:dyDescent="0.25">
      <c r="A2375" s="7">
        <f>IF(E2375=1,
      SUM($E$2:E2375)-1,
"")</f>
        <v>2372</v>
      </c>
      <c r="B2375" s="6" t="s">
        <v>863</v>
      </c>
      <c r="C2375" s="14">
        <v>45183</v>
      </c>
      <c r="D2375" s="15">
        <v>121.38</v>
      </c>
      <c r="E2375" s="7">
        <f t="shared" si="37"/>
        <v>1</v>
      </c>
    </row>
    <row r="2376" spans="1:5" x14ac:dyDescent="0.25">
      <c r="A2376" s="7">
        <f>IF(E2376=1,
      SUM($E$2:E2376)-1,
"")</f>
        <v>2373</v>
      </c>
      <c r="B2376" s="6" t="s">
        <v>108</v>
      </c>
      <c r="C2376" s="14">
        <v>45076</v>
      </c>
      <c r="D2376" s="15">
        <v>87.64</v>
      </c>
      <c r="E2376" s="7">
        <f t="shared" si="37"/>
        <v>1</v>
      </c>
    </row>
    <row r="2377" spans="1:5" x14ac:dyDescent="0.25">
      <c r="A2377" s="7">
        <f>IF(E2377=1,
      SUM($E$2:E2377)-1,
"")</f>
        <v>2374</v>
      </c>
      <c r="B2377" s="6" t="s">
        <v>87</v>
      </c>
      <c r="C2377" s="14">
        <v>44935</v>
      </c>
      <c r="D2377" s="15">
        <v>102.53</v>
      </c>
      <c r="E2377" s="7">
        <f t="shared" si="37"/>
        <v>1</v>
      </c>
    </row>
    <row r="2378" spans="1:5" x14ac:dyDescent="0.25">
      <c r="A2378" s="7">
        <f>IF(E2378=1,
      SUM($E$2:E2378)-1,
"")</f>
        <v>2375</v>
      </c>
      <c r="B2378" s="6" t="s">
        <v>967</v>
      </c>
      <c r="C2378" s="14">
        <v>45187</v>
      </c>
      <c r="D2378" s="15">
        <v>113.1</v>
      </c>
      <c r="E2378" s="7">
        <f t="shared" si="37"/>
        <v>1</v>
      </c>
    </row>
    <row r="2379" spans="1:5" x14ac:dyDescent="0.25">
      <c r="A2379" s="7">
        <f>IF(E2379=1,
      SUM($E$2:E2379)-1,
"")</f>
        <v>2376</v>
      </c>
      <c r="B2379" s="6" t="s">
        <v>890</v>
      </c>
      <c r="C2379" s="14">
        <v>45246</v>
      </c>
      <c r="D2379" s="15">
        <v>67.5</v>
      </c>
      <c r="E2379" s="7">
        <f t="shared" si="37"/>
        <v>1</v>
      </c>
    </row>
    <row r="2380" spans="1:5" x14ac:dyDescent="0.25">
      <c r="A2380" s="7">
        <f>IF(E2380=1,
      SUM($E$2:E2380)-1,
"")</f>
        <v>2377</v>
      </c>
      <c r="B2380" s="6" t="s">
        <v>567</v>
      </c>
      <c r="C2380" s="14">
        <v>45112</v>
      </c>
      <c r="D2380" s="15">
        <v>108.22</v>
      </c>
      <c r="E2380" s="7">
        <f t="shared" si="37"/>
        <v>1</v>
      </c>
    </row>
    <row r="2381" spans="1:5" x14ac:dyDescent="0.25">
      <c r="A2381" s="7">
        <f>IF(E2381=1,
      SUM($E$2:E2381)-1,
"")</f>
        <v>2378</v>
      </c>
      <c r="B2381" s="6" t="s">
        <v>968</v>
      </c>
      <c r="C2381" s="14">
        <v>45229</v>
      </c>
      <c r="D2381" s="15">
        <v>19.34</v>
      </c>
      <c r="E2381" s="7">
        <f t="shared" si="37"/>
        <v>1</v>
      </c>
    </row>
    <row r="2382" spans="1:5" x14ac:dyDescent="0.25">
      <c r="A2382" s="7">
        <f>IF(E2382=1,
      SUM($E$2:E2382)-1,
"")</f>
        <v>2379</v>
      </c>
      <c r="B2382" s="6" t="s">
        <v>110</v>
      </c>
      <c r="C2382" s="14">
        <v>45047</v>
      </c>
      <c r="D2382" s="15">
        <v>81.95</v>
      </c>
      <c r="E2382" s="7">
        <f t="shared" si="37"/>
        <v>1</v>
      </c>
    </row>
    <row r="2383" spans="1:5" x14ac:dyDescent="0.25">
      <c r="A2383" s="7">
        <f>IF(E2383=1,
      SUM($E$2:E2383)-1,
"")</f>
        <v>2380</v>
      </c>
      <c r="B2383" s="6" t="s">
        <v>930</v>
      </c>
      <c r="C2383" s="14">
        <v>45049</v>
      </c>
      <c r="D2383" s="15">
        <v>116.32</v>
      </c>
      <c r="E2383" s="7">
        <f t="shared" si="37"/>
        <v>1</v>
      </c>
    </row>
    <row r="2384" spans="1:5" x14ac:dyDescent="0.25">
      <c r="A2384" s="7">
        <f>IF(E2384=1,
      SUM($E$2:E2384)-1,
"")</f>
        <v>2381</v>
      </c>
      <c r="B2384" s="6" t="s">
        <v>505</v>
      </c>
      <c r="C2384" s="14">
        <v>44973</v>
      </c>
      <c r="D2384" s="15">
        <v>133.61000000000001</v>
      </c>
      <c r="E2384" s="7">
        <f t="shared" si="37"/>
        <v>1</v>
      </c>
    </row>
    <row r="2385" spans="1:5" x14ac:dyDescent="0.25">
      <c r="A2385" s="7">
        <f>IF(E2385=1,
      SUM($E$2:E2385)-1,
"")</f>
        <v>2382</v>
      </c>
      <c r="B2385" s="6" t="s">
        <v>960</v>
      </c>
      <c r="C2385" s="14">
        <v>45206</v>
      </c>
      <c r="D2385" s="15">
        <v>114.18</v>
      </c>
      <c r="E2385" s="7">
        <f t="shared" si="37"/>
        <v>1</v>
      </c>
    </row>
    <row r="2386" spans="1:5" x14ac:dyDescent="0.25">
      <c r="A2386" s="7">
        <f>IF(E2386=1,
      SUM($E$2:E2386)-1,
"")</f>
        <v>2383</v>
      </c>
      <c r="B2386" s="6" t="s">
        <v>81</v>
      </c>
      <c r="C2386" s="14">
        <v>45076</v>
      </c>
      <c r="D2386" s="15">
        <v>58.29</v>
      </c>
      <c r="E2386" s="7">
        <f t="shared" si="37"/>
        <v>1</v>
      </c>
    </row>
    <row r="2387" spans="1:5" x14ac:dyDescent="0.25">
      <c r="A2387" s="7">
        <f>IF(E2387=1,
      SUM($E$2:E2387)-1,
"")</f>
        <v>2384</v>
      </c>
      <c r="B2387" s="6" t="s">
        <v>716</v>
      </c>
      <c r="C2387" s="14">
        <v>45286</v>
      </c>
      <c r="D2387" s="15">
        <v>130.99</v>
      </c>
      <c r="E2387" s="7">
        <f t="shared" si="37"/>
        <v>1</v>
      </c>
    </row>
    <row r="2388" spans="1:5" x14ac:dyDescent="0.25">
      <c r="A2388" s="7">
        <f>IF(E2388=1,
      SUM($E$2:E2388)-1,
"")</f>
        <v>2385</v>
      </c>
      <c r="B2388" s="6" t="s">
        <v>119</v>
      </c>
      <c r="C2388" s="14">
        <v>45015</v>
      </c>
      <c r="D2388" s="15">
        <v>65.83</v>
      </c>
      <c r="E2388" s="7">
        <f t="shared" si="37"/>
        <v>1</v>
      </c>
    </row>
    <row r="2389" spans="1:5" x14ac:dyDescent="0.25">
      <c r="A2389" s="7">
        <f>IF(E2389=1,
      SUM($E$2:E2389)-1,
"")</f>
        <v>2386</v>
      </c>
      <c r="B2389" s="6" t="s">
        <v>584</v>
      </c>
      <c r="C2389" s="14">
        <v>44956</v>
      </c>
      <c r="D2389" s="15">
        <v>118.43</v>
      </c>
      <c r="E2389" s="7">
        <f t="shared" si="37"/>
        <v>1</v>
      </c>
    </row>
    <row r="2390" spans="1:5" x14ac:dyDescent="0.25">
      <c r="A2390" s="7">
        <f>IF(E2390=1,
      SUM($E$2:E2390)-1,
"")</f>
        <v>2387</v>
      </c>
      <c r="B2390" s="6" t="s">
        <v>347</v>
      </c>
      <c r="C2390" s="14">
        <v>45083</v>
      </c>
      <c r="D2390" s="15">
        <v>66.819999999999993</v>
      </c>
      <c r="E2390" s="7">
        <f t="shared" si="37"/>
        <v>1</v>
      </c>
    </row>
    <row r="2391" spans="1:5" x14ac:dyDescent="0.25">
      <c r="A2391" s="7">
        <f>IF(E2391=1,
      SUM($E$2:E2391)-1,
"")</f>
        <v>2388</v>
      </c>
      <c r="B2391" s="6" t="s">
        <v>863</v>
      </c>
      <c r="C2391" s="14">
        <v>45124</v>
      </c>
      <c r="D2391" s="15">
        <v>76.8</v>
      </c>
      <c r="E2391" s="7">
        <f t="shared" si="37"/>
        <v>1</v>
      </c>
    </row>
    <row r="2392" spans="1:5" x14ac:dyDescent="0.25">
      <c r="A2392" s="7">
        <f>IF(E2392=1,
      SUM($E$2:E2392)-1,
"")</f>
        <v>2389</v>
      </c>
      <c r="B2392" s="6" t="s">
        <v>492</v>
      </c>
      <c r="C2392" s="14">
        <v>44963</v>
      </c>
      <c r="D2392" s="15">
        <v>71.31</v>
      </c>
      <c r="E2392" s="7">
        <f t="shared" si="37"/>
        <v>1</v>
      </c>
    </row>
    <row r="2393" spans="1:5" x14ac:dyDescent="0.25">
      <c r="A2393" s="7">
        <f>IF(E2393=1,
      SUM($E$2:E2393)-1,
"")</f>
        <v>2390</v>
      </c>
      <c r="B2393" s="6" t="s">
        <v>377</v>
      </c>
      <c r="C2393" s="14">
        <v>45155</v>
      </c>
      <c r="D2393" s="15">
        <v>104.17</v>
      </c>
      <c r="E2393" s="7">
        <f t="shared" si="37"/>
        <v>1</v>
      </c>
    </row>
    <row r="2394" spans="1:5" x14ac:dyDescent="0.25">
      <c r="A2394" s="7">
        <f>IF(E2394=1,
      SUM($E$2:E2394)-1,
"")</f>
        <v>2391</v>
      </c>
      <c r="B2394" s="6" t="s">
        <v>272</v>
      </c>
      <c r="C2394" s="14">
        <v>44987</v>
      </c>
      <c r="D2394" s="15">
        <v>94.13</v>
      </c>
      <c r="E2394" s="7">
        <f t="shared" si="37"/>
        <v>1</v>
      </c>
    </row>
    <row r="2395" spans="1:5" x14ac:dyDescent="0.25">
      <c r="A2395" s="7">
        <f>IF(E2395=1,
      SUM($E$2:E2395)-1,
"")</f>
        <v>2392</v>
      </c>
      <c r="B2395" s="6" t="s">
        <v>374</v>
      </c>
      <c r="C2395" s="14">
        <v>45063</v>
      </c>
      <c r="D2395" s="15">
        <v>115.27</v>
      </c>
      <c r="E2395" s="7">
        <f t="shared" si="37"/>
        <v>1</v>
      </c>
    </row>
    <row r="2396" spans="1:5" x14ac:dyDescent="0.25">
      <c r="A2396" s="7">
        <f>IF(E2396=1,
      SUM($E$2:E2396)-1,
"")</f>
        <v>2393</v>
      </c>
      <c r="B2396" s="6" t="s">
        <v>310</v>
      </c>
      <c r="C2396" s="14">
        <v>44985</v>
      </c>
      <c r="D2396" s="15">
        <v>99.44</v>
      </c>
      <c r="E2396" s="7">
        <f t="shared" si="37"/>
        <v>1</v>
      </c>
    </row>
    <row r="2397" spans="1:5" x14ac:dyDescent="0.25">
      <c r="A2397" s="7">
        <f>IF(E2397=1,
      SUM($E$2:E2397)-1,
"")</f>
        <v>2394</v>
      </c>
      <c r="B2397" s="6" t="s">
        <v>909</v>
      </c>
      <c r="C2397" s="14">
        <v>45132</v>
      </c>
      <c r="D2397" s="15">
        <v>54.46</v>
      </c>
      <c r="E2397" s="7">
        <f t="shared" si="37"/>
        <v>1</v>
      </c>
    </row>
    <row r="2398" spans="1:5" x14ac:dyDescent="0.25">
      <c r="A2398" s="7">
        <f>IF(E2398=1,
      SUM($E$2:E2398)-1,
"")</f>
        <v>2395</v>
      </c>
      <c r="B2398" s="6" t="s">
        <v>758</v>
      </c>
      <c r="C2398" s="14">
        <v>45292</v>
      </c>
      <c r="D2398" s="15">
        <v>108.27</v>
      </c>
      <c r="E2398" s="7">
        <f t="shared" si="37"/>
        <v>1</v>
      </c>
    </row>
    <row r="2399" spans="1:5" x14ac:dyDescent="0.25">
      <c r="A2399" s="7">
        <f>IF(E2399=1,
      SUM($E$2:E2399)-1,
"")</f>
        <v>2396</v>
      </c>
      <c r="B2399" s="6" t="s">
        <v>445</v>
      </c>
      <c r="C2399" s="14">
        <v>45057</v>
      </c>
      <c r="D2399" s="15">
        <v>47.14</v>
      </c>
      <c r="E2399" s="7">
        <f t="shared" si="37"/>
        <v>1</v>
      </c>
    </row>
    <row r="2400" spans="1:5" x14ac:dyDescent="0.25">
      <c r="A2400" s="7">
        <f>IF(E2400=1,
      SUM($E$2:E2400)-1,
"")</f>
        <v>2397</v>
      </c>
      <c r="B2400" s="6" t="s">
        <v>249</v>
      </c>
      <c r="C2400" s="14">
        <v>45105</v>
      </c>
      <c r="D2400" s="15">
        <v>73.48</v>
      </c>
      <c r="E2400" s="7">
        <f t="shared" si="37"/>
        <v>1</v>
      </c>
    </row>
    <row r="2401" spans="1:5" x14ac:dyDescent="0.25">
      <c r="A2401" s="7">
        <f>IF(E2401=1,
      SUM($E$2:E2401)-1,
"")</f>
        <v>2398</v>
      </c>
      <c r="B2401" s="6" t="s">
        <v>656</v>
      </c>
      <c r="C2401" s="14">
        <v>45289</v>
      </c>
      <c r="D2401" s="15">
        <v>89.08</v>
      </c>
      <c r="E2401" s="7">
        <f t="shared" si="37"/>
        <v>1</v>
      </c>
    </row>
    <row r="2402" spans="1:5" x14ac:dyDescent="0.25">
      <c r="A2402" s="7">
        <f>IF(E2402=1,
      SUM($E$2:E2402)-1,
"")</f>
        <v>2399</v>
      </c>
      <c r="B2402" s="6" t="s">
        <v>924</v>
      </c>
      <c r="C2402" s="14">
        <v>45161</v>
      </c>
      <c r="D2402" s="15">
        <v>87</v>
      </c>
      <c r="E2402" s="7">
        <f t="shared" si="37"/>
        <v>1</v>
      </c>
    </row>
    <row r="2403" spans="1:5" x14ac:dyDescent="0.25">
      <c r="A2403" s="7">
        <f>IF(E2403=1,
      SUM($E$2:E2403)-1,
"")</f>
        <v>2400</v>
      </c>
      <c r="B2403" s="6" t="s">
        <v>169</v>
      </c>
      <c r="C2403" s="14">
        <v>45075</v>
      </c>
      <c r="D2403" s="15">
        <v>50.58</v>
      </c>
      <c r="E2403" s="7">
        <f t="shared" si="37"/>
        <v>1</v>
      </c>
    </row>
    <row r="2404" spans="1:5" x14ac:dyDescent="0.25">
      <c r="A2404" s="7">
        <f>IF(E2404=1,
      SUM($E$2:E2404)-1,
"")</f>
        <v>2401</v>
      </c>
      <c r="B2404" s="6" t="s">
        <v>399</v>
      </c>
      <c r="C2404" s="14">
        <v>45033</v>
      </c>
      <c r="D2404" s="15">
        <v>141.13</v>
      </c>
      <c r="E2404" s="7">
        <f t="shared" si="37"/>
        <v>1</v>
      </c>
    </row>
    <row r="2405" spans="1:5" x14ac:dyDescent="0.25">
      <c r="A2405" s="7">
        <f>IF(E2405=1,
      SUM($E$2:E2405)-1,
"")</f>
        <v>2402</v>
      </c>
      <c r="B2405" s="6" t="s">
        <v>398</v>
      </c>
      <c r="C2405" s="14">
        <v>45292</v>
      </c>
      <c r="D2405" s="15">
        <v>149.44</v>
      </c>
      <c r="E2405" s="7">
        <f t="shared" si="37"/>
        <v>1</v>
      </c>
    </row>
    <row r="2406" spans="1:5" x14ac:dyDescent="0.25">
      <c r="A2406" s="7">
        <f>IF(E2406=1,
      SUM($E$2:E2406)-1,
"")</f>
        <v>2403</v>
      </c>
      <c r="B2406" s="6" t="s">
        <v>128</v>
      </c>
      <c r="C2406" s="14">
        <v>45222</v>
      </c>
      <c r="D2406" s="15">
        <v>167.52</v>
      </c>
      <c r="E2406" s="7">
        <f t="shared" si="37"/>
        <v>1</v>
      </c>
    </row>
    <row r="2407" spans="1:5" x14ac:dyDescent="0.25">
      <c r="A2407" s="7">
        <f>IF(E2407=1,
      SUM($E$2:E2407)-1,
"")</f>
        <v>2404</v>
      </c>
      <c r="B2407" s="6" t="s">
        <v>443</v>
      </c>
      <c r="C2407" s="14">
        <v>45115</v>
      </c>
      <c r="D2407" s="15">
        <v>134.43</v>
      </c>
      <c r="E2407" s="7">
        <f t="shared" si="37"/>
        <v>1</v>
      </c>
    </row>
    <row r="2408" spans="1:5" x14ac:dyDescent="0.25">
      <c r="A2408" s="7">
        <f>IF(E2408=1,
      SUM($E$2:E2408)-1,
"")</f>
        <v>2405</v>
      </c>
      <c r="B2408" s="6" t="s">
        <v>187</v>
      </c>
      <c r="C2408" s="14">
        <v>45104</v>
      </c>
      <c r="D2408" s="15">
        <v>88.14</v>
      </c>
      <c r="E2408" s="7">
        <f t="shared" si="37"/>
        <v>1</v>
      </c>
    </row>
    <row r="2409" spans="1:5" x14ac:dyDescent="0.25">
      <c r="A2409" s="7">
        <f>IF(E2409=1,
      SUM($E$2:E2409)-1,
"")</f>
        <v>2406</v>
      </c>
      <c r="B2409" s="6" t="s">
        <v>748</v>
      </c>
      <c r="C2409" s="14">
        <v>45002</v>
      </c>
      <c r="D2409" s="15">
        <v>87.62</v>
      </c>
      <c r="E2409" s="7">
        <f t="shared" si="37"/>
        <v>1</v>
      </c>
    </row>
    <row r="2410" spans="1:5" x14ac:dyDescent="0.25">
      <c r="A2410" s="7">
        <f>IF(E2410=1,
      SUM($E$2:E2410)-1,
"")</f>
        <v>2407</v>
      </c>
      <c r="B2410" s="6" t="s">
        <v>969</v>
      </c>
      <c r="C2410" s="14">
        <v>45285</v>
      </c>
      <c r="D2410" s="15">
        <v>85.96</v>
      </c>
      <c r="E2410" s="7">
        <f t="shared" si="37"/>
        <v>1</v>
      </c>
    </row>
    <row r="2411" spans="1:5" x14ac:dyDescent="0.25">
      <c r="A2411" s="7">
        <f>IF(E2411=1,
      SUM($E$2:E2411)-1,
"")</f>
        <v>2408</v>
      </c>
      <c r="B2411" s="6" t="s">
        <v>77</v>
      </c>
      <c r="C2411" s="14">
        <v>45040</v>
      </c>
      <c r="D2411" s="15">
        <v>159.57</v>
      </c>
      <c r="E2411" s="7">
        <f t="shared" si="37"/>
        <v>1</v>
      </c>
    </row>
    <row r="2412" spans="1:5" x14ac:dyDescent="0.25">
      <c r="A2412" s="7">
        <f>IF(E2412=1,
      SUM($E$2:E2412)-1,
"")</f>
        <v>2409</v>
      </c>
      <c r="B2412" s="6" t="s">
        <v>98</v>
      </c>
      <c r="C2412" s="14">
        <v>45001</v>
      </c>
      <c r="D2412" s="15">
        <v>96.53</v>
      </c>
      <c r="E2412" s="7">
        <f t="shared" si="37"/>
        <v>1</v>
      </c>
    </row>
    <row r="2413" spans="1:5" x14ac:dyDescent="0.25">
      <c r="A2413" s="7">
        <f>IF(E2413=1,
      SUM($E$2:E2413)-1,
"")</f>
        <v>2410</v>
      </c>
      <c r="B2413" s="6" t="s">
        <v>378</v>
      </c>
      <c r="C2413" s="14">
        <v>45049</v>
      </c>
      <c r="D2413" s="15">
        <v>138.08000000000001</v>
      </c>
      <c r="E2413" s="7">
        <f t="shared" si="37"/>
        <v>1</v>
      </c>
    </row>
    <row r="2414" spans="1:5" x14ac:dyDescent="0.25">
      <c r="A2414" s="7">
        <f>IF(E2414=1,
      SUM($E$2:E2414)-1,
"")</f>
        <v>2411</v>
      </c>
      <c r="B2414" s="6" t="s">
        <v>967</v>
      </c>
      <c r="C2414" s="14">
        <v>45170</v>
      </c>
      <c r="D2414" s="15">
        <v>135.74</v>
      </c>
      <c r="E2414" s="7">
        <f t="shared" si="37"/>
        <v>1</v>
      </c>
    </row>
    <row r="2415" spans="1:5" x14ac:dyDescent="0.25">
      <c r="A2415" s="7">
        <f>IF(E2415=1,
      SUM($E$2:E2415)-1,
"")</f>
        <v>2412</v>
      </c>
      <c r="B2415" s="6" t="s">
        <v>940</v>
      </c>
      <c r="C2415" s="14">
        <v>44994</v>
      </c>
      <c r="D2415" s="15">
        <v>105.69</v>
      </c>
      <c r="E2415" s="7">
        <f t="shared" si="37"/>
        <v>1</v>
      </c>
    </row>
    <row r="2416" spans="1:5" x14ac:dyDescent="0.25">
      <c r="A2416" s="7">
        <f>IF(E2416=1,
      SUM($E$2:E2416)-1,
"")</f>
        <v>2413</v>
      </c>
      <c r="B2416" s="6" t="s">
        <v>970</v>
      </c>
      <c r="C2416" s="14">
        <v>45010</v>
      </c>
      <c r="D2416" s="15">
        <v>56.45</v>
      </c>
      <c r="E2416" s="7">
        <f t="shared" si="37"/>
        <v>1</v>
      </c>
    </row>
    <row r="2417" spans="1:5" x14ac:dyDescent="0.25">
      <c r="A2417" s="7">
        <f>IF(E2417=1,
      SUM($E$2:E2417)-1,
"")</f>
        <v>2414</v>
      </c>
      <c r="B2417" s="6" t="s">
        <v>965</v>
      </c>
      <c r="C2417" s="14">
        <v>45261</v>
      </c>
      <c r="D2417" s="15">
        <v>97.18</v>
      </c>
      <c r="E2417" s="7">
        <f t="shared" si="37"/>
        <v>1</v>
      </c>
    </row>
    <row r="2418" spans="1:5" x14ac:dyDescent="0.25">
      <c r="A2418" s="7">
        <f>IF(E2418=1,
      SUM($E$2:E2418)-1,
"")</f>
        <v>2415</v>
      </c>
      <c r="B2418" s="6" t="s">
        <v>767</v>
      </c>
      <c r="C2418" s="14">
        <v>44959</v>
      </c>
      <c r="D2418" s="15">
        <v>104.41</v>
      </c>
      <c r="E2418" s="7">
        <f t="shared" si="37"/>
        <v>1</v>
      </c>
    </row>
    <row r="2419" spans="1:5" x14ac:dyDescent="0.25">
      <c r="A2419" s="7">
        <f>IF(E2419=1,
      SUM($E$2:E2419)-1,
"")</f>
        <v>2416</v>
      </c>
      <c r="B2419" s="6" t="s">
        <v>502</v>
      </c>
      <c r="C2419" s="14">
        <v>45147</v>
      </c>
      <c r="D2419" s="15">
        <v>138.34</v>
      </c>
      <c r="E2419" s="7">
        <f t="shared" si="37"/>
        <v>1</v>
      </c>
    </row>
    <row r="2420" spans="1:5" x14ac:dyDescent="0.25">
      <c r="A2420" s="7">
        <f>IF(E2420=1,
      SUM($E$2:E2420)-1,
"")</f>
        <v>2417</v>
      </c>
      <c r="B2420" s="6" t="s">
        <v>569</v>
      </c>
      <c r="C2420" s="14">
        <v>45137</v>
      </c>
      <c r="D2420" s="15">
        <v>100.58</v>
      </c>
      <c r="E2420" s="7">
        <f t="shared" si="37"/>
        <v>1</v>
      </c>
    </row>
    <row r="2421" spans="1:5" x14ac:dyDescent="0.25">
      <c r="A2421" s="7">
        <f>IF(E2421=1,
      SUM($E$2:E2421)-1,
"")</f>
        <v>2418</v>
      </c>
      <c r="B2421" s="6" t="s">
        <v>95</v>
      </c>
      <c r="C2421" s="14">
        <v>45277</v>
      </c>
      <c r="D2421" s="15">
        <v>63.74</v>
      </c>
      <c r="E2421" s="7">
        <f t="shared" si="37"/>
        <v>1</v>
      </c>
    </row>
    <row r="2422" spans="1:5" x14ac:dyDescent="0.25">
      <c r="A2422" s="7">
        <f>IF(E2422=1,
      SUM($E$2:E2422)-1,
"")</f>
        <v>2419</v>
      </c>
      <c r="B2422" s="6" t="s">
        <v>738</v>
      </c>
      <c r="C2422" s="14">
        <v>44938</v>
      </c>
      <c r="D2422" s="15">
        <v>129.63999999999999</v>
      </c>
      <c r="E2422" s="7">
        <f t="shared" si="37"/>
        <v>1</v>
      </c>
    </row>
    <row r="2423" spans="1:5" x14ac:dyDescent="0.25">
      <c r="A2423" s="7">
        <f>IF(E2423=1,
      SUM($E$2:E2423)-1,
"")</f>
        <v>2420</v>
      </c>
      <c r="B2423" s="6" t="s">
        <v>971</v>
      </c>
      <c r="C2423" s="14">
        <v>45246</v>
      </c>
      <c r="D2423" s="15">
        <v>93.17</v>
      </c>
      <c r="E2423" s="7">
        <f t="shared" si="37"/>
        <v>1</v>
      </c>
    </row>
    <row r="2424" spans="1:5" x14ac:dyDescent="0.25">
      <c r="A2424" s="7">
        <f>IF(E2424=1,
      SUM($E$2:E2424)-1,
"")</f>
        <v>2421</v>
      </c>
      <c r="B2424" s="6" t="s">
        <v>416</v>
      </c>
      <c r="C2424" s="14">
        <v>45042</v>
      </c>
      <c r="D2424" s="15">
        <v>23.64</v>
      </c>
      <c r="E2424" s="7">
        <f t="shared" si="37"/>
        <v>1</v>
      </c>
    </row>
    <row r="2425" spans="1:5" x14ac:dyDescent="0.25">
      <c r="A2425" s="7">
        <f>IF(E2425=1,
      SUM($E$2:E2425)-1,
"")</f>
        <v>2422</v>
      </c>
      <c r="B2425" s="6" t="s">
        <v>446</v>
      </c>
      <c r="C2425" s="14">
        <v>45106</v>
      </c>
      <c r="D2425" s="15">
        <v>109.75</v>
      </c>
      <c r="E2425" s="7">
        <f t="shared" si="37"/>
        <v>1</v>
      </c>
    </row>
    <row r="2426" spans="1:5" x14ac:dyDescent="0.25">
      <c r="A2426" s="7">
        <f>IF(E2426=1,
      SUM($E$2:E2426)-1,
"")</f>
        <v>2423</v>
      </c>
      <c r="B2426" s="6" t="s">
        <v>157</v>
      </c>
      <c r="C2426" s="14">
        <v>45262</v>
      </c>
      <c r="D2426" s="15">
        <v>115.02</v>
      </c>
      <c r="E2426" s="7">
        <f t="shared" si="37"/>
        <v>1</v>
      </c>
    </row>
    <row r="2427" spans="1:5" x14ac:dyDescent="0.25">
      <c r="A2427" s="7">
        <f>IF(E2427=1,
      SUM($E$2:E2427)-1,
"")</f>
        <v>2424</v>
      </c>
      <c r="B2427" s="6" t="s">
        <v>972</v>
      </c>
      <c r="C2427" s="14">
        <v>45033</v>
      </c>
      <c r="D2427" s="15">
        <v>74.709999999999994</v>
      </c>
      <c r="E2427" s="7">
        <f t="shared" si="37"/>
        <v>1</v>
      </c>
    </row>
    <row r="2428" spans="1:5" x14ac:dyDescent="0.25">
      <c r="A2428" s="7">
        <f>IF(E2428=1,
      SUM($E$2:E2428)-1,
"")</f>
        <v>2425</v>
      </c>
      <c r="B2428" s="6" t="s">
        <v>310</v>
      </c>
      <c r="C2428" s="14">
        <v>45276</v>
      </c>
      <c r="D2428" s="15">
        <v>94.24</v>
      </c>
      <c r="E2428" s="7">
        <f t="shared" si="37"/>
        <v>1</v>
      </c>
    </row>
    <row r="2429" spans="1:5" x14ac:dyDescent="0.25">
      <c r="A2429" s="7">
        <f>IF(E2429=1,
      SUM($E$2:E2429)-1,
"")</f>
        <v>2426</v>
      </c>
      <c r="B2429" s="6" t="s">
        <v>344</v>
      </c>
      <c r="C2429" s="14">
        <v>45254</v>
      </c>
      <c r="D2429" s="15">
        <v>119.73</v>
      </c>
      <c r="E2429" s="7">
        <f t="shared" si="37"/>
        <v>1</v>
      </c>
    </row>
    <row r="2430" spans="1:5" x14ac:dyDescent="0.25">
      <c r="A2430" s="7">
        <f>IF(E2430=1,
      SUM($E$2:E2430)-1,
"")</f>
        <v>2427</v>
      </c>
      <c r="B2430" s="6" t="s">
        <v>419</v>
      </c>
      <c r="C2430" s="14">
        <v>44989</v>
      </c>
      <c r="D2430" s="15">
        <v>109.95</v>
      </c>
      <c r="E2430" s="7">
        <f t="shared" si="37"/>
        <v>1</v>
      </c>
    </row>
    <row r="2431" spans="1:5" x14ac:dyDescent="0.25">
      <c r="A2431" s="7">
        <f>IF(E2431=1,
      SUM($E$2:E2431)-1,
"")</f>
        <v>2428</v>
      </c>
      <c r="B2431" s="6" t="s">
        <v>891</v>
      </c>
      <c r="C2431" s="14">
        <v>45254</v>
      </c>
      <c r="D2431" s="15">
        <v>53.12</v>
      </c>
      <c r="E2431" s="7">
        <f t="shared" si="37"/>
        <v>1</v>
      </c>
    </row>
    <row r="2432" spans="1:5" x14ac:dyDescent="0.25">
      <c r="A2432" s="7">
        <f>IF(E2432=1,
      SUM($E$2:E2432)-1,
"")</f>
        <v>2429</v>
      </c>
      <c r="B2432" s="6" t="s">
        <v>613</v>
      </c>
      <c r="C2432" s="14">
        <v>45161</v>
      </c>
      <c r="D2432" s="15">
        <v>137.61000000000001</v>
      </c>
      <c r="E2432" s="7">
        <f t="shared" si="37"/>
        <v>1</v>
      </c>
    </row>
    <row r="2433" spans="1:5" x14ac:dyDescent="0.25">
      <c r="A2433" s="7">
        <f>IF(E2433=1,
      SUM($E$2:E2433)-1,
"")</f>
        <v>2430</v>
      </c>
      <c r="B2433" s="6" t="s">
        <v>973</v>
      </c>
      <c r="C2433" s="14">
        <v>45263</v>
      </c>
      <c r="D2433" s="15">
        <v>151.19</v>
      </c>
      <c r="E2433" s="7">
        <f t="shared" si="37"/>
        <v>1</v>
      </c>
    </row>
    <row r="2434" spans="1:5" x14ac:dyDescent="0.25">
      <c r="A2434" s="7">
        <f>IF(E2434=1,
      SUM($E$2:E2434)-1,
"")</f>
        <v>2431</v>
      </c>
      <c r="B2434" s="6" t="s">
        <v>466</v>
      </c>
      <c r="C2434" s="14">
        <v>45135</v>
      </c>
      <c r="D2434" s="15">
        <v>84.69</v>
      </c>
      <c r="E2434" s="7">
        <f t="shared" ref="E2434:E2497" si="38">IF(D2434&gt;0,1,0)</f>
        <v>1</v>
      </c>
    </row>
    <row r="2435" spans="1:5" x14ac:dyDescent="0.25">
      <c r="A2435" s="7">
        <f>IF(E2435=1,
      SUM($E$2:E2435)-1,
"")</f>
        <v>2432</v>
      </c>
      <c r="B2435" s="6" t="s">
        <v>843</v>
      </c>
      <c r="C2435" s="14">
        <v>45015</v>
      </c>
      <c r="D2435" s="15">
        <v>42.7</v>
      </c>
      <c r="E2435" s="7">
        <f t="shared" si="38"/>
        <v>1</v>
      </c>
    </row>
    <row r="2436" spans="1:5" x14ac:dyDescent="0.25">
      <c r="A2436" s="7">
        <f>IF(E2436=1,
      SUM($E$2:E2436)-1,
"")</f>
        <v>2433</v>
      </c>
      <c r="B2436" s="6" t="s">
        <v>782</v>
      </c>
      <c r="C2436" s="14">
        <v>45090</v>
      </c>
      <c r="D2436" s="15">
        <v>123.13</v>
      </c>
      <c r="E2436" s="7">
        <f t="shared" si="38"/>
        <v>1</v>
      </c>
    </row>
    <row r="2437" spans="1:5" x14ac:dyDescent="0.25">
      <c r="A2437" s="7">
        <f>IF(E2437=1,
      SUM($E$2:E2437)-1,
"")</f>
        <v>2434</v>
      </c>
      <c r="B2437" s="6" t="s">
        <v>403</v>
      </c>
      <c r="C2437" s="14">
        <v>45227</v>
      </c>
      <c r="D2437" s="15">
        <v>79.81</v>
      </c>
      <c r="E2437" s="7">
        <f t="shared" si="38"/>
        <v>1</v>
      </c>
    </row>
    <row r="2438" spans="1:5" x14ac:dyDescent="0.25">
      <c r="A2438" s="7">
        <f>IF(E2438=1,
      SUM($E$2:E2438)-1,
"")</f>
        <v>2435</v>
      </c>
      <c r="B2438" s="6" t="s">
        <v>683</v>
      </c>
      <c r="C2438" s="14">
        <v>45185</v>
      </c>
      <c r="D2438" s="15">
        <v>116.06</v>
      </c>
      <c r="E2438" s="7">
        <f t="shared" si="38"/>
        <v>1</v>
      </c>
    </row>
    <row r="2439" spans="1:5" x14ac:dyDescent="0.25">
      <c r="A2439" s="7">
        <f>IF(E2439=1,
      SUM($E$2:E2439)-1,
"")</f>
        <v>2436</v>
      </c>
      <c r="B2439" s="6" t="s">
        <v>924</v>
      </c>
      <c r="C2439" s="14">
        <v>45025</v>
      </c>
      <c r="D2439" s="15">
        <v>166.07</v>
      </c>
      <c r="E2439" s="7">
        <f t="shared" si="38"/>
        <v>1</v>
      </c>
    </row>
    <row r="2440" spans="1:5" x14ac:dyDescent="0.25">
      <c r="A2440" s="7">
        <f>IF(E2440=1,
      SUM($E$2:E2440)-1,
"")</f>
        <v>2437</v>
      </c>
      <c r="B2440" s="6" t="s">
        <v>393</v>
      </c>
      <c r="C2440" s="14">
        <v>45071</v>
      </c>
      <c r="D2440" s="15">
        <v>53.61</v>
      </c>
      <c r="E2440" s="7">
        <f t="shared" si="38"/>
        <v>1</v>
      </c>
    </row>
    <row r="2441" spans="1:5" x14ac:dyDescent="0.25">
      <c r="A2441" s="7">
        <f>IF(E2441=1,
      SUM($E$2:E2441)-1,
"")</f>
        <v>2438</v>
      </c>
      <c r="B2441" s="6" t="s">
        <v>259</v>
      </c>
      <c r="C2441" s="14">
        <v>45001</v>
      </c>
      <c r="D2441" s="15">
        <v>76.099999999999994</v>
      </c>
      <c r="E2441" s="7">
        <f t="shared" si="38"/>
        <v>1</v>
      </c>
    </row>
    <row r="2442" spans="1:5" x14ac:dyDescent="0.25">
      <c r="A2442" s="7">
        <f>IF(E2442=1,
      SUM($E$2:E2442)-1,
"")</f>
        <v>2439</v>
      </c>
      <c r="B2442" s="6" t="s">
        <v>154</v>
      </c>
      <c r="C2442" s="14">
        <v>45275</v>
      </c>
      <c r="D2442" s="15">
        <v>94.17</v>
      </c>
      <c r="E2442" s="7">
        <f t="shared" si="38"/>
        <v>1</v>
      </c>
    </row>
    <row r="2443" spans="1:5" x14ac:dyDescent="0.25">
      <c r="A2443" s="7">
        <f>IF(E2443=1,
      SUM($E$2:E2443)-1,
"")</f>
        <v>2440</v>
      </c>
      <c r="B2443" s="6" t="s">
        <v>148</v>
      </c>
      <c r="C2443" s="14">
        <v>45203</v>
      </c>
      <c r="D2443" s="15">
        <v>138.75</v>
      </c>
      <c r="E2443" s="7">
        <f t="shared" si="38"/>
        <v>1</v>
      </c>
    </row>
    <row r="2444" spans="1:5" x14ac:dyDescent="0.25">
      <c r="A2444" s="7">
        <f>IF(E2444=1,
      SUM($E$2:E2444)-1,
"")</f>
        <v>2441</v>
      </c>
      <c r="B2444" s="6" t="s">
        <v>593</v>
      </c>
      <c r="C2444" s="14">
        <v>45112</v>
      </c>
      <c r="D2444" s="15">
        <v>206.67</v>
      </c>
      <c r="E2444" s="7">
        <f t="shared" si="38"/>
        <v>1</v>
      </c>
    </row>
    <row r="2445" spans="1:5" x14ac:dyDescent="0.25">
      <c r="A2445" s="7">
        <f>IF(E2445=1,
      SUM($E$2:E2445)-1,
"")</f>
        <v>2442</v>
      </c>
      <c r="B2445" s="6" t="s">
        <v>799</v>
      </c>
      <c r="C2445" s="14">
        <v>45038</v>
      </c>
      <c r="D2445" s="15">
        <v>107.41</v>
      </c>
      <c r="E2445" s="7">
        <f t="shared" si="38"/>
        <v>1</v>
      </c>
    </row>
    <row r="2446" spans="1:5" x14ac:dyDescent="0.25">
      <c r="A2446" s="7">
        <f>IF(E2446=1,
      SUM($E$2:E2446)-1,
"")</f>
        <v>2443</v>
      </c>
      <c r="B2446" s="6" t="s">
        <v>713</v>
      </c>
      <c r="C2446" s="14">
        <v>45040</v>
      </c>
      <c r="D2446" s="15">
        <v>51.03</v>
      </c>
      <c r="E2446" s="7">
        <f t="shared" si="38"/>
        <v>1</v>
      </c>
    </row>
    <row r="2447" spans="1:5" x14ac:dyDescent="0.25">
      <c r="A2447" s="7">
        <f>IF(E2447=1,
      SUM($E$2:E2447)-1,
"")</f>
        <v>2444</v>
      </c>
      <c r="B2447" s="6" t="s">
        <v>390</v>
      </c>
      <c r="C2447" s="14">
        <v>45036</v>
      </c>
      <c r="D2447" s="15">
        <v>89.63</v>
      </c>
      <c r="E2447" s="7">
        <f t="shared" si="38"/>
        <v>1</v>
      </c>
    </row>
    <row r="2448" spans="1:5" x14ac:dyDescent="0.25">
      <c r="A2448" s="7">
        <f>IF(E2448=1,
      SUM($E$2:E2448)-1,
"")</f>
        <v>2445</v>
      </c>
      <c r="B2448" s="6" t="s">
        <v>676</v>
      </c>
      <c r="C2448" s="14">
        <v>44947</v>
      </c>
      <c r="D2448" s="15">
        <v>76.75</v>
      </c>
      <c r="E2448" s="7">
        <f t="shared" si="38"/>
        <v>1</v>
      </c>
    </row>
    <row r="2449" spans="1:5" x14ac:dyDescent="0.25">
      <c r="A2449" s="7">
        <f>IF(E2449=1,
      SUM($E$2:E2449)-1,
"")</f>
        <v>2446</v>
      </c>
      <c r="B2449" s="6" t="s">
        <v>200</v>
      </c>
      <c r="C2449" s="14">
        <v>45206</v>
      </c>
      <c r="D2449" s="15">
        <v>121.65</v>
      </c>
      <c r="E2449" s="7">
        <f t="shared" si="38"/>
        <v>1</v>
      </c>
    </row>
    <row r="2450" spans="1:5" x14ac:dyDescent="0.25">
      <c r="A2450" s="7">
        <f>IF(E2450=1,
      SUM($E$2:E2450)-1,
"")</f>
        <v>2447</v>
      </c>
      <c r="B2450" s="6" t="s">
        <v>874</v>
      </c>
      <c r="C2450" s="14">
        <v>45203</v>
      </c>
      <c r="D2450" s="15">
        <v>111.31</v>
      </c>
      <c r="E2450" s="7">
        <f t="shared" si="38"/>
        <v>1</v>
      </c>
    </row>
    <row r="2451" spans="1:5" x14ac:dyDescent="0.25">
      <c r="A2451" s="7">
        <f>IF(E2451=1,
      SUM($E$2:E2451)-1,
"")</f>
        <v>2448</v>
      </c>
      <c r="B2451" s="6" t="s">
        <v>883</v>
      </c>
      <c r="C2451" s="14">
        <v>45056</v>
      </c>
      <c r="D2451" s="15">
        <v>68.75</v>
      </c>
      <c r="E2451" s="7">
        <f t="shared" si="38"/>
        <v>1</v>
      </c>
    </row>
    <row r="2452" spans="1:5" x14ac:dyDescent="0.25">
      <c r="A2452" s="7">
        <f>IF(E2452=1,
      SUM($E$2:E2452)-1,
"")</f>
        <v>2449</v>
      </c>
      <c r="B2452" s="6" t="s">
        <v>103</v>
      </c>
      <c r="C2452" s="14">
        <v>45223</v>
      </c>
      <c r="D2452" s="15">
        <v>75</v>
      </c>
      <c r="E2452" s="7">
        <f t="shared" si="38"/>
        <v>1</v>
      </c>
    </row>
    <row r="2453" spans="1:5" x14ac:dyDescent="0.25">
      <c r="A2453" s="7">
        <f>IF(E2453=1,
      SUM($E$2:E2453)-1,
"")</f>
        <v>2450</v>
      </c>
      <c r="B2453" s="6" t="s">
        <v>503</v>
      </c>
      <c r="C2453" s="14">
        <v>45249</v>
      </c>
      <c r="D2453" s="15">
        <v>89.2</v>
      </c>
      <c r="E2453" s="7">
        <f t="shared" si="38"/>
        <v>1</v>
      </c>
    </row>
    <row r="2454" spans="1:5" x14ac:dyDescent="0.25">
      <c r="A2454" s="7">
        <f>IF(E2454=1,
      SUM($E$2:E2454)-1,
"")</f>
        <v>2451</v>
      </c>
      <c r="B2454" s="6" t="s">
        <v>231</v>
      </c>
      <c r="C2454" s="14">
        <v>45093</v>
      </c>
      <c r="D2454" s="15">
        <v>92.82</v>
      </c>
      <c r="E2454" s="7">
        <f t="shared" si="38"/>
        <v>1</v>
      </c>
    </row>
    <row r="2455" spans="1:5" x14ac:dyDescent="0.25">
      <c r="A2455" s="7">
        <f>IF(E2455=1,
      SUM($E$2:E2455)-1,
"")</f>
        <v>2452</v>
      </c>
      <c r="B2455" s="6" t="s">
        <v>576</v>
      </c>
      <c r="C2455" s="14">
        <v>45141</v>
      </c>
      <c r="D2455" s="15">
        <v>98.73</v>
      </c>
      <c r="E2455" s="7">
        <f t="shared" si="38"/>
        <v>1</v>
      </c>
    </row>
    <row r="2456" spans="1:5" x14ac:dyDescent="0.25">
      <c r="A2456" s="7">
        <f>IF(E2456=1,
      SUM($E$2:E2456)-1,
"")</f>
        <v>2453</v>
      </c>
      <c r="B2456" s="6" t="s">
        <v>510</v>
      </c>
      <c r="C2456" s="14">
        <v>45207</v>
      </c>
      <c r="D2456" s="15">
        <v>101.47</v>
      </c>
      <c r="E2456" s="7">
        <f t="shared" si="38"/>
        <v>1</v>
      </c>
    </row>
    <row r="2457" spans="1:5" x14ac:dyDescent="0.25">
      <c r="A2457" s="7">
        <f>IF(E2457=1,
      SUM($E$2:E2457)-1,
"")</f>
        <v>2454</v>
      </c>
      <c r="B2457" s="6" t="s">
        <v>101</v>
      </c>
      <c r="C2457" s="14">
        <v>45274</v>
      </c>
      <c r="D2457" s="15">
        <v>137.05000000000001</v>
      </c>
      <c r="E2457" s="7">
        <f t="shared" si="38"/>
        <v>1</v>
      </c>
    </row>
    <row r="2458" spans="1:5" x14ac:dyDescent="0.25">
      <c r="A2458" s="7">
        <f>IF(E2458=1,
      SUM($E$2:E2458)-1,
"")</f>
        <v>2455</v>
      </c>
      <c r="B2458" s="6" t="s">
        <v>97</v>
      </c>
      <c r="C2458" s="14">
        <v>45192</v>
      </c>
      <c r="D2458" s="15">
        <v>88.11</v>
      </c>
      <c r="E2458" s="7">
        <f t="shared" si="38"/>
        <v>1</v>
      </c>
    </row>
    <row r="2459" spans="1:5" x14ac:dyDescent="0.25">
      <c r="A2459" s="7">
        <f>IF(E2459=1,
      SUM($E$2:E2459)-1,
"")</f>
        <v>2456</v>
      </c>
      <c r="B2459" s="6" t="s">
        <v>940</v>
      </c>
      <c r="C2459" s="14">
        <v>45198</v>
      </c>
      <c r="D2459" s="15">
        <v>83.69</v>
      </c>
      <c r="E2459" s="7">
        <f t="shared" si="38"/>
        <v>1</v>
      </c>
    </row>
    <row r="2460" spans="1:5" x14ac:dyDescent="0.25">
      <c r="A2460" s="7">
        <f>IF(E2460=1,
      SUM($E$2:E2460)-1,
"")</f>
        <v>2457</v>
      </c>
      <c r="B2460" s="6" t="s">
        <v>948</v>
      </c>
      <c r="C2460" s="14">
        <v>45039</v>
      </c>
      <c r="D2460" s="15">
        <v>59.84</v>
      </c>
      <c r="E2460" s="7">
        <f t="shared" si="38"/>
        <v>1</v>
      </c>
    </row>
    <row r="2461" spans="1:5" x14ac:dyDescent="0.25">
      <c r="A2461" s="7">
        <f>IF(E2461=1,
      SUM($E$2:E2461)-1,
"")</f>
        <v>2458</v>
      </c>
      <c r="B2461" s="6" t="s">
        <v>974</v>
      </c>
      <c r="C2461" s="14">
        <v>44936</v>
      </c>
      <c r="D2461" s="15">
        <v>93.28</v>
      </c>
      <c r="E2461" s="7">
        <f t="shared" si="38"/>
        <v>1</v>
      </c>
    </row>
    <row r="2462" spans="1:5" x14ac:dyDescent="0.25">
      <c r="A2462" s="7">
        <f>IF(E2462=1,
      SUM($E$2:E2462)-1,
"")</f>
        <v>2459</v>
      </c>
      <c r="B2462" s="6" t="s">
        <v>705</v>
      </c>
      <c r="C2462" s="14">
        <v>45263</v>
      </c>
      <c r="D2462" s="15">
        <v>107.69</v>
      </c>
      <c r="E2462" s="7">
        <f t="shared" si="38"/>
        <v>1</v>
      </c>
    </row>
    <row r="2463" spans="1:5" x14ac:dyDescent="0.25">
      <c r="A2463" s="7">
        <f>IF(E2463=1,
      SUM($E$2:E2463)-1,
"")</f>
        <v>2460</v>
      </c>
      <c r="B2463" s="6" t="s">
        <v>894</v>
      </c>
      <c r="C2463" s="14">
        <v>45044</v>
      </c>
      <c r="D2463" s="15">
        <v>48.28</v>
      </c>
      <c r="E2463" s="7">
        <f t="shared" si="38"/>
        <v>1</v>
      </c>
    </row>
    <row r="2464" spans="1:5" x14ac:dyDescent="0.25">
      <c r="A2464" s="7">
        <f>IF(E2464=1,
      SUM($E$2:E2464)-1,
"")</f>
        <v>2461</v>
      </c>
      <c r="B2464" s="6" t="s">
        <v>79</v>
      </c>
      <c r="C2464" s="14">
        <v>45260</v>
      </c>
      <c r="D2464" s="15">
        <v>89.73</v>
      </c>
      <c r="E2464" s="7">
        <f t="shared" si="38"/>
        <v>1</v>
      </c>
    </row>
    <row r="2465" spans="1:5" x14ac:dyDescent="0.25">
      <c r="A2465" s="7">
        <f>IF(E2465=1,
      SUM($E$2:E2465)-1,
"")</f>
        <v>2462</v>
      </c>
      <c r="B2465" s="6" t="s">
        <v>745</v>
      </c>
      <c r="C2465" s="14">
        <v>45064</v>
      </c>
      <c r="D2465" s="15">
        <v>134.81</v>
      </c>
      <c r="E2465" s="7">
        <f t="shared" si="38"/>
        <v>1</v>
      </c>
    </row>
    <row r="2466" spans="1:5" x14ac:dyDescent="0.25">
      <c r="A2466" s="7">
        <f>IF(E2466=1,
      SUM($E$2:E2466)-1,
"")</f>
        <v>2463</v>
      </c>
      <c r="B2466" s="6" t="s">
        <v>135</v>
      </c>
      <c r="C2466" s="14">
        <v>45281</v>
      </c>
      <c r="D2466" s="15">
        <v>119.45</v>
      </c>
      <c r="E2466" s="7">
        <f t="shared" si="38"/>
        <v>1</v>
      </c>
    </row>
    <row r="2467" spans="1:5" x14ac:dyDescent="0.25">
      <c r="A2467" s="7">
        <f>IF(E2467=1,
      SUM($E$2:E2467)-1,
"")</f>
        <v>2464</v>
      </c>
      <c r="B2467" s="6" t="s">
        <v>363</v>
      </c>
      <c r="C2467" s="14">
        <v>45175</v>
      </c>
      <c r="D2467" s="15">
        <v>111.2</v>
      </c>
      <c r="E2467" s="7">
        <f t="shared" si="38"/>
        <v>1</v>
      </c>
    </row>
    <row r="2468" spans="1:5" x14ac:dyDescent="0.25">
      <c r="A2468" s="7">
        <f>IF(E2468=1,
      SUM($E$2:E2468)-1,
"")</f>
        <v>2465</v>
      </c>
      <c r="B2468" s="6" t="s">
        <v>776</v>
      </c>
      <c r="C2468" s="14">
        <v>44943</v>
      </c>
      <c r="D2468" s="15">
        <v>118.64</v>
      </c>
      <c r="E2468" s="7">
        <f t="shared" si="38"/>
        <v>1</v>
      </c>
    </row>
    <row r="2469" spans="1:5" x14ac:dyDescent="0.25">
      <c r="A2469" s="7">
        <f>IF(E2469=1,
      SUM($E$2:E2469)-1,
"")</f>
        <v>2466</v>
      </c>
      <c r="B2469" s="6" t="s">
        <v>184</v>
      </c>
      <c r="C2469" s="14">
        <v>45138</v>
      </c>
      <c r="D2469" s="15">
        <v>82.79</v>
      </c>
      <c r="E2469" s="7">
        <f t="shared" si="38"/>
        <v>1</v>
      </c>
    </row>
    <row r="2470" spans="1:5" x14ac:dyDescent="0.25">
      <c r="A2470" s="7">
        <f>IF(E2470=1,
      SUM($E$2:E2470)-1,
"")</f>
        <v>2467</v>
      </c>
      <c r="B2470" s="6" t="s">
        <v>941</v>
      </c>
      <c r="C2470" s="14">
        <v>45047</v>
      </c>
      <c r="D2470" s="15">
        <v>78.790000000000006</v>
      </c>
      <c r="E2470" s="7">
        <f t="shared" si="38"/>
        <v>1</v>
      </c>
    </row>
    <row r="2471" spans="1:5" x14ac:dyDescent="0.25">
      <c r="A2471" s="7">
        <f>IF(E2471=1,
      SUM($E$2:E2471)-1,
"")</f>
        <v>2468</v>
      </c>
      <c r="B2471" s="6" t="s">
        <v>975</v>
      </c>
      <c r="C2471" s="14">
        <v>44961</v>
      </c>
      <c r="D2471" s="15">
        <v>138.16</v>
      </c>
      <c r="E2471" s="7">
        <f t="shared" si="38"/>
        <v>1</v>
      </c>
    </row>
    <row r="2472" spans="1:5" x14ac:dyDescent="0.25">
      <c r="A2472" s="7">
        <f>IF(E2472=1,
      SUM($E$2:E2472)-1,
"")</f>
        <v>2469</v>
      </c>
      <c r="B2472" s="6" t="s">
        <v>432</v>
      </c>
      <c r="C2472" s="14">
        <v>45046</v>
      </c>
      <c r="D2472" s="15">
        <v>124.86</v>
      </c>
      <c r="E2472" s="7">
        <f t="shared" si="38"/>
        <v>1</v>
      </c>
    </row>
    <row r="2473" spans="1:5" x14ac:dyDescent="0.25">
      <c r="A2473" s="7">
        <f>IF(E2473=1,
      SUM($E$2:E2473)-1,
"")</f>
        <v>2470</v>
      </c>
      <c r="B2473" s="6" t="s">
        <v>727</v>
      </c>
      <c r="C2473" s="14">
        <v>45264</v>
      </c>
      <c r="D2473" s="15">
        <v>77.61</v>
      </c>
      <c r="E2473" s="7">
        <f t="shared" si="38"/>
        <v>1</v>
      </c>
    </row>
    <row r="2474" spans="1:5" x14ac:dyDescent="0.25">
      <c r="A2474" s="7">
        <f>IF(E2474=1,
      SUM($E$2:E2474)-1,
"")</f>
        <v>2471</v>
      </c>
      <c r="B2474" s="6" t="s">
        <v>976</v>
      </c>
      <c r="C2474" s="14">
        <v>45132</v>
      </c>
      <c r="D2474" s="15">
        <v>43.64</v>
      </c>
      <c r="E2474" s="7">
        <f t="shared" si="38"/>
        <v>1</v>
      </c>
    </row>
    <row r="2475" spans="1:5" x14ac:dyDescent="0.25">
      <c r="A2475" s="7">
        <f>IF(E2475=1,
      SUM($E$2:E2475)-1,
"")</f>
        <v>2472</v>
      </c>
      <c r="B2475" s="6" t="s">
        <v>835</v>
      </c>
      <c r="C2475" s="14">
        <v>45058</v>
      </c>
      <c r="D2475" s="15">
        <v>78.23</v>
      </c>
      <c r="E2475" s="7">
        <f t="shared" si="38"/>
        <v>1</v>
      </c>
    </row>
    <row r="2476" spans="1:5" x14ac:dyDescent="0.25">
      <c r="A2476" s="7">
        <f>IF(E2476=1,
      SUM($E$2:E2476)-1,
"")</f>
        <v>2473</v>
      </c>
      <c r="B2476" s="6" t="s">
        <v>639</v>
      </c>
      <c r="C2476" s="14">
        <v>45103</v>
      </c>
      <c r="D2476" s="15">
        <v>116.31</v>
      </c>
      <c r="E2476" s="7">
        <f t="shared" si="38"/>
        <v>1</v>
      </c>
    </row>
    <row r="2477" spans="1:5" x14ac:dyDescent="0.25">
      <c r="A2477" s="7">
        <f>IF(E2477=1,
      SUM($E$2:E2477)-1,
"")</f>
        <v>2474</v>
      </c>
      <c r="B2477" s="6" t="s">
        <v>580</v>
      </c>
      <c r="C2477" s="14">
        <v>45176</v>
      </c>
      <c r="D2477" s="15">
        <v>80.25</v>
      </c>
      <c r="E2477" s="7">
        <f t="shared" si="38"/>
        <v>1</v>
      </c>
    </row>
    <row r="2478" spans="1:5" x14ac:dyDescent="0.25">
      <c r="A2478" s="7">
        <f>IF(E2478=1,
      SUM($E$2:E2478)-1,
"")</f>
        <v>2475</v>
      </c>
      <c r="B2478" s="6" t="s">
        <v>402</v>
      </c>
      <c r="C2478" s="14">
        <v>45022</v>
      </c>
      <c r="D2478" s="15">
        <v>109.9</v>
      </c>
      <c r="E2478" s="7">
        <f t="shared" si="38"/>
        <v>1</v>
      </c>
    </row>
    <row r="2479" spans="1:5" x14ac:dyDescent="0.25">
      <c r="A2479" s="7">
        <f>IF(E2479=1,
      SUM($E$2:E2479)-1,
"")</f>
        <v>2476</v>
      </c>
      <c r="B2479" s="6" t="s">
        <v>914</v>
      </c>
      <c r="C2479" s="14">
        <v>45035</v>
      </c>
      <c r="D2479" s="15">
        <v>142.59</v>
      </c>
      <c r="E2479" s="7">
        <f t="shared" si="38"/>
        <v>1</v>
      </c>
    </row>
    <row r="2480" spans="1:5" x14ac:dyDescent="0.25">
      <c r="A2480" s="7">
        <f>IF(E2480=1,
      SUM($E$2:E2480)-1,
"")</f>
        <v>2477</v>
      </c>
      <c r="B2480" s="6" t="s">
        <v>775</v>
      </c>
      <c r="C2480" s="14">
        <v>45113</v>
      </c>
      <c r="D2480" s="15">
        <v>97.21</v>
      </c>
      <c r="E2480" s="7">
        <f t="shared" si="38"/>
        <v>1</v>
      </c>
    </row>
    <row r="2481" spans="1:5" x14ac:dyDescent="0.25">
      <c r="A2481" s="7">
        <f>IF(E2481=1,
      SUM($E$2:E2481)-1,
"")</f>
        <v>2478</v>
      </c>
      <c r="B2481" s="6" t="s">
        <v>208</v>
      </c>
      <c r="C2481" s="14">
        <v>45121</v>
      </c>
      <c r="D2481" s="15">
        <v>107.02</v>
      </c>
      <c r="E2481" s="7">
        <f t="shared" si="38"/>
        <v>1</v>
      </c>
    </row>
    <row r="2482" spans="1:5" x14ac:dyDescent="0.25">
      <c r="A2482" s="7">
        <f>IF(E2482=1,
      SUM($E$2:E2482)-1,
"")</f>
        <v>2479</v>
      </c>
      <c r="B2482" s="6" t="s">
        <v>358</v>
      </c>
      <c r="C2482" s="14">
        <v>45019</v>
      </c>
      <c r="D2482" s="15">
        <v>120.55</v>
      </c>
      <c r="E2482" s="7">
        <f t="shared" si="38"/>
        <v>1</v>
      </c>
    </row>
    <row r="2483" spans="1:5" x14ac:dyDescent="0.25">
      <c r="A2483" s="7">
        <f>IF(E2483=1,
      SUM($E$2:E2483)-1,
"")</f>
        <v>2480</v>
      </c>
      <c r="B2483" s="6" t="s">
        <v>753</v>
      </c>
      <c r="C2483" s="14">
        <v>45034</v>
      </c>
      <c r="D2483" s="15">
        <v>67.540000000000006</v>
      </c>
      <c r="E2483" s="7">
        <f t="shared" si="38"/>
        <v>1</v>
      </c>
    </row>
    <row r="2484" spans="1:5" x14ac:dyDescent="0.25">
      <c r="A2484" s="7">
        <f>IF(E2484=1,
      SUM($E$2:E2484)-1,
"")</f>
        <v>2481</v>
      </c>
      <c r="B2484" s="6" t="s">
        <v>251</v>
      </c>
      <c r="C2484" s="14">
        <v>45158</v>
      </c>
      <c r="D2484" s="15">
        <v>76.81</v>
      </c>
      <c r="E2484" s="7">
        <f t="shared" si="38"/>
        <v>1</v>
      </c>
    </row>
    <row r="2485" spans="1:5" x14ac:dyDescent="0.25">
      <c r="A2485" s="7">
        <f>IF(E2485=1,
      SUM($E$2:E2485)-1,
"")</f>
        <v>2482</v>
      </c>
      <c r="B2485" s="6" t="s">
        <v>88</v>
      </c>
      <c r="C2485" s="14">
        <v>45122</v>
      </c>
      <c r="D2485" s="15">
        <v>121.78</v>
      </c>
      <c r="E2485" s="7">
        <f t="shared" si="38"/>
        <v>1</v>
      </c>
    </row>
    <row r="2486" spans="1:5" x14ac:dyDescent="0.25">
      <c r="A2486" s="7">
        <f>IF(E2486=1,
      SUM($E$2:E2486)-1,
"")</f>
        <v>2483</v>
      </c>
      <c r="B2486" s="6" t="s">
        <v>977</v>
      </c>
      <c r="C2486" s="14">
        <v>45083</v>
      </c>
      <c r="D2486" s="15">
        <v>101.11</v>
      </c>
      <c r="E2486" s="7">
        <f t="shared" si="38"/>
        <v>1</v>
      </c>
    </row>
    <row r="2487" spans="1:5" x14ac:dyDescent="0.25">
      <c r="A2487" s="7">
        <f>IF(E2487=1,
      SUM($E$2:E2487)-1,
"")</f>
        <v>2484</v>
      </c>
      <c r="B2487" s="6" t="s">
        <v>328</v>
      </c>
      <c r="C2487" s="14">
        <v>45057</v>
      </c>
      <c r="D2487" s="15">
        <v>103.65</v>
      </c>
      <c r="E2487" s="7">
        <f t="shared" si="38"/>
        <v>1</v>
      </c>
    </row>
    <row r="2488" spans="1:5" x14ac:dyDescent="0.25">
      <c r="A2488" s="7">
        <f>IF(E2488=1,
      SUM($E$2:E2488)-1,
"")</f>
        <v>2485</v>
      </c>
      <c r="B2488" s="6" t="s">
        <v>622</v>
      </c>
      <c r="C2488" s="14">
        <v>45107</v>
      </c>
      <c r="D2488" s="15">
        <v>101</v>
      </c>
      <c r="E2488" s="7">
        <f t="shared" si="38"/>
        <v>1</v>
      </c>
    </row>
    <row r="2489" spans="1:5" x14ac:dyDescent="0.25">
      <c r="A2489" s="7">
        <f>IF(E2489=1,
      SUM($E$2:E2489)-1,
"")</f>
        <v>2486</v>
      </c>
      <c r="B2489" s="6" t="s">
        <v>938</v>
      </c>
      <c r="C2489" s="14">
        <v>44929</v>
      </c>
      <c r="D2489" s="15">
        <v>129.35</v>
      </c>
      <c r="E2489" s="7">
        <f t="shared" si="38"/>
        <v>1</v>
      </c>
    </row>
    <row r="2490" spans="1:5" x14ac:dyDescent="0.25">
      <c r="A2490" s="7">
        <f>IF(E2490=1,
      SUM($E$2:E2490)-1,
"")</f>
        <v>2487</v>
      </c>
      <c r="B2490" s="6" t="s">
        <v>428</v>
      </c>
      <c r="C2490" s="14">
        <v>45198</v>
      </c>
      <c r="D2490" s="15">
        <v>113.07</v>
      </c>
      <c r="E2490" s="7">
        <f t="shared" si="38"/>
        <v>1</v>
      </c>
    </row>
    <row r="2491" spans="1:5" x14ac:dyDescent="0.25">
      <c r="A2491" s="7">
        <f>IF(E2491=1,
      SUM($E$2:E2491)-1,
"")</f>
        <v>2488</v>
      </c>
      <c r="B2491" s="6" t="s">
        <v>299</v>
      </c>
      <c r="C2491" s="14">
        <v>45282</v>
      </c>
      <c r="D2491" s="15">
        <v>113.46</v>
      </c>
      <c r="E2491" s="7">
        <f t="shared" si="38"/>
        <v>1</v>
      </c>
    </row>
    <row r="2492" spans="1:5" x14ac:dyDescent="0.25">
      <c r="A2492" s="7">
        <f>IF(E2492=1,
      SUM($E$2:E2492)-1,
"")</f>
        <v>2489</v>
      </c>
      <c r="B2492" s="6" t="s">
        <v>947</v>
      </c>
      <c r="C2492" s="14">
        <v>45225</v>
      </c>
      <c r="D2492" s="15">
        <v>136.66999999999999</v>
      </c>
      <c r="E2492" s="7">
        <f t="shared" si="38"/>
        <v>1</v>
      </c>
    </row>
    <row r="2493" spans="1:5" x14ac:dyDescent="0.25">
      <c r="A2493" s="7">
        <f>IF(E2493=1,
      SUM($E$2:E2493)-1,
"")</f>
        <v>2490</v>
      </c>
      <c r="B2493" s="6" t="s">
        <v>918</v>
      </c>
      <c r="C2493" s="14">
        <v>45083</v>
      </c>
      <c r="D2493" s="15">
        <v>148.19999999999999</v>
      </c>
      <c r="E2493" s="7">
        <f t="shared" si="38"/>
        <v>1</v>
      </c>
    </row>
    <row r="2494" spans="1:5" x14ac:dyDescent="0.25">
      <c r="A2494" s="7">
        <f>IF(E2494=1,
      SUM($E$2:E2494)-1,
"")</f>
        <v>2491</v>
      </c>
      <c r="B2494" s="6" t="s">
        <v>907</v>
      </c>
      <c r="C2494" s="14">
        <v>45097</v>
      </c>
      <c r="D2494" s="15">
        <v>167.31</v>
      </c>
      <c r="E2494" s="7">
        <f t="shared" si="38"/>
        <v>1</v>
      </c>
    </row>
    <row r="2495" spans="1:5" x14ac:dyDescent="0.25">
      <c r="A2495" s="7">
        <f>IF(E2495=1,
      SUM($E$2:E2495)-1,
"")</f>
        <v>2492</v>
      </c>
      <c r="B2495" s="6" t="s">
        <v>268</v>
      </c>
      <c r="C2495" s="14">
        <v>45195</v>
      </c>
      <c r="D2495" s="15">
        <v>82.63</v>
      </c>
      <c r="E2495" s="7">
        <f t="shared" si="38"/>
        <v>1</v>
      </c>
    </row>
    <row r="2496" spans="1:5" x14ac:dyDescent="0.25">
      <c r="A2496" s="7">
        <f>IF(E2496=1,
      SUM($E$2:E2496)-1,
"")</f>
        <v>2493</v>
      </c>
      <c r="B2496" s="6" t="s">
        <v>146</v>
      </c>
      <c r="C2496" s="14">
        <v>45200</v>
      </c>
      <c r="D2496" s="15">
        <v>174.08</v>
      </c>
      <c r="E2496" s="7">
        <f t="shared" si="38"/>
        <v>1</v>
      </c>
    </row>
    <row r="2497" spans="1:5" x14ac:dyDescent="0.25">
      <c r="A2497" s="7">
        <f>IF(E2497=1,
      SUM($E$2:E2497)-1,
"")</f>
        <v>2494</v>
      </c>
      <c r="B2497" s="6" t="s">
        <v>346</v>
      </c>
      <c r="C2497" s="14">
        <v>45271</v>
      </c>
      <c r="D2497" s="15">
        <v>67.099999999999994</v>
      </c>
      <c r="E2497" s="7">
        <f t="shared" si="38"/>
        <v>1</v>
      </c>
    </row>
    <row r="2498" spans="1:5" x14ac:dyDescent="0.25">
      <c r="A2498" s="7">
        <f>IF(E2498=1,
      SUM($E$2:E2498)-1,
"")</f>
        <v>2495</v>
      </c>
      <c r="B2498" s="6" t="s">
        <v>383</v>
      </c>
      <c r="C2498" s="14">
        <v>45121</v>
      </c>
      <c r="D2498" s="15">
        <v>158.06</v>
      </c>
      <c r="E2498" s="7">
        <f t="shared" ref="E2498:E2561" si="39">IF(D2498&gt;0,1,0)</f>
        <v>1</v>
      </c>
    </row>
    <row r="2499" spans="1:5" x14ac:dyDescent="0.25">
      <c r="A2499" s="7">
        <f>IF(E2499=1,
      SUM($E$2:E2499)-1,
"")</f>
        <v>2496</v>
      </c>
      <c r="B2499" s="6" t="s">
        <v>645</v>
      </c>
      <c r="C2499" s="14">
        <v>45159</v>
      </c>
      <c r="D2499" s="15">
        <v>80.98</v>
      </c>
      <c r="E2499" s="7">
        <f t="shared" si="39"/>
        <v>1</v>
      </c>
    </row>
    <row r="2500" spans="1:5" x14ac:dyDescent="0.25">
      <c r="A2500" s="7">
        <f>IF(E2500=1,
      SUM($E$2:E2500)-1,
"")</f>
        <v>2497</v>
      </c>
      <c r="B2500" s="6" t="s">
        <v>355</v>
      </c>
      <c r="C2500" s="14">
        <v>45268</v>
      </c>
      <c r="D2500" s="15">
        <v>97.93</v>
      </c>
      <c r="E2500" s="7">
        <f t="shared" si="39"/>
        <v>1</v>
      </c>
    </row>
    <row r="2501" spans="1:5" x14ac:dyDescent="0.25">
      <c r="A2501" s="7">
        <f>IF(E2501=1,
      SUM($E$2:E2501)-1,
"")</f>
        <v>2498</v>
      </c>
      <c r="B2501" s="6" t="s">
        <v>437</v>
      </c>
      <c r="C2501" s="14">
        <v>45108</v>
      </c>
      <c r="D2501" s="15">
        <v>100.56</v>
      </c>
      <c r="E2501" s="7">
        <f t="shared" si="39"/>
        <v>1</v>
      </c>
    </row>
    <row r="2502" spans="1:5" x14ac:dyDescent="0.25">
      <c r="A2502" s="7">
        <f>IF(E2502=1,
      SUM($E$2:E2502)-1,
"")</f>
        <v>2499</v>
      </c>
      <c r="B2502" s="6" t="s">
        <v>140</v>
      </c>
      <c r="C2502" s="14">
        <v>45208</v>
      </c>
      <c r="D2502" s="15">
        <v>73.989999999999995</v>
      </c>
      <c r="E2502" s="7">
        <f t="shared" si="39"/>
        <v>1</v>
      </c>
    </row>
    <row r="2503" spans="1:5" x14ac:dyDescent="0.25">
      <c r="A2503" s="7">
        <f>IF(E2503=1,
      SUM($E$2:E2503)-1,
"")</f>
        <v>2500</v>
      </c>
      <c r="B2503" s="6" t="s">
        <v>818</v>
      </c>
      <c r="C2503" s="14">
        <v>45238</v>
      </c>
      <c r="D2503" s="15">
        <v>102.6</v>
      </c>
      <c r="E2503" s="7">
        <f t="shared" si="39"/>
        <v>1</v>
      </c>
    </row>
    <row r="2504" spans="1:5" x14ac:dyDescent="0.25">
      <c r="A2504" s="7">
        <f>IF(E2504=1,
      SUM($E$2:E2504)-1,
"")</f>
        <v>2501</v>
      </c>
      <c r="B2504" s="6" t="s">
        <v>158</v>
      </c>
      <c r="C2504" s="14">
        <v>45042</v>
      </c>
      <c r="D2504" s="15">
        <v>75.540000000000006</v>
      </c>
      <c r="E2504" s="7">
        <f t="shared" si="39"/>
        <v>1</v>
      </c>
    </row>
    <row r="2505" spans="1:5" x14ac:dyDescent="0.25">
      <c r="A2505" s="7">
        <f>IF(E2505=1,
      SUM($E$2:E2505)-1,
"")</f>
        <v>2502</v>
      </c>
      <c r="B2505" s="6" t="s">
        <v>280</v>
      </c>
      <c r="C2505" s="14">
        <v>45149</v>
      </c>
      <c r="D2505" s="15">
        <v>62.95</v>
      </c>
      <c r="E2505" s="7">
        <f t="shared" si="39"/>
        <v>1</v>
      </c>
    </row>
    <row r="2506" spans="1:5" x14ac:dyDescent="0.25">
      <c r="A2506" s="7">
        <f>IF(E2506=1,
      SUM($E$2:E2506)-1,
"")</f>
        <v>2503</v>
      </c>
      <c r="B2506" s="6" t="s">
        <v>402</v>
      </c>
      <c r="C2506" s="14">
        <v>44942</v>
      </c>
      <c r="D2506" s="15">
        <v>98.84</v>
      </c>
      <c r="E2506" s="7">
        <f t="shared" si="39"/>
        <v>1</v>
      </c>
    </row>
    <row r="2507" spans="1:5" x14ac:dyDescent="0.25">
      <c r="A2507" s="7">
        <f>IF(E2507=1,
      SUM($E$2:E2507)-1,
"")</f>
        <v>2504</v>
      </c>
      <c r="B2507" s="6" t="s">
        <v>287</v>
      </c>
      <c r="C2507" s="14">
        <v>45126</v>
      </c>
      <c r="D2507" s="15">
        <v>147.69999999999999</v>
      </c>
      <c r="E2507" s="7">
        <f t="shared" si="39"/>
        <v>1</v>
      </c>
    </row>
    <row r="2508" spans="1:5" x14ac:dyDescent="0.25">
      <c r="A2508" s="7">
        <f>IF(E2508=1,
      SUM($E$2:E2508)-1,
"")</f>
        <v>2505</v>
      </c>
      <c r="B2508" s="6" t="s">
        <v>286</v>
      </c>
      <c r="C2508" s="14">
        <v>45069</v>
      </c>
      <c r="D2508" s="15">
        <v>92.38</v>
      </c>
      <c r="E2508" s="7">
        <f t="shared" si="39"/>
        <v>1</v>
      </c>
    </row>
    <row r="2509" spans="1:5" x14ac:dyDescent="0.25">
      <c r="A2509" s="7">
        <f>IF(E2509=1,
      SUM($E$2:E2509)-1,
"")</f>
        <v>2506</v>
      </c>
      <c r="B2509" s="6" t="s">
        <v>932</v>
      </c>
      <c r="C2509" s="14">
        <v>45073</v>
      </c>
      <c r="D2509" s="15">
        <v>128.22999999999999</v>
      </c>
      <c r="E2509" s="7">
        <f t="shared" si="39"/>
        <v>1</v>
      </c>
    </row>
    <row r="2510" spans="1:5" x14ac:dyDescent="0.25">
      <c r="A2510" s="7">
        <f>IF(E2510=1,
      SUM($E$2:E2510)-1,
"")</f>
        <v>2507</v>
      </c>
      <c r="B2510" s="6" t="s">
        <v>354</v>
      </c>
      <c r="C2510" s="14">
        <v>45114</v>
      </c>
      <c r="D2510" s="15">
        <v>74.63</v>
      </c>
      <c r="E2510" s="7">
        <f t="shared" si="39"/>
        <v>1</v>
      </c>
    </row>
    <row r="2511" spans="1:5" x14ac:dyDescent="0.25">
      <c r="A2511" s="7">
        <f>IF(E2511=1,
      SUM($E$2:E2511)-1,
"")</f>
        <v>2508</v>
      </c>
      <c r="B2511" s="6" t="s">
        <v>959</v>
      </c>
      <c r="C2511" s="14">
        <v>45174</v>
      </c>
      <c r="D2511" s="15">
        <v>61.5</v>
      </c>
      <c r="E2511" s="7">
        <f t="shared" si="39"/>
        <v>1</v>
      </c>
    </row>
    <row r="2512" spans="1:5" x14ac:dyDescent="0.25">
      <c r="A2512" s="7">
        <f>IF(E2512=1,
      SUM($E$2:E2512)-1,
"")</f>
        <v>2509</v>
      </c>
      <c r="B2512" s="6" t="s">
        <v>434</v>
      </c>
      <c r="C2512" s="14">
        <v>45028</v>
      </c>
      <c r="D2512" s="15">
        <v>113.62</v>
      </c>
      <c r="E2512" s="7">
        <f t="shared" si="39"/>
        <v>1</v>
      </c>
    </row>
    <row r="2513" spans="1:5" x14ac:dyDescent="0.25">
      <c r="A2513" s="7">
        <f>IF(E2513=1,
      SUM($E$2:E2513)-1,
"")</f>
        <v>2510</v>
      </c>
      <c r="B2513" s="6" t="s">
        <v>761</v>
      </c>
      <c r="C2513" s="14">
        <v>45143</v>
      </c>
      <c r="D2513" s="15">
        <v>152.66999999999999</v>
      </c>
      <c r="E2513" s="7">
        <f t="shared" si="39"/>
        <v>1</v>
      </c>
    </row>
    <row r="2514" spans="1:5" x14ac:dyDescent="0.25">
      <c r="A2514" s="7">
        <f>IF(E2514=1,
      SUM($E$2:E2514)-1,
"")</f>
        <v>2511</v>
      </c>
      <c r="B2514" s="6" t="s">
        <v>812</v>
      </c>
      <c r="C2514" s="14">
        <v>45078</v>
      </c>
      <c r="D2514" s="15">
        <v>106.27</v>
      </c>
      <c r="E2514" s="7">
        <f t="shared" si="39"/>
        <v>1</v>
      </c>
    </row>
    <row r="2515" spans="1:5" x14ac:dyDescent="0.25">
      <c r="A2515" s="7">
        <f>IF(E2515=1,
      SUM($E$2:E2515)-1,
"")</f>
        <v>2512</v>
      </c>
      <c r="B2515" s="6" t="s">
        <v>74</v>
      </c>
      <c r="C2515" s="14">
        <v>45096</v>
      </c>
      <c r="D2515" s="15">
        <v>124.8</v>
      </c>
      <c r="E2515" s="7">
        <f t="shared" si="39"/>
        <v>1</v>
      </c>
    </row>
    <row r="2516" spans="1:5" x14ac:dyDescent="0.25">
      <c r="A2516" s="7">
        <f>IF(E2516=1,
      SUM($E$2:E2516)-1,
"")</f>
        <v>2513</v>
      </c>
      <c r="B2516" s="6" t="s">
        <v>630</v>
      </c>
      <c r="C2516" s="14">
        <v>45251</v>
      </c>
      <c r="D2516" s="15">
        <v>144.85</v>
      </c>
      <c r="E2516" s="7">
        <f t="shared" si="39"/>
        <v>1</v>
      </c>
    </row>
    <row r="2517" spans="1:5" x14ac:dyDescent="0.25">
      <c r="A2517" s="7">
        <f>IF(E2517=1,
      SUM($E$2:E2517)-1,
"")</f>
        <v>2514</v>
      </c>
      <c r="B2517" s="6" t="s">
        <v>727</v>
      </c>
      <c r="C2517" s="14">
        <v>45240</v>
      </c>
      <c r="D2517" s="15">
        <v>98.9</v>
      </c>
      <c r="E2517" s="7">
        <f t="shared" si="39"/>
        <v>1</v>
      </c>
    </row>
    <row r="2518" spans="1:5" x14ac:dyDescent="0.25">
      <c r="A2518" s="7">
        <f>IF(E2518=1,
      SUM($E$2:E2518)-1,
"")</f>
        <v>2515</v>
      </c>
      <c r="B2518" s="6" t="s">
        <v>243</v>
      </c>
      <c r="C2518" s="14">
        <v>44963</v>
      </c>
      <c r="D2518" s="15">
        <v>95.44</v>
      </c>
      <c r="E2518" s="7">
        <f t="shared" si="39"/>
        <v>1</v>
      </c>
    </row>
    <row r="2519" spans="1:5" x14ac:dyDescent="0.25">
      <c r="A2519" s="7">
        <f>IF(E2519=1,
      SUM($E$2:E2519)-1,
"")</f>
        <v>2516</v>
      </c>
      <c r="B2519" s="6" t="s">
        <v>568</v>
      </c>
      <c r="C2519" s="14">
        <v>45042</v>
      </c>
      <c r="D2519" s="15">
        <v>114.16</v>
      </c>
      <c r="E2519" s="7">
        <f t="shared" si="39"/>
        <v>1</v>
      </c>
    </row>
    <row r="2520" spans="1:5" x14ac:dyDescent="0.25">
      <c r="A2520" s="7">
        <f>IF(E2520=1,
      SUM($E$2:E2520)-1,
"")</f>
        <v>2517</v>
      </c>
      <c r="B2520" s="6" t="s">
        <v>446</v>
      </c>
      <c r="C2520" s="14">
        <v>44998</v>
      </c>
      <c r="D2520" s="15">
        <v>119.5</v>
      </c>
      <c r="E2520" s="7">
        <f t="shared" si="39"/>
        <v>1</v>
      </c>
    </row>
    <row r="2521" spans="1:5" x14ac:dyDescent="0.25">
      <c r="A2521" s="7">
        <f>IF(E2521=1,
      SUM($E$2:E2521)-1,
"")</f>
        <v>2518</v>
      </c>
      <c r="B2521" s="6" t="s">
        <v>83</v>
      </c>
      <c r="C2521" s="14">
        <v>45022</v>
      </c>
      <c r="D2521" s="15">
        <v>58.03</v>
      </c>
      <c r="E2521" s="7">
        <f t="shared" si="39"/>
        <v>1</v>
      </c>
    </row>
    <row r="2522" spans="1:5" x14ac:dyDescent="0.25">
      <c r="A2522" s="7">
        <f>IF(E2522=1,
      SUM($E$2:E2522)-1,
"")</f>
        <v>2519</v>
      </c>
      <c r="B2522" s="6" t="s">
        <v>476</v>
      </c>
      <c r="C2522" s="14">
        <v>45170</v>
      </c>
      <c r="D2522" s="15">
        <v>108.87</v>
      </c>
      <c r="E2522" s="7">
        <f t="shared" si="39"/>
        <v>1</v>
      </c>
    </row>
    <row r="2523" spans="1:5" x14ac:dyDescent="0.25">
      <c r="A2523" s="7">
        <f>IF(E2523=1,
      SUM($E$2:E2523)-1,
"")</f>
        <v>2520</v>
      </c>
      <c r="B2523" s="6" t="s">
        <v>724</v>
      </c>
      <c r="C2523" s="14">
        <v>44954</v>
      </c>
      <c r="D2523" s="15">
        <v>99.98</v>
      </c>
      <c r="E2523" s="7">
        <f t="shared" si="39"/>
        <v>1</v>
      </c>
    </row>
    <row r="2524" spans="1:5" x14ac:dyDescent="0.25">
      <c r="A2524" s="7">
        <f>IF(E2524=1,
      SUM($E$2:E2524)-1,
"")</f>
        <v>2521</v>
      </c>
      <c r="B2524" s="6" t="s">
        <v>161</v>
      </c>
      <c r="C2524" s="14">
        <v>45027</v>
      </c>
      <c r="D2524" s="15">
        <v>76.31</v>
      </c>
      <c r="E2524" s="7">
        <f t="shared" si="39"/>
        <v>1</v>
      </c>
    </row>
    <row r="2525" spans="1:5" x14ac:dyDescent="0.25">
      <c r="A2525" s="7">
        <f>IF(E2525=1,
      SUM($E$2:E2525)-1,
"")</f>
        <v>2522</v>
      </c>
      <c r="B2525" s="6" t="s">
        <v>966</v>
      </c>
      <c r="C2525" s="14">
        <v>44945</v>
      </c>
      <c r="D2525" s="15">
        <v>97.91</v>
      </c>
      <c r="E2525" s="7">
        <f t="shared" si="39"/>
        <v>1</v>
      </c>
    </row>
    <row r="2526" spans="1:5" x14ac:dyDescent="0.25">
      <c r="A2526" s="7">
        <f>IF(E2526=1,
      SUM($E$2:E2526)-1,
"")</f>
        <v>2523</v>
      </c>
      <c r="B2526" s="6" t="s">
        <v>149</v>
      </c>
      <c r="C2526" s="14">
        <v>45264</v>
      </c>
      <c r="D2526" s="15">
        <v>65.040000000000006</v>
      </c>
      <c r="E2526" s="7">
        <f t="shared" si="39"/>
        <v>1</v>
      </c>
    </row>
    <row r="2527" spans="1:5" x14ac:dyDescent="0.25">
      <c r="A2527" s="7">
        <f>IF(E2527=1,
      SUM($E$2:E2527)-1,
"")</f>
        <v>2524</v>
      </c>
      <c r="B2527" s="6" t="s">
        <v>487</v>
      </c>
      <c r="C2527" s="14">
        <v>45258</v>
      </c>
      <c r="D2527" s="15">
        <v>54.67</v>
      </c>
      <c r="E2527" s="7">
        <f t="shared" si="39"/>
        <v>1</v>
      </c>
    </row>
    <row r="2528" spans="1:5" x14ac:dyDescent="0.25">
      <c r="A2528" s="7">
        <f>IF(E2528=1,
      SUM($E$2:E2528)-1,
"")</f>
        <v>2525</v>
      </c>
      <c r="B2528" s="6" t="s">
        <v>91</v>
      </c>
      <c r="C2528" s="14">
        <v>45287</v>
      </c>
      <c r="D2528" s="15">
        <v>102.01</v>
      </c>
      <c r="E2528" s="7">
        <f t="shared" si="39"/>
        <v>1</v>
      </c>
    </row>
    <row r="2529" spans="1:5" x14ac:dyDescent="0.25">
      <c r="A2529" s="7">
        <f>IF(E2529=1,
      SUM($E$2:E2529)-1,
"")</f>
        <v>2526</v>
      </c>
      <c r="B2529" s="6" t="s">
        <v>667</v>
      </c>
      <c r="C2529" s="14">
        <v>45182</v>
      </c>
      <c r="D2529" s="15">
        <v>127.06</v>
      </c>
      <c r="E2529" s="7">
        <f t="shared" si="39"/>
        <v>1</v>
      </c>
    </row>
    <row r="2530" spans="1:5" x14ac:dyDescent="0.25">
      <c r="A2530" s="7">
        <f>IF(E2530=1,
      SUM($E$2:E2530)-1,
"")</f>
        <v>2527</v>
      </c>
      <c r="B2530" s="6" t="s">
        <v>978</v>
      </c>
      <c r="C2530" s="14">
        <v>44999</v>
      </c>
      <c r="D2530" s="15">
        <v>89.58</v>
      </c>
      <c r="E2530" s="7">
        <f t="shared" si="39"/>
        <v>1</v>
      </c>
    </row>
    <row r="2531" spans="1:5" x14ac:dyDescent="0.25">
      <c r="A2531" s="7">
        <f>IF(E2531=1,
      SUM($E$2:E2531)-1,
"")</f>
        <v>2528</v>
      </c>
      <c r="B2531" s="6" t="s">
        <v>348</v>
      </c>
      <c r="C2531" s="14">
        <v>45216</v>
      </c>
      <c r="D2531" s="15">
        <v>71.180000000000007</v>
      </c>
      <c r="E2531" s="7">
        <f t="shared" si="39"/>
        <v>1</v>
      </c>
    </row>
    <row r="2532" spans="1:5" x14ac:dyDescent="0.25">
      <c r="A2532" s="7">
        <f>IF(E2532=1,
      SUM($E$2:E2532)-1,
"")</f>
        <v>2529</v>
      </c>
      <c r="B2532" s="6" t="s">
        <v>828</v>
      </c>
      <c r="C2532" s="14">
        <v>44944</v>
      </c>
      <c r="D2532" s="15">
        <v>75.84</v>
      </c>
      <c r="E2532" s="7">
        <f t="shared" si="39"/>
        <v>1</v>
      </c>
    </row>
    <row r="2533" spans="1:5" x14ac:dyDescent="0.25">
      <c r="A2533" s="7">
        <f>IF(E2533=1,
      SUM($E$2:E2533)-1,
"")</f>
        <v>2530</v>
      </c>
      <c r="B2533" s="6" t="s">
        <v>802</v>
      </c>
      <c r="C2533" s="14">
        <v>45146</v>
      </c>
      <c r="D2533" s="15">
        <v>116.47</v>
      </c>
      <c r="E2533" s="7">
        <f t="shared" si="39"/>
        <v>1</v>
      </c>
    </row>
    <row r="2534" spans="1:5" x14ac:dyDescent="0.25">
      <c r="A2534" s="7">
        <f>IF(E2534=1,
      SUM($E$2:E2534)-1,
"")</f>
        <v>2531</v>
      </c>
      <c r="B2534" s="6" t="s">
        <v>376</v>
      </c>
      <c r="C2534" s="14">
        <v>45226</v>
      </c>
      <c r="D2534" s="15">
        <v>150.02000000000001</v>
      </c>
      <c r="E2534" s="7">
        <f t="shared" si="39"/>
        <v>1</v>
      </c>
    </row>
    <row r="2535" spans="1:5" x14ac:dyDescent="0.25">
      <c r="A2535" s="7">
        <f>IF(E2535=1,
      SUM($E$2:E2535)-1,
"")</f>
        <v>2532</v>
      </c>
      <c r="B2535" s="6" t="s">
        <v>492</v>
      </c>
      <c r="C2535" s="14">
        <v>45285</v>
      </c>
      <c r="D2535" s="15">
        <v>123.11</v>
      </c>
      <c r="E2535" s="7">
        <f t="shared" si="39"/>
        <v>1</v>
      </c>
    </row>
    <row r="2536" spans="1:5" x14ac:dyDescent="0.25">
      <c r="A2536" s="7">
        <f>IF(E2536=1,
      SUM($E$2:E2536)-1,
"")</f>
        <v>2533</v>
      </c>
      <c r="B2536" s="6" t="s">
        <v>750</v>
      </c>
      <c r="C2536" s="14">
        <v>45171</v>
      </c>
      <c r="D2536" s="15">
        <v>139.02000000000001</v>
      </c>
      <c r="E2536" s="7">
        <f t="shared" si="39"/>
        <v>1</v>
      </c>
    </row>
    <row r="2537" spans="1:5" x14ac:dyDescent="0.25">
      <c r="A2537" s="7">
        <f>IF(E2537=1,
      SUM($E$2:E2537)-1,
"")</f>
        <v>2534</v>
      </c>
      <c r="B2537" s="6" t="s">
        <v>289</v>
      </c>
      <c r="C2537" s="14">
        <v>44953</v>
      </c>
      <c r="D2537" s="15">
        <v>68.569999999999993</v>
      </c>
      <c r="E2537" s="7">
        <f t="shared" si="39"/>
        <v>1</v>
      </c>
    </row>
    <row r="2538" spans="1:5" x14ac:dyDescent="0.25">
      <c r="A2538" s="7">
        <f>IF(E2538=1,
      SUM($E$2:E2538)-1,
"")</f>
        <v>2535</v>
      </c>
      <c r="B2538" s="6" t="s">
        <v>549</v>
      </c>
      <c r="C2538" s="14">
        <v>45118</v>
      </c>
      <c r="D2538" s="15">
        <v>97.78</v>
      </c>
      <c r="E2538" s="7">
        <f t="shared" si="39"/>
        <v>1</v>
      </c>
    </row>
    <row r="2539" spans="1:5" x14ac:dyDescent="0.25">
      <c r="A2539" s="7">
        <f>IF(E2539=1,
      SUM($E$2:E2539)-1,
"")</f>
        <v>2536</v>
      </c>
      <c r="B2539" s="6" t="s">
        <v>321</v>
      </c>
      <c r="C2539" s="14">
        <v>45114</v>
      </c>
      <c r="D2539" s="15">
        <v>130.56</v>
      </c>
      <c r="E2539" s="7">
        <f t="shared" si="39"/>
        <v>1</v>
      </c>
    </row>
    <row r="2540" spans="1:5" x14ac:dyDescent="0.25">
      <c r="A2540" s="7">
        <f>IF(E2540=1,
      SUM($E$2:E2540)-1,
"")</f>
        <v>2537</v>
      </c>
      <c r="B2540" s="6" t="s">
        <v>977</v>
      </c>
      <c r="C2540" s="14">
        <v>45208</v>
      </c>
      <c r="D2540" s="15">
        <v>58.02</v>
      </c>
      <c r="E2540" s="7">
        <f t="shared" si="39"/>
        <v>1</v>
      </c>
    </row>
    <row r="2541" spans="1:5" x14ac:dyDescent="0.25">
      <c r="A2541" s="7">
        <f>IF(E2541=1,
      SUM($E$2:E2541)-1,
"")</f>
        <v>2538</v>
      </c>
      <c r="B2541" s="6" t="s">
        <v>500</v>
      </c>
      <c r="C2541" s="14">
        <v>45248</v>
      </c>
      <c r="D2541" s="15">
        <v>80.25</v>
      </c>
      <c r="E2541" s="7">
        <f t="shared" si="39"/>
        <v>1</v>
      </c>
    </row>
    <row r="2542" spans="1:5" x14ac:dyDescent="0.25">
      <c r="A2542" s="7">
        <f>IF(E2542=1,
      SUM($E$2:E2542)-1,
"")</f>
        <v>2539</v>
      </c>
      <c r="B2542" s="6" t="s">
        <v>963</v>
      </c>
      <c r="C2542" s="14">
        <v>45157</v>
      </c>
      <c r="D2542" s="15">
        <v>128.26</v>
      </c>
      <c r="E2542" s="7">
        <f t="shared" si="39"/>
        <v>1</v>
      </c>
    </row>
    <row r="2543" spans="1:5" x14ac:dyDescent="0.25">
      <c r="A2543" s="7">
        <f>IF(E2543=1,
      SUM($E$2:E2543)-1,
"")</f>
        <v>2540</v>
      </c>
      <c r="B2543" s="6" t="s">
        <v>490</v>
      </c>
      <c r="C2543" s="14">
        <v>44950</v>
      </c>
      <c r="D2543" s="15">
        <v>107.75</v>
      </c>
      <c r="E2543" s="7">
        <f t="shared" si="39"/>
        <v>1</v>
      </c>
    </row>
    <row r="2544" spans="1:5" x14ac:dyDescent="0.25">
      <c r="A2544" s="7">
        <f>IF(E2544=1,
      SUM($E$2:E2544)-1,
"")</f>
        <v>2541</v>
      </c>
      <c r="B2544" s="6" t="s">
        <v>219</v>
      </c>
      <c r="C2544" s="14">
        <v>45277</v>
      </c>
      <c r="D2544" s="15">
        <v>71.05</v>
      </c>
      <c r="E2544" s="7">
        <f t="shared" si="39"/>
        <v>1</v>
      </c>
    </row>
    <row r="2545" spans="1:5" x14ac:dyDescent="0.25">
      <c r="A2545" s="7">
        <f>IF(E2545=1,
      SUM($E$2:E2545)-1,
"")</f>
        <v>2542</v>
      </c>
      <c r="B2545" s="6" t="s">
        <v>555</v>
      </c>
      <c r="C2545" s="14">
        <v>44960</v>
      </c>
      <c r="D2545" s="15">
        <v>51.08</v>
      </c>
      <c r="E2545" s="7">
        <f t="shared" si="39"/>
        <v>1</v>
      </c>
    </row>
    <row r="2546" spans="1:5" x14ac:dyDescent="0.25">
      <c r="A2546" s="7">
        <f>IF(E2546=1,
      SUM($E$2:E2546)-1,
"")</f>
        <v>2543</v>
      </c>
      <c r="B2546" s="6" t="s">
        <v>979</v>
      </c>
      <c r="C2546" s="14">
        <v>45098</v>
      </c>
      <c r="D2546" s="15">
        <v>140.12</v>
      </c>
      <c r="E2546" s="7">
        <f t="shared" si="39"/>
        <v>1</v>
      </c>
    </row>
    <row r="2547" spans="1:5" x14ac:dyDescent="0.25">
      <c r="A2547" s="7">
        <f>IF(E2547=1,
      SUM($E$2:E2547)-1,
"")</f>
        <v>2544</v>
      </c>
      <c r="B2547" s="6" t="s">
        <v>293</v>
      </c>
      <c r="C2547" s="14">
        <v>45284</v>
      </c>
      <c r="D2547" s="15">
        <v>38.4</v>
      </c>
      <c r="E2547" s="7">
        <f t="shared" si="39"/>
        <v>1</v>
      </c>
    </row>
    <row r="2548" spans="1:5" x14ac:dyDescent="0.25">
      <c r="A2548" s="7">
        <f>IF(E2548=1,
      SUM($E$2:E2548)-1,
"")</f>
        <v>2545</v>
      </c>
      <c r="B2548" s="6" t="s">
        <v>863</v>
      </c>
      <c r="C2548" s="14">
        <v>44977</v>
      </c>
      <c r="D2548" s="15">
        <v>118.97</v>
      </c>
      <c r="E2548" s="7">
        <f t="shared" si="39"/>
        <v>1</v>
      </c>
    </row>
    <row r="2549" spans="1:5" x14ac:dyDescent="0.25">
      <c r="A2549" s="7">
        <f>IF(E2549=1,
      SUM($E$2:E2549)-1,
"")</f>
        <v>2546</v>
      </c>
      <c r="B2549" s="6" t="s">
        <v>293</v>
      </c>
      <c r="C2549" s="14">
        <v>44959</v>
      </c>
      <c r="D2549" s="15">
        <v>84.01</v>
      </c>
      <c r="E2549" s="7">
        <f t="shared" si="39"/>
        <v>1</v>
      </c>
    </row>
    <row r="2550" spans="1:5" x14ac:dyDescent="0.25">
      <c r="A2550" s="7">
        <f>IF(E2550=1,
      SUM($E$2:E2550)-1,
"")</f>
        <v>2547</v>
      </c>
      <c r="B2550" s="6" t="s">
        <v>735</v>
      </c>
      <c r="C2550" s="14">
        <v>44960</v>
      </c>
      <c r="D2550" s="15">
        <v>131.41</v>
      </c>
      <c r="E2550" s="7">
        <f t="shared" si="39"/>
        <v>1</v>
      </c>
    </row>
    <row r="2551" spans="1:5" x14ac:dyDescent="0.25">
      <c r="A2551" s="7">
        <f>IF(E2551=1,
      SUM($E$2:E2551)-1,
"")</f>
        <v>2548</v>
      </c>
      <c r="B2551" s="6" t="s">
        <v>688</v>
      </c>
      <c r="C2551" s="14">
        <v>44966</v>
      </c>
      <c r="D2551" s="15">
        <v>68.739999999999995</v>
      </c>
      <c r="E2551" s="7">
        <f t="shared" si="39"/>
        <v>1</v>
      </c>
    </row>
    <row r="2552" spans="1:5" x14ac:dyDescent="0.25">
      <c r="A2552" s="7">
        <f>IF(E2552=1,
      SUM($E$2:E2552)-1,
"")</f>
        <v>2549</v>
      </c>
      <c r="B2552" s="6" t="s">
        <v>980</v>
      </c>
      <c r="C2552" s="14">
        <v>45278</v>
      </c>
      <c r="D2552" s="15">
        <v>178.44</v>
      </c>
      <c r="E2552" s="7">
        <f t="shared" si="39"/>
        <v>1</v>
      </c>
    </row>
    <row r="2553" spans="1:5" x14ac:dyDescent="0.25">
      <c r="A2553" s="7">
        <f>IF(E2553=1,
      SUM($E$2:E2553)-1,
"")</f>
        <v>2550</v>
      </c>
      <c r="B2553" s="6" t="s">
        <v>763</v>
      </c>
      <c r="C2553" s="14">
        <v>44966</v>
      </c>
      <c r="D2553" s="15">
        <v>112.07</v>
      </c>
      <c r="E2553" s="7">
        <f t="shared" si="39"/>
        <v>1</v>
      </c>
    </row>
    <row r="2554" spans="1:5" x14ac:dyDescent="0.25">
      <c r="A2554" s="7">
        <f>IF(E2554=1,
      SUM($E$2:E2554)-1,
"")</f>
        <v>2551</v>
      </c>
      <c r="B2554" s="6" t="s">
        <v>87</v>
      </c>
      <c r="C2554" s="14">
        <v>45191</v>
      </c>
      <c r="D2554" s="15">
        <v>117.01</v>
      </c>
      <c r="E2554" s="7">
        <f t="shared" si="39"/>
        <v>1</v>
      </c>
    </row>
    <row r="2555" spans="1:5" x14ac:dyDescent="0.25">
      <c r="A2555" s="7">
        <f>IF(E2555=1,
      SUM($E$2:E2555)-1,
"")</f>
        <v>2552</v>
      </c>
      <c r="B2555" s="6" t="s">
        <v>863</v>
      </c>
      <c r="C2555" s="14">
        <v>45067</v>
      </c>
      <c r="D2555" s="15">
        <v>76.81</v>
      </c>
      <c r="E2555" s="7">
        <f t="shared" si="39"/>
        <v>1</v>
      </c>
    </row>
    <row r="2556" spans="1:5" x14ac:dyDescent="0.25">
      <c r="A2556" s="7">
        <f>IF(E2556=1,
      SUM($E$2:E2556)-1,
"")</f>
        <v>2553</v>
      </c>
      <c r="B2556" s="6" t="s">
        <v>378</v>
      </c>
      <c r="C2556" s="14">
        <v>45015</v>
      </c>
      <c r="D2556" s="15">
        <v>96</v>
      </c>
      <c r="E2556" s="7">
        <f t="shared" si="39"/>
        <v>1</v>
      </c>
    </row>
    <row r="2557" spans="1:5" x14ac:dyDescent="0.25">
      <c r="A2557" s="7">
        <f>IF(E2557=1,
      SUM($E$2:E2557)-1,
"")</f>
        <v>2554</v>
      </c>
      <c r="B2557" s="6" t="s">
        <v>258</v>
      </c>
      <c r="C2557" s="14">
        <v>45180</v>
      </c>
      <c r="D2557" s="15">
        <v>96.78</v>
      </c>
      <c r="E2557" s="7">
        <f t="shared" si="39"/>
        <v>1</v>
      </c>
    </row>
    <row r="2558" spans="1:5" x14ac:dyDescent="0.25">
      <c r="A2558" s="7">
        <f>IF(E2558=1,
      SUM($E$2:E2558)-1,
"")</f>
        <v>2555</v>
      </c>
      <c r="B2558" s="6" t="s">
        <v>159</v>
      </c>
      <c r="C2558" s="14">
        <v>45292</v>
      </c>
      <c r="D2558" s="15">
        <v>153.88</v>
      </c>
      <c r="E2558" s="7">
        <f t="shared" si="39"/>
        <v>1</v>
      </c>
    </row>
    <row r="2559" spans="1:5" x14ac:dyDescent="0.25">
      <c r="A2559" s="7">
        <f>IF(E2559=1,
      SUM($E$2:E2559)-1,
"")</f>
        <v>2556</v>
      </c>
      <c r="B2559" s="6" t="s">
        <v>107</v>
      </c>
      <c r="C2559" s="14">
        <v>45027</v>
      </c>
      <c r="D2559" s="15">
        <v>112.02</v>
      </c>
      <c r="E2559" s="7">
        <f t="shared" si="39"/>
        <v>1</v>
      </c>
    </row>
    <row r="2560" spans="1:5" x14ac:dyDescent="0.25">
      <c r="A2560" s="7">
        <f>IF(E2560=1,
      SUM($E$2:E2560)-1,
"")</f>
        <v>2557</v>
      </c>
      <c r="B2560" s="6" t="s">
        <v>108</v>
      </c>
      <c r="C2560" s="14">
        <v>45085</v>
      </c>
      <c r="D2560" s="15">
        <v>116.31</v>
      </c>
      <c r="E2560" s="7">
        <f t="shared" si="39"/>
        <v>1</v>
      </c>
    </row>
    <row r="2561" spans="1:5" x14ac:dyDescent="0.25">
      <c r="A2561" s="7">
        <f>IF(E2561=1,
      SUM($E$2:E2561)-1,
"")</f>
        <v>2558</v>
      </c>
      <c r="B2561" s="6" t="s">
        <v>795</v>
      </c>
      <c r="C2561" s="14">
        <v>45183</v>
      </c>
      <c r="D2561" s="15">
        <v>115.98</v>
      </c>
      <c r="E2561" s="7">
        <f t="shared" si="39"/>
        <v>1</v>
      </c>
    </row>
    <row r="2562" spans="1:5" x14ac:dyDescent="0.25">
      <c r="A2562" s="7">
        <f>IF(E2562=1,
      SUM($E$2:E2562)-1,
"")</f>
        <v>2559</v>
      </c>
      <c r="B2562" s="6" t="s">
        <v>650</v>
      </c>
      <c r="C2562" s="14">
        <v>45093</v>
      </c>
      <c r="D2562" s="15">
        <v>118.86</v>
      </c>
      <c r="E2562" s="7">
        <f t="shared" ref="E2562:E2625" si="40">IF(D2562&gt;0,1,0)</f>
        <v>1</v>
      </c>
    </row>
    <row r="2563" spans="1:5" x14ac:dyDescent="0.25">
      <c r="A2563" s="7">
        <f>IF(E2563=1,
      SUM($E$2:E2563)-1,
"")</f>
        <v>2560</v>
      </c>
      <c r="B2563" s="6" t="s">
        <v>981</v>
      </c>
      <c r="C2563" s="14">
        <v>44987</v>
      </c>
      <c r="D2563" s="15">
        <v>58.32</v>
      </c>
      <c r="E2563" s="7">
        <f t="shared" si="40"/>
        <v>1</v>
      </c>
    </row>
    <row r="2564" spans="1:5" x14ac:dyDescent="0.25">
      <c r="A2564" s="7">
        <f>IF(E2564=1,
      SUM($E$2:E2564)-1,
"")</f>
        <v>2561</v>
      </c>
      <c r="B2564" s="6" t="s">
        <v>512</v>
      </c>
      <c r="C2564" s="14">
        <v>45281</v>
      </c>
      <c r="D2564" s="15">
        <v>161.47999999999999</v>
      </c>
      <c r="E2564" s="7">
        <f t="shared" si="40"/>
        <v>1</v>
      </c>
    </row>
    <row r="2565" spans="1:5" x14ac:dyDescent="0.25">
      <c r="A2565" s="7">
        <f>IF(E2565=1,
      SUM($E$2:E2565)-1,
"")</f>
        <v>2562</v>
      </c>
      <c r="B2565" s="6" t="s">
        <v>982</v>
      </c>
      <c r="C2565" s="14">
        <v>44948</v>
      </c>
      <c r="D2565" s="15">
        <v>73.680000000000007</v>
      </c>
      <c r="E2565" s="7">
        <f t="shared" si="40"/>
        <v>1</v>
      </c>
    </row>
    <row r="2566" spans="1:5" x14ac:dyDescent="0.25">
      <c r="A2566" s="7">
        <f>IF(E2566=1,
      SUM($E$2:E2566)-1,
"")</f>
        <v>2563</v>
      </c>
      <c r="B2566" s="6" t="s">
        <v>118</v>
      </c>
      <c r="C2566" s="14">
        <v>45105</v>
      </c>
      <c r="D2566" s="15">
        <v>98.85</v>
      </c>
      <c r="E2566" s="7">
        <f t="shared" si="40"/>
        <v>1</v>
      </c>
    </row>
    <row r="2567" spans="1:5" x14ac:dyDescent="0.25">
      <c r="A2567" s="7">
        <f>IF(E2567=1,
      SUM($E$2:E2567)-1,
"")</f>
        <v>2564</v>
      </c>
      <c r="B2567" s="6" t="s">
        <v>901</v>
      </c>
      <c r="C2567" s="14">
        <v>45139</v>
      </c>
      <c r="D2567" s="15">
        <v>145.94</v>
      </c>
      <c r="E2567" s="7">
        <f t="shared" si="40"/>
        <v>1</v>
      </c>
    </row>
    <row r="2568" spans="1:5" x14ac:dyDescent="0.25">
      <c r="A2568" s="7">
        <f>IF(E2568=1,
      SUM($E$2:E2568)-1,
"")</f>
        <v>2565</v>
      </c>
      <c r="B2568" s="6" t="s">
        <v>139</v>
      </c>
      <c r="C2568" s="14">
        <v>44959</v>
      </c>
      <c r="D2568" s="15">
        <v>158.04</v>
      </c>
      <c r="E2568" s="7">
        <f t="shared" si="40"/>
        <v>1</v>
      </c>
    </row>
    <row r="2569" spans="1:5" x14ac:dyDescent="0.25">
      <c r="A2569" s="7">
        <f>IF(E2569=1,
      SUM($E$2:E2569)-1,
"")</f>
        <v>2566</v>
      </c>
      <c r="B2569" s="6" t="s">
        <v>667</v>
      </c>
      <c r="C2569" s="14">
        <v>45014</v>
      </c>
      <c r="D2569" s="15">
        <v>124.18</v>
      </c>
      <c r="E2569" s="7">
        <f t="shared" si="40"/>
        <v>1</v>
      </c>
    </row>
    <row r="2570" spans="1:5" x14ac:dyDescent="0.25">
      <c r="A2570" s="7">
        <f>IF(E2570=1,
      SUM($E$2:E2570)-1,
"")</f>
        <v>2567</v>
      </c>
      <c r="B2570" s="6" t="s">
        <v>588</v>
      </c>
      <c r="C2570" s="14">
        <v>45122</v>
      </c>
      <c r="D2570" s="15">
        <v>84.86</v>
      </c>
      <c r="E2570" s="7">
        <f t="shared" si="40"/>
        <v>1</v>
      </c>
    </row>
    <row r="2571" spans="1:5" x14ac:dyDescent="0.25">
      <c r="A2571" s="7">
        <f>IF(E2571=1,
      SUM($E$2:E2571)-1,
"")</f>
        <v>2568</v>
      </c>
      <c r="B2571" s="6" t="s">
        <v>565</v>
      </c>
      <c r="C2571" s="14">
        <v>45159</v>
      </c>
      <c r="D2571" s="15">
        <v>103.83</v>
      </c>
      <c r="E2571" s="7">
        <f t="shared" si="40"/>
        <v>1</v>
      </c>
    </row>
    <row r="2572" spans="1:5" x14ac:dyDescent="0.25">
      <c r="A2572" s="7">
        <f>IF(E2572=1,
      SUM($E$2:E2572)-1,
"")</f>
        <v>2569</v>
      </c>
      <c r="B2572" s="6" t="s">
        <v>879</v>
      </c>
      <c r="C2572" s="14">
        <v>45268</v>
      </c>
      <c r="D2572" s="15">
        <v>105.01</v>
      </c>
      <c r="E2572" s="7">
        <f t="shared" si="40"/>
        <v>1</v>
      </c>
    </row>
    <row r="2573" spans="1:5" x14ac:dyDescent="0.25">
      <c r="A2573" s="7">
        <f>IF(E2573=1,
      SUM($E$2:E2573)-1,
"")</f>
        <v>2570</v>
      </c>
      <c r="B2573" s="6" t="s">
        <v>748</v>
      </c>
      <c r="C2573" s="14">
        <v>45275</v>
      </c>
      <c r="D2573" s="15">
        <v>106.07</v>
      </c>
      <c r="E2573" s="7">
        <f t="shared" si="40"/>
        <v>1</v>
      </c>
    </row>
    <row r="2574" spans="1:5" x14ac:dyDescent="0.25">
      <c r="A2574" s="7">
        <f>IF(E2574=1,
      SUM($E$2:E2574)-1,
"")</f>
        <v>2571</v>
      </c>
      <c r="B2574" s="6" t="s">
        <v>682</v>
      </c>
      <c r="C2574" s="14">
        <v>45103</v>
      </c>
      <c r="D2574" s="15">
        <v>63.1</v>
      </c>
      <c r="E2574" s="7">
        <f t="shared" si="40"/>
        <v>1</v>
      </c>
    </row>
    <row r="2575" spans="1:5" x14ac:dyDescent="0.25">
      <c r="A2575" s="7">
        <f>IF(E2575=1,
      SUM($E$2:E2575)-1,
"")</f>
        <v>2572</v>
      </c>
      <c r="B2575" s="6" t="s">
        <v>770</v>
      </c>
      <c r="C2575" s="14">
        <v>45152</v>
      </c>
      <c r="D2575" s="15">
        <v>137.80000000000001</v>
      </c>
      <c r="E2575" s="7">
        <f t="shared" si="40"/>
        <v>1</v>
      </c>
    </row>
    <row r="2576" spans="1:5" x14ac:dyDescent="0.25">
      <c r="A2576" s="7">
        <f>IF(E2576=1,
      SUM($E$2:E2576)-1,
"")</f>
        <v>2573</v>
      </c>
      <c r="B2576" s="6" t="s">
        <v>639</v>
      </c>
      <c r="C2576" s="14">
        <v>45250</v>
      </c>
      <c r="D2576" s="15">
        <v>104.04</v>
      </c>
      <c r="E2576" s="7">
        <f t="shared" si="40"/>
        <v>1</v>
      </c>
    </row>
    <row r="2577" spans="1:5" x14ac:dyDescent="0.25">
      <c r="A2577" s="7">
        <f>IF(E2577=1,
      SUM($E$2:E2577)-1,
"")</f>
        <v>2574</v>
      </c>
      <c r="B2577" s="6" t="s">
        <v>267</v>
      </c>
      <c r="C2577" s="14">
        <v>44959</v>
      </c>
      <c r="D2577" s="15">
        <v>78.33</v>
      </c>
      <c r="E2577" s="7">
        <f t="shared" si="40"/>
        <v>1</v>
      </c>
    </row>
    <row r="2578" spans="1:5" x14ac:dyDescent="0.25">
      <c r="A2578" s="7">
        <f>IF(E2578=1,
      SUM($E$2:E2578)-1,
"")</f>
        <v>2575</v>
      </c>
      <c r="B2578" s="6" t="s">
        <v>83</v>
      </c>
      <c r="C2578" s="14">
        <v>45009</v>
      </c>
      <c r="D2578" s="15">
        <v>85.05</v>
      </c>
      <c r="E2578" s="7">
        <f t="shared" si="40"/>
        <v>1</v>
      </c>
    </row>
    <row r="2579" spans="1:5" x14ac:dyDescent="0.25">
      <c r="A2579" s="7">
        <f>IF(E2579=1,
      SUM($E$2:E2579)-1,
"")</f>
        <v>2576</v>
      </c>
      <c r="B2579" s="6" t="s">
        <v>349</v>
      </c>
      <c r="C2579" s="14">
        <v>45147</v>
      </c>
      <c r="D2579" s="15">
        <v>108.1</v>
      </c>
      <c r="E2579" s="7">
        <f t="shared" si="40"/>
        <v>1</v>
      </c>
    </row>
    <row r="2580" spans="1:5" x14ac:dyDescent="0.25">
      <c r="A2580" s="7">
        <f>IF(E2580=1,
      SUM($E$2:E2580)-1,
"")</f>
        <v>2577</v>
      </c>
      <c r="B2580" s="6" t="s">
        <v>126</v>
      </c>
      <c r="C2580" s="14">
        <v>44978</v>
      </c>
      <c r="D2580" s="15">
        <v>57.91</v>
      </c>
      <c r="E2580" s="7">
        <f t="shared" si="40"/>
        <v>1</v>
      </c>
    </row>
    <row r="2581" spans="1:5" x14ac:dyDescent="0.25">
      <c r="A2581" s="7">
        <f>IF(E2581=1,
      SUM($E$2:E2581)-1,
"")</f>
        <v>2578</v>
      </c>
      <c r="B2581" s="6" t="s">
        <v>410</v>
      </c>
      <c r="C2581" s="14">
        <v>44974</v>
      </c>
      <c r="D2581" s="15">
        <v>126.35</v>
      </c>
      <c r="E2581" s="7">
        <f t="shared" si="40"/>
        <v>1</v>
      </c>
    </row>
    <row r="2582" spans="1:5" x14ac:dyDescent="0.25">
      <c r="A2582" s="7">
        <f>IF(E2582=1,
      SUM($E$2:E2582)-1,
"")</f>
        <v>2579</v>
      </c>
      <c r="B2582" s="6" t="s">
        <v>840</v>
      </c>
      <c r="C2582" s="14">
        <v>45201</v>
      </c>
      <c r="D2582" s="15">
        <v>107.04</v>
      </c>
      <c r="E2582" s="7">
        <f t="shared" si="40"/>
        <v>1</v>
      </c>
    </row>
    <row r="2583" spans="1:5" x14ac:dyDescent="0.25">
      <c r="A2583" s="7">
        <f>IF(E2583=1,
      SUM($E$2:E2583)-1,
"")</f>
        <v>2580</v>
      </c>
      <c r="B2583" s="6" t="s">
        <v>469</v>
      </c>
      <c r="C2583" s="14">
        <v>45114</v>
      </c>
      <c r="D2583" s="15">
        <v>146.97</v>
      </c>
      <c r="E2583" s="7">
        <f t="shared" si="40"/>
        <v>1</v>
      </c>
    </row>
    <row r="2584" spans="1:5" x14ac:dyDescent="0.25">
      <c r="A2584" s="7">
        <f>IF(E2584=1,
      SUM($E$2:E2584)-1,
"")</f>
        <v>2581</v>
      </c>
      <c r="B2584" s="6" t="s">
        <v>983</v>
      </c>
      <c r="C2584" s="14">
        <v>45237</v>
      </c>
      <c r="D2584" s="15">
        <v>102.33</v>
      </c>
      <c r="E2584" s="7">
        <f t="shared" si="40"/>
        <v>1</v>
      </c>
    </row>
    <row r="2585" spans="1:5" x14ac:dyDescent="0.25">
      <c r="A2585" s="7">
        <f>IF(E2585=1,
      SUM($E$2:E2585)-1,
"")</f>
        <v>2582</v>
      </c>
      <c r="B2585" s="6" t="s">
        <v>618</v>
      </c>
      <c r="C2585" s="14">
        <v>45138</v>
      </c>
      <c r="D2585" s="15">
        <v>67.44</v>
      </c>
      <c r="E2585" s="7">
        <f t="shared" si="40"/>
        <v>1</v>
      </c>
    </row>
    <row r="2586" spans="1:5" x14ac:dyDescent="0.25">
      <c r="A2586" s="7">
        <f>IF(E2586=1,
      SUM($E$2:E2586)-1,
"")</f>
        <v>2583</v>
      </c>
      <c r="B2586" s="6" t="s">
        <v>768</v>
      </c>
      <c r="C2586" s="14">
        <v>45133</v>
      </c>
      <c r="D2586" s="15">
        <v>64.069999999999993</v>
      </c>
      <c r="E2586" s="7">
        <f t="shared" si="40"/>
        <v>1</v>
      </c>
    </row>
    <row r="2587" spans="1:5" x14ac:dyDescent="0.25">
      <c r="A2587" s="7">
        <f>IF(E2587=1,
      SUM($E$2:E2587)-1,
"")</f>
        <v>2584</v>
      </c>
      <c r="B2587" s="6" t="s">
        <v>95</v>
      </c>
      <c r="C2587" s="14">
        <v>45182</v>
      </c>
      <c r="D2587" s="15">
        <v>88.28</v>
      </c>
      <c r="E2587" s="7">
        <f t="shared" si="40"/>
        <v>1</v>
      </c>
    </row>
    <row r="2588" spans="1:5" x14ac:dyDescent="0.25">
      <c r="A2588" s="7">
        <f>IF(E2588=1,
      SUM($E$2:E2588)-1,
"")</f>
        <v>2585</v>
      </c>
      <c r="B2588" s="6" t="s">
        <v>590</v>
      </c>
      <c r="C2588" s="14">
        <v>45156</v>
      </c>
      <c r="D2588" s="15">
        <v>91.45</v>
      </c>
      <c r="E2588" s="7">
        <f t="shared" si="40"/>
        <v>1</v>
      </c>
    </row>
    <row r="2589" spans="1:5" x14ac:dyDescent="0.25">
      <c r="A2589" s="7">
        <f>IF(E2589=1,
      SUM($E$2:E2589)-1,
"")</f>
        <v>2586</v>
      </c>
      <c r="B2589" s="6" t="s">
        <v>448</v>
      </c>
      <c r="C2589" s="14">
        <v>45061</v>
      </c>
      <c r="D2589" s="15">
        <v>82.98</v>
      </c>
      <c r="E2589" s="7">
        <f t="shared" si="40"/>
        <v>1</v>
      </c>
    </row>
    <row r="2590" spans="1:5" x14ac:dyDescent="0.25">
      <c r="A2590" s="7">
        <f>IF(E2590=1,
      SUM($E$2:E2590)-1,
"")</f>
        <v>2587</v>
      </c>
      <c r="B2590" s="6" t="s">
        <v>984</v>
      </c>
      <c r="C2590" s="14">
        <v>45073</v>
      </c>
      <c r="D2590" s="15">
        <v>103.85</v>
      </c>
      <c r="E2590" s="7">
        <f t="shared" si="40"/>
        <v>1</v>
      </c>
    </row>
    <row r="2591" spans="1:5" x14ac:dyDescent="0.25">
      <c r="A2591" s="7">
        <f>IF(E2591=1,
      SUM($E$2:E2591)-1,
"")</f>
        <v>2588</v>
      </c>
      <c r="B2591" s="6" t="s">
        <v>769</v>
      </c>
      <c r="C2591" s="14">
        <v>45225</v>
      </c>
      <c r="D2591" s="15">
        <v>82.22</v>
      </c>
      <c r="E2591" s="7">
        <f t="shared" si="40"/>
        <v>1</v>
      </c>
    </row>
    <row r="2592" spans="1:5" x14ac:dyDescent="0.25">
      <c r="A2592" s="7">
        <f>IF(E2592=1,
      SUM($E$2:E2592)-1,
"")</f>
        <v>2589</v>
      </c>
      <c r="B2592" s="6" t="s">
        <v>684</v>
      </c>
      <c r="C2592" s="14">
        <v>44991</v>
      </c>
      <c r="D2592" s="15">
        <v>107.63</v>
      </c>
      <c r="E2592" s="7">
        <f t="shared" si="40"/>
        <v>1</v>
      </c>
    </row>
    <row r="2593" spans="1:5" x14ac:dyDescent="0.25">
      <c r="A2593" s="7">
        <f>IF(E2593=1,
      SUM($E$2:E2593)-1,
"")</f>
        <v>2590</v>
      </c>
      <c r="B2593" s="6" t="s">
        <v>779</v>
      </c>
      <c r="C2593" s="14">
        <v>45044</v>
      </c>
      <c r="D2593" s="15">
        <v>84.38</v>
      </c>
      <c r="E2593" s="7">
        <f t="shared" si="40"/>
        <v>1</v>
      </c>
    </row>
    <row r="2594" spans="1:5" x14ac:dyDescent="0.25">
      <c r="A2594" s="7">
        <f>IF(E2594=1,
      SUM($E$2:E2594)-1,
"")</f>
        <v>2591</v>
      </c>
      <c r="B2594" s="6" t="s">
        <v>394</v>
      </c>
      <c r="C2594" s="14">
        <v>44970</v>
      </c>
      <c r="D2594" s="15">
        <v>118.95</v>
      </c>
      <c r="E2594" s="7">
        <f t="shared" si="40"/>
        <v>1</v>
      </c>
    </row>
    <row r="2595" spans="1:5" x14ac:dyDescent="0.25">
      <c r="A2595" s="7">
        <f>IF(E2595=1,
      SUM($E$2:E2595)-1,
"")</f>
        <v>2592</v>
      </c>
      <c r="B2595" s="6" t="s">
        <v>865</v>
      </c>
      <c r="C2595" s="14">
        <v>45287</v>
      </c>
      <c r="D2595" s="15">
        <v>90.7</v>
      </c>
      <c r="E2595" s="7">
        <f t="shared" si="40"/>
        <v>1</v>
      </c>
    </row>
    <row r="2596" spans="1:5" x14ac:dyDescent="0.25">
      <c r="A2596" s="7">
        <f>IF(E2596=1,
      SUM($E$2:E2596)-1,
"")</f>
        <v>2593</v>
      </c>
      <c r="B2596" s="6" t="s">
        <v>94</v>
      </c>
      <c r="C2596" s="14">
        <v>45013</v>
      </c>
      <c r="D2596" s="15">
        <v>137.38999999999999</v>
      </c>
      <c r="E2596" s="7">
        <f t="shared" si="40"/>
        <v>1</v>
      </c>
    </row>
    <row r="2597" spans="1:5" x14ac:dyDescent="0.25">
      <c r="A2597" s="7">
        <f>IF(E2597=1,
      SUM($E$2:E2597)-1,
"")</f>
        <v>2594</v>
      </c>
      <c r="B2597" s="6" t="s">
        <v>985</v>
      </c>
      <c r="C2597" s="14">
        <v>45199</v>
      </c>
      <c r="D2597" s="15">
        <v>119.57</v>
      </c>
      <c r="E2597" s="7">
        <f t="shared" si="40"/>
        <v>1</v>
      </c>
    </row>
    <row r="2598" spans="1:5" x14ac:dyDescent="0.25">
      <c r="A2598" s="7">
        <f>IF(E2598=1,
      SUM($E$2:E2598)-1,
"")</f>
        <v>2595</v>
      </c>
      <c r="B2598" s="6" t="s">
        <v>986</v>
      </c>
      <c r="C2598" s="14">
        <v>45024</v>
      </c>
      <c r="D2598" s="15">
        <v>105.81</v>
      </c>
      <c r="E2598" s="7">
        <f t="shared" si="40"/>
        <v>1</v>
      </c>
    </row>
    <row r="2599" spans="1:5" x14ac:dyDescent="0.25">
      <c r="A2599" s="7">
        <f>IF(E2599=1,
      SUM($E$2:E2599)-1,
"")</f>
        <v>2596</v>
      </c>
      <c r="B2599" s="6" t="s">
        <v>762</v>
      </c>
      <c r="C2599" s="14">
        <v>45096</v>
      </c>
      <c r="D2599" s="15">
        <v>93.77</v>
      </c>
      <c r="E2599" s="7">
        <f t="shared" si="40"/>
        <v>1</v>
      </c>
    </row>
    <row r="2600" spans="1:5" x14ac:dyDescent="0.25">
      <c r="A2600" s="7">
        <f>IF(E2600=1,
      SUM($E$2:E2600)-1,
"")</f>
        <v>2597</v>
      </c>
      <c r="B2600" s="6" t="s">
        <v>592</v>
      </c>
      <c r="C2600" s="14">
        <v>45268</v>
      </c>
      <c r="D2600" s="15">
        <v>54.43</v>
      </c>
      <c r="E2600" s="7">
        <f t="shared" si="40"/>
        <v>1</v>
      </c>
    </row>
    <row r="2601" spans="1:5" x14ac:dyDescent="0.25">
      <c r="A2601" s="7">
        <f>IF(E2601=1,
      SUM($E$2:E2601)-1,
"")</f>
        <v>2598</v>
      </c>
      <c r="B2601" s="6" t="s">
        <v>114</v>
      </c>
      <c r="C2601" s="14">
        <v>45145</v>
      </c>
      <c r="D2601" s="15">
        <v>142.41</v>
      </c>
      <c r="E2601" s="7">
        <f t="shared" si="40"/>
        <v>1</v>
      </c>
    </row>
    <row r="2602" spans="1:5" x14ac:dyDescent="0.25">
      <c r="A2602" s="7">
        <f>IF(E2602=1,
      SUM($E$2:E2602)-1,
"")</f>
        <v>2599</v>
      </c>
      <c r="B2602" s="6" t="s">
        <v>237</v>
      </c>
      <c r="C2602" s="14">
        <v>45175</v>
      </c>
      <c r="D2602" s="15">
        <v>79.58</v>
      </c>
      <c r="E2602" s="7">
        <f t="shared" si="40"/>
        <v>1</v>
      </c>
    </row>
    <row r="2603" spans="1:5" x14ac:dyDescent="0.25">
      <c r="A2603" s="7">
        <f>IF(E2603=1,
      SUM($E$2:E2603)-1,
"")</f>
        <v>2600</v>
      </c>
      <c r="B2603" s="6" t="s">
        <v>987</v>
      </c>
      <c r="C2603" s="14">
        <v>44955</v>
      </c>
      <c r="D2603" s="15">
        <v>102.72</v>
      </c>
      <c r="E2603" s="7">
        <f t="shared" si="40"/>
        <v>1</v>
      </c>
    </row>
    <row r="2604" spans="1:5" x14ac:dyDescent="0.25">
      <c r="A2604" s="7">
        <f>IF(E2604=1,
      SUM($E$2:E2604)-1,
"")</f>
        <v>2601</v>
      </c>
      <c r="B2604" s="6" t="s">
        <v>645</v>
      </c>
      <c r="C2604" s="14">
        <v>44955</v>
      </c>
      <c r="D2604" s="15">
        <v>110.31</v>
      </c>
      <c r="E2604" s="7">
        <f t="shared" si="40"/>
        <v>1</v>
      </c>
    </row>
    <row r="2605" spans="1:5" x14ac:dyDescent="0.25">
      <c r="A2605" s="7">
        <f>IF(E2605=1,
      SUM($E$2:E2605)-1,
"")</f>
        <v>2602</v>
      </c>
      <c r="B2605" s="6" t="s">
        <v>833</v>
      </c>
      <c r="C2605" s="14">
        <v>45227</v>
      </c>
      <c r="D2605" s="15">
        <v>94.49</v>
      </c>
      <c r="E2605" s="7">
        <f t="shared" si="40"/>
        <v>1</v>
      </c>
    </row>
    <row r="2606" spans="1:5" x14ac:dyDescent="0.25">
      <c r="A2606" s="7">
        <f>IF(E2606=1,
      SUM($E$2:E2606)-1,
"")</f>
        <v>2603</v>
      </c>
      <c r="B2606" s="6" t="s">
        <v>153</v>
      </c>
      <c r="C2606" s="14">
        <v>44992</v>
      </c>
      <c r="D2606" s="15">
        <v>140.63999999999999</v>
      </c>
      <c r="E2606" s="7">
        <f t="shared" si="40"/>
        <v>1</v>
      </c>
    </row>
    <row r="2607" spans="1:5" x14ac:dyDescent="0.25">
      <c r="A2607" s="7">
        <f>IF(E2607=1,
      SUM($E$2:E2607)-1,
"")</f>
        <v>2604</v>
      </c>
      <c r="B2607" s="6" t="s">
        <v>600</v>
      </c>
      <c r="C2607" s="14">
        <v>45118</v>
      </c>
      <c r="D2607" s="15">
        <v>63.36</v>
      </c>
      <c r="E2607" s="7">
        <f t="shared" si="40"/>
        <v>1</v>
      </c>
    </row>
    <row r="2608" spans="1:5" x14ac:dyDescent="0.25">
      <c r="A2608" s="7">
        <f>IF(E2608=1,
      SUM($E$2:E2608)-1,
"")</f>
        <v>2605</v>
      </c>
      <c r="B2608" s="6" t="s">
        <v>743</v>
      </c>
      <c r="C2608" s="14">
        <v>44974</v>
      </c>
      <c r="D2608" s="15">
        <v>152.02000000000001</v>
      </c>
      <c r="E2608" s="7">
        <f t="shared" si="40"/>
        <v>1</v>
      </c>
    </row>
    <row r="2609" spans="1:5" x14ac:dyDescent="0.25">
      <c r="A2609" s="7">
        <f>IF(E2609=1,
      SUM($E$2:E2609)-1,
"")</f>
        <v>2606</v>
      </c>
      <c r="B2609" s="6" t="s">
        <v>848</v>
      </c>
      <c r="C2609" s="14">
        <v>45217</v>
      </c>
      <c r="D2609" s="15">
        <v>120.15</v>
      </c>
      <c r="E2609" s="7">
        <f t="shared" si="40"/>
        <v>1</v>
      </c>
    </row>
    <row r="2610" spans="1:5" x14ac:dyDescent="0.25">
      <c r="A2610" s="7">
        <f>IF(E2610=1,
      SUM($E$2:E2610)-1,
"")</f>
        <v>2607</v>
      </c>
      <c r="B2610" s="6" t="s">
        <v>480</v>
      </c>
      <c r="C2610" s="14">
        <v>45179</v>
      </c>
      <c r="D2610" s="15">
        <v>92.61</v>
      </c>
      <c r="E2610" s="7">
        <f t="shared" si="40"/>
        <v>1</v>
      </c>
    </row>
    <row r="2611" spans="1:5" x14ac:dyDescent="0.25">
      <c r="A2611" s="7">
        <f>IF(E2611=1,
      SUM($E$2:E2611)-1,
"")</f>
        <v>2608</v>
      </c>
      <c r="B2611" s="6" t="s">
        <v>246</v>
      </c>
      <c r="C2611" s="14">
        <v>45182</v>
      </c>
      <c r="D2611" s="15">
        <v>92.94</v>
      </c>
      <c r="E2611" s="7">
        <f t="shared" si="40"/>
        <v>1</v>
      </c>
    </row>
    <row r="2612" spans="1:5" x14ac:dyDescent="0.25">
      <c r="A2612" s="7">
        <f>IF(E2612=1,
      SUM($E$2:E2612)-1,
"")</f>
        <v>2609</v>
      </c>
      <c r="B2612" s="6" t="s">
        <v>954</v>
      </c>
      <c r="C2612" s="14">
        <v>45044</v>
      </c>
      <c r="D2612" s="15">
        <v>33.5</v>
      </c>
      <c r="E2612" s="7">
        <f t="shared" si="40"/>
        <v>1</v>
      </c>
    </row>
    <row r="2613" spans="1:5" x14ac:dyDescent="0.25">
      <c r="A2613" s="7">
        <f>IF(E2613=1,
      SUM($E$2:E2613)-1,
"")</f>
        <v>2610</v>
      </c>
      <c r="B2613" s="6" t="s">
        <v>467</v>
      </c>
      <c r="C2613" s="14">
        <v>45090</v>
      </c>
      <c r="D2613" s="15">
        <v>74.55</v>
      </c>
      <c r="E2613" s="7">
        <f t="shared" si="40"/>
        <v>1</v>
      </c>
    </row>
    <row r="2614" spans="1:5" x14ac:dyDescent="0.25">
      <c r="A2614" s="7">
        <f>IF(E2614=1,
      SUM($E$2:E2614)-1,
"")</f>
        <v>2611</v>
      </c>
      <c r="B2614" s="6" t="s">
        <v>946</v>
      </c>
      <c r="C2614" s="14">
        <v>45146</v>
      </c>
      <c r="D2614" s="15">
        <v>89.38</v>
      </c>
      <c r="E2614" s="7">
        <f t="shared" si="40"/>
        <v>1</v>
      </c>
    </row>
    <row r="2615" spans="1:5" x14ac:dyDescent="0.25">
      <c r="A2615" s="7">
        <f>IF(E2615=1,
      SUM($E$2:E2615)-1,
"")</f>
        <v>2612</v>
      </c>
      <c r="B2615" s="6" t="s">
        <v>809</v>
      </c>
      <c r="C2615" s="14">
        <v>45258</v>
      </c>
      <c r="D2615" s="15">
        <v>105.28</v>
      </c>
      <c r="E2615" s="7">
        <f t="shared" si="40"/>
        <v>1</v>
      </c>
    </row>
    <row r="2616" spans="1:5" x14ac:dyDescent="0.25">
      <c r="A2616" s="7">
        <f>IF(E2616=1,
      SUM($E$2:E2616)-1,
"")</f>
        <v>2613</v>
      </c>
      <c r="B2616" s="6" t="s">
        <v>988</v>
      </c>
      <c r="C2616" s="14">
        <v>44984</v>
      </c>
      <c r="D2616" s="15">
        <v>137.79</v>
      </c>
      <c r="E2616" s="7">
        <f t="shared" si="40"/>
        <v>1</v>
      </c>
    </row>
    <row r="2617" spans="1:5" x14ac:dyDescent="0.25">
      <c r="A2617" s="7">
        <f>IF(E2617=1,
      SUM($E$2:E2617)-1,
"")</f>
        <v>2614</v>
      </c>
      <c r="B2617" s="6" t="s">
        <v>181</v>
      </c>
      <c r="C2617" s="14">
        <v>45267</v>
      </c>
      <c r="D2617" s="15">
        <v>161.13</v>
      </c>
      <c r="E2617" s="7">
        <f t="shared" si="40"/>
        <v>1</v>
      </c>
    </row>
    <row r="2618" spans="1:5" x14ac:dyDescent="0.25">
      <c r="A2618" s="7">
        <f>IF(E2618=1,
      SUM($E$2:E2618)-1,
"")</f>
        <v>2615</v>
      </c>
      <c r="B2618" s="6" t="s">
        <v>829</v>
      </c>
      <c r="C2618" s="14">
        <v>45055</v>
      </c>
      <c r="D2618" s="15">
        <v>108.17</v>
      </c>
      <c r="E2618" s="7">
        <f t="shared" si="40"/>
        <v>1</v>
      </c>
    </row>
    <row r="2619" spans="1:5" x14ac:dyDescent="0.25">
      <c r="A2619" s="7">
        <f>IF(E2619=1,
      SUM($E$2:E2619)-1,
"")</f>
        <v>2616</v>
      </c>
      <c r="B2619" s="6" t="s">
        <v>624</v>
      </c>
      <c r="C2619" s="14">
        <v>45279</v>
      </c>
      <c r="D2619" s="15">
        <v>106.17</v>
      </c>
      <c r="E2619" s="7">
        <f t="shared" si="40"/>
        <v>1</v>
      </c>
    </row>
    <row r="2620" spans="1:5" x14ac:dyDescent="0.25">
      <c r="A2620" s="7">
        <f>IF(E2620=1,
      SUM($E$2:E2620)-1,
"")</f>
        <v>2617</v>
      </c>
      <c r="B2620" s="6" t="s">
        <v>399</v>
      </c>
      <c r="C2620" s="14">
        <v>45248</v>
      </c>
      <c r="D2620" s="15">
        <v>85.29</v>
      </c>
      <c r="E2620" s="7">
        <f t="shared" si="40"/>
        <v>1</v>
      </c>
    </row>
    <row r="2621" spans="1:5" x14ac:dyDescent="0.25">
      <c r="A2621" s="7">
        <f>IF(E2621=1,
      SUM($E$2:E2621)-1,
"")</f>
        <v>2618</v>
      </c>
      <c r="B2621" s="6" t="s">
        <v>989</v>
      </c>
      <c r="C2621" s="14">
        <v>45077</v>
      </c>
      <c r="D2621" s="15">
        <v>48.55</v>
      </c>
      <c r="E2621" s="7">
        <f t="shared" si="40"/>
        <v>1</v>
      </c>
    </row>
    <row r="2622" spans="1:5" x14ac:dyDescent="0.25">
      <c r="A2622" s="7">
        <f>IF(E2622=1,
      SUM($E$2:E2622)-1,
"")</f>
        <v>2619</v>
      </c>
      <c r="B2622" s="6" t="s">
        <v>379</v>
      </c>
      <c r="C2622" s="14">
        <v>45060</v>
      </c>
      <c r="D2622" s="15">
        <v>81.83</v>
      </c>
      <c r="E2622" s="7">
        <f t="shared" si="40"/>
        <v>1</v>
      </c>
    </row>
    <row r="2623" spans="1:5" x14ac:dyDescent="0.25">
      <c r="A2623" s="7">
        <f>IF(E2623=1,
      SUM($E$2:E2623)-1,
"")</f>
        <v>2620</v>
      </c>
      <c r="B2623" s="6" t="s">
        <v>228</v>
      </c>
      <c r="C2623" s="14">
        <v>45100</v>
      </c>
      <c r="D2623" s="15">
        <v>93.83</v>
      </c>
      <c r="E2623" s="7">
        <f t="shared" si="40"/>
        <v>1</v>
      </c>
    </row>
    <row r="2624" spans="1:5" x14ac:dyDescent="0.25">
      <c r="A2624" s="7">
        <f>IF(E2624=1,
      SUM($E$2:E2624)-1,
"")</f>
        <v>2621</v>
      </c>
      <c r="B2624" s="6" t="s">
        <v>422</v>
      </c>
      <c r="C2624" s="14">
        <v>45242</v>
      </c>
      <c r="D2624" s="15">
        <v>129.26</v>
      </c>
      <c r="E2624" s="7">
        <f t="shared" si="40"/>
        <v>1</v>
      </c>
    </row>
    <row r="2625" spans="1:5" x14ac:dyDescent="0.25">
      <c r="A2625" s="7">
        <f>IF(E2625=1,
      SUM($E$2:E2625)-1,
"")</f>
        <v>2622</v>
      </c>
      <c r="B2625" s="6" t="s">
        <v>675</v>
      </c>
      <c r="C2625" s="14">
        <v>45079</v>
      </c>
      <c r="D2625" s="15">
        <v>115.59</v>
      </c>
      <c r="E2625" s="7">
        <f t="shared" si="40"/>
        <v>1</v>
      </c>
    </row>
    <row r="2626" spans="1:5" x14ac:dyDescent="0.25">
      <c r="A2626" s="7">
        <f>IF(E2626=1,
      SUM($E$2:E2626)-1,
"")</f>
        <v>2623</v>
      </c>
      <c r="B2626" s="6" t="s">
        <v>892</v>
      </c>
      <c r="C2626" s="14">
        <v>45142</v>
      </c>
      <c r="D2626" s="15">
        <v>106.65</v>
      </c>
      <c r="E2626" s="7">
        <f t="shared" ref="E2626:E2689" si="41">IF(D2626&gt;0,1,0)</f>
        <v>1</v>
      </c>
    </row>
    <row r="2627" spans="1:5" x14ac:dyDescent="0.25">
      <c r="A2627" s="7">
        <f>IF(E2627=1,
      SUM($E$2:E2627)-1,
"")</f>
        <v>2624</v>
      </c>
      <c r="B2627" s="6" t="s">
        <v>968</v>
      </c>
      <c r="C2627" s="14">
        <v>45018</v>
      </c>
      <c r="D2627" s="15">
        <v>82.58</v>
      </c>
      <c r="E2627" s="7">
        <f t="shared" si="41"/>
        <v>1</v>
      </c>
    </row>
    <row r="2628" spans="1:5" x14ac:dyDescent="0.25">
      <c r="A2628" s="7">
        <f>IF(E2628=1,
      SUM($E$2:E2628)-1,
"")</f>
        <v>2625</v>
      </c>
      <c r="B2628" s="6" t="s">
        <v>664</v>
      </c>
      <c r="C2628" s="14">
        <v>44955</v>
      </c>
      <c r="D2628" s="15">
        <v>40.54</v>
      </c>
      <c r="E2628" s="7">
        <f t="shared" si="41"/>
        <v>1</v>
      </c>
    </row>
    <row r="2629" spans="1:5" x14ac:dyDescent="0.25">
      <c r="A2629" s="7">
        <f>IF(E2629=1,
      SUM($E$2:E2629)-1,
"")</f>
        <v>2626</v>
      </c>
      <c r="B2629" s="6" t="s">
        <v>103</v>
      </c>
      <c r="C2629" s="14">
        <v>45217</v>
      </c>
      <c r="D2629" s="15">
        <v>42.35</v>
      </c>
      <c r="E2629" s="7">
        <f t="shared" si="41"/>
        <v>1</v>
      </c>
    </row>
    <row r="2630" spans="1:5" x14ac:dyDescent="0.25">
      <c r="A2630" s="7">
        <f>IF(E2630=1,
      SUM($E$2:E2630)-1,
"")</f>
        <v>2627</v>
      </c>
      <c r="B2630" s="6" t="s">
        <v>380</v>
      </c>
      <c r="C2630" s="14">
        <v>45073</v>
      </c>
      <c r="D2630" s="15">
        <v>50.09</v>
      </c>
      <c r="E2630" s="7">
        <f t="shared" si="41"/>
        <v>1</v>
      </c>
    </row>
    <row r="2631" spans="1:5" x14ac:dyDescent="0.25">
      <c r="A2631" s="7">
        <f>IF(E2631=1,
      SUM($E$2:E2631)-1,
"")</f>
        <v>2628</v>
      </c>
      <c r="B2631" s="6" t="s">
        <v>157</v>
      </c>
      <c r="C2631" s="14">
        <v>44945</v>
      </c>
      <c r="D2631" s="15">
        <v>91.24</v>
      </c>
      <c r="E2631" s="7">
        <f t="shared" si="41"/>
        <v>1</v>
      </c>
    </row>
    <row r="2632" spans="1:5" x14ac:dyDescent="0.25">
      <c r="A2632" s="7">
        <f>IF(E2632=1,
      SUM($E$2:E2632)-1,
"")</f>
        <v>2629</v>
      </c>
      <c r="B2632" s="6" t="s">
        <v>586</v>
      </c>
      <c r="C2632" s="14">
        <v>45106</v>
      </c>
      <c r="D2632" s="15">
        <v>129.82</v>
      </c>
      <c r="E2632" s="7">
        <f t="shared" si="41"/>
        <v>1</v>
      </c>
    </row>
    <row r="2633" spans="1:5" x14ac:dyDescent="0.25">
      <c r="A2633" s="7">
        <f>IF(E2633=1,
      SUM($E$2:E2633)-1,
"")</f>
        <v>2630</v>
      </c>
      <c r="B2633" s="6" t="s">
        <v>792</v>
      </c>
      <c r="C2633" s="14">
        <v>45004</v>
      </c>
      <c r="D2633" s="15">
        <v>129.01</v>
      </c>
      <c r="E2633" s="7">
        <f t="shared" si="41"/>
        <v>1</v>
      </c>
    </row>
    <row r="2634" spans="1:5" x14ac:dyDescent="0.25">
      <c r="A2634" s="7">
        <f>IF(E2634=1,
      SUM($E$2:E2634)-1,
"")</f>
        <v>2631</v>
      </c>
      <c r="B2634" s="6" t="s">
        <v>300</v>
      </c>
      <c r="C2634" s="14">
        <v>45265</v>
      </c>
      <c r="D2634" s="15">
        <v>123.81</v>
      </c>
      <c r="E2634" s="7">
        <f t="shared" si="41"/>
        <v>1</v>
      </c>
    </row>
    <row r="2635" spans="1:5" x14ac:dyDescent="0.25">
      <c r="A2635" s="7">
        <f>IF(E2635=1,
      SUM($E$2:E2635)-1,
"")</f>
        <v>2632</v>
      </c>
      <c r="B2635" s="6" t="s">
        <v>574</v>
      </c>
      <c r="C2635" s="14">
        <v>45113</v>
      </c>
      <c r="D2635" s="15">
        <v>84.55</v>
      </c>
      <c r="E2635" s="7">
        <f t="shared" si="41"/>
        <v>1</v>
      </c>
    </row>
    <row r="2636" spans="1:5" x14ac:dyDescent="0.25">
      <c r="A2636" s="7">
        <f>IF(E2636=1,
      SUM($E$2:E2636)-1,
"")</f>
        <v>2633</v>
      </c>
      <c r="B2636" s="6" t="s">
        <v>387</v>
      </c>
      <c r="C2636" s="14">
        <v>45040</v>
      </c>
      <c r="D2636" s="15">
        <v>134.33000000000001</v>
      </c>
      <c r="E2636" s="7">
        <f t="shared" si="41"/>
        <v>1</v>
      </c>
    </row>
    <row r="2637" spans="1:5" x14ac:dyDescent="0.25">
      <c r="A2637" s="7">
        <f>IF(E2637=1,
      SUM($E$2:E2637)-1,
"")</f>
        <v>2634</v>
      </c>
      <c r="B2637" s="6" t="s">
        <v>710</v>
      </c>
      <c r="C2637" s="14">
        <v>45167</v>
      </c>
      <c r="D2637" s="15">
        <v>72.069999999999993</v>
      </c>
      <c r="E2637" s="7">
        <f t="shared" si="41"/>
        <v>1</v>
      </c>
    </row>
    <row r="2638" spans="1:5" x14ac:dyDescent="0.25">
      <c r="A2638" s="7">
        <f>IF(E2638=1,
      SUM($E$2:E2638)-1,
"")</f>
        <v>2635</v>
      </c>
      <c r="B2638" s="6" t="s">
        <v>510</v>
      </c>
      <c r="C2638" s="14">
        <v>45116</v>
      </c>
      <c r="D2638" s="15">
        <v>125.6</v>
      </c>
      <c r="E2638" s="7">
        <f t="shared" si="41"/>
        <v>1</v>
      </c>
    </row>
    <row r="2639" spans="1:5" x14ac:dyDescent="0.25">
      <c r="A2639" s="7">
        <f>IF(E2639=1,
      SUM($E$2:E2639)-1,
"")</f>
        <v>2636</v>
      </c>
      <c r="B2639" s="6" t="s">
        <v>915</v>
      </c>
      <c r="C2639" s="14">
        <v>45256</v>
      </c>
      <c r="D2639" s="15">
        <v>49.76</v>
      </c>
      <c r="E2639" s="7">
        <f t="shared" si="41"/>
        <v>1</v>
      </c>
    </row>
    <row r="2640" spans="1:5" x14ac:dyDescent="0.25">
      <c r="A2640" s="7">
        <f>IF(E2640=1,
      SUM($E$2:E2640)-1,
"")</f>
        <v>2637</v>
      </c>
      <c r="B2640" s="6" t="s">
        <v>424</v>
      </c>
      <c r="C2640" s="14">
        <v>45194</v>
      </c>
      <c r="D2640" s="15">
        <v>64.69</v>
      </c>
      <c r="E2640" s="7">
        <f t="shared" si="41"/>
        <v>1</v>
      </c>
    </row>
    <row r="2641" spans="1:5" x14ac:dyDescent="0.25">
      <c r="A2641" s="7">
        <f>IF(E2641=1,
      SUM($E$2:E2641)-1,
"")</f>
        <v>2638</v>
      </c>
      <c r="B2641" s="6" t="s">
        <v>676</v>
      </c>
      <c r="C2641" s="14">
        <v>45195</v>
      </c>
      <c r="D2641" s="15">
        <v>149.58000000000001</v>
      </c>
      <c r="E2641" s="7">
        <f t="shared" si="41"/>
        <v>1</v>
      </c>
    </row>
    <row r="2642" spans="1:5" x14ac:dyDescent="0.25">
      <c r="A2642" s="7">
        <f>IF(E2642=1,
      SUM($E$2:E2642)-1,
"")</f>
        <v>2639</v>
      </c>
      <c r="B2642" s="6" t="s">
        <v>270</v>
      </c>
      <c r="C2642" s="14">
        <v>45166</v>
      </c>
      <c r="D2642" s="15">
        <v>93.88</v>
      </c>
      <c r="E2642" s="7">
        <f t="shared" si="41"/>
        <v>1</v>
      </c>
    </row>
    <row r="2643" spans="1:5" x14ac:dyDescent="0.25">
      <c r="A2643" s="7">
        <f>IF(E2643=1,
      SUM($E$2:E2643)-1,
"")</f>
        <v>2640</v>
      </c>
      <c r="B2643" s="6" t="s">
        <v>722</v>
      </c>
      <c r="C2643" s="14">
        <v>45125</v>
      </c>
      <c r="D2643" s="15">
        <v>79.569999999999993</v>
      </c>
      <c r="E2643" s="7">
        <f t="shared" si="41"/>
        <v>1</v>
      </c>
    </row>
    <row r="2644" spans="1:5" x14ac:dyDescent="0.25">
      <c r="A2644" s="7">
        <f>IF(E2644=1,
      SUM($E$2:E2644)-1,
"")</f>
        <v>2641</v>
      </c>
      <c r="B2644" s="6" t="s">
        <v>572</v>
      </c>
      <c r="C2644" s="14">
        <v>45213</v>
      </c>
      <c r="D2644" s="15">
        <v>133.08000000000001</v>
      </c>
      <c r="E2644" s="7">
        <f t="shared" si="41"/>
        <v>1</v>
      </c>
    </row>
    <row r="2645" spans="1:5" x14ac:dyDescent="0.25">
      <c r="A2645" s="7">
        <f>IF(E2645=1,
      SUM($E$2:E2645)-1,
"")</f>
        <v>2642</v>
      </c>
      <c r="B2645" s="6" t="s">
        <v>156</v>
      </c>
      <c r="C2645" s="14">
        <v>44999</v>
      </c>
      <c r="D2645" s="15">
        <v>136.52000000000001</v>
      </c>
      <c r="E2645" s="7">
        <f t="shared" si="41"/>
        <v>1</v>
      </c>
    </row>
    <row r="2646" spans="1:5" x14ac:dyDescent="0.25">
      <c r="A2646" s="7">
        <f>IF(E2646=1,
      SUM($E$2:E2646)-1,
"")</f>
        <v>2643</v>
      </c>
      <c r="B2646" s="6" t="s">
        <v>492</v>
      </c>
      <c r="C2646" s="14">
        <v>44960</v>
      </c>
      <c r="D2646" s="15">
        <v>87</v>
      </c>
      <c r="E2646" s="7">
        <f t="shared" si="41"/>
        <v>1</v>
      </c>
    </row>
    <row r="2647" spans="1:5" x14ac:dyDescent="0.25">
      <c r="A2647" s="7">
        <f>IF(E2647=1,
      SUM($E$2:E2647)-1,
"")</f>
        <v>2644</v>
      </c>
      <c r="B2647" s="6" t="s">
        <v>815</v>
      </c>
      <c r="C2647" s="14">
        <v>45167</v>
      </c>
      <c r="D2647" s="15">
        <v>108.35</v>
      </c>
      <c r="E2647" s="7">
        <f t="shared" si="41"/>
        <v>1</v>
      </c>
    </row>
    <row r="2648" spans="1:5" x14ac:dyDescent="0.25">
      <c r="A2648" s="7">
        <f>IF(E2648=1,
      SUM($E$2:E2648)-1,
"")</f>
        <v>2645</v>
      </c>
      <c r="B2648" s="6" t="s">
        <v>990</v>
      </c>
      <c r="C2648" s="14">
        <v>44950</v>
      </c>
      <c r="D2648" s="15">
        <v>104.11</v>
      </c>
      <c r="E2648" s="7">
        <f t="shared" si="41"/>
        <v>1</v>
      </c>
    </row>
    <row r="2649" spans="1:5" x14ac:dyDescent="0.25">
      <c r="A2649" s="7">
        <f>IF(E2649=1,
      SUM($E$2:E2649)-1,
"")</f>
        <v>2646</v>
      </c>
      <c r="B2649" s="6" t="s">
        <v>833</v>
      </c>
      <c r="C2649" s="14">
        <v>44983</v>
      </c>
      <c r="D2649" s="15">
        <v>15.19</v>
      </c>
      <c r="E2649" s="7">
        <f t="shared" si="41"/>
        <v>1</v>
      </c>
    </row>
    <row r="2650" spans="1:5" x14ac:dyDescent="0.25">
      <c r="A2650" s="7">
        <f>IF(E2650=1,
      SUM($E$2:E2650)-1,
"")</f>
        <v>2647</v>
      </c>
      <c r="B2650" s="6" t="s">
        <v>849</v>
      </c>
      <c r="C2650" s="14">
        <v>45143</v>
      </c>
      <c r="D2650" s="15">
        <v>58.12</v>
      </c>
      <c r="E2650" s="7">
        <f t="shared" si="41"/>
        <v>1</v>
      </c>
    </row>
    <row r="2651" spans="1:5" x14ac:dyDescent="0.25">
      <c r="A2651" s="7">
        <f>IF(E2651=1,
      SUM($E$2:E2651)-1,
"")</f>
        <v>2648</v>
      </c>
      <c r="B2651" s="6" t="s">
        <v>615</v>
      </c>
      <c r="C2651" s="14">
        <v>45277</v>
      </c>
      <c r="D2651" s="15">
        <v>128.27000000000001</v>
      </c>
      <c r="E2651" s="7">
        <f t="shared" si="41"/>
        <v>1</v>
      </c>
    </row>
    <row r="2652" spans="1:5" x14ac:dyDescent="0.25">
      <c r="A2652" s="7">
        <f>IF(E2652=1,
      SUM($E$2:E2652)-1,
"")</f>
        <v>2649</v>
      </c>
      <c r="B2652" s="6" t="s">
        <v>457</v>
      </c>
      <c r="C2652" s="14">
        <v>45265</v>
      </c>
      <c r="D2652" s="15">
        <v>75.02</v>
      </c>
      <c r="E2652" s="7">
        <f t="shared" si="41"/>
        <v>1</v>
      </c>
    </row>
    <row r="2653" spans="1:5" x14ac:dyDescent="0.25">
      <c r="A2653" s="7">
        <f>IF(E2653=1,
      SUM($E$2:E2653)-1,
"")</f>
        <v>2650</v>
      </c>
      <c r="B2653" s="6" t="s">
        <v>817</v>
      </c>
      <c r="C2653" s="14">
        <v>45120</v>
      </c>
      <c r="D2653" s="15">
        <v>115.9</v>
      </c>
      <c r="E2653" s="7">
        <f t="shared" si="41"/>
        <v>1</v>
      </c>
    </row>
    <row r="2654" spans="1:5" x14ac:dyDescent="0.25">
      <c r="A2654" s="7">
        <f>IF(E2654=1,
      SUM($E$2:E2654)-1,
"")</f>
        <v>2651</v>
      </c>
      <c r="B2654" s="6" t="s">
        <v>307</v>
      </c>
      <c r="C2654" s="14">
        <v>45247</v>
      </c>
      <c r="D2654" s="15">
        <v>107.89</v>
      </c>
      <c r="E2654" s="7">
        <f t="shared" si="41"/>
        <v>1</v>
      </c>
    </row>
    <row r="2655" spans="1:5" x14ac:dyDescent="0.25">
      <c r="A2655" s="7">
        <f>IF(E2655=1,
      SUM($E$2:E2655)-1,
"")</f>
        <v>2652</v>
      </c>
      <c r="B2655" s="6" t="s">
        <v>237</v>
      </c>
      <c r="C2655" s="14">
        <v>44965</v>
      </c>
      <c r="D2655" s="15">
        <v>136.46</v>
      </c>
      <c r="E2655" s="7">
        <f t="shared" si="41"/>
        <v>1</v>
      </c>
    </row>
    <row r="2656" spans="1:5" x14ac:dyDescent="0.25">
      <c r="A2656" s="7">
        <f>IF(E2656=1,
      SUM($E$2:E2656)-1,
"")</f>
        <v>2653</v>
      </c>
      <c r="B2656" s="6" t="s">
        <v>521</v>
      </c>
      <c r="C2656" s="14">
        <v>45057</v>
      </c>
      <c r="D2656" s="15">
        <v>59.09</v>
      </c>
      <c r="E2656" s="7">
        <f t="shared" si="41"/>
        <v>1</v>
      </c>
    </row>
    <row r="2657" spans="1:5" x14ac:dyDescent="0.25">
      <c r="A2657" s="7">
        <f>IF(E2657=1,
      SUM($E$2:E2657)-1,
"")</f>
        <v>2654</v>
      </c>
      <c r="B2657" s="6" t="s">
        <v>991</v>
      </c>
      <c r="C2657" s="14">
        <v>45079</v>
      </c>
      <c r="D2657" s="15">
        <v>111.83</v>
      </c>
      <c r="E2657" s="7">
        <f t="shared" si="41"/>
        <v>1</v>
      </c>
    </row>
    <row r="2658" spans="1:5" x14ac:dyDescent="0.25">
      <c r="A2658" s="7">
        <f>IF(E2658=1,
      SUM($E$2:E2658)-1,
"")</f>
        <v>2655</v>
      </c>
      <c r="B2658" s="6" t="s">
        <v>896</v>
      </c>
      <c r="C2658" s="14">
        <v>45208</v>
      </c>
      <c r="D2658" s="15">
        <v>98.04</v>
      </c>
      <c r="E2658" s="7">
        <f t="shared" si="41"/>
        <v>1</v>
      </c>
    </row>
    <row r="2659" spans="1:5" x14ac:dyDescent="0.25">
      <c r="A2659" s="7">
        <f>IF(E2659=1,
      SUM($E$2:E2659)-1,
"")</f>
        <v>2656</v>
      </c>
      <c r="B2659" s="6" t="s">
        <v>81</v>
      </c>
      <c r="C2659" s="14">
        <v>45011</v>
      </c>
      <c r="D2659" s="15">
        <v>76.31</v>
      </c>
      <c r="E2659" s="7">
        <f t="shared" si="41"/>
        <v>1</v>
      </c>
    </row>
    <row r="2660" spans="1:5" x14ac:dyDescent="0.25">
      <c r="A2660" s="7">
        <f>IF(E2660=1,
      SUM($E$2:E2660)-1,
"")</f>
        <v>2657</v>
      </c>
      <c r="B2660" s="6" t="s">
        <v>808</v>
      </c>
      <c r="C2660" s="14">
        <v>45061</v>
      </c>
      <c r="D2660" s="15">
        <v>76.099999999999994</v>
      </c>
      <c r="E2660" s="7">
        <f t="shared" si="41"/>
        <v>1</v>
      </c>
    </row>
    <row r="2661" spans="1:5" x14ac:dyDescent="0.25">
      <c r="A2661" s="7">
        <f>IF(E2661=1,
      SUM($E$2:E2661)-1,
"")</f>
        <v>2658</v>
      </c>
      <c r="B2661" s="6" t="s">
        <v>992</v>
      </c>
      <c r="C2661" s="14">
        <v>45208</v>
      </c>
      <c r="D2661" s="15">
        <v>106.82</v>
      </c>
      <c r="E2661" s="7">
        <f t="shared" si="41"/>
        <v>1</v>
      </c>
    </row>
    <row r="2662" spans="1:5" x14ac:dyDescent="0.25">
      <c r="A2662" s="7">
        <f>IF(E2662=1,
      SUM($E$2:E2662)-1,
"")</f>
        <v>2659</v>
      </c>
      <c r="B2662" s="6" t="s">
        <v>462</v>
      </c>
      <c r="C2662" s="14">
        <v>45228</v>
      </c>
      <c r="D2662" s="15">
        <v>118.89</v>
      </c>
      <c r="E2662" s="7">
        <f t="shared" si="41"/>
        <v>1</v>
      </c>
    </row>
    <row r="2663" spans="1:5" x14ac:dyDescent="0.25">
      <c r="A2663" s="7">
        <f>IF(E2663=1,
      SUM($E$2:E2663)-1,
"")</f>
        <v>2660</v>
      </c>
      <c r="B2663" s="6" t="s">
        <v>751</v>
      </c>
      <c r="C2663" s="14">
        <v>45159</v>
      </c>
      <c r="D2663" s="15">
        <v>101.91</v>
      </c>
      <c r="E2663" s="7">
        <f t="shared" si="41"/>
        <v>1</v>
      </c>
    </row>
    <row r="2664" spans="1:5" x14ac:dyDescent="0.25">
      <c r="A2664" s="7">
        <f>IF(E2664=1,
      SUM($E$2:E2664)-1,
"")</f>
        <v>2661</v>
      </c>
      <c r="B2664" s="6" t="s">
        <v>738</v>
      </c>
      <c r="C2664" s="14">
        <v>45142</v>
      </c>
      <c r="D2664" s="15">
        <v>102.84</v>
      </c>
      <c r="E2664" s="7">
        <f t="shared" si="41"/>
        <v>1</v>
      </c>
    </row>
    <row r="2665" spans="1:5" x14ac:dyDescent="0.25">
      <c r="A2665" s="7">
        <f>IF(E2665=1,
      SUM($E$2:E2665)-1,
"")</f>
        <v>2662</v>
      </c>
      <c r="B2665" s="6" t="s">
        <v>90</v>
      </c>
      <c r="C2665" s="14">
        <v>45178</v>
      </c>
      <c r="D2665" s="15">
        <v>85.05</v>
      </c>
      <c r="E2665" s="7">
        <f t="shared" si="41"/>
        <v>1</v>
      </c>
    </row>
    <row r="2666" spans="1:5" x14ac:dyDescent="0.25">
      <c r="A2666" s="7">
        <f>IF(E2666=1,
      SUM($E$2:E2666)-1,
"")</f>
        <v>2663</v>
      </c>
      <c r="B2666" s="6" t="s">
        <v>337</v>
      </c>
      <c r="C2666" s="14">
        <v>45229</v>
      </c>
      <c r="D2666" s="15">
        <v>87.03</v>
      </c>
      <c r="E2666" s="7">
        <f t="shared" si="41"/>
        <v>1</v>
      </c>
    </row>
    <row r="2667" spans="1:5" x14ac:dyDescent="0.25">
      <c r="A2667" s="7">
        <f>IF(E2667=1,
      SUM($E$2:E2667)-1,
"")</f>
        <v>2664</v>
      </c>
      <c r="B2667" s="6" t="s">
        <v>825</v>
      </c>
      <c r="C2667" s="14">
        <v>44950</v>
      </c>
      <c r="D2667" s="15">
        <v>76.23</v>
      </c>
      <c r="E2667" s="7">
        <f t="shared" si="41"/>
        <v>1</v>
      </c>
    </row>
    <row r="2668" spans="1:5" x14ac:dyDescent="0.25">
      <c r="A2668" s="7">
        <f>IF(E2668=1,
      SUM($E$2:E2668)-1,
"")</f>
        <v>2665</v>
      </c>
      <c r="B2668" s="6" t="s">
        <v>899</v>
      </c>
      <c r="C2668" s="14">
        <v>44930</v>
      </c>
      <c r="D2668" s="15">
        <v>84.44</v>
      </c>
      <c r="E2668" s="7">
        <f t="shared" si="41"/>
        <v>1</v>
      </c>
    </row>
    <row r="2669" spans="1:5" x14ac:dyDescent="0.25">
      <c r="A2669" s="7">
        <f>IF(E2669=1,
      SUM($E$2:E2669)-1,
"")</f>
        <v>2666</v>
      </c>
      <c r="B2669" s="6" t="s">
        <v>364</v>
      </c>
      <c r="C2669" s="14">
        <v>44941</v>
      </c>
      <c r="D2669" s="15">
        <v>117.84</v>
      </c>
      <c r="E2669" s="7">
        <f t="shared" si="41"/>
        <v>1</v>
      </c>
    </row>
    <row r="2670" spans="1:5" x14ac:dyDescent="0.25">
      <c r="A2670" s="7">
        <f>IF(E2670=1,
      SUM($E$2:E2670)-1,
"")</f>
        <v>2667</v>
      </c>
      <c r="B2670" s="6" t="s">
        <v>891</v>
      </c>
      <c r="C2670" s="14">
        <v>45135</v>
      </c>
      <c r="D2670" s="15">
        <v>121.19</v>
      </c>
      <c r="E2670" s="7">
        <f t="shared" si="41"/>
        <v>1</v>
      </c>
    </row>
    <row r="2671" spans="1:5" x14ac:dyDescent="0.25">
      <c r="A2671" s="7">
        <f>IF(E2671=1,
      SUM($E$2:E2671)-1,
"")</f>
        <v>2668</v>
      </c>
      <c r="B2671" s="6" t="s">
        <v>666</v>
      </c>
      <c r="C2671" s="14">
        <v>45216</v>
      </c>
      <c r="D2671" s="15">
        <v>61.72</v>
      </c>
      <c r="E2671" s="7">
        <f t="shared" si="41"/>
        <v>1</v>
      </c>
    </row>
    <row r="2672" spans="1:5" x14ac:dyDescent="0.25">
      <c r="A2672" s="7">
        <f>IF(E2672=1,
      SUM($E$2:E2672)-1,
"")</f>
        <v>2669</v>
      </c>
      <c r="B2672" s="6" t="s">
        <v>810</v>
      </c>
      <c r="C2672" s="14">
        <v>45147</v>
      </c>
      <c r="D2672" s="15">
        <v>73.11</v>
      </c>
      <c r="E2672" s="7">
        <f t="shared" si="41"/>
        <v>1</v>
      </c>
    </row>
    <row r="2673" spans="1:5" x14ac:dyDescent="0.25">
      <c r="A2673" s="7">
        <f>IF(E2673=1,
      SUM($E$2:E2673)-1,
"")</f>
        <v>2670</v>
      </c>
      <c r="B2673" s="6" t="s">
        <v>158</v>
      </c>
      <c r="C2673" s="14">
        <v>44950</v>
      </c>
      <c r="D2673" s="15">
        <v>78.69</v>
      </c>
      <c r="E2673" s="7">
        <f t="shared" si="41"/>
        <v>1</v>
      </c>
    </row>
    <row r="2674" spans="1:5" x14ac:dyDescent="0.25">
      <c r="A2674" s="7">
        <f>IF(E2674=1,
      SUM($E$2:E2674)-1,
"")</f>
        <v>2671</v>
      </c>
      <c r="B2674" s="6" t="s">
        <v>409</v>
      </c>
      <c r="C2674" s="14">
        <v>45068</v>
      </c>
      <c r="D2674" s="15">
        <v>98.08</v>
      </c>
      <c r="E2674" s="7">
        <f t="shared" si="41"/>
        <v>1</v>
      </c>
    </row>
    <row r="2675" spans="1:5" x14ac:dyDescent="0.25">
      <c r="A2675" s="7">
        <f>IF(E2675=1,
      SUM($E$2:E2675)-1,
"")</f>
        <v>2672</v>
      </c>
      <c r="B2675" s="6" t="s">
        <v>934</v>
      </c>
      <c r="C2675" s="14">
        <v>44980</v>
      </c>
      <c r="D2675" s="15">
        <v>49.51</v>
      </c>
      <c r="E2675" s="7">
        <f t="shared" si="41"/>
        <v>1</v>
      </c>
    </row>
    <row r="2676" spans="1:5" x14ac:dyDescent="0.25">
      <c r="A2676" s="7">
        <f>IF(E2676=1,
      SUM($E$2:E2676)-1,
"")</f>
        <v>2673</v>
      </c>
      <c r="B2676" s="6" t="s">
        <v>331</v>
      </c>
      <c r="C2676" s="14">
        <v>45190</v>
      </c>
      <c r="D2676" s="15">
        <v>73.63</v>
      </c>
      <c r="E2676" s="7">
        <f t="shared" si="41"/>
        <v>1</v>
      </c>
    </row>
    <row r="2677" spans="1:5" x14ac:dyDescent="0.25">
      <c r="A2677" s="7">
        <f>IF(E2677=1,
      SUM($E$2:E2677)-1,
"")</f>
        <v>2674</v>
      </c>
      <c r="B2677" s="6" t="s">
        <v>656</v>
      </c>
      <c r="C2677" s="14">
        <v>44946</v>
      </c>
      <c r="D2677" s="15">
        <v>58.43</v>
      </c>
      <c r="E2677" s="7">
        <f t="shared" si="41"/>
        <v>1</v>
      </c>
    </row>
    <row r="2678" spans="1:5" x14ac:dyDescent="0.25">
      <c r="A2678" s="7">
        <f>IF(E2678=1,
      SUM($E$2:E2678)-1,
"")</f>
        <v>2675</v>
      </c>
      <c r="B2678" s="6" t="s">
        <v>977</v>
      </c>
      <c r="C2678" s="14">
        <v>44992</v>
      </c>
      <c r="D2678" s="15">
        <v>112.01</v>
      </c>
      <c r="E2678" s="7">
        <f t="shared" si="41"/>
        <v>1</v>
      </c>
    </row>
    <row r="2679" spans="1:5" x14ac:dyDescent="0.25">
      <c r="A2679" s="7">
        <f>IF(E2679=1,
      SUM($E$2:E2679)-1,
"")</f>
        <v>2676</v>
      </c>
      <c r="B2679" s="6" t="s">
        <v>293</v>
      </c>
      <c r="C2679" s="14">
        <v>45205</v>
      </c>
      <c r="D2679" s="15">
        <v>99.11</v>
      </c>
      <c r="E2679" s="7">
        <f t="shared" si="41"/>
        <v>1</v>
      </c>
    </row>
    <row r="2680" spans="1:5" x14ac:dyDescent="0.25">
      <c r="A2680" s="7">
        <f>IF(E2680=1,
      SUM($E$2:E2680)-1,
"")</f>
        <v>2677</v>
      </c>
      <c r="B2680" s="6" t="s">
        <v>678</v>
      </c>
      <c r="C2680" s="14">
        <v>44990</v>
      </c>
      <c r="D2680" s="15">
        <v>86.12</v>
      </c>
      <c r="E2680" s="7">
        <f t="shared" si="41"/>
        <v>1</v>
      </c>
    </row>
    <row r="2681" spans="1:5" x14ac:dyDescent="0.25">
      <c r="A2681" s="7">
        <f>IF(E2681=1,
      SUM($E$2:E2681)-1,
"")</f>
        <v>2678</v>
      </c>
      <c r="B2681" s="6" t="s">
        <v>466</v>
      </c>
      <c r="C2681" s="14">
        <v>45125</v>
      </c>
      <c r="D2681" s="15">
        <v>68.099999999999994</v>
      </c>
      <c r="E2681" s="7">
        <f t="shared" si="41"/>
        <v>1</v>
      </c>
    </row>
    <row r="2682" spans="1:5" x14ac:dyDescent="0.25">
      <c r="A2682" s="7">
        <f>IF(E2682=1,
      SUM($E$2:E2682)-1,
"")</f>
        <v>2679</v>
      </c>
      <c r="B2682" s="6" t="s">
        <v>885</v>
      </c>
      <c r="C2682" s="14">
        <v>45123</v>
      </c>
      <c r="D2682" s="15">
        <v>86.59</v>
      </c>
      <c r="E2682" s="7">
        <f t="shared" si="41"/>
        <v>1</v>
      </c>
    </row>
    <row r="2683" spans="1:5" x14ac:dyDescent="0.25">
      <c r="A2683" s="7">
        <f>IF(E2683=1,
      SUM($E$2:E2683)-1,
"")</f>
        <v>2680</v>
      </c>
      <c r="B2683" s="6" t="s">
        <v>765</v>
      </c>
      <c r="C2683" s="14">
        <v>45158</v>
      </c>
      <c r="D2683" s="15">
        <v>83.06</v>
      </c>
      <c r="E2683" s="7">
        <f t="shared" si="41"/>
        <v>1</v>
      </c>
    </row>
    <row r="2684" spans="1:5" x14ac:dyDescent="0.25">
      <c r="A2684" s="7">
        <f>IF(E2684=1,
      SUM($E$2:E2684)-1,
"")</f>
        <v>2681</v>
      </c>
      <c r="B2684" s="6" t="s">
        <v>139</v>
      </c>
      <c r="C2684" s="14">
        <v>45243</v>
      </c>
      <c r="D2684" s="15">
        <v>149.04</v>
      </c>
      <c r="E2684" s="7">
        <f t="shared" si="41"/>
        <v>1</v>
      </c>
    </row>
    <row r="2685" spans="1:5" x14ac:dyDescent="0.25">
      <c r="A2685" s="7">
        <f>IF(E2685=1,
      SUM($E$2:E2685)-1,
"")</f>
        <v>2682</v>
      </c>
      <c r="B2685" s="6" t="s">
        <v>404</v>
      </c>
      <c r="C2685" s="14">
        <v>44953</v>
      </c>
      <c r="D2685" s="15">
        <v>129.91</v>
      </c>
      <c r="E2685" s="7">
        <f t="shared" si="41"/>
        <v>1</v>
      </c>
    </row>
    <row r="2686" spans="1:5" x14ac:dyDescent="0.25">
      <c r="A2686" s="7">
        <f>IF(E2686=1,
      SUM($E$2:E2686)-1,
"")</f>
        <v>2683</v>
      </c>
      <c r="B2686" s="6" t="s">
        <v>215</v>
      </c>
      <c r="C2686" s="14">
        <v>44946</v>
      </c>
      <c r="D2686" s="15">
        <v>79.28</v>
      </c>
      <c r="E2686" s="7">
        <f t="shared" si="41"/>
        <v>1</v>
      </c>
    </row>
    <row r="2687" spans="1:5" x14ac:dyDescent="0.25">
      <c r="A2687" s="7">
        <f>IF(E2687=1,
      SUM($E$2:E2687)-1,
"")</f>
        <v>2684</v>
      </c>
      <c r="B2687" s="6" t="s">
        <v>767</v>
      </c>
      <c r="C2687" s="14">
        <v>45159</v>
      </c>
      <c r="D2687" s="15">
        <v>104.96</v>
      </c>
      <c r="E2687" s="7">
        <f t="shared" si="41"/>
        <v>1</v>
      </c>
    </row>
    <row r="2688" spans="1:5" x14ac:dyDescent="0.25">
      <c r="A2688" s="7">
        <f>IF(E2688=1,
      SUM($E$2:E2688)-1,
"")</f>
        <v>2685</v>
      </c>
      <c r="B2688" s="6" t="s">
        <v>863</v>
      </c>
      <c r="C2688" s="14">
        <v>44946</v>
      </c>
      <c r="D2688" s="15">
        <v>128.33000000000001</v>
      </c>
      <c r="E2688" s="7">
        <f t="shared" si="41"/>
        <v>1</v>
      </c>
    </row>
    <row r="2689" spans="1:5" x14ac:dyDescent="0.25">
      <c r="A2689" s="7">
        <f>IF(E2689=1,
      SUM($E$2:E2689)-1,
"")</f>
        <v>2686</v>
      </c>
      <c r="B2689" s="6" t="s">
        <v>320</v>
      </c>
      <c r="C2689" s="14">
        <v>45156</v>
      </c>
      <c r="D2689" s="15">
        <v>79.27</v>
      </c>
      <c r="E2689" s="7">
        <f t="shared" si="41"/>
        <v>1</v>
      </c>
    </row>
    <row r="2690" spans="1:5" x14ac:dyDescent="0.25">
      <c r="A2690" s="7">
        <f>IF(E2690=1,
      SUM($E$2:E2690)-1,
"")</f>
        <v>2687</v>
      </c>
      <c r="B2690" s="6" t="s">
        <v>254</v>
      </c>
      <c r="C2690" s="14">
        <v>45048</v>
      </c>
      <c r="D2690" s="15">
        <v>57.49</v>
      </c>
      <c r="E2690" s="7">
        <f t="shared" ref="E2690:E2753" si="42">IF(D2690&gt;0,1,0)</f>
        <v>1</v>
      </c>
    </row>
    <row r="2691" spans="1:5" x14ac:dyDescent="0.25">
      <c r="A2691" s="7">
        <f>IF(E2691=1,
      SUM($E$2:E2691)-1,
"")</f>
        <v>2688</v>
      </c>
      <c r="B2691" s="6" t="s">
        <v>488</v>
      </c>
      <c r="C2691" s="14">
        <v>45184</v>
      </c>
      <c r="D2691" s="15">
        <v>46.09</v>
      </c>
      <c r="E2691" s="7">
        <f t="shared" si="42"/>
        <v>1</v>
      </c>
    </row>
    <row r="2692" spans="1:5" x14ac:dyDescent="0.25">
      <c r="A2692" s="7">
        <f>IF(E2692=1,
      SUM($E$2:E2692)-1,
"")</f>
        <v>2689</v>
      </c>
      <c r="B2692" s="6" t="s">
        <v>679</v>
      </c>
      <c r="C2692" s="14">
        <v>44980</v>
      </c>
      <c r="D2692" s="15">
        <v>138.16999999999999</v>
      </c>
      <c r="E2692" s="7">
        <f t="shared" si="42"/>
        <v>1</v>
      </c>
    </row>
    <row r="2693" spans="1:5" x14ac:dyDescent="0.25">
      <c r="A2693" s="7">
        <f>IF(E2693=1,
      SUM($E$2:E2693)-1,
"")</f>
        <v>2690</v>
      </c>
      <c r="B2693" s="6" t="s">
        <v>608</v>
      </c>
      <c r="C2693" s="14">
        <v>45006</v>
      </c>
      <c r="D2693" s="15">
        <v>94.27</v>
      </c>
      <c r="E2693" s="7">
        <f t="shared" si="42"/>
        <v>1</v>
      </c>
    </row>
    <row r="2694" spans="1:5" x14ac:dyDescent="0.25">
      <c r="A2694" s="7">
        <f>IF(E2694=1,
      SUM($E$2:E2694)-1,
"")</f>
        <v>2691</v>
      </c>
      <c r="B2694" s="6" t="s">
        <v>111</v>
      </c>
      <c r="C2694" s="14">
        <v>45272</v>
      </c>
      <c r="D2694" s="15">
        <v>108.74</v>
      </c>
      <c r="E2694" s="7">
        <f t="shared" si="42"/>
        <v>1</v>
      </c>
    </row>
    <row r="2695" spans="1:5" x14ac:dyDescent="0.25">
      <c r="A2695" s="7">
        <f>IF(E2695=1,
      SUM($E$2:E2695)-1,
"")</f>
        <v>2692</v>
      </c>
      <c r="B2695" s="6" t="s">
        <v>216</v>
      </c>
      <c r="C2695" s="14">
        <v>45203</v>
      </c>
      <c r="D2695" s="15">
        <v>82.77</v>
      </c>
      <c r="E2695" s="7">
        <f t="shared" si="42"/>
        <v>1</v>
      </c>
    </row>
    <row r="2696" spans="1:5" x14ac:dyDescent="0.25">
      <c r="A2696" s="7">
        <f>IF(E2696=1,
      SUM($E$2:E2696)-1,
"")</f>
        <v>2693</v>
      </c>
      <c r="B2696" s="6" t="s">
        <v>993</v>
      </c>
      <c r="C2696" s="14">
        <v>44997</v>
      </c>
      <c r="D2696" s="15">
        <v>61.96</v>
      </c>
      <c r="E2696" s="7">
        <f t="shared" si="42"/>
        <v>1</v>
      </c>
    </row>
    <row r="2697" spans="1:5" x14ac:dyDescent="0.25">
      <c r="A2697" s="7">
        <f>IF(E2697=1,
      SUM($E$2:E2697)-1,
"")</f>
        <v>2694</v>
      </c>
      <c r="B2697" s="6" t="s">
        <v>398</v>
      </c>
      <c r="C2697" s="14">
        <v>45181</v>
      </c>
      <c r="D2697" s="15">
        <v>67.56</v>
      </c>
      <c r="E2697" s="7">
        <f t="shared" si="42"/>
        <v>1</v>
      </c>
    </row>
    <row r="2698" spans="1:5" x14ac:dyDescent="0.25">
      <c r="A2698" s="7">
        <f>IF(E2698=1,
      SUM($E$2:E2698)-1,
"")</f>
        <v>2695</v>
      </c>
      <c r="B2698" s="6" t="s">
        <v>663</v>
      </c>
      <c r="C2698" s="14">
        <v>44992</v>
      </c>
      <c r="D2698" s="15">
        <v>59.77</v>
      </c>
      <c r="E2698" s="7">
        <f t="shared" si="42"/>
        <v>1</v>
      </c>
    </row>
    <row r="2699" spans="1:5" x14ac:dyDescent="0.25">
      <c r="A2699" s="7">
        <f>IF(E2699=1,
      SUM($E$2:E2699)-1,
"")</f>
        <v>2696</v>
      </c>
      <c r="B2699" s="6" t="s">
        <v>803</v>
      </c>
      <c r="C2699" s="14">
        <v>45216</v>
      </c>
      <c r="D2699" s="15">
        <v>125.5</v>
      </c>
      <c r="E2699" s="7">
        <f t="shared" si="42"/>
        <v>1</v>
      </c>
    </row>
    <row r="2700" spans="1:5" x14ac:dyDescent="0.25">
      <c r="A2700" s="7">
        <f>IF(E2700=1,
      SUM($E$2:E2700)-1,
"")</f>
        <v>2697</v>
      </c>
      <c r="B2700" s="6" t="s">
        <v>707</v>
      </c>
      <c r="C2700" s="14">
        <v>45116</v>
      </c>
      <c r="D2700" s="15">
        <v>144.78</v>
      </c>
      <c r="E2700" s="7">
        <f t="shared" si="42"/>
        <v>1</v>
      </c>
    </row>
    <row r="2701" spans="1:5" x14ac:dyDescent="0.25">
      <c r="A2701" s="7">
        <f>IF(E2701=1,
      SUM($E$2:E2701)-1,
"")</f>
        <v>2698</v>
      </c>
      <c r="B2701" s="6" t="s">
        <v>869</v>
      </c>
      <c r="C2701" s="14">
        <v>44950</v>
      </c>
      <c r="D2701" s="15">
        <v>101.12</v>
      </c>
      <c r="E2701" s="7">
        <f t="shared" si="42"/>
        <v>1</v>
      </c>
    </row>
    <row r="2702" spans="1:5" x14ac:dyDescent="0.25">
      <c r="A2702" s="7">
        <f>IF(E2702=1,
      SUM($E$2:E2702)-1,
"")</f>
        <v>2699</v>
      </c>
      <c r="B2702" s="6" t="s">
        <v>106</v>
      </c>
      <c r="C2702" s="14">
        <v>45145</v>
      </c>
      <c r="D2702" s="15">
        <v>54.47</v>
      </c>
      <c r="E2702" s="7">
        <f t="shared" si="42"/>
        <v>1</v>
      </c>
    </row>
    <row r="2703" spans="1:5" x14ac:dyDescent="0.25">
      <c r="A2703" s="7">
        <f>IF(E2703=1,
      SUM($E$2:E2703)-1,
"")</f>
        <v>2700</v>
      </c>
      <c r="B2703" s="6" t="s">
        <v>312</v>
      </c>
      <c r="C2703" s="14">
        <v>45192</v>
      </c>
      <c r="D2703" s="15">
        <v>114.9</v>
      </c>
      <c r="E2703" s="7">
        <f t="shared" si="42"/>
        <v>1</v>
      </c>
    </row>
    <row r="2704" spans="1:5" x14ac:dyDescent="0.25">
      <c r="A2704" s="7">
        <f>IF(E2704=1,
      SUM($E$2:E2704)-1,
"")</f>
        <v>2701</v>
      </c>
      <c r="B2704" s="6" t="s">
        <v>582</v>
      </c>
      <c r="C2704" s="14">
        <v>45047</v>
      </c>
      <c r="D2704" s="15">
        <v>137.94999999999999</v>
      </c>
      <c r="E2704" s="7">
        <f t="shared" si="42"/>
        <v>1</v>
      </c>
    </row>
    <row r="2705" spans="1:5" x14ac:dyDescent="0.25">
      <c r="A2705" s="7">
        <f>IF(E2705=1,
      SUM($E$2:E2705)-1,
"")</f>
        <v>2702</v>
      </c>
      <c r="B2705" s="6" t="s">
        <v>639</v>
      </c>
      <c r="C2705" s="14">
        <v>45176</v>
      </c>
      <c r="D2705" s="15">
        <v>129.15</v>
      </c>
      <c r="E2705" s="7">
        <f t="shared" si="42"/>
        <v>1</v>
      </c>
    </row>
    <row r="2706" spans="1:5" x14ac:dyDescent="0.25">
      <c r="A2706" s="7">
        <f>IF(E2706=1,
      SUM($E$2:E2706)-1,
"")</f>
        <v>2703</v>
      </c>
      <c r="B2706" s="6" t="s">
        <v>717</v>
      </c>
      <c r="C2706" s="14">
        <v>45201</v>
      </c>
      <c r="D2706" s="15">
        <v>99.13</v>
      </c>
      <c r="E2706" s="7">
        <f t="shared" si="42"/>
        <v>1</v>
      </c>
    </row>
    <row r="2707" spans="1:5" x14ac:dyDescent="0.25">
      <c r="A2707" s="7">
        <f>IF(E2707=1,
      SUM($E$2:E2707)-1,
"")</f>
        <v>2704</v>
      </c>
      <c r="B2707" s="6" t="s">
        <v>716</v>
      </c>
      <c r="C2707" s="14">
        <v>45265</v>
      </c>
      <c r="D2707" s="15">
        <v>92.97</v>
      </c>
      <c r="E2707" s="7">
        <f t="shared" si="42"/>
        <v>1</v>
      </c>
    </row>
    <row r="2708" spans="1:5" x14ac:dyDescent="0.25">
      <c r="A2708" s="7">
        <f>IF(E2708=1,
      SUM($E$2:E2708)-1,
"")</f>
        <v>2705</v>
      </c>
      <c r="B2708" s="6" t="s">
        <v>902</v>
      </c>
      <c r="C2708" s="14">
        <v>45268</v>
      </c>
      <c r="D2708" s="15">
        <v>98.89</v>
      </c>
      <c r="E2708" s="7">
        <f t="shared" si="42"/>
        <v>1</v>
      </c>
    </row>
    <row r="2709" spans="1:5" x14ac:dyDescent="0.25">
      <c r="A2709" s="7">
        <f>IF(E2709=1,
      SUM($E$2:E2709)-1,
"")</f>
        <v>2706</v>
      </c>
      <c r="B2709" s="6" t="s">
        <v>948</v>
      </c>
      <c r="C2709" s="14">
        <v>45235</v>
      </c>
      <c r="D2709" s="15">
        <v>136.76</v>
      </c>
      <c r="E2709" s="7">
        <f t="shared" si="42"/>
        <v>1</v>
      </c>
    </row>
    <row r="2710" spans="1:5" x14ac:dyDescent="0.25">
      <c r="A2710" s="7">
        <f>IF(E2710=1,
      SUM($E$2:E2710)-1,
"")</f>
        <v>2707</v>
      </c>
      <c r="B2710" s="6" t="s">
        <v>687</v>
      </c>
      <c r="C2710" s="14">
        <v>44996</v>
      </c>
      <c r="D2710" s="15">
        <v>122.81</v>
      </c>
      <c r="E2710" s="7">
        <f t="shared" si="42"/>
        <v>1</v>
      </c>
    </row>
    <row r="2711" spans="1:5" x14ac:dyDescent="0.25">
      <c r="A2711" s="7">
        <f>IF(E2711=1,
      SUM($E$2:E2711)-1,
"")</f>
        <v>2708</v>
      </c>
      <c r="B2711" s="6" t="s">
        <v>890</v>
      </c>
      <c r="C2711" s="14">
        <v>45159</v>
      </c>
      <c r="D2711" s="15">
        <v>88.43</v>
      </c>
      <c r="E2711" s="7">
        <f t="shared" si="42"/>
        <v>1</v>
      </c>
    </row>
    <row r="2712" spans="1:5" x14ac:dyDescent="0.25">
      <c r="A2712" s="7">
        <f>IF(E2712=1,
      SUM($E$2:E2712)-1,
"")</f>
        <v>2709</v>
      </c>
      <c r="B2712" s="6" t="s">
        <v>864</v>
      </c>
      <c r="C2712" s="14">
        <v>44962</v>
      </c>
      <c r="D2712" s="15">
        <v>87.67</v>
      </c>
      <c r="E2712" s="7">
        <f t="shared" si="42"/>
        <v>1</v>
      </c>
    </row>
    <row r="2713" spans="1:5" x14ac:dyDescent="0.25">
      <c r="A2713" s="7">
        <f>IF(E2713=1,
      SUM($E$2:E2713)-1,
"")</f>
        <v>2710</v>
      </c>
      <c r="B2713" s="6" t="s">
        <v>172</v>
      </c>
      <c r="C2713" s="14">
        <v>45044</v>
      </c>
      <c r="D2713" s="15">
        <v>85.55</v>
      </c>
      <c r="E2713" s="7">
        <f t="shared" si="42"/>
        <v>1</v>
      </c>
    </row>
    <row r="2714" spans="1:5" x14ac:dyDescent="0.25">
      <c r="A2714" s="7">
        <f>IF(E2714=1,
      SUM($E$2:E2714)-1,
"")</f>
        <v>2711</v>
      </c>
      <c r="B2714" s="6" t="s">
        <v>918</v>
      </c>
      <c r="C2714" s="14">
        <v>45255</v>
      </c>
      <c r="D2714" s="15">
        <v>68.06</v>
      </c>
      <c r="E2714" s="7">
        <f t="shared" si="42"/>
        <v>1</v>
      </c>
    </row>
    <row r="2715" spans="1:5" x14ac:dyDescent="0.25">
      <c r="A2715" s="7">
        <f>IF(E2715=1,
      SUM($E$2:E2715)-1,
"")</f>
        <v>2712</v>
      </c>
      <c r="B2715" s="6" t="s">
        <v>570</v>
      </c>
      <c r="C2715" s="14">
        <v>45218</v>
      </c>
      <c r="D2715" s="15">
        <v>140.56</v>
      </c>
      <c r="E2715" s="7">
        <f t="shared" si="42"/>
        <v>1</v>
      </c>
    </row>
    <row r="2716" spans="1:5" x14ac:dyDescent="0.25">
      <c r="A2716" s="7">
        <f>IF(E2716=1,
      SUM($E$2:E2716)-1,
"")</f>
        <v>2713</v>
      </c>
      <c r="B2716" s="6" t="s">
        <v>569</v>
      </c>
      <c r="C2716" s="14">
        <v>45151</v>
      </c>
      <c r="D2716" s="15">
        <v>76.37</v>
      </c>
      <c r="E2716" s="7">
        <f t="shared" si="42"/>
        <v>1</v>
      </c>
    </row>
    <row r="2717" spans="1:5" x14ac:dyDescent="0.25">
      <c r="A2717" s="7">
        <f>IF(E2717=1,
      SUM($E$2:E2717)-1,
"")</f>
        <v>2714</v>
      </c>
      <c r="B2717" s="6" t="s">
        <v>877</v>
      </c>
      <c r="C2717" s="14">
        <v>44971</v>
      </c>
      <c r="D2717" s="15">
        <v>114.71</v>
      </c>
      <c r="E2717" s="7">
        <f t="shared" si="42"/>
        <v>1</v>
      </c>
    </row>
    <row r="2718" spans="1:5" x14ac:dyDescent="0.25">
      <c r="A2718" s="7">
        <f>IF(E2718=1,
      SUM($E$2:E2718)-1,
"")</f>
        <v>2715</v>
      </c>
      <c r="B2718" s="6" t="s">
        <v>831</v>
      </c>
      <c r="C2718" s="14">
        <v>45125</v>
      </c>
      <c r="D2718" s="15">
        <v>80.16</v>
      </c>
      <c r="E2718" s="7">
        <f t="shared" si="42"/>
        <v>1</v>
      </c>
    </row>
    <row r="2719" spans="1:5" x14ac:dyDescent="0.25">
      <c r="A2719" s="7">
        <f>IF(E2719=1,
      SUM($E$2:E2719)-1,
"")</f>
        <v>2716</v>
      </c>
      <c r="B2719" s="6" t="s">
        <v>988</v>
      </c>
      <c r="C2719" s="14">
        <v>45034</v>
      </c>
      <c r="D2719" s="15">
        <v>85.68</v>
      </c>
      <c r="E2719" s="7">
        <f t="shared" si="42"/>
        <v>1</v>
      </c>
    </row>
    <row r="2720" spans="1:5" x14ac:dyDescent="0.25">
      <c r="A2720" s="7">
        <f>IF(E2720=1,
      SUM($E$2:E2720)-1,
"")</f>
        <v>2717</v>
      </c>
      <c r="B2720" s="6" t="s">
        <v>651</v>
      </c>
      <c r="C2720" s="14">
        <v>44938</v>
      </c>
      <c r="D2720" s="15">
        <v>96.58</v>
      </c>
      <c r="E2720" s="7">
        <f t="shared" si="42"/>
        <v>1</v>
      </c>
    </row>
    <row r="2721" spans="1:5" x14ac:dyDescent="0.25">
      <c r="A2721" s="7">
        <f>IF(E2721=1,
      SUM($E$2:E2721)-1,
"")</f>
        <v>2718</v>
      </c>
      <c r="B2721" s="6" t="s">
        <v>758</v>
      </c>
      <c r="C2721" s="14">
        <v>45068</v>
      </c>
      <c r="D2721" s="15">
        <v>116.36</v>
      </c>
      <c r="E2721" s="7">
        <f t="shared" si="42"/>
        <v>1</v>
      </c>
    </row>
    <row r="2722" spans="1:5" x14ac:dyDescent="0.25">
      <c r="A2722" s="7">
        <f>IF(E2722=1,
      SUM($E$2:E2722)-1,
"")</f>
        <v>2719</v>
      </c>
      <c r="B2722" s="6" t="s">
        <v>617</v>
      </c>
      <c r="C2722" s="14">
        <v>45141</v>
      </c>
      <c r="D2722" s="15">
        <v>92.22</v>
      </c>
      <c r="E2722" s="7">
        <f t="shared" si="42"/>
        <v>1</v>
      </c>
    </row>
    <row r="2723" spans="1:5" x14ac:dyDescent="0.25">
      <c r="A2723" s="7">
        <f>IF(E2723=1,
      SUM($E$2:E2723)-1,
"")</f>
        <v>2720</v>
      </c>
      <c r="B2723" s="6" t="s">
        <v>994</v>
      </c>
      <c r="C2723" s="14">
        <v>45274</v>
      </c>
      <c r="D2723" s="15">
        <v>65.819999999999993</v>
      </c>
      <c r="E2723" s="7">
        <f t="shared" si="42"/>
        <v>1</v>
      </c>
    </row>
    <row r="2724" spans="1:5" x14ac:dyDescent="0.25">
      <c r="A2724" s="7">
        <f>IF(E2724=1,
      SUM($E$2:E2724)-1,
"")</f>
        <v>2721</v>
      </c>
      <c r="B2724" s="6" t="s">
        <v>151</v>
      </c>
      <c r="C2724" s="14">
        <v>45147</v>
      </c>
      <c r="D2724" s="15">
        <v>100.57</v>
      </c>
      <c r="E2724" s="7">
        <f t="shared" si="42"/>
        <v>1</v>
      </c>
    </row>
    <row r="2725" spans="1:5" x14ac:dyDescent="0.25">
      <c r="A2725" s="7">
        <f>IF(E2725=1,
      SUM($E$2:E2725)-1,
"")</f>
        <v>2722</v>
      </c>
      <c r="B2725" s="6" t="s">
        <v>839</v>
      </c>
      <c r="C2725" s="14">
        <v>45052</v>
      </c>
      <c r="D2725" s="15">
        <v>77</v>
      </c>
      <c r="E2725" s="7">
        <f t="shared" si="42"/>
        <v>1</v>
      </c>
    </row>
    <row r="2726" spans="1:5" x14ac:dyDescent="0.25">
      <c r="A2726" s="7">
        <f>IF(E2726=1,
      SUM($E$2:E2726)-1,
"")</f>
        <v>2723</v>
      </c>
      <c r="B2726" s="6" t="s">
        <v>474</v>
      </c>
      <c r="C2726" s="14">
        <v>44949</v>
      </c>
      <c r="D2726" s="15">
        <v>146.32</v>
      </c>
      <c r="E2726" s="7">
        <f t="shared" si="42"/>
        <v>1</v>
      </c>
    </row>
    <row r="2727" spans="1:5" x14ac:dyDescent="0.25">
      <c r="A2727" s="7">
        <f>IF(E2727=1,
      SUM($E$2:E2727)-1,
"")</f>
        <v>2724</v>
      </c>
      <c r="B2727" s="6" t="s">
        <v>515</v>
      </c>
      <c r="C2727" s="14">
        <v>45056</v>
      </c>
      <c r="D2727" s="15">
        <v>92.2</v>
      </c>
      <c r="E2727" s="7">
        <f t="shared" si="42"/>
        <v>1</v>
      </c>
    </row>
    <row r="2728" spans="1:5" x14ac:dyDescent="0.25">
      <c r="A2728" s="7">
        <f>IF(E2728=1,
      SUM($E$2:E2728)-1,
"")</f>
        <v>2725</v>
      </c>
      <c r="B2728" s="6" t="s">
        <v>853</v>
      </c>
      <c r="C2728" s="14">
        <v>45258</v>
      </c>
      <c r="D2728" s="15">
        <v>79.959999999999994</v>
      </c>
      <c r="E2728" s="7">
        <f t="shared" si="42"/>
        <v>1</v>
      </c>
    </row>
    <row r="2729" spans="1:5" x14ac:dyDescent="0.25">
      <c r="A2729" s="7">
        <f>IF(E2729=1,
      SUM($E$2:E2729)-1,
"")</f>
        <v>2726</v>
      </c>
      <c r="B2729" s="6" t="s">
        <v>904</v>
      </c>
      <c r="C2729" s="14">
        <v>45103</v>
      </c>
      <c r="D2729" s="15">
        <v>159.24</v>
      </c>
      <c r="E2729" s="7">
        <f t="shared" si="42"/>
        <v>1</v>
      </c>
    </row>
    <row r="2730" spans="1:5" x14ac:dyDescent="0.25">
      <c r="A2730" s="7">
        <f>IF(E2730=1,
      SUM($E$2:E2730)-1,
"")</f>
        <v>2727</v>
      </c>
      <c r="B2730" s="6" t="s">
        <v>661</v>
      </c>
      <c r="C2730" s="14">
        <v>45292</v>
      </c>
      <c r="D2730" s="15">
        <v>122.17</v>
      </c>
      <c r="E2730" s="7">
        <f t="shared" si="42"/>
        <v>1</v>
      </c>
    </row>
    <row r="2731" spans="1:5" x14ac:dyDescent="0.25">
      <c r="A2731" s="7">
        <f>IF(E2731=1,
      SUM($E$2:E2731)-1,
"")</f>
        <v>2728</v>
      </c>
      <c r="B2731" s="6" t="s">
        <v>995</v>
      </c>
      <c r="C2731" s="14">
        <v>45140</v>
      </c>
      <c r="D2731" s="15">
        <v>73.099999999999994</v>
      </c>
      <c r="E2731" s="7">
        <f t="shared" si="42"/>
        <v>1</v>
      </c>
    </row>
    <row r="2732" spans="1:5" x14ac:dyDescent="0.25">
      <c r="A2732" s="7">
        <f>IF(E2732=1,
      SUM($E$2:E2732)-1,
"")</f>
        <v>2729</v>
      </c>
      <c r="B2732" s="6" t="s">
        <v>418</v>
      </c>
      <c r="C2732" s="14">
        <v>45167</v>
      </c>
      <c r="D2732" s="15">
        <v>76.27</v>
      </c>
      <c r="E2732" s="7">
        <f t="shared" si="42"/>
        <v>1</v>
      </c>
    </row>
    <row r="2733" spans="1:5" x14ac:dyDescent="0.25">
      <c r="A2733" s="7">
        <f>IF(E2733=1,
      SUM($E$2:E2733)-1,
"")</f>
        <v>2730</v>
      </c>
      <c r="B2733" s="6" t="s">
        <v>752</v>
      </c>
      <c r="C2733" s="14">
        <v>44948</v>
      </c>
      <c r="D2733" s="15">
        <v>114.23</v>
      </c>
      <c r="E2733" s="7">
        <f t="shared" si="42"/>
        <v>1</v>
      </c>
    </row>
    <row r="2734" spans="1:5" x14ac:dyDescent="0.25">
      <c r="A2734" s="7">
        <f>IF(E2734=1,
      SUM($E$2:E2734)-1,
"")</f>
        <v>2731</v>
      </c>
      <c r="B2734" s="6" t="s">
        <v>78</v>
      </c>
      <c r="C2734" s="14">
        <v>45067</v>
      </c>
      <c r="D2734" s="15">
        <v>101.3</v>
      </c>
      <c r="E2734" s="7">
        <f t="shared" si="42"/>
        <v>1</v>
      </c>
    </row>
    <row r="2735" spans="1:5" x14ac:dyDescent="0.25">
      <c r="A2735" s="7">
        <f>IF(E2735=1,
      SUM($E$2:E2735)-1,
"")</f>
        <v>2732</v>
      </c>
      <c r="B2735" s="6" t="s">
        <v>996</v>
      </c>
      <c r="C2735" s="14">
        <v>45072</v>
      </c>
      <c r="D2735" s="15">
        <v>126.71</v>
      </c>
      <c r="E2735" s="7">
        <f t="shared" si="42"/>
        <v>1</v>
      </c>
    </row>
    <row r="2736" spans="1:5" x14ac:dyDescent="0.25">
      <c r="A2736" s="7">
        <f>IF(E2736=1,
      SUM($E$2:E2736)-1,
"")</f>
        <v>2733</v>
      </c>
      <c r="B2736" s="6" t="s">
        <v>123</v>
      </c>
      <c r="C2736" s="14">
        <v>45082</v>
      </c>
      <c r="D2736" s="15">
        <v>80.12</v>
      </c>
      <c r="E2736" s="7">
        <f t="shared" si="42"/>
        <v>1</v>
      </c>
    </row>
    <row r="2737" spans="1:5" x14ac:dyDescent="0.25">
      <c r="A2737" s="7">
        <f>IF(E2737=1,
      SUM($E$2:E2737)-1,
"")</f>
        <v>2734</v>
      </c>
      <c r="B2737" s="6" t="s">
        <v>316</v>
      </c>
      <c r="C2737" s="14">
        <v>45268</v>
      </c>
      <c r="D2737" s="15">
        <v>121.03</v>
      </c>
      <c r="E2737" s="7">
        <f t="shared" si="42"/>
        <v>1</v>
      </c>
    </row>
    <row r="2738" spans="1:5" x14ac:dyDescent="0.25">
      <c r="A2738" s="7">
        <f>IF(E2738=1,
      SUM($E$2:E2738)-1,
"")</f>
        <v>2735</v>
      </c>
      <c r="B2738" s="6" t="s">
        <v>538</v>
      </c>
      <c r="C2738" s="14">
        <v>45277</v>
      </c>
      <c r="D2738" s="15">
        <v>32.85</v>
      </c>
      <c r="E2738" s="7">
        <f t="shared" si="42"/>
        <v>1</v>
      </c>
    </row>
    <row r="2739" spans="1:5" x14ac:dyDescent="0.25">
      <c r="A2739" s="7">
        <f>IF(E2739=1,
      SUM($E$2:E2739)-1,
"")</f>
        <v>2736</v>
      </c>
      <c r="B2739" s="6" t="s">
        <v>633</v>
      </c>
      <c r="C2739" s="14">
        <v>45111</v>
      </c>
      <c r="D2739" s="15">
        <v>95.37</v>
      </c>
      <c r="E2739" s="7">
        <f t="shared" si="42"/>
        <v>1</v>
      </c>
    </row>
    <row r="2740" spans="1:5" x14ac:dyDescent="0.25">
      <c r="A2740" s="7">
        <f>IF(E2740=1,
      SUM($E$2:E2740)-1,
"")</f>
        <v>2737</v>
      </c>
      <c r="B2740" s="6" t="s">
        <v>487</v>
      </c>
      <c r="C2740" s="14">
        <v>44964</v>
      </c>
      <c r="D2740" s="15">
        <v>81.48</v>
      </c>
      <c r="E2740" s="7">
        <f t="shared" si="42"/>
        <v>1</v>
      </c>
    </row>
    <row r="2741" spans="1:5" x14ac:dyDescent="0.25">
      <c r="A2741" s="7">
        <f>IF(E2741=1,
      SUM($E$2:E2741)-1,
"")</f>
        <v>2738</v>
      </c>
      <c r="B2741" s="6" t="s">
        <v>305</v>
      </c>
      <c r="C2741" s="14">
        <v>45164</v>
      </c>
      <c r="D2741" s="15">
        <v>86.35</v>
      </c>
      <c r="E2741" s="7">
        <f t="shared" si="42"/>
        <v>1</v>
      </c>
    </row>
    <row r="2742" spans="1:5" x14ac:dyDescent="0.25">
      <c r="A2742" s="7">
        <f>IF(E2742=1,
      SUM($E$2:E2742)-1,
"")</f>
        <v>2739</v>
      </c>
      <c r="B2742" s="6" t="s">
        <v>893</v>
      </c>
      <c r="C2742" s="14">
        <v>45251</v>
      </c>
      <c r="D2742" s="15">
        <v>96.91</v>
      </c>
      <c r="E2742" s="7">
        <f t="shared" si="42"/>
        <v>1</v>
      </c>
    </row>
    <row r="2743" spans="1:5" x14ac:dyDescent="0.25">
      <c r="A2743" s="7">
        <f>IF(E2743=1,
      SUM($E$2:E2743)-1,
"")</f>
        <v>2740</v>
      </c>
      <c r="B2743" s="6" t="s">
        <v>168</v>
      </c>
      <c r="C2743" s="14">
        <v>44957</v>
      </c>
      <c r="D2743" s="15">
        <v>134.16</v>
      </c>
      <c r="E2743" s="7">
        <f t="shared" si="42"/>
        <v>1</v>
      </c>
    </row>
    <row r="2744" spans="1:5" x14ac:dyDescent="0.25">
      <c r="A2744" s="7">
        <f>IF(E2744=1,
      SUM($E$2:E2744)-1,
"")</f>
        <v>2741</v>
      </c>
      <c r="B2744" s="6" t="s">
        <v>655</v>
      </c>
      <c r="C2744" s="14">
        <v>45057</v>
      </c>
      <c r="D2744" s="15">
        <v>65.38</v>
      </c>
      <c r="E2744" s="7">
        <f t="shared" si="42"/>
        <v>1</v>
      </c>
    </row>
    <row r="2745" spans="1:5" x14ac:dyDescent="0.25">
      <c r="A2745" s="7">
        <f>IF(E2745=1,
      SUM($E$2:E2745)-1,
"")</f>
        <v>2742</v>
      </c>
      <c r="B2745" s="6" t="s">
        <v>861</v>
      </c>
      <c r="C2745" s="14">
        <v>44933</v>
      </c>
      <c r="D2745" s="15">
        <v>34.36</v>
      </c>
      <c r="E2745" s="7">
        <f t="shared" si="42"/>
        <v>1</v>
      </c>
    </row>
    <row r="2746" spans="1:5" x14ac:dyDescent="0.25">
      <c r="A2746" s="7">
        <f>IF(E2746=1,
      SUM($E$2:E2746)-1,
"")</f>
        <v>2743</v>
      </c>
      <c r="B2746" s="6" t="s">
        <v>147</v>
      </c>
      <c r="C2746" s="14">
        <v>45259</v>
      </c>
      <c r="D2746" s="15">
        <v>68.86</v>
      </c>
      <c r="E2746" s="7">
        <f t="shared" si="42"/>
        <v>1</v>
      </c>
    </row>
    <row r="2747" spans="1:5" x14ac:dyDescent="0.25">
      <c r="A2747" s="7">
        <f>IF(E2747=1,
      SUM($E$2:E2747)-1,
"")</f>
        <v>2744</v>
      </c>
      <c r="B2747" s="6" t="s">
        <v>759</v>
      </c>
      <c r="C2747" s="14">
        <v>44948</v>
      </c>
      <c r="D2747" s="15">
        <v>130.66999999999999</v>
      </c>
      <c r="E2747" s="7">
        <f t="shared" si="42"/>
        <v>1</v>
      </c>
    </row>
    <row r="2748" spans="1:5" x14ac:dyDescent="0.25">
      <c r="A2748" s="7">
        <f>IF(E2748=1,
      SUM($E$2:E2748)-1,
"")</f>
        <v>2745</v>
      </c>
      <c r="B2748" s="6" t="s">
        <v>802</v>
      </c>
      <c r="C2748" s="14">
        <v>45248</v>
      </c>
      <c r="D2748" s="15">
        <v>50.65</v>
      </c>
      <c r="E2748" s="7">
        <f t="shared" si="42"/>
        <v>1</v>
      </c>
    </row>
    <row r="2749" spans="1:5" x14ac:dyDescent="0.25">
      <c r="A2749" s="7">
        <f>IF(E2749=1,
      SUM($E$2:E2749)-1,
"")</f>
        <v>2746</v>
      </c>
      <c r="B2749" s="6" t="s">
        <v>274</v>
      </c>
      <c r="C2749" s="14">
        <v>45159</v>
      </c>
      <c r="D2749" s="15">
        <v>82.84</v>
      </c>
      <c r="E2749" s="7">
        <f t="shared" si="42"/>
        <v>1</v>
      </c>
    </row>
    <row r="2750" spans="1:5" x14ac:dyDescent="0.25">
      <c r="A2750" s="7">
        <f>IF(E2750=1,
      SUM($E$2:E2750)-1,
"")</f>
        <v>2747</v>
      </c>
      <c r="B2750" s="6" t="s">
        <v>688</v>
      </c>
      <c r="C2750" s="14">
        <v>45272</v>
      </c>
      <c r="D2750" s="15">
        <v>125.19</v>
      </c>
      <c r="E2750" s="7">
        <f t="shared" si="42"/>
        <v>1</v>
      </c>
    </row>
    <row r="2751" spans="1:5" x14ac:dyDescent="0.25">
      <c r="A2751" s="7">
        <f>IF(E2751=1,
      SUM($E$2:E2751)-1,
"")</f>
        <v>2748</v>
      </c>
      <c r="B2751" s="6" t="s">
        <v>399</v>
      </c>
      <c r="C2751" s="14">
        <v>45171</v>
      </c>
      <c r="D2751" s="15">
        <v>98.25</v>
      </c>
      <c r="E2751" s="7">
        <f t="shared" si="42"/>
        <v>1</v>
      </c>
    </row>
    <row r="2752" spans="1:5" x14ac:dyDescent="0.25">
      <c r="A2752" s="7">
        <f>IF(E2752=1,
      SUM($E$2:E2752)-1,
"")</f>
        <v>2749</v>
      </c>
      <c r="B2752" s="6" t="s">
        <v>403</v>
      </c>
      <c r="C2752" s="14">
        <v>45223</v>
      </c>
      <c r="D2752" s="15">
        <v>133.86000000000001</v>
      </c>
      <c r="E2752" s="7">
        <f t="shared" si="42"/>
        <v>1</v>
      </c>
    </row>
    <row r="2753" spans="1:5" x14ac:dyDescent="0.25">
      <c r="A2753" s="7">
        <f>IF(E2753=1,
      SUM($E$2:E2753)-1,
"")</f>
        <v>2750</v>
      </c>
      <c r="B2753" s="6" t="s">
        <v>862</v>
      </c>
      <c r="C2753" s="14">
        <v>44941</v>
      </c>
      <c r="D2753" s="15">
        <v>38.950000000000003</v>
      </c>
      <c r="E2753" s="7">
        <f t="shared" si="42"/>
        <v>1</v>
      </c>
    </row>
    <row r="2754" spans="1:5" x14ac:dyDescent="0.25">
      <c r="A2754" s="7">
        <f>IF(E2754=1,
      SUM($E$2:E2754)-1,
"")</f>
        <v>2751</v>
      </c>
      <c r="B2754" s="6" t="s">
        <v>810</v>
      </c>
      <c r="C2754" s="14">
        <v>44932</v>
      </c>
      <c r="D2754" s="15">
        <v>90.35</v>
      </c>
      <c r="E2754" s="7">
        <f t="shared" ref="E2754:E2817" si="43">IF(D2754&gt;0,1,0)</f>
        <v>1</v>
      </c>
    </row>
    <row r="2755" spans="1:5" x14ac:dyDescent="0.25">
      <c r="A2755" s="7">
        <f>IF(E2755=1,
      SUM($E$2:E2755)-1,
"")</f>
        <v>2752</v>
      </c>
      <c r="B2755" s="6" t="s">
        <v>313</v>
      </c>
      <c r="C2755" s="14">
        <v>45245</v>
      </c>
      <c r="D2755" s="15">
        <v>140.12</v>
      </c>
      <c r="E2755" s="7">
        <f t="shared" si="43"/>
        <v>1</v>
      </c>
    </row>
    <row r="2756" spans="1:5" x14ac:dyDescent="0.25">
      <c r="A2756" s="7">
        <f>IF(E2756=1,
      SUM($E$2:E2756)-1,
"")</f>
        <v>2753</v>
      </c>
      <c r="B2756" s="6" t="s">
        <v>852</v>
      </c>
      <c r="C2756" s="14">
        <v>45254</v>
      </c>
      <c r="D2756" s="15">
        <v>66.19</v>
      </c>
      <c r="E2756" s="7">
        <f t="shared" si="43"/>
        <v>1</v>
      </c>
    </row>
    <row r="2757" spans="1:5" x14ac:dyDescent="0.25">
      <c r="A2757" s="7">
        <f>IF(E2757=1,
      SUM($E$2:E2757)-1,
"")</f>
        <v>2754</v>
      </c>
      <c r="B2757" s="6" t="s">
        <v>115</v>
      </c>
      <c r="C2757" s="14">
        <v>45006</v>
      </c>
      <c r="D2757" s="15">
        <v>131.04</v>
      </c>
      <c r="E2757" s="7">
        <f t="shared" si="43"/>
        <v>1</v>
      </c>
    </row>
    <row r="2758" spans="1:5" x14ac:dyDescent="0.25">
      <c r="A2758" s="7">
        <f>IF(E2758=1,
      SUM($E$2:E2758)-1,
"")</f>
        <v>2755</v>
      </c>
      <c r="B2758" s="6" t="s">
        <v>934</v>
      </c>
      <c r="C2758" s="14">
        <v>45283</v>
      </c>
      <c r="D2758" s="15">
        <v>92.93</v>
      </c>
      <c r="E2758" s="7">
        <f t="shared" si="43"/>
        <v>1</v>
      </c>
    </row>
    <row r="2759" spans="1:5" x14ac:dyDescent="0.25">
      <c r="A2759" s="7">
        <f>IF(E2759=1,
      SUM($E$2:E2759)-1,
"")</f>
        <v>2756</v>
      </c>
      <c r="B2759" s="6" t="s">
        <v>470</v>
      </c>
      <c r="C2759" s="14">
        <v>45263</v>
      </c>
      <c r="D2759" s="15">
        <v>113.02</v>
      </c>
      <c r="E2759" s="7">
        <f t="shared" si="43"/>
        <v>1</v>
      </c>
    </row>
    <row r="2760" spans="1:5" x14ac:dyDescent="0.25">
      <c r="A2760" s="7">
        <f>IF(E2760=1,
      SUM($E$2:E2760)-1,
"")</f>
        <v>2757</v>
      </c>
      <c r="B2760" s="6" t="s">
        <v>694</v>
      </c>
      <c r="C2760" s="14">
        <v>45049</v>
      </c>
      <c r="D2760" s="15">
        <v>137.94</v>
      </c>
      <c r="E2760" s="7">
        <f t="shared" si="43"/>
        <v>1</v>
      </c>
    </row>
    <row r="2761" spans="1:5" x14ac:dyDescent="0.25">
      <c r="A2761" s="7">
        <f>IF(E2761=1,
      SUM($E$2:E2761)-1,
"")</f>
        <v>2758</v>
      </c>
      <c r="B2761" s="6" t="s">
        <v>730</v>
      </c>
      <c r="C2761" s="14">
        <v>45019</v>
      </c>
      <c r="D2761" s="15">
        <v>112.9</v>
      </c>
      <c r="E2761" s="7">
        <f t="shared" si="43"/>
        <v>1</v>
      </c>
    </row>
    <row r="2762" spans="1:5" x14ac:dyDescent="0.25">
      <c r="A2762" s="7">
        <f>IF(E2762=1,
      SUM($E$2:E2762)-1,
"")</f>
        <v>2759</v>
      </c>
      <c r="B2762" s="6" t="s">
        <v>652</v>
      </c>
      <c r="C2762" s="14">
        <v>45205</v>
      </c>
      <c r="D2762" s="15">
        <v>82.26</v>
      </c>
      <c r="E2762" s="7">
        <f t="shared" si="43"/>
        <v>1</v>
      </c>
    </row>
    <row r="2763" spans="1:5" x14ac:dyDescent="0.25">
      <c r="A2763" s="7">
        <f>IF(E2763=1,
      SUM($E$2:E2763)-1,
"")</f>
        <v>2760</v>
      </c>
      <c r="B2763" s="6" t="s">
        <v>689</v>
      </c>
      <c r="C2763" s="14">
        <v>45049</v>
      </c>
      <c r="D2763" s="15">
        <v>116.86</v>
      </c>
      <c r="E2763" s="7">
        <f t="shared" si="43"/>
        <v>1</v>
      </c>
    </row>
    <row r="2764" spans="1:5" x14ac:dyDescent="0.25">
      <c r="A2764" s="7">
        <f>IF(E2764=1,
      SUM($E$2:E2764)-1,
"")</f>
        <v>2761</v>
      </c>
      <c r="B2764" s="6" t="s">
        <v>153</v>
      </c>
      <c r="C2764" s="14">
        <v>44964</v>
      </c>
      <c r="D2764" s="15">
        <v>80.150000000000006</v>
      </c>
      <c r="E2764" s="7">
        <f t="shared" si="43"/>
        <v>1</v>
      </c>
    </row>
    <row r="2765" spans="1:5" x14ac:dyDescent="0.25">
      <c r="A2765" s="7">
        <f>IF(E2765=1,
      SUM($E$2:E2765)-1,
"")</f>
        <v>2762</v>
      </c>
      <c r="B2765" s="6" t="s">
        <v>334</v>
      </c>
      <c r="C2765" s="14">
        <v>45278</v>
      </c>
      <c r="D2765" s="15">
        <v>108.2</v>
      </c>
      <c r="E2765" s="7">
        <f t="shared" si="43"/>
        <v>1</v>
      </c>
    </row>
    <row r="2766" spans="1:5" x14ac:dyDescent="0.25">
      <c r="A2766" s="7">
        <f>IF(E2766=1,
      SUM($E$2:E2766)-1,
"")</f>
        <v>2763</v>
      </c>
      <c r="B2766" s="6" t="s">
        <v>130</v>
      </c>
      <c r="C2766" s="14">
        <v>45289</v>
      </c>
      <c r="D2766" s="15">
        <v>62.44</v>
      </c>
      <c r="E2766" s="7">
        <f t="shared" si="43"/>
        <v>1</v>
      </c>
    </row>
    <row r="2767" spans="1:5" x14ac:dyDescent="0.25">
      <c r="A2767" s="7">
        <f>IF(E2767=1,
      SUM($E$2:E2767)-1,
"")</f>
        <v>2764</v>
      </c>
      <c r="B2767" s="6" t="s">
        <v>997</v>
      </c>
      <c r="C2767" s="14">
        <v>45102</v>
      </c>
      <c r="D2767" s="15">
        <v>100.87</v>
      </c>
      <c r="E2767" s="7">
        <f t="shared" si="43"/>
        <v>1</v>
      </c>
    </row>
    <row r="2768" spans="1:5" x14ac:dyDescent="0.25">
      <c r="A2768" s="7">
        <f>IF(E2768=1,
      SUM($E$2:E2768)-1,
"")</f>
        <v>2765</v>
      </c>
      <c r="B2768" s="6" t="s">
        <v>114</v>
      </c>
      <c r="C2768" s="14">
        <v>45125</v>
      </c>
      <c r="D2768" s="15">
        <v>135.68</v>
      </c>
      <c r="E2768" s="7">
        <f t="shared" si="43"/>
        <v>1</v>
      </c>
    </row>
    <row r="2769" spans="1:5" x14ac:dyDescent="0.25">
      <c r="A2769" s="7">
        <f>IF(E2769=1,
      SUM($E$2:E2769)-1,
"")</f>
        <v>2766</v>
      </c>
      <c r="B2769" s="6" t="s">
        <v>331</v>
      </c>
      <c r="C2769" s="14">
        <v>45284</v>
      </c>
      <c r="D2769" s="15">
        <v>91.04</v>
      </c>
      <c r="E2769" s="7">
        <f t="shared" si="43"/>
        <v>1</v>
      </c>
    </row>
    <row r="2770" spans="1:5" x14ac:dyDescent="0.25">
      <c r="A2770" s="7">
        <f>IF(E2770=1,
      SUM($E$2:E2770)-1,
"")</f>
        <v>2767</v>
      </c>
      <c r="B2770" s="6" t="s">
        <v>105</v>
      </c>
      <c r="C2770" s="14">
        <v>45184</v>
      </c>
      <c r="D2770" s="15">
        <v>132.81</v>
      </c>
      <c r="E2770" s="7">
        <f t="shared" si="43"/>
        <v>1</v>
      </c>
    </row>
    <row r="2771" spans="1:5" x14ac:dyDescent="0.25">
      <c r="A2771" s="7">
        <f>IF(E2771=1,
      SUM($E$2:E2771)-1,
"")</f>
        <v>2768</v>
      </c>
      <c r="B2771" s="6" t="s">
        <v>251</v>
      </c>
      <c r="C2771" s="14">
        <v>45156</v>
      </c>
      <c r="D2771" s="15">
        <v>192.8</v>
      </c>
      <c r="E2771" s="7">
        <f t="shared" si="43"/>
        <v>1</v>
      </c>
    </row>
    <row r="2772" spans="1:5" x14ac:dyDescent="0.25">
      <c r="A2772" s="7">
        <f>IF(E2772=1,
      SUM($E$2:E2772)-1,
"")</f>
        <v>2769</v>
      </c>
      <c r="B2772" s="6" t="s">
        <v>154</v>
      </c>
      <c r="C2772" s="14">
        <v>45139</v>
      </c>
      <c r="D2772" s="15">
        <v>99.13</v>
      </c>
      <c r="E2772" s="7">
        <f t="shared" si="43"/>
        <v>1</v>
      </c>
    </row>
    <row r="2773" spans="1:5" x14ac:dyDescent="0.25">
      <c r="A2773" s="7">
        <f>IF(E2773=1,
      SUM($E$2:E2773)-1,
"")</f>
        <v>2770</v>
      </c>
      <c r="B2773" s="6" t="s">
        <v>565</v>
      </c>
      <c r="C2773" s="14">
        <v>45084</v>
      </c>
      <c r="D2773" s="15">
        <v>118.43</v>
      </c>
      <c r="E2773" s="7">
        <f t="shared" si="43"/>
        <v>1</v>
      </c>
    </row>
    <row r="2774" spans="1:5" x14ac:dyDescent="0.25">
      <c r="A2774" s="7">
        <f>IF(E2774=1,
      SUM($E$2:E2774)-1,
"")</f>
        <v>2771</v>
      </c>
      <c r="B2774" s="6" t="s">
        <v>214</v>
      </c>
      <c r="C2774" s="14">
        <v>45021</v>
      </c>
      <c r="D2774" s="15">
        <v>114.31</v>
      </c>
      <c r="E2774" s="7">
        <f t="shared" si="43"/>
        <v>1</v>
      </c>
    </row>
    <row r="2775" spans="1:5" x14ac:dyDescent="0.25">
      <c r="A2775" s="7">
        <f>IF(E2775=1,
      SUM($E$2:E2775)-1,
"")</f>
        <v>2772</v>
      </c>
      <c r="B2775" s="6" t="s">
        <v>994</v>
      </c>
      <c r="C2775" s="14">
        <v>45150</v>
      </c>
      <c r="D2775" s="15">
        <v>106.75</v>
      </c>
      <c r="E2775" s="7">
        <f t="shared" si="43"/>
        <v>1</v>
      </c>
    </row>
    <row r="2776" spans="1:5" x14ac:dyDescent="0.25">
      <c r="A2776" s="7">
        <f>IF(E2776=1,
      SUM($E$2:E2776)-1,
"")</f>
        <v>2773</v>
      </c>
      <c r="B2776" s="6" t="s">
        <v>613</v>
      </c>
      <c r="C2776" s="14">
        <v>45194</v>
      </c>
      <c r="D2776" s="15">
        <v>123.64</v>
      </c>
      <c r="E2776" s="7">
        <f t="shared" si="43"/>
        <v>1</v>
      </c>
    </row>
    <row r="2777" spans="1:5" x14ac:dyDescent="0.25">
      <c r="A2777" s="7">
        <f>IF(E2777=1,
      SUM($E$2:E2777)-1,
"")</f>
        <v>2774</v>
      </c>
      <c r="B2777" s="6" t="s">
        <v>140</v>
      </c>
      <c r="C2777" s="14">
        <v>44985</v>
      </c>
      <c r="D2777" s="15">
        <v>92.56</v>
      </c>
      <c r="E2777" s="7">
        <f t="shared" si="43"/>
        <v>1</v>
      </c>
    </row>
    <row r="2778" spans="1:5" x14ac:dyDescent="0.25">
      <c r="A2778" s="7">
        <f>IF(E2778=1,
      SUM($E$2:E2778)-1,
"")</f>
        <v>2775</v>
      </c>
      <c r="B2778" s="6" t="s">
        <v>760</v>
      </c>
      <c r="C2778" s="14">
        <v>45224</v>
      </c>
      <c r="D2778" s="15">
        <v>80.12</v>
      </c>
      <c r="E2778" s="7">
        <f t="shared" si="43"/>
        <v>1</v>
      </c>
    </row>
    <row r="2779" spans="1:5" x14ac:dyDescent="0.25">
      <c r="A2779" s="7">
        <f>IF(E2779=1,
      SUM($E$2:E2779)-1,
"")</f>
        <v>2776</v>
      </c>
      <c r="B2779" s="6" t="s">
        <v>688</v>
      </c>
      <c r="C2779" s="14">
        <v>45046</v>
      </c>
      <c r="D2779" s="15">
        <v>54.21</v>
      </c>
      <c r="E2779" s="7">
        <f t="shared" si="43"/>
        <v>1</v>
      </c>
    </row>
    <row r="2780" spans="1:5" x14ac:dyDescent="0.25">
      <c r="A2780" s="7">
        <f>IF(E2780=1,
      SUM($E$2:E2780)-1,
"")</f>
        <v>2777</v>
      </c>
      <c r="B2780" s="6" t="s">
        <v>456</v>
      </c>
      <c r="C2780" s="14">
        <v>45032</v>
      </c>
      <c r="D2780" s="15">
        <v>89.72</v>
      </c>
      <c r="E2780" s="7">
        <f t="shared" si="43"/>
        <v>1</v>
      </c>
    </row>
    <row r="2781" spans="1:5" x14ac:dyDescent="0.25">
      <c r="A2781" s="7">
        <f>IF(E2781=1,
      SUM($E$2:E2781)-1,
"")</f>
        <v>2778</v>
      </c>
      <c r="B2781" s="6" t="s">
        <v>647</v>
      </c>
      <c r="C2781" s="14">
        <v>45017</v>
      </c>
      <c r="D2781" s="15">
        <v>127.04</v>
      </c>
      <c r="E2781" s="7">
        <f t="shared" si="43"/>
        <v>1</v>
      </c>
    </row>
    <row r="2782" spans="1:5" x14ac:dyDescent="0.25">
      <c r="A2782" s="7">
        <f>IF(E2782=1,
      SUM($E$2:E2782)-1,
"")</f>
        <v>2779</v>
      </c>
      <c r="B2782" s="6" t="s">
        <v>724</v>
      </c>
      <c r="C2782" s="14">
        <v>45214</v>
      </c>
      <c r="D2782" s="15">
        <v>71.81</v>
      </c>
      <c r="E2782" s="7">
        <f t="shared" si="43"/>
        <v>1</v>
      </c>
    </row>
    <row r="2783" spans="1:5" x14ac:dyDescent="0.25">
      <c r="A2783" s="7">
        <f>IF(E2783=1,
      SUM($E$2:E2783)-1,
"")</f>
        <v>2780</v>
      </c>
      <c r="B2783" s="6" t="s">
        <v>189</v>
      </c>
      <c r="C2783" s="14">
        <v>45147</v>
      </c>
      <c r="D2783" s="15">
        <v>107.4</v>
      </c>
      <c r="E2783" s="7">
        <f t="shared" si="43"/>
        <v>1</v>
      </c>
    </row>
    <row r="2784" spans="1:5" x14ac:dyDescent="0.25">
      <c r="A2784" s="7">
        <f>IF(E2784=1,
      SUM($E$2:E2784)-1,
"")</f>
        <v>2781</v>
      </c>
      <c r="B2784" s="6" t="s">
        <v>712</v>
      </c>
      <c r="C2784" s="14">
        <v>45182</v>
      </c>
      <c r="D2784" s="15">
        <v>96.31</v>
      </c>
      <c r="E2784" s="7">
        <f t="shared" si="43"/>
        <v>1</v>
      </c>
    </row>
    <row r="2785" spans="1:5" x14ac:dyDescent="0.25">
      <c r="A2785" s="7">
        <f>IF(E2785=1,
      SUM($E$2:E2785)-1,
"")</f>
        <v>2782</v>
      </c>
      <c r="B2785" s="6" t="s">
        <v>730</v>
      </c>
      <c r="C2785" s="14">
        <v>45035</v>
      </c>
      <c r="D2785" s="15">
        <v>81.38</v>
      </c>
      <c r="E2785" s="7">
        <f t="shared" si="43"/>
        <v>1</v>
      </c>
    </row>
    <row r="2786" spans="1:5" x14ac:dyDescent="0.25">
      <c r="A2786" s="7">
        <f>IF(E2786=1,
      SUM($E$2:E2786)-1,
"")</f>
        <v>2783</v>
      </c>
      <c r="B2786" s="6" t="s">
        <v>998</v>
      </c>
      <c r="C2786" s="14">
        <v>45200</v>
      </c>
      <c r="D2786" s="15">
        <v>44.41</v>
      </c>
      <c r="E2786" s="7">
        <f t="shared" si="43"/>
        <v>1</v>
      </c>
    </row>
    <row r="2787" spans="1:5" x14ac:dyDescent="0.25">
      <c r="A2787" s="7">
        <f>IF(E2787=1,
      SUM($E$2:E2787)-1,
"")</f>
        <v>2784</v>
      </c>
      <c r="B2787" s="6" t="s">
        <v>459</v>
      </c>
      <c r="C2787" s="14">
        <v>45280</v>
      </c>
      <c r="D2787" s="15">
        <v>140.88999999999999</v>
      </c>
      <c r="E2787" s="7">
        <f t="shared" si="43"/>
        <v>1</v>
      </c>
    </row>
    <row r="2788" spans="1:5" x14ac:dyDescent="0.25">
      <c r="A2788" s="7">
        <f>IF(E2788=1,
      SUM($E$2:E2788)-1,
"")</f>
        <v>2785</v>
      </c>
      <c r="B2788" s="6" t="s">
        <v>549</v>
      </c>
      <c r="C2788" s="14">
        <v>45033</v>
      </c>
      <c r="D2788" s="15">
        <v>115.52</v>
      </c>
      <c r="E2788" s="7">
        <f t="shared" si="43"/>
        <v>1</v>
      </c>
    </row>
    <row r="2789" spans="1:5" x14ac:dyDescent="0.25">
      <c r="A2789" s="7">
        <f>IF(E2789=1,
      SUM($E$2:E2789)-1,
"")</f>
        <v>2786</v>
      </c>
      <c r="B2789" s="6" t="s">
        <v>326</v>
      </c>
      <c r="C2789" s="14">
        <v>45184</v>
      </c>
      <c r="D2789" s="15">
        <v>179.96</v>
      </c>
      <c r="E2789" s="7">
        <f t="shared" si="43"/>
        <v>1</v>
      </c>
    </row>
    <row r="2790" spans="1:5" x14ac:dyDescent="0.25">
      <c r="A2790" s="7">
        <f>IF(E2790=1,
      SUM($E$2:E2790)-1,
"")</f>
        <v>2787</v>
      </c>
      <c r="B2790" s="6" t="s">
        <v>975</v>
      </c>
      <c r="C2790" s="14">
        <v>44963</v>
      </c>
      <c r="D2790" s="15">
        <v>132.38</v>
      </c>
      <c r="E2790" s="7">
        <f t="shared" si="43"/>
        <v>1</v>
      </c>
    </row>
    <row r="2791" spans="1:5" x14ac:dyDescent="0.25">
      <c r="A2791" s="7">
        <f>IF(E2791=1,
      SUM($E$2:E2791)-1,
"")</f>
        <v>2788</v>
      </c>
      <c r="B2791" s="6" t="s">
        <v>557</v>
      </c>
      <c r="C2791" s="14">
        <v>45104</v>
      </c>
      <c r="D2791" s="15">
        <v>140.22</v>
      </c>
      <c r="E2791" s="7">
        <f t="shared" si="43"/>
        <v>1</v>
      </c>
    </row>
    <row r="2792" spans="1:5" x14ac:dyDescent="0.25">
      <c r="A2792" s="7">
        <f>IF(E2792=1,
      SUM($E$2:E2792)-1,
"")</f>
        <v>2789</v>
      </c>
      <c r="B2792" s="6" t="s">
        <v>673</v>
      </c>
      <c r="C2792" s="14">
        <v>45198</v>
      </c>
      <c r="D2792" s="15">
        <v>47.52</v>
      </c>
      <c r="E2792" s="7">
        <f t="shared" si="43"/>
        <v>1</v>
      </c>
    </row>
    <row r="2793" spans="1:5" x14ac:dyDescent="0.25">
      <c r="A2793" s="7">
        <f>IF(E2793=1,
      SUM($E$2:E2793)-1,
"")</f>
        <v>2790</v>
      </c>
      <c r="B2793" s="6" t="s">
        <v>717</v>
      </c>
      <c r="C2793" s="14">
        <v>45188</v>
      </c>
      <c r="D2793" s="15">
        <v>46.99</v>
      </c>
      <c r="E2793" s="7">
        <f t="shared" si="43"/>
        <v>1</v>
      </c>
    </row>
    <row r="2794" spans="1:5" x14ac:dyDescent="0.25">
      <c r="A2794" s="7">
        <f>IF(E2794=1,
      SUM($E$2:E2794)-1,
"")</f>
        <v>2791</v>
      </c>
      <c r="B2794" s="6" t="s">
        <v>149</v>
      </c>
      <c r="C2794" s="14">
        <v>45285</v>
      </c>
      <c r="D2794" s="15">
        <v>101.27</v>
      </c>
      <c r="E2794" s="7">
        <f t="shared" si="43"/>
        <v>1</v>
      </c>
    </row>
    <row r="2795" spans="1:5" x14ac:dyDescent="0.25">
      <c r="A2795" s="7">
        <f>IF(E2795=1,
      SUM($E$2:E2795)-1,
"")</f>
        <v>2792</v>
      </c>
      <c r="B2795" s="6" t="s">
        <v>329</v>
      </c>
      <c r="C2795" s="14">
        <v>45226</v>
      </c>
      <c r="D2795" s="15">
        <v>65.56</v>
      </c>
      <c r="E2795" s="7">
        <f t="shared" si="43"/>
        <v>1</v>
      </c>
    </row>
    <row r="2796" spans="1:5" x14ac:dyDescent="0.25">
      <c r="A2796" s="7">
        <f>IF(E2796=1,
      SUM($E$2:E2796)-1,
"")</f>
        <v>2793</v>
      </c>
      <c r="B2796" s="6" t="s">
        <v>390</v>
      </c>
      <c r="C2796" s="14">
        <v>45102</v>
      </c>
      <c r="D2796" s="15">
        <v>79.56</v>
      </c>
      <c r="E2796" s="7">
        <f t="shared" si="43"/>
        <v>1</v>
      </c>
    </row>
    <row r="2797" spans="1:5" x14ac:dyDescent="0.25">
      <c r="A2797" s="7">
        <f>IF(E2797=1,
      SUM($E$2:E2797)-1,
"")</f>
        <v>2794</v>
      </c>
      <c r="B2797" s="6" t="s">
        <v>361</v>
      </c>
      <c r="C2797" s="14">
        <v>45037</v>
      </c>
      <c r="D2797" s="15">
        <v>175.79</v>
      </c>
      <c r="E2797" s="7">
        <f t="shared" si="43"/>
        <v>1</v>
      </c>
    </row>
    <row r="2798" spans="1:5" x14ac:dyDescent="0.25">
      <c r="A2798" s="7">
        <f>IF(E2798=1,
      SUM($E$2:E2798)-1,
"")</f>
        <v>2795</v>
      </c>
      <c r="B2798" s="6" t="s">
        <v>604</v>
      </c>
      <c r="C2798" s="14">
        <v>45284</v>
      </c>
      <c r="D2798" s="15">
        <v>135.69999999999999</v>
      </c>
      <c r="E2798" s="7">
        <f t="shared" si="43"/>
        <v>1</v>
      </c>
    </row>
    <row r="2799" spans="1:5" x14ac:dyDescent="0.25">
      <c r="A2799" s="7">
        <f>IF(E2799=1,
      SUM($E$2:E2799)-1,
"")</f>
        <v>2796</v>
      </c>
      <c r="B2799" s="6" t="s">
        <v>319</v>
      </c>
      <c r="C2799" s="14">
        <v>45176</v>
      </c>
      <c r="D2799" s="15">
        <v>71.930000000000007</v>
      </c>
      <c r="E2799" s="7">
        <f t="shared" si="43"/>
        <v>1</v>
      </c>
    </row>
    <row r="2800" spans="1:5" x14ac:dyDescent="0.25">
      <c r="A2800" s="7">
        <f>IF(E2800=1,
      SUM($E$2:E2800)-1,
"")</f>
        <v>2797</v>
      </c>
      <c r="B2800" s="6" t="s">
        <v>197</v>
      </c>
      <c r="C2800" s="14">
        <v>45026</v>
      </c>
      <c r="D2800" s="15">
        <v>29.02</v>
      </c>
      <c r="E2800" s="7">
        <f t="shared" si="43"/>
        <v>1</v>
      </c>
    </row>
    <row r="2801" spans="1:5" x14ac:dyDescent="0.25">
      <c r="A2801" s="7">
        <f>IF(E2801=1,
      SUM($E$2:E2801)-1,
"")</f>
        <v>2798</v>
      </c>
      <c r="B2801" s="6" t="s">
        <v>725</v>
      </c>
      <c r="C2801" s="14">
        <v>45194</v>
      </c>
      <c r="D2801" s="15">
        <v>69.400000000000006</v>
      </c>
      <c r="E2801" s="7">
        <f t="shared" si="43"/>
        <v>1</v>
      </c>
    </row>
    <row r="2802" spans="1:5" x14ac:dyDescent="0.25">
      <c r="A2802" s="7">
        <f>IF(E2802=1,
      SUM($E$2:E2802)-1,
"")</f>
        <v>2799</v>
      </c>
      <c r="B2802" s="6" t="s">
        <v>553</v>
      </c>
      <c r="C2802" s="14">
        <v>44995</v>
      </c>
      <c r="D2802" s="15">
        <v>83.28</v>
      </c>
      <c r="E2802" s="7">
        <f t="shared" si="43"/>
        <v>1</v>
      </c>
    </row>
    <row r="2803" spans="1:5" x14ac:dyDescent="0.25">
      <c r="A2803" s="7">
        <f>IF(E2803=1,
      SUM($E$2:E2803)-1,
"")</f>
        <v>2800</v>
      </c>
      <c r="B2803" s="6" t="s">
        <v>360</v>
      </c>
      <c r="C2803" s="14">
        <v>45129</v>
      </c>
      <c r="D2803" s="15">
        <v>90.36</v>
      </c>
      <c r="E2803" s="7">
        <f t="shared" si="43"/>
        <v>1</v>
      </c>
    </row>
    <row r="2804" spans="1:5" x14ac:dyDescent="0.25">
      <c r="A2804" s="7">
        <f>IF(E2804=1,
      SUM($E$2:E2804)-1,
"")</f>
        <v>2801</v>
      </c>
      <c r="B2804" s="6" t="s">
        <v>889</v>
      </c>
      <c r="C2804" s="14">
        <v>45152</v>
      </c>
      <c r="D2804" s="15">
        <v>61.63</v>
      </c>
      <c r="E2804" s="7">
        <f t="shared" si="43"/>
        <v>1</v>
      </c>
    </row>
    <row r="2805" spans="1:5" x14ac:dyDescent="0.25">
      <c r="A2805" s="7">
        <f>IF(E2805=1,
      SUM($E$2:E2805)-1,
"")</f>
        <v>2802</v>
      </c>
      <c r="B2805" s="6" t="s">
        <v>249</v>
      </c>
      <c r="C2805" s="14">
        <v>45025</v>
      </c>
      <c r="D2805" s="15">
        <v>133.9</v>
      </c>
      <c r="E2805" s="7">
        <f t="shared" si="43"/>
        <v>1</v>
      </c>
    </row>
    <row r="2806" spans="1:5" x14ac:dyDescent="0.25">
      <c r="A2806" s="7">
        <f>IF(E2806=1,
      SUM($E$2:E2806)-1,
"")</f>
        <v>2803</v>
      </c>
      <c r="B2806" s="6" t="s">
        <v>409</v>
      </c>
      <c r="C2806" s="14">
        <v>45256</v>
      </c>
      <c r="D2806" s="15">
        <v>78.66</v>
      </c>
      <c r="E2806" s="7">
        <f t="shared" si="43"/>
        <v>1</v>
      </c>
    </row>
    <row r="2807" spans="1:5" x14ac:dyDescent="0.25">
      <c r="A2807" s="7">
        <f>IF(E2807=1,
      SUM($E$2:E2807)-1,
"")</f>
        <v>2804</v>
      </c>
      <c r="B2807" s="6" t="s">
        <v>672</v>
      </c>
      <c r="C2807" s="14">
        <v>45219</v>
      </c>
      <c r="D2807" s="15">
        <v>119.46</v>
      </c>
      <c r="E2807" s="7">
        <f t="shared" si="43"/>
        <v>1</v>
      </c>
    </row>
    <row r="2808" spans="1:5" x14ac:dyDescent="0.25">
      <c r="A2808" s="7">
        <f>IF(E2808=1,
      SUM($E$2:E2808)-1,
"")</f>
        <v>2805</v>
      </c>
      <c r="B2808" s="6" t="s">
        <v>541</v>
      </c>
      <c r="C2808" s="14">
        <v>45220</v>
      </c>
      <c r="D2808" s="15">
        <v>101.62</v>
      </c>
      <c r="E2808" s="7">
        <f t="shared" si="43"/>
        <v>1</v>
      </c>
    </row>
    <row r="2809" spans="1:5" x14ac:dyDescent="0.25">
      <c r="A2809" s="7">
        <f>IF(E2809=1,
      SUM($E$2:E2809)-1,
"")</f>
        <v>2806</v>
      </c>
      <c r="B2809" s="6" t="s">
        <v>201</v>
      </c>
      <c r="C2809" s="14">
        <v>44985</v>
      </c>
      <c r="D2809" s="15">
        <v>128.15</v>
      </c>
      <c r="E2809" s="7">
        <f t="shared" si="43"/>
        <v>1</v>
      </c>
    </row>
    <row r="2810" spans="1:5" x14ac:dyDescent="0.25">
      <c r="A2810" s="7">
        <f>IF(E2810=1,
      SUM($E$2:E2810)-1,
"")</f>
        <v>2807</v>
      </c>
      <c r="B2810" s="6" t="s">
        <v>151</v>
      </c>
      <c r="C2810" s="14">
        <v>45094</v>
      </c>
      <c r="D2810" s="15">
        <v>92.86</v>
      </c>
      <c r="E2810" s="7">
        <f t="shared" si="43"/>
        <v>1</v>
      </c>
    </row>
    <row r="2811" spans="1:5" x14ac:dyDescent="0.25">
      <c r="A2811" s="7">
        <f>IF(E2811=1,
      SUM($E$2:E2811)-1,
"")</f>
        <v>2808</v>
      </c>
      <c r="B2811" s="6" t="s">
        <v>824</v>
      </c>
      <c r="C2811" s="14">
        <v>45163</v>
      </c>
      <c r="D2811" s="15">
        <v>72.25</v>
      </c>
      <c r="E2811" s="7">
        <f t="shared" si="43"/>
        <v>1</v>
      </c>
    </row>
    <row r="2812" spans="1:5" x14ac:dyDescent="0.25">
      <c r="A2812" s="7">
        <f>IF(E2812=1,
      SUM($E$2:E2812)-1,
"")</f>
        <v>2809</v>
      </c>
      <c r="B2812" s="6" t="s">
        <v>986</v>
      </c>
      <c r="C2812" s="14">
        <v>45047</v>
      </c>
      <c r="D2812" s="15">
        <v>82.04</v>
      </c>
      <c r="E2812" s="7">
        <f t="shared" si="43"/>
        <v>1</v>
      </c>
    </row>
    <row r="2813" spans="1:5" x14ac:dyDescent="0.25">
      <c r="A2813" s="7">
        <f>IF(E2813=1,
      SUM($E$2:E2813)-1,
"")</f>
        <v>2810</v>
      </c>
      <c r="B2813" s="6" t="s">
        <v>670</v>
      </c>
      <c r="C2813" s="14">
        <v>44981</v>
      </c>
      <c r="D2813" s="15">
        <v>82.47</v>
      </c>
      <c r="E2813" s="7">
        <f t="shared" si="43"/>
        <v>1</v>
      </c>
    </row>
    <row r="2814" spans="1:5" x14ac:dyDescent="0.25">
      <c r="A2814" s="7">
        <f>IF(E2814=1,
      SUM($E$2:E2814)-1,
"")</f>
        <v>2811</v>
      </c>
      <c r="B2814" s="6" t="s">
        <v>631</v>
      </c>
      <c r="C2814" s="14">
        <v>45233</v>
      </c>
      <c r="D2814" s="15">
        <v>161.94</v>
      </c>
      <c r="E2814" s="7">
        <f t="shared" si="43"/>
        <v>1</v>
      </c>
    </row>
    <row r="2815" spans="1:5" x14ac:dyDescent="0.25">
      <c r="A2815" s="7">
        <f>IF(E2815=1,
      SUM($E$2:E2815)-1,
"")</f>
        <v>2812</v>
      </c>
      <c r="B2815" s="6" t="s">
        <v>975</v>
      </c>
      <c r="C2815" s="14">
        <v>45014</v>
      </c>
      <c r="D2815" s="15">
        <v>102.3</v>
      </c>
      <c r="E2815" s="7">
        <f t="shared" si="43"/>
        <v>1</v>
      </c>
    </row>
    <row r="2816" spans="1:5" x14ac:dyDescent="0.25">
      <c r="A2816" s="7">
        <f>IF(E2816=1,
      SUM($E$2:E2816)-1,
"")</f>
        <v>2813</v>
      </c>
      <c r="B2816" s="6" t="s">
        <v>268</v>
      </c>
      <c r="C2816" s="14">
        <v>45190</v>
      </c>
      <c r="D2816" s="15">
        <v>100.14</v>
      </c>
      <c r="E2816" s="7">
        <f t="shared" si="43"/>
        <v>1</v>
      </c>
    </row>
    <row r="2817" spans="1:5" x14ac:dyDescent="0.25">
      <c r="A2817" s="7">
        <f>IF(E2817=1,
      SUM($E$2:E2817)-1,
"")</f>
        <v>2814</v>
      </c>
      <c r="B2817" s="6" t="s">
        <v>871</v>
      </c>
      <c r="C2817" s="14">
        <v>44997</v>
      </c>
      <c r="D2817" s="15">
        <v>126.46</v>
      </c>
      <c r="E2817" s="7">
        <f t="shared" si="43"/>
        <v>1</v>
      </c>
    </row>
    <row r="2818" spans="1:5" x14ac:dyDescent="0.25">
      <c r="A2818" s="7">
        <f>IF(E2818=1,
      SUM($E$2:E2818)-1,
"")</f>
        <v>2815</v>
      </c>
      <c r="B2818" s="6" t="s">
        <v>517</v>
      </c>
      <c r="C2818" s="14">
        <v>44973</v>
      </c>
      <c r="D2818" s="15">
        <v>100</v>
      </c>
      <c r="E2818" s="7">
        <f t="shared" ref="E2818:E2881" si="44">IF(D2818&gt;0,1,0)</f>
        <v>1</v>
      </c>
    </row>
    <row r="2819" spans="1:5" x14ac:dyDescent="0.25">
      <c r="A2819" s="7">
        <f>IF(E2819=1,
      SUM($E$2:E2819)-1,
"")</f>
        <v>2816</v>
      </c>
      <c r="B2819" s="6" t="s">
        <v>999</v>
      </c>
      <c r="C2819" s="14">
        <v>44952</v>
      </c>
      <c r="D2819" s="15">
        <v>133.65</v>
      </c>
      <c r="E2819" s="7">
        <f t="shared" si="44"/>
        <v>1</v>
      </c>
    </row>
    <row r="2820" spans="1:5" x14ac:dyDescent="0.25">
      <c r="A2820" s="7">
        <f>IF(E2820=1,
      SUM($E$2:E2820)-1,
"")</f>
        <v>2817</v>
      </c>
      <c r="B2820" s="6" t="s">
        <v>927</v>
      </c>
      <c r="C2820" s="14">
        <v>45142</v>
      </c>
      <c r="D2820" s="15">
        <v>88.84</v>
      </c>
      <c r="E2820" s="7">
        <f t="shared" si="44"/>
        <v>1</v>
      </c>
    </row>
    <row r="2821" spans="1:5" x14ac:dyDescent="0.25">
      <c r="A2821" s="7">
        <f>IF(E2821=1,
      SUM($E$2:E2821)-1,
"")</f>
        <v>2818</v>
      </c>
      <c r="B2821" s="6" t="s">
        <v>689</v>
      </c>
      <c r="C2821" s="14">
        <v>45136</v>
      </c>
      <c r="D2821" s="15">
        <v>85.79</v>
      </c>
      <c r="E2821" s="7">
        <f t="shared" si="44"/>
        <v>1</v>
      </c>
    </row>
    <row r="2822" spans="1:5" x14ac:dyDescent="0.25">
      <c r="A2822" s="7">
        <f>IF(E2822=1,
      SUM($E$2:E2822)-1,
"")</f>
        <v>2819</v>
      </c>
      <c r="B2822" s="6" t="s">
        <v>240</v>
      </c>
      <c r="C2822" s="14">
        <v>45087</v>
      </c>
      <c r="D2822" s="15">
        <v>70.59</v>
      </c>
      <c r="E2822" s="7">
        <f t="shared" si="44"/>
        <v>1</v>
      </c>
    </row>
    <row r="2823" spans="1:5" x14ac:dyDescent="0.25">
      <c r="A2823" s="7">
        <f>IF(E2823=1,
      SUM($E$2:E2823)-1,
"")</f>
        <v>2820</v>
      </c>
      <c r="B2823" s="6" t="s">
        <v>557</v>
      </c>
      <c r="C2823" s="14">
        <v>45114</v>
      </c>
      <c r="D2823" s="15">
        <v>155.5</v>
      </c>
      <c r="E2823" s="7">
        <f t="shared" si="44"/>
        <v>1</v>
      </c>
    </row>
    <row r="2824" spans="1:5" x14ac:dyDescent="0.25">
      <c r="A2824" s="7">
        <f>IF(E2824=1,
      SUM($E$2:E2824)-1,
"")</f>
        <v>2821</v>
      </c>
      <c r="B2824" s="6" t="s">
        <v>570</v>
      </c>
      <c r="C2824" s="14">
        <v>45096</v>
      </c>
      <c r="D2824" s="15">
        <v>97.91</v>
      </c>
      <c r="E2824" s="7">
        <f t="shared" si="44"/>
        <v>1</v>
      </c>
    </row>
    <row r="2825" spans="1:5" x14ac:dyDescent="0.25">
      <c r="A2825" s="7">
        <f>IF(E2825=1,
      SUM($E$2:E2825)-1,
"")</f>
        <v>2822</v>
      </c>
      <c r="B2825" s="6" t="s">
        <v>99</v>
      </c>
      <c r="C2825" s="14">
        <v>45070</v>
      </c>
      <c r="D2825" s="15">
        <v>64.78</v>
      </c>
      <c r="E2825" s="7">
        <f t="shared" si="44"/>
        <v>1</v>
      </c>
    </row>
    <row r="2826" spans="1:5" x14ac:dyDescent="0.25">
      <c r="A2826" s="7">
        <f>IF(E2826=1,
      SUM($E$2:E2826)-1,
"")</f>
        <v>2823</v>
      </c>
      <c r="B2826" s="6" t="s">
        <v>872</v>
      </c>
      <c r="C2826" s="14">
        <v>45204</v>
      </c>
      <c r="D2826" s="15">
        <v>105.9</v>
      </c>
      <c r="E2826" s="7">
        <f t="shared" si="44"/>
        <v>1</v>
      </c>
    </row>
    <row r="2827" spans="1:5" x14ac:dyDescent="0.25">
      <c r="A2827" s="7">
        <f>IF(E2827=1,
      SUM($E$2:E2827)-1,
"")</f>
        <v>2824</v>
      </c>
      <c r="B2827" s="6" t="s">
        <v>588</v>
      </c>
      <c r="C2827" s="14">
        <v>45006</v>
      </c>
      <c r="D2827" s="15">
        <v>80.5</v>
      </c>
      <c r="E2827" s="7">
        <f t="shared" si="44"/>
        <v>1</v>
      </c>
    </row>
    <row r="2828" spans="1:5" x14ac:dyDescent="0.25">
      <c r="A2828" s="7">
        <f>IF(E2828=1,
      SUM($E$2:E2828)-1,
"")</f>
        <v>2825</v>
      </c>
      <c r="B2828" s="6" t="s">
        <v>679</v>
      </c>
      <c r="C2828" s="14">
        <v>45017</v>
      </c>
      <c r="D2828" s="15">
        <v>88.31</v>
      </c>
      <c r="E2828" s="7">
        <f t="shared" si="44"/>
        <v>1</v>
      </c>
    </row>
    <row r="2829" spans="1:5" x14ac:dyDescent="0.25">
      <c r="A2829" s="7">
        <f>IF(E2829=1,
      SUM($E$2:E2829)-1,
"")</f>
        <v>2826</v>
      </c>
      <c r="B2829" s="6" t="s">
        <v>461</v>
      </c>
      <c r="C2829" s="14">
        <v>45057</v>
      </c>
      <c r="D2829" s="15">
        <v>109.32</v>
      </c>
      <c r="E2829" s="7">
        <f t="shared" si="44"/>
        <v>1</v>
      </c>
    </row>
    <row r="2830" spans="1:5" x14ac:dyDescent="0.25">
      <c r="A2830" s="7">
        <f>IF(E2830=1,
      SUM($E$2:E2830)-1,
"")</f>
        <v>2827</v>
      </c>
      <c r="B2830" s="6" t="s">
        <v>202</v>
      </c>
      <c r="C2830" s="14">
        <v>45110</v>
      </c>
      <c r="D2830" s="15">
        <v>145.63</v>
      </c>
      <c r="E2830" s="7">
        <f t="shared" si="44"/>
        <v>1</v>
      </c>
    </row>
    <row r="2831" spans="1:5" x14ac:dyDescent="0.25">
      <c r="A2831" s="7">
        <f>IF(E2831=1,
      SUM($E$2:E2831)-1,
"")</f>
        <v>2828</v>
      </c>
      <c r="B2831" s="6" t="s">
        <v>716</v>
      </c>
      <c r="C2831" s="14">
        <v>45084</v>
      </c>
      <c r="D2831" s="15">
        <v>103.05</v>
      </c>
      <c r="E2831" s="7">
        <f t="shared" si="44"/>
        <v>1</v>
      </c>
    </row>
    <row r="2832" spans="1:5" x14ac:dyDescent="0.25">
      <c r="A2832" s="7">
        <f>IF(E2832=1,
      SUM($E$2:E2832)-1,
"")</f>
        <v>2829</v>
      </c>
      <c r="B2832" s="6" t="s">
        <v>906</v>
      </c>
      <c r="C2832" s="14">
        <v>45163</v>
      </c>
      <c r="D2832" s="15">
        <v>78.67</v>
      </c>
      <c r="E2832" s="7">
        <f t="shared" si="44"/>
        <v>1</v>
      </c>
    </row>
    <row r="2833" spans="1:5" x14ac:dyDescent="0.25">
      <c r="A2833" s="7">
        <f>IF(E2833=1,
      SUM($E$2:E2833)-1,
"")</f>
        <v>2830</v>
      </c>
      <c r="B2833" s="6" t="s">
        <v>369</v>
      </c>
      <c r="C2833" s="14">
        <v>45140</v>
      </c>
      <c r="D2833" s="15">
        <v>84.85</v>
      </c>
      <c r="E2833" s="7">
        <f t="shared" si="44"/>
        <v>1</v>
      </c>
    </row>
    <row r="2834" spans="1:5" x14ac:dyDescent="0.25">
      <c r="A2834" s="7">
        <f>IF(E2834=1,
      SUM($E$2:E2834)-1,
"")</f>
        <v>2831</v>
      </c>
      <c r="B2834" s="6" t="s">
        <v>622</v>
      </c>
      <c r="C2834" s="14">
        <v>45280</v>
      </c>
      <c r="D2834" s="15">
        <v>119.69</v>
      </c>
      <c r="E2834" s="7">
        <f t="shared" si="44"/>
        <v>1</v>
      </c>
    </row>
    <row r="2835" spans="1:5" x14ac:dyDescent="0.25">
      <c r="A2835" s="7">
        <f>IF(E2835=1,
      SUM($E$2:E2835)-1,
"")</f>
        <v>2832</v>
      </c>
      <c r="B2835" s="6" t="s">
        <v>232</v>
      </c>
      <c r="C2835" s="14">
        <v>45171</v>
      </c>
      <c r="D2835" s="15">
        <v>41.25</v>
      </c>
      <c r="E2835" s="7">
        <f t="shared" si="44"/>
        <v>1</v>
      </c>
    </row>
    <row r="2836" spans="1:5" x14ac:dyDescent="0.25">
      <c r="A2836" s="7">
        <f>IF(E2836=1,
      SUM($E$2:E2836)-1,
"")</f>
        <v>2833</v>
      </c>
      <c r="B2836" s="6" t="s">
        <v>219</v>
      </c>
      <c r="C2836" s="14">
        <v>44934</v>
      </c>
      <c r="D2836" s="15">
        <v>68.72</v>
      </c>
      <c r="E2836" s="7">
        <f t="shared" si="44"/>
        <v>1</v>
      </c>
    </row>
    <row r="2837" spans="1:5" x14ac:dyDescent="0.25">
      <c r="A2837" s="7">
        <f>IF(E2837=1,
      SUM($E$2:E2837)-1,
"")</f>
        <v>2834</v>
      </c>
      <c r="B2837" s="6" t="s">
        <v>955</v>
      </c>
      <c r="C2837" s="14">
        <v>45073</v>
      </c>
      <c r="D2837" s="15">
        <v>106.38</v>
      </c>
      <c r="E2837" s="7">
        <f t="shared" si="44"/>
        <v>1</v>
      </c>
    </row>
    <row r="2838" spans="1:5" x14ac:dyDescent="0.25">
      <c r="A2838" s="7">
        <f>IF(E2838=1,
      SUM($E$2:E2838)-1,
"")</f>
        <v>2835</v>
      </c>
      <c r="B2838" s="6" t="s">
        <v>846</v>
      </c>
      <c r="C2838" s="14">
        <v>45187</v>
      </c>
      <c r="D2838" s="15">
        <v>48.8</v>
      </c>
      <c r="E2838" s="7">
        <f t="shared" si="44"/>
        <v>1</v>
      </c>
    </row>
    <row r="2839" spans="1:5" x14ac:dyDescent="0.25">
      <c r="A2839" s="7">
        <f>IF(E2839=1,
      SUM($E$2:E2839)-1,
"")</f>
        <v>2836</v>
      </c>
      <c r="B2839" s="6" t="s">
        <v>939</v>
      </c>
      <c r="C2839" s="14">
        <v>45223</v>
      </c>
      <c r="D2839" s="15">
        <v>90.62</v>
      </c>
      <c r="E2839" s="7">
        <f t="shared" si="44"/>
        <v>1</v>
      </c>
    </row>
    <row r="2840" spans="1:5" x14ac:dyDescent="0.25">
      <c r="A2840" s="7">
        <f>IF(E2840=1,
      SUM($E$2:E2840)-1,
"")</f>
        <v>2837</v>
      </c>
      <c r="B2840" s="6" t="s">
        <v>402</v>
      </c>
      <c r="C2840" s="14">
        <v>45098</v>
      </c>
      <c r="D2840" s="15">
        <v>85.65</v>
      </c>
      <c r="E2840" s="7">
        <f t="shared" si="44"/>
        <v>1</v>
      </c>
    </row>
    <row r="2841" spans="1:5" x14ac:dyDescent="0.25">
      <c r="A2841" s="7">
        <f>IF(E2841=1,
      SUM($E$2:E2841)-1,
"")</f>
        <v>2838</v>
      </c>
      <c r="B2841" s="6" t="s">
        <v>652</v>
      </c>
      <c r="C2841" s="14">
        <v>45107</v>
      </c>
      <c r="D2841" s="15">
        <v>126.32</v>
      </c>
      <c r="E2841" s="7">
        <f t="shared" si="44"/>
        <v>1</v>
      </c>
    </row>
    <row r="2842" spans="1:5" x14ac:dyDescent="0.25">
      <c r="A2842" s="7">
        <f>IF(E2842=1,
      SUM($E$2:E2842)-1,
"")</f>
        <v>2839</v>
      </c>
      <c r="B2842" s="6" t="s">
        <v>349</v>
      </c>
      <c r="C2842" s="14">
        <v>45194</v>
      </c>
      <c r="D2842" s="15">
        <v>92.49</v>
      </c>
      <c r="E2842" s="7">
        <f t="shared" si="44"/>
        <v>1</v>
      </c>
    </row>
    <row r="2843" spans="1:5" x14ac:dyDescent="0.25">
      <c r="A2843" s="7">
        <f>IF(E2843=1,
      SUM($E$2:E2843)-1,
"")</f>
        <v>2840</v>
      </c>
      <c r="B2843" s="6" t="s">
        <v>902</v>
      </c>
      <c r="C2843" s="14">
        <v>45211</v>
      </c>
      <c r="D2843" s="15">
        <v>135.6</v>
      </c>
      <c r="E2843" s="7">
        <f t="shared" si="44"/>
        <v>1</v>
      </c>
    </row>
    <row r="2844" spans="1:5" x14ac:dyDescent="0.25">
      <c r="A2844" s="7">
        <f>IF(E2844=1,
      SUM($E$2:E2844)-1,
"")</f>
        <v>2841</v>
      </c>
      <c r="B2844" s="6" t="s">
        <v>119</v>
      </c>
      <c r="C2844" s="14">
        <v>45218</v>
      </c>
      <c r="D2844" s="15">
        <v>102.37</v>
      </c>
      <c r="E2844" s="7">
        <f t="shared" si="44"/>
        <v>1</v>
      </c>
    </row>
    <row r="2845" spans="1:5" x14ac:dyDescent="0.25">
      <c r="A2845" s="7">
        <f>IF(E2845=1,
      SUM($E$2:E2845)-1,
"")</f>
        <v>2842</v>
      </c>
      <c r="B2845" s="6" t="s">
        <v>473</v>
      </c>
      <c r="C2845" s="14">
        <v>44953</v>
      </c>
      <c r="D2845" s="15">
        <v>153.29</v>
      </c>
      <c r="E2845" s="7">
        <f t="shared" si="44"/>
        <v>1</v>
      </c>
    </row>
    <row r="2846" spans="1:5" x14ac:dyDescent="0.25">
      <c r="A2846" s="7">
        <f>IF(E2846=1,
      SUM($E$2:E2846)-1,
"")</f>
        <v>2843</v>
      </c>
      <c r="B2846" s="6" t="s">
        <v>186</v>
      </c>
      <c r="C2846" s="14">
        <v>45101</v>
      </c>
      <c r="D2846" s="15">
        <v>58.38</v>
      </c>
      <c r="E2846" s="7">
        <f t="shared" si="44"/>
        <v>1</v>
      </c>
    </row>
    <row r="2847" spans="1:5" x14ac:dyDescent="0.25">
      <c r="A2847" s="7">
        <f>IF(E2847=1,
      SUM($E$2:E2847)-1,
"")</f>
        <v>2844</v>
      </c>
      <c r="B2847" s="6" t="s">
        <v>371</v>
      </c>
      <c r="C2847" s="14">
        <v>44968</v>
      </c>
      <c r="D2847" s="15">
        <v>148.51</v>
      </c>
      <c r="E2847" s="7">
        <f t="shared" si="44"/>
        <v>1</v>
      </c>
    </row>
    <row r="2848" spans="1:5" x14ac:dyDescent="0.25">
      <c r="A2848" s="7">
        <f>IF(E2848=1,
      SUM($E$2:E2848)-1,
"")</f>
        <v>2845</v>
      </c>
      <c r="B2848" s="6" t="s">
        <v>536</v>
      </c>
      <c r="C2848" s="14">
        <v>45079</v>
      </c>
      <c r="D2848" s="15">
        <v>87.67</v>
      </c>
      <c r="E2848" s="7">
        <f t="shared" si="44"/>
        <v>1</v>
      </c>
    </row>
    <row r="2849" spans="1:5" x14ac:dyDescent="0.25">
      <c r="A2849" s="7">
        <f>IF(E2849=1,
      SUM($E$2:E2849)-1,
"")</f>
        <v>2846</v>
      </c>
      <c r="B2849" s="6" t="s">
        <v>651</v>
      </c>
      <c r="C2849" s="14">
        <v>44978</v>
      </c>
      <c r="D2849" s="15">
        <v>144.22</v>
      </c>
      <c r="E2849" s="7">
        <f t="shared" si="44"/>
        <v>1</v>
      </c>
    </row>
    <row r="2850" spans="1:5" x14ac:dyDescent="0.25">
      <c r="A2850" s="7">
        <f>IF(E2850=1,
      SUM($E$2:E2850)-1,
"")</f>
        <v>2847</v>
      </c>
      <c r="B2850" s="6" t="s">
        <v>571</v>
      </c>
      <c r="C2850" s="14">
        <v>44975</v>
      </c>
      <c r="D2850" s="15">
        <v>135.56</v>
      </c>
      <c r="E2850" s="7">
        <f t="shared" si="44"/>
        <v>1</v>
      </c>
    </row>
    <row r="2851" spans="1:5" x14ac:dyDescent="0.25">
      <c r="A2851" s="7">
        <f>IF(E2851=1,
      SUM($E$2:E2851)-1,
"")</f>
        <v>2848</v>
      </c>
      <c r="B2851" s="6" t="s">
        <v>122</v>
      </c>
      <c r="C2851" s="14">
        <v>45149</v>
      </c>
      <c r="D2851" s="15">
        <v>14.44</v>
      </c>
      <c r="E2851" s="7">
        <f t="shared" si="44"/>
        <v>1</v>
      </c>
    </row>
    <row r="2852" spans="1:5" x14ac:dyDescent="0.25">
      <c r="A2852" s="7">
        <f>IF(E2852=1,
      SUM($E$2:E2852)-1,
"")</f>
        <v>2849</v>
      </c>
      <c r="B2852" s="6" t="s">
        <v>314</v>
      </c>
      <c r="C2852" s="14">
        <v>45077</v>
      </c>
      <c r="D2852" s="15">
        <v>114.38</v>
      </c>
      <c r="E2852" s="7">
        <f t="shared" si="44"/>
        <v>1</v>
      </c>
    </row>
    <row r="2853" spans="1:5" x14ac:dyDescent="0.25">
      <c r="A2853" s="7">
        <f>IF(E2853=1,
      SUM($E$2:E2853)-1,
"")</f>
        <v>2850</v>
      </c>
      <c r="B2853" s="6" t="s">
        <v>451</v>
      </c>
      <c r="C2853" s="14">
        <v>44932</v>
      </c>
      <c r="D2853" s="15">
        <v>129.93</v>
      </c>
      <c r="E2853" s="7">
        <f t="shared" si="44"/>
        <v>1</v>
      </c>
    </row>
    <row r="2854" spans="1:5" x14ac:dyDescent="0.25">
      <c r="A2854" s="7">
        <f>IF(E2854=1,
      SUM($E$2:E2854)-1,
"")</f>
        <v>2851</v>
      </c>
      <c r="B2854" s="6" t="s">
        <v>526</v>
      </c>
      <c r="C2854" s="14">
        <v>44969</v>
      </c>
      <c r="D2854" s="15">
        <v>139.86000000000001</v>
      </c>
      <c r="E2854" s="7">
        <f t="shared" si="44"/>
        <v>1</v>
      </c>
    </row>
    <row r="2855" spans="1:5" x14ac:dyDescent="0.25">
      <c r="A2855" s="7">
        <f>IF(E2855=1,
      SUM($E$2:E2855)-1,
"")</f>
        <v>2852</v>
      </c>
      <c r="B2855" s="6" t="s">
        <v>779</v>
      </c>
      <c r="C2855" s="14">
        <v>45278</v>
      </c>
      <c r="D2855" s="15">
        <v>64.7</v>
      </c>
      <c r="E2855" s="7">
        <f t="shared" si="44"/>
        <v>1</v>
      </c>
    </row>
    <row r="2856" spans="1:5" x14ac:dyDescent="0.25">
      <c r="A2856" s="7">
        <f>IF(E2856=1,
      SUM($E$2:E2856)-1,
"")</f>
        <v>2853</v>
      </c>
      <c r="B2856" s="6" t="s">
        <v>252</v>
      </c>
      <c r="C2856" s="14">
        <v>45076</v>
      </c>
      <c r="D2856" s="15">
        <v>117.71</v>
      </c>
      <c r="E2856" s="7">
        <f t="shared" si="44"/>
        <v>1</v>
      </c>
    </row>
    <row r="2857" spans="1:5" x14ac:dyDescent="0.25">
      <c r="A2857" s="7">
        <f>IF(E2857=1,
      SUM($E$2:E2857)-1,
"")</f>
        <v>2854</v>
      </c>
      <c r="B2857" s="6" t="s">
        <v>936</v>
      </c>
      <c r="C2857" s="14">
        <v>45258</v>
      </c>
      <c r="D2857" s="15">
        <v>105.85</v>
      </c>
      <c r="E2857" s="7">
        <f t="shared" si="44"/>
        <v>1</v>
      </c>
    </row>
    <row r="2858" spans="1:5" x14ac:dyDescent="0.25">
      <c r="A2858" s="7">
        <f>IF(E2858=1,
      SUM($E$2:E2858)-1,
"")</f>
        <v>2855</v>
      </c>
      <c r="B2858" s="6" t="s">
        <v>105</v>
      </c>
      <c r="C2858" s="14">
        <v>45110</v>
      </c>
      <c r="D2858" s="15">
        <v>112.94</v>
      </c>
      <c r="E2858" s="7">
        <f t="shared" si="44"/>
        <v>1</v>
      </c>
    </row>
    <row r="2859" spans="1:5" x14ac:dyDescent="0.25">
      <c r="A2859" s="7">
        <f>IF(E2859=1,
      SUM($E$2:E2859)-1,
"")</f>
        <v>2856</v>
      </c>
      <c r="B2859" s="6" t="s">
        <v>400</v>
      </c>
      <c r="C2859" s="14">
        <v>45023</v>
      </c>
      <c r="D2859" s="15">
        <v>129.97</v>
      </c>
      <c r="E2859" s="7">
        <f t="shared" si="44"/>
        <v>1</v>
      </c>
    </row>
    <row r="2860" spans="1:5" x14ac:dyDescent="0.25">
      <c r="A2860" s="7">
        <f>IF(E2860=1,
      SUM($E$2:E2860)-1,
"")</f>
        <v>2857</v>
      </c>
      <c r="B2860" s="6" t="s">
        <v>814</v>
      </c>
      <c r="C2860" s="14">
        <v>44935</v>
      </c>
      <c r="D2860" s="15">
        <v>134.69999999999999</v>
      </c>
      <c r="E2860" s="7">
        <f t="shared" si="44"/>
        <v>1</v>
      </c>
    </row>
    <row r="2861" spans="1:5" x14ac:dyDescent="0.25">
      <c r="A2861" s="7">
        <f>IF(E2861=1,
      SUM($E$2:E2861)-1,
"")</f>
        <v>2858</v>
      </c>
      <c r="B2861" s="6" t="s">
        <v>406</v>
      </c>
      <c r="C2861" s="14">
        <v>45193</v>
      </c>
      <c r="D2861" s="15">
        <v>80.33</v>
      </c>
      <c r="E2861" s="7">
        <f t="shared" si="44"/>
        <v>1</v>
      </c>
    </row>
    <row r="2862" spans="1:5" x14ac:dyDescent="0.25">
      <c r="A2862" s="7">
        <f>IF(E2862=1,
      SUM($E$2:E2862)-1,
"")</f>
        <v>2859</v>
      </c>
      <c r="B2862" s="6" t="s">
        <v>928</v>
      </c>
      <c r="C2862" s="14">
        <v>45286</v>
      </c>
      <c r="D2862" s="15">
        <v>107.96</v>
      </c>
      <c r="E2862" s="7">
        <f t="shared" si="44"/>
        <v>1</v>
      </c>
    </row>
    <row r="2863" spans="1:5" x14ac:dyDescent="0.25">
      <c r="A2863" s="7">
        <f>IF(E2863=1,
      SUM($E$2:E2863)-1,
"")</f>
        <v>2860</v>
      </c>
      <c r="B2863" s="6" t="s">
        <v>936</v>
      </c>
      <c r="C2863" s="14">
        <v>45263</v>
      </c>
      <c r="D2863" s="15">
        <v>101.23</v>
      </c>
      <c r="E2863" s="7">
        <f t="shared" si="44"/>
        <v>1</v>
      </c>
    </row>
    <row r="2864" spans="1:5" x14ac:dyDescent="0.25">
      <c r="A2864" s="7">
        <f>IF(E2864=1,
      SUM($E$2:E2864)-1,
"")</f>
        <v>2861</v>
      </c>
      <c r="B2864" s="6" t="s">
        <v>997</v>
      </c>
      <c r="C2864" s="14">
        <v>44988</v>
      </c>
      <c r="D2864" s="15">
        <v>92.82</v>
      </c>
      <c r="E2864" s="7">
        <f t="shared" si="44"/>
        <v>1</v>
      </c>
    </row>
    <row r="2865" spans="1:5" x14ac:dyDescent="0.25">
      <c r="A2865" s="7">
        <f>IF(E2865=1,
      SUM($E$2:E2865)-1,
"")</f>
        <v>2862</v>
      </c>
      <c r="B2865" s="6" t="s">
        <v>959</v>
      </c>
      <c r="C2865" s="14">
        <v>45149</v>
      </c>
      <c r="D2865" s="15">
        <v>95.69</v>
      </c>
      <c r="E2865" s="7">
        <f t="shared" si="44"/>
        <v>1</v>
      </c>
    </row>
    <row r="2866" spans="1:5" x14ac:dyDescent="0.25">
      <c r="A2866" s="7">
        <f>IF(E2866=1,
      SUM($E$2:E2866)-1,
"")</f>
        <v>2863</v>
      </c>
      <c r="B2866" s="6" t="s">
        <v>829</v>
      </c>
      <c r="C2866" s="14">
        <v>45182</v>
      </c>
      <c r="D2866" s="15">
        <v>105.88</v>
      </c>
      <c r="E2866" s="7">
        <f t="shared" si="44"/>
        <v>1</v>
      </c>
    </row>
    <row r="2867" spans="1:5" x14ac:dyDescent="0.25">
      <c r="A2867" s="7">
        <f>IF(E2867=1,
      SUM($E$2:E2867)-1,
"")</f>
        <v>2864</v>
      </c>
      <c r="B2867" s="6" t="s">
        <v>353</v>
      </c>
      <c r="C2867" s="14">
        <v>45061</v>
      </c>
      <c r="D2867" s="15">
        <v>81.94</v>
      </c>
      <c r="E2867" s="7">
        <f t="shared" si="44"/>
        <v>1</v>
      </c>
    </row>
    <row r="2868" spans="1:5" x14ac:dyDescent="0.25">
      <c r="A2868" s="7">
        <f>IF(E2868=1,
      SUM($E$2:E2868)-1,
"")</f>
        <v>2865</v>
      </c>
      <c r="B2868" s="6" t="s">
        <v>667</v>
      </c>
      <c r="C2868" s="14">
        <v>45114</v>
      </c>
      <c r="D2868" s="15">
        <v>126.49</v>
      </c>
      <c r="E2868" s="7">
        <f t="shared" si="44"/>
        <v>1</v>
      </c>
    </row>
    <row r="2869" spans="1:5" x14ac:dyDescent="0.25">
      <c r="A2869" s="7">
        <f>IF(E2869=1,
      SUM($E$2:E2869)-1,
"")</f>
        <v>2866</v>
      </c>
      <c r="B2869" s="6" t="s">
        <v>830</v>
      </c>
      <c r="C2869" s="14">
        <v>45221</v>
      </c>
      <c r="D2869" s="15">
        <v>138.08000000000001</v>
      </c>
      <c r="E2869" s="7">
        <f t="shared" si="44"/>
        <v>1</v>
      </c>
    </row>
    <row r="2870" spans="1:5" x14ac:dyDescent="0.25">
      <c r="A2870" s="7">
        <f>IF(E2870=1,
      SUM($E$2:E2870)-1,
"")</f>
        <v>2867</v>
      </c>
      <c r="B2870" s="6" t="s">
        <v>333</v>
      </c>
      <c r="C2870" s="14">
        <v>45083</v>
      </c>
      <c r="D2870" s="15">
        <v>75.38</v>
      </c>
      <c r="E2870" s="7">
        <f t="shared" si="44"/>
        <v>1</v>
      </c>
    </row>
    <row r="2871" spans="1:5" x14ac:dyDescent="0.25">
      <c r="A2871" s="7">
        <f>IF(E2871=1,
      SUM($E$2:E2871)-1,
"")</f>
        <v>2868</v>
      </c>
      <c r="B2871" s="6" t="s">
        <v>885</v>
      </c>
      <c r="C2871" s="14">
        <v>45073</v>
      </c>
      <c r="D2871" s="15">
        <v>139.55000000000001</v>
      </c>
      <c r="E2871" s="7">
        <f t="shared" si="44"/>
        <v>1</v>
      </c>
    </row>
    <row r="2872" spans="1:5" x14ac:dyDescent="0.25">
      <c r="A2872" s="7">
        <f>IF(E2872=1,
      SUM($E$2:E2872)-1,
"")</f>
        <v>2869</v>
      </c>
      <c r="B2872" s="6" t="s">
        <v>914</v>
      </c>
      <c r="C2872" s="14">
        <v>45213</v>
      </c>
      <c r="D2872" s="15">
        <v>75.44</v>
      </c>
      <c r="E2872" s="7">
        <f t="shared" si="44"/>
        <v>1</v>
      </c>
    </row>
    <row r="2873" spans="1:5" x14ac:dyDescent="0.25">
      <c r="A2873" s="7">
        <f>IF(E2873=1,
      SUM($E$2:E2873)-1,
"")</f>
        <v>2870</v>
      </c>
      <c r="B2873" s="6" t="s">
        <v>898</v>
      </c>
      <c r="C2873" s="14">
        <v>45210</v>
      </c>
      <c r="D2873" s="15">
        <v>126.93</v>
      </c>
      <c r="E2873" s="7">
        <f t="shared" si="44"/>
        <v>1</v>
      </c>
    </row>
    <row r="2874" spans="1:5" x14ac:dyDescent="0.25">
      <c r="A2874" s="7">
        <f>IF(E2874=1,
      SUM($E$2:E2874)-1,
"")</f>
        <v>2871</v>
      </c>
      <c r="B2874" s="6" t="s">
        <v>875</v>
      </c>
      <c r="C2874" s="14">
        <v>45251</v>
      </c>
      <c r="D2874" s="15">
        <v>139.49</v>
      </c>
      <c r="E2874" s="7">
        <f t="shared" si="44"/>
        <v>1</v>
      </c>
    </row>
    <row r="2875" spans="1:5" x14ac:dyDescent="0.25">
      <c r="A2875" s="7">
        <f>IF(E2875=1,
      SUM($E$2:E2875)-1,
"")</f>
        <v>2872</v>
      </c>
      <c r="B2875" s="6" t="s">
        <v>1000</v>
      </c>
      <c r="C2875" s="14">
        <v>45020</v>
      </c>
      <c r="D2875" s="15">
        <v>97.16</v>
      </c>
      <c r="E2875" s="7">
        <f t="shared" si="44"/>
        <v>1</v>
      </c>
    </row>
    <row r="2876" spans="1:5" x14ac:dyDescent="0.25">
      <c r="A2876" s="7">
        <f>IF(E2876=1,
      SUM($E$2:E2876)-1,
"")</f>
        <v>2873</v>
      </c>
      <c r="B2876" s="6" t="s">
        <v>597</v>
      </c>
      <c r="C2876" s="14">
        <v>45102</v>
      </c>
      <c r="D2876" s="15">
        <v>75.69</v>
      </c>
      <c r="E2876" s="7">
        <f t="shared" si="44"/>
        <v>1</v>
      </c>
    </row>
    <row r="2877" spans="1:5" x14ac:dyDescent="0.25">
      <c r="A2877" s="7">
        <f>IF(E2877=1,
      SUM($E$2:E2877)-1,
"")</f>
        <v>2874</v>
      </c>
      <c r="B2877" s="6" t="s">
        <v>950</v>
      </c>
      <c r="C2877" s="14">
        <v>45120</v>
      </c>
      <c r="D2877" s="15">
        <v>82.34</v>
      </c>
      <c r="E2877" s="7">
        <f t="shared" si="44"/>
        <v>1</v>
      </c>
    </row>
    <row r="2878" spans="1:5" x14ac:dyDescent="0.25">
      <c r="A2878" s="7">
        <f>IF(E2878=1,
      SUM($E$2:E2878)-1,
"")</f>
        <v>2875</v>
      </c>
      <c r="B2878" s="6" t="s">
        <v>910</v>
      </c>
      <c r="C2878" s="14">
        <v>45286</v>
      </c>
      <c r="D2878" s="15">
        <v>110.86</v>
      </c>
      <c r="E2878" s="7">
        <f t="shared" si="44"/>
        <v>1</v>
      </c>
    </row>
    <row r="2879" spans="1:5" x14ac:dyDescent="0.25">
      <c r="A2879" s="7">
        <f>IF(E2879=1,
      SUM($E$2:E2879)-1,
"")</f>
        <v>2876</v>
      </c>
      <c r="B2879" s="6" t="s">
        <v>684</v>
      </c>
      <c r="C2879" s="14">
        <v>45138</v>
      </c>
      <c r="D2879" s="15">
        <v>158.94</v>
      </c>
      <c r="E2879" s="7">
        <f t="shared" si="44"/>
        <v>1</v>
      </c>
    </row>
    <row r="2880" spans="1:5" x14ac:dyDescent="0.25">
      <c r="A2880" s="7">
        <f>IF(E2880=1,
      SUM($E$2:E2880)-1,
"")</f>
        <v>2877</v>
      </c>
      <c r="B2880" s="6" t="s">
        <v>564</v>
      </c>
      <c r="C2880" s="14">
        <v>45283</v>
      </c>
      <c r="D2880" s="15">
        <v>49.22</v>
      </c>
      <c r="E2880" s="7">
        <f t="shared" si="44"/>
        <v>1</v>
      </c>
    </row>
    <row r="2881" spans="1:5" x14ac:dyDescent="0.25">
      <c r="A2881" s="7">
        <f>IF(E2881=1,
      SUM($E$2:E2881)-1,
"")</f>
        <v>2878</v>
      </c>
      <c r="B2881" s="6" t="s">
        <v>591</v>
      </c>
      <c r="C2881" s="14">
        <v>45259</v>
      </c>
      <c r="D2881" s="15">
        <v>103.01</v>
      </c>
      <c r="E2881" s="7">
        <f t="shared" si="44"/>
        <v>1</v>
      </c>
    </row>
    <row r="2882" spans="1:5" x14ac:dyDescent="0.25">
      <c r="A2882" s="7">
        <f>IF(E2882=1,
      SUM($E$2:E2882)-1,
"")</f>
        <v>2879</v>
      </c>
      <c r="B2882" s="6" t="s">
        <v>605</v>
      </c>
      <c r="C2882" s="14">
        <v>45257</v>
      </c>
      <c r="D2882" s="15">
        <v>97.36</v>
      </c>
      <c r="E2882" s="7">
        <f t="shared" ref="E2882:E2945" si="45">IF(D2882&gt;0,1,0)</f>
        <v>1</v>
      </c>
    </row>
    <row r="2883" spans="1:5" x14ac:dyDescent="0.25">
      <c r="A2883" s="7">
        <f>IF(E2883=1,
      SUM($E$2:E2883)-1,
"")</f>
        <v>2880</v>
      </c>
      <c r="B2883" s="6" t="s">
        <v>414</v>
      </c>
      <c r="C2883" s="14">
        <v>45287</v>
      </c>
      <c r="D2883" s="15">
        <v>86.3</v>
      </c>
      <c r="E2883" s="7">
        <f t="shared" si="45"/>
        <v>1</v>
      </c>
    </row>
    <row r="2884" spans="1:5" x14ac:dyDescent="0.25">
      <c r="A2884" s="7">
        <f>IF(E2884=1,
      SUM($E$2:E2884)-1,
"")</f>
        <v>2881</v>
      </c>
      <c r="B2884" s="6" t="s">
        <v>86</v>
      </c>
      <c r="C2884" s="14">
        <v>45078</v>
      </c>
      <c r="D2884" s="15">
        <v>97.58</v>
      </c>
      <c r="E2884" s="7">
        <f t="shared" si="45"/>
        <v>1</v>
      </c>
    </row>
    <row r="2885" spans="1:5" x14ac:dyDescent="0.25">
      <c r="A2885" s="7">
        <f>IF(E2885=1,
      SUM($E$2:E2885)-1,
"")</f>
        <v>2882</v>
      </c>
      <c r="B2885" s="6" t="s">
        <v>357</v>
      </c>
      <c r="C2885" s="14">
        <v>45159</v>
      </c>
      <c r="D2885" s="15">
        <v>83.73</v>
      </c>
      <c r="E2885" s="7">
        <f t="shared" si="45"/>
        <v>1</v>
      </c>
    </row>
    <row r="2886" spans="1:5" x14ac:dyDescent="0.25">
      <c r="A2886" s="7">
        <f>IF(E2886=1,
      SUM($E$2:E2886)-1,
"")</f>
        <v>2883</v>
      </c>
      <c r="B2886" s="6" t="s">
        <v>97</v>
      </c>
      <c r="C2886" s="14">
        <v>45008</v>
      </c>
      <c r="D2886" s="15">
        <v>137.29</v>
      </c>
      <c r="E2886" s="7">
        <f t="shared" si="45"/>
        <v>1</v>
      </c>
    </row>
    <row r="2887" spans="1:5" x14ac:dyDescent="0.25">
      <c r="A2887" s="7">
        <f>IF(E2887=1,
      SUM($E$2:E2887)-1,
"")</f>
        <v>2884</v>
      </c>
      <c r="B2887" s="6" t="s">
        <v>163</v>
      </c>
      <c r="C2887" s="14">
        <v>45167</v>
      </c>
      <c r="D2887" s="15">
        <v>140.27000000000001</v>
      </c>
      <c r="E2887" s="7">
        <f t="shared" si="45"/>
        <v>1</v>
      </c>
    </row>
    <row r="2888" spans="1:5" x14ac:dyDescent="0.25">
      <c r="A2888" s="7">
        <f>IF(E2888=1,
      SUM($E$2:E2888)-1,
"")</f>
        <v>2885</v>
      </c>
      <c r="B2888" s="6" t="s">
        <v>148</v>
      </c>
      <c r="C2888" s="14">
        <v>44956</v>
      </c>
      <c r="D2888" s="15">
        <v>102.64</v>
      </c>
      <c r="E2888" s="7">
        <f t="shared" si="45"/>
        <v>1</v>
      </c>
    </row>
    <row r="2889" spans="1:5" x14ac:dyDescent="0.25">
      <c r="A2889" s="7">
        <f>IF(E2889=1,
      SUM($E$2:E2889)-1,
"")</f>
        <v>2886</v>
      </c>
      <c r="B2889" s="6" t="s">
        <v>137</v>
      </c>
      <c r="C2889" s="14">
        <v>45119</v>
      </c>
      <c r="D2889" s="15">
        <v>95.77</v>
      </c>
      <c r="E2889" s="7">
        <f t="shared" si="45"/>
        <v>1</v>
      </c>
    </row>
    <row r="2890" spans="1:5" x14ac:dyDescent="0.25">
      <c r="A2890" s="7">
        <f>IF(E2890=1,
      SUM($E$2:E2890)-1,
"")</f>
        <v>2887</v>
      </c>
      <c r="B2890" s="6" t="s">
        <v>181</v>
      </c>
      <c r="C2890" s="14">
        <v>45141</v>
      </c>
      <c r="D2890" s="15">
        <v>85.21</v>
      </c>
      <c r="E2890" s="7">
        <f t="shared" si="45"/>
        <v>1</v>
      </c>
    </row>
    <row r="2891" spans="1:5" x14ac:dyDescent="0.25">
      <c r="A2891" s="7">
        <f>IF(E2891=1,
      SUM($E$2:E2891)-1,
"")</f>
        <v>2888</v>
      </c>
      <c r="B2891" s="6" t="s">
        <v>260</v>
      </c>
      <c r="C2891" s="14">
        <v>44962</v>
      </c>
      <c r="D2891" s="15">
        <v>102.71</v>
      </c>
      <c r="E2891" s="7">
        <f t="shared" si="45"/>
        <v>1</v>
      </c>
    </row>
    <row r="2892" spans="1:5" x14ac:dyDescent="0.25">
      <c r="A2892" s="7">
        <f>IF(E2892=1,
      SUM($E$2:E2892)-1,
"")</f>
        <v>2889</v>
      </c>
      <c r="B2892" s="6" t="s">
        <v>198</v>
      </c>
      <c r="C2892" s="14">
        <v>45267</v>
      </c>
      <c r="D2892" s="15">
        <v>155.43</v>
      </c>
      <c r="E2892" s="7">
        <f t="shared" si="45"/>
        <v>1</v>
      </c>
    </row>
    <row r="2893" spans="1:5" x14ac:dyDescent="0.25">
      <c r="A2893" s="7">
        <f>IF(E2893=1,
      SUM($E$2:E2893)-1,
"")</f>
        <v>2890</v>
      </c>
      <c r="B2893" s="6" t="s">
        <v>530</v>
      </c>
      <c r="C2893" s="14">
        <v>45178</v>
      </c>
      <c r="D2893" s="15">
        <v>96.89</v>
      </c>
      <c r="E2893" s="7">
        <f t="shared" si="45"/>
        <v>1</v>
      </c>
    </row>
    <row r="2894" spans="1:5" x14ac:dyDescent="0.25">
      <c r="A2894" s="7">
        <f>IF(E2894=1,
      SUM($E$2:E2894)-1,
"")</f>
        <v>2891</v>
      </c>
      <c r="B2894" s="6" t="s">
        <v>351</v>
      </c>
      <c r="C2894" s="14">
        <v>45009</v>
      </c>
      <c r="D2894" s="15">
        <v>74.819999999999993</v>
      </c>
      <c r="E2894" s="7">
        <f t="shared" si="45"/>
        <v>1</v>
      </c>
    </row>
    <row r="2895" spans="1:5" x14ac:dyDescent="0.25">
      <c r="A2895" s="7">
        <f>IF(E2895=1,
      SUM($E$2:E2895)-1,
"")</f>
        <v>2892</v>
      </c>
      <c r="B2895" s="6" t="s">
        <v>476</v>
      </c>
      <c r="C2895" s="14">
        <v>45218</v>
      </c>
      <c r="D2895" s="15">
        <v>88.07</v>
      </c>
      <c r="E2895" s="7">
        <f t="shared" si="45"/>
        <v>1</v>
      </c>
    </row>
    <row r="2896" spans="1:5" x14ac:dyDescent="0.25">
      <c r="A2896" s="7">
        <f>IF(E2896=1,
      SUM($E$2:E2896)-1,
"")</f>
        <v>2893</v>
      </c>
      <c r="B2896" s="6" t="s">
        <v>1001</v>
      </c>
      <c r="C2896" s="14">
        <v>45127</v>
      </c>
      <c r="D2896" s="15">
        <v>122.6</v>
      </c>
      <c r="E2896" s="7">
        <f t="shared" si="45"/>
        <v>1</v>
      </c>
    </row>
    <row r="2897" spans="1:5" x14ac:dyDescent="0.25">
      <c r="A2897" s="7">
        <f>IF(E2897=1,
      SUM($E$2:E2897)-1,
"")</f>
        <v>2894</v>
      </c>
      <c r="B2897" s="6" t="s">
        <v>601</v>
      </c>
      <c r="C2897" s="14">
        <v>45104</v>
      </c>
      <c r="D2897" s="15">
        <v>78.47</v>
      </c>
      <c r="E2897" s="7">
        <f t="shared" si="45"/>
        <v>1</v>
      </c>
    </row>
    <row r="2898" spans="1:5" x14ac:dyDescent="0.25">
      <c r="A2898" s="7">
        <f>IF(E2898=1,
      SUM($E$2:E2898)-1,
"")</f>
        <v>2895</v>
      </c>
      <c r="B2898" s="6" t="s">
        <v>466</v>
      </c>
      <c r="C2898" s="14">
        <v>45215</v>
      </c>
      <c r="D2898" s="15">
        <v>98.99</v>
      </c>
      <c r="E2898" s="7">
        <f t="shared" si="45"/>
        <v>1</v>
      </c>
    </row>
    <row r="2899" spans="1:5" x14ac:dyDescent="0.25">
      <c r="A2899" s="7">
        <f>IF(E2899=1,
      SUM($E$2:E2899)-1,
"")</f>
        <v>2896</v>
      </c>
      <c r="B2899" s="6" t="s">
        <v>569</v>
      </c>
      <c r="C2899" s="14">
        <v>45203</v>
      </c>
      <c r="D2899" s="15">
        <v>114.19</v>
      </c>
      <c r="E2899" s="7">
        <f t="shared" si="45"/>
        <v>1</v>
      </c>
    </row>
    <row r="2900" spans="1:5" x14ac:dyDescent="0.25">
      <c r="A2900" s="7">
        <f>IF(E2900=1,
      SUM($E$2:E2900)-1,
"")</f>
        <v>2897</v>
      </c>
      <c r="B2900" s="6" t="s">
        <v>279</v>
      </c>
      <c r="C2900" s="14">
        <v>45117</v>
      </c>
      <c r="D2900" s="15">
        <v>80.739999999999995</v>
      </c>
      <c r="E2900" s="7">
        <f t="shared" si="45"/>
        <v>1</v>
      </c>
    </row>
    <row r="2901" spans="1:5" x14ac:dyDescent="0.25">
      <c r="A2901" s="7">
        <f>IF(E2901=1,
      SUM($E$2:E2901)-1,
"")</f>
        <v>2898</v>
      </c>
      <c r="B2901" s="6" t="s">
        <v>560</v>
      </c>
      <c r="C2901" s="14">
        <v>45272</v>
      </c>
      <c r="D2901" s="15">
        <v>47.07</v>
      </c>
      <c r="E2901" s="7">
        <f t="shared" si="45"/>
        <v>1</v>
      </c>
    </row>
    <row r="2902" spans="1:5" x14ac:dyDescent="0.25">
      <c r="A2902" s="7">
        <f>IF(E2902=1,
      SUM($E$2:E2902)-1,
"")</f>
        <v>2899</v>
      </c>
      <c r="B2902" s="6" t="s">
        <v>487</v>
      </c>
      <c r="C2902" s="14">
        <v>45239</v>
      </c>
      <c r="D2902" s="15">
        <v>67.86</v>
      </c>
      <c r="E2902" s="7">
        <f t="shared" si="45"/>
        <v>1</v>
      </c>
    </row>
    <row r="2903" spans="1:5" x14ac:dyDescent="0.25">
      <c r="A2903" s="7">
        <f>IF(E2903=1,
      SUM($E$2:E2903)-1,
"")</f>
        <v>2900</v>
      </c>
      <c r="B2903" s="6" t="s">
        <v>317</v>
      </c>
      <c r="C2903" s="14">
        <v>45109</v>
      </c>
      <c r="D2903" s="15">
        <v>74.239999999999995</v>
      </c>
      <c r="E2903" s="7">
        <f t="shared" si="45"/>
        <v>1</v>
      </c>
    </row>
    <row r="2904" spans="1:5" x14ac:dyDescent="0.25">
      <c r="A2904" s="7">
        <f>IF(E2904=1,
      SUM($E$2:E2904)-1,
"")</f>
        <v>2901</v>
      </c>
      <c r="B2904" s="6" t="s">
        <v>305</v>
      </c>
      <c r="C2904" s="14">
        <v>44934</v>
      </c>
      <c r="D2904" s="15">
        <v>93.14</v>
      </c>
      <c r="E2904" s="7">
        <f t="shared" si="45"/>
        <v>1</v>
      </c>
    </row>
    <row r="2905" spans="1:5" x14ac:dyDescent="0.25">
      <c r="A2905" s="7">
        <f>IF(E2905=1,
      SUM($E$2:E2905)-1,
"")</f>
        <v>2902</v>
      </c>
      <c r="B2905" s="6" t="s">
        <v>813</v>
      </c>
      <c r="C2905" s="14">
        <v>45071</v>
      </c>
      <c r="D2905" s="15">
        <v>101.33</v>
      </c>
      <c r="E2905" s="7">
        <f t="shared" si="45"/>
        <v>1</v>
      </c>
    </row>
    <row r="2906" spans="1:5" x14ac:dyDescent="0.25">
      <c r="A2906" s="7">
        <f>IF(E2906=1,
      SUM($E$2:E2906)-1,
"")</f>
        <v>2903</v>
      </c>
      <c r="B2906" s="6" t="s">
        <v>891</v>
      </c>
      <c r="C2906" s="14">
        <v>44978</v>
      </c>
      <c r="D2906" s="15">
        <v>124.71</v>
      </c>
      <c r="E2906" s="7">
        <f t="shared" si="45"/>
        <v>1</v>
      </c>
    </row>
    <row r="2907" spans="1:5" x14ac:dyDescent="0.25">
      <c r="A2907" s="7">
        <f>IF(E2907=1,
      SUM($E$2:E2907)-1,
"")</f>
        <v>2904</v>
      </c>
      <c r="B2907" s="6" t="s">
        <v>914</v>
      </c>
      <c r="C2907" s="14">
        <v>44965</v>
      </c>
      <c r="D2907" s="15">
        <v>63.18</v>
      </c>
      <c r="E2907" s="7">
        <f t="shared" si="45"/>
        <v>1</v>
      </c>
    </row>
    <row r="2908" spans="1:5" x14ac:dyDescent="0.25">
      <c r="A2908" s="7">
        <f>IF(E2908=1,
      SUM($E$2:E2908)-1,
"")</f>
        <v>2905</v>
      </c>
      <c r="B2908" s="6" t="s">
        <v>454</v>
      </c>
      <c r="C2908" s="14">
        <v>45114</v>
      </c>
      <c r="D2908" s="15">
        <v>120.35</v>
      </c>
      <c r="E2908" s="7">
        <f t="shared" si="45"/>
        <v>1</v>
      </c>
    </row>
    <row r="2909" spans="1:5" x14ac:dyDescent="0.25">
      <c r="A2909" s="7">
        <f>IF(E2909=1,
      SUM($E$2:E2909)-1,
"")</f>
        <v>2906</v>
      </c>
      <c r="B2909" s="6" t="s">
        <v>945</v>
      </c>
      <c r="C2909" s="14">
        <v>45017</v>
      </c>
      <c r="D2909" s="15">
        <v>88.87</v>
      </c>
      <c r="E2909" s="7">
        <f t="shared" si="45"/>
        <v>1</v>
      </c>
    </row>
    <row r="2910" spans="1:5" x14ac:dyDescent="0.25">
      <c r="A2910" s="7">
        <f>IF(E2910=1,
      SUM($E$2:E2910)-1,
"")</f>
        <v>2907</v>
      </c>
      <c r="B2910" s="6" t="s">
        <v>462</v>
      </c>
      <c r="C2910" s="14">
        <v>45181</v>
      </c>
      <c r="D2910" s="15">
        <v>46.43</v>
      </c>
      <c r="E2910" s="7">
        <f t="shared" si="45"/>
        <v>1</v>
      </c>
    </row>
    <row r="2911" spans="1:5" x14ac:dyDescent="0.25">
      <c r="A2911" s="7">
        <f>IF(E2911=1,
      SUM($E$2:E2911)-1,
"")</f>
        <v>2908</v>
      </c>
      <c r="B2911" s="6" t="s">
        <v>386</v>
      </c>
      <c r="C2911" s="14">
        <v>45069</v>
      </c>
      <c r="D2911" s="15">
        <v>100.41</v>
      </c>
      <c r="E2911" s="7">
        <f t="shared" si="45"/>
        <v>1</v>
      </c>
    </row>
    <row r="2912" spans="1:5" x14ac:dyDescent="0.25">
      <c r="A2912" s="7">
        <f>IF(E2912=1,
      SUM($E$2:E2912)-1,
"")</f>
        <v>2909</v>
      </c>
      <c r="B2912" s="6" t="s">
        <v>847</v>
      </c>
      <c r="C2912" s="14">
        <v>45079</v>
      </c>
      <c r="D2912" s="15">
        <v>139.49</v>
      </c>
      <c r="E2912" s="7">
        <f t="shared" si="45"/>
        <v>1</v>
      </c>
    </row>
    <row r="2913" spans="1:5" x14ac:dyDescent="0.25">
      <c r="A2913" s="7">
        <f>IF(E2913=1,
      SUM($E$2:E2913)-1,
"")</f>
        <v>2910</v>
      </c>
      <c r="B2913" s="6" t="s">
        <v>535</v>
      </c>
      <c r="C2913" s="14">
        <v>45234</v>
      </c>
      <c r="D2913" s="15">
        <v>126.49</v>
      </c>
      <c r="E2913" s="7">
        <f t="shared" si="45"/>
        <v>1</v>
      </c>
    </row>
    <row r="2914" spans="1:5" x14ac:dyDescent="0.25">
      <c r="A2914" s="7">
        <f>IF(E2914=1,
      SUM($E$2:E2914)-1,
"")</f>
        <v>2911</v>
      </c>
      <c r="B2914" s="6" t="s">
        <v>562</v>
      </c>
      <c r="C2914" s="14">
        <v>44966</v>
      </c>
      <c r="D2914" s="15">
        <v>97.71</v>
      </c>
      <c r="E2914" s="7">
        <f t="shared" si="45"/>
        <v>1</v>
      </c>
    </row>
    <row r="2915" spans="1:5" x14ac:dyDescent="0.25">
      <c r="A2915" s="7">
        <f>IF(E2915=1,
      SUM($E$2:E2915)-1,
"")</f>
        <v>2912</v>
      </c>
      <c r="B2915" s="6" t="s">
        <v>451</v>
      </c>
      <c r="C2915" s="14">
        <v>45184</v>
      </c>
      <c r="D2915" s="15">
        <v>133.77000000000001</v>
      </c>
      <c r="E2915" s="7">
        <f t="shared" si="45"/>
        <v>1</v>
      </c>
    </row>
    <row r="2916" spans="1:5" x14ac:dyDescent="0.25">
      <c r="A2916" s="7">
        <f>IF(E2916=1,
      SUM($E$2:E2916)-1,
"")</f>
        <v>2913</v>
      </c>
      <c r="B2916" s="6" t="s">
        <v>1002</v>
      </c>
      <c r="C2916" s="14">
        <v>45136</v>
      </c>
      <c r="D2916" s="15">
        <v>105.77</v>
      </c>
      <c r="E2916" s="7">
        <f t="shared" si="45"/>
        <v>1</v>
      </c>
    </row>
    <row r="2917" spans="1:5" x14ac:dyDescent="0.25">
      <c r="A2917" s="7">
        <f>IF(E2917=1,
      SUM($E$2:E2917)-1,
"")</f>
        <v>2914</v>
      </c>
      <c r="B2917" s="6" t="s">
        <v>141</v>
      </c>
      <c r="C2917" s="14">
        <v>45102</v>
      </c>
      <c r="D2917" s="15">
        <v>129.44</v>
      </c>
      <c r="E2917" s="7">
        <f t="shared" si="45"/>
        <v>1</v>
      </c>
    </row>
    <row r="2918" spans="1:5" x14ac:dyDescent="0.25">
      <c r="A2918" s="7">
        <f>IF(E2918=1,
      SUM($E$2:E2918)-1,
"")</f>
        <v>2915</v>
      </c>
      <c r="B2918" s="6" t="s">
        <v>764</v>
      </c>
      <c r="C2918" s="14">
        <v>45093</v>
      </c>
      <c r="D2918" s="15">
        <v>50.15</v>
      </c>
      <c r="E2918" s="7">
        <f t="shared" si="45"/>
        <v>1</v>
      </c>
    </row>
    <row r="2919" spans="1:5" x14ac:dyDescent="0.25">
      <c r="A2919" s="7">
        <f>IF(E2919=1,
      SUM($E$2:E2919)-1,
"")</f>
        <v>2916</v>
      </c>
      <c r="B2919" s="6" t="s">
        <v>703</v>
      </c>
      <c r="C2919" s="14">
        <v>44981</v>
      </c>
      <c r="D2919" s="15">
        <v>62.51</v>
      </c>
      <c r="E2919" s="7">
        <f t="shared" si="45"/>
        <v>1</v>
      </c>
    </row>
    <row r="2920" spans="1:5" x14ac:dyDescent="0.25">
      <c r="A2920" s="7">
        <f>IF(E2920=1,
      SUM($E$2:E2920)-1,
"")</f>
        <v>2917</v>
      </c>
      <c r="B2920" s="6" t="s">
        <v>751</v>
      </c>
      <c r="C2920" s="14">
        <v>45097</v>
      </c>
      <c r="D2920" s="15">
        <v>121.87</v>
      </c>
      <c r="E2920" s="7">
        <f t="shared" si="45"/>
        <v>1</v>
      </c>
    </row>
    <row r="2921" spans="1:5" x14ac:dyDescent="0.25">
      <c r="A2921" s="7">
        <f>IF(E2921=1,
      SUM($E$2:E2921)-1,
"")</f>
        <v>2918</v>
      </c>
      <c r="B2921" s="6" t="s">
        <v>880</v>
      </c>
      <c r="C2921" s="14">
        <v>45258</v>
      </c>
      <c r="D2921" s="15">
        <v>146.18</v>
      </c>
      <c r="E2921" s="7">
        <f t="shared" si="45"/>
        <v>1</v>
      </c>
    </row>
    <row r="2922" spans="1:5" x14ac:dyDescent="0.25">
      <c r="A2922" s="7">
        <f>IF(E2922=1,
      SUM($E$2:E2922)-1,
"")</f>
        <v>2919</v>
      </c>
      <c r="B2922" s="6" t="s">
        <v>174</v>
      </c>
      <c r="C2922" s="14">
        <v>45047</v>
      </c>
      <c r="D2922" s="15">
        <v>112.52</v>
      </c>
      <c r="E2922" s="7">
        <f t="shared" si="45"/>
        <v>1</v>
      </c>
    </row>
    <row r="2923" spans="1:5" x14ac:dyDescent="0.25">
      <c r="A2923" s="7">
        <f>IF(E2923=1,
      SUM($E$2:E2923)-1,
"")</f>
        <v>2920</v>
      </c>
      <c r="B2923" s="6" t="s">
        <v>686</v>
      </c>
      <c r="C2923" s="14">
        <v>45056</v>
      </c>
      <c r="D2923" s="15">
        <v>85.08</v>
      </c>
      <c r="E2923" s="7">
        <f t="shared" si="45"/>
        <v>1</v>
      </c>
    </row>
    <row r="2924" spans="1:5" x14ac:dyDescent="0.25">
      <c r="A2924" s="7">
        <f>IF(E2924=1,
      SUM($E$2:E2924)-1,
"")</f>
        <v>2921</v>
      </c>
      <c r="B2924" s="6" t="s">
        <v>950</v>
      </c>
      <c r="C2924" s="14">
        <v>45189</v>
      </c>
      <c r="D2924" s="15">
        <v>74.48</v>
      </c>
      <c r="E2924" s="7">
        <f t="shared" si="45"/>
        <v>1</v>
      </c>
    </row>
    <row r="2925" spans="1:5" x14ac:dyDescent="0.25">
      <c r="A2925" s="7">
        <f>IF(E2925=1,
      SUM($E$2:E2925)-1,
"")</f>
        <v>2922</v>
      </c>
      <c r="B2925" s="6" t="s">
        <v>987</v>
      </c>
      <c r="C2925" s="14">
        <v>45286</v>
      </c>
      <c r="D2925" s="15">
        <v>90.54</v>
      </c>
      <c r="E2925" s="7">
        <f t="shared" si="45"/>
        <v>1</v>
      </c>
    </row>
    <row r="2926" spans="1:5" x14ac:dyDescent="0.25">
      <c r="A2926" s="7">
        <f>IF(E2926=1,
      SUM($E$2:E2926)-1,
"")</f>
        <v>2923</v>
      </c>
      <c r="B2926" s="6" t="s">
        <v>900</v>
      </c>
      <c r="C2926" s="14">
        <v>45010</v>
      </c>
      <c r="D2926" s="15">
        <v>136.41</v>
      </c>
      <c r="E2926" s="7">
        <f t="shared" si="45"/>
        <v>1</v>
      </c>
    </row>
    <row r="2927" spans="1:5" x14ac:dyDescent="0.25">
      <c r="A2927" s="7">
        <f>IF(E2927=1,
      SUM($E$2:E2927)-1,
"")</f>
        <v>2924</v>
      </c>
      <c r="B2927" s="6" t="s">
        <v>1003</v>
      </c>
      <c r="C2927" s="14">
        <v>45292</v>
      </c>
      <c r="D2927" s="15">
        <v>89.72</v>
      </c>
      <c r="E2927" s="7">
        <f t="shared" si="45"/>
        <v>1</v>
      </c>
    </row>
    <row r="2928" spans="1:5" x14ac:dyDescent="0.25">
      <c r="A2928" s="7">
        <f>IF(E2928=1,
      SUM($E$2:E2928)-1,
"")</f>
        <v>2925</v>
      </c>
      <c r="B2928" s="6" t="s">
        <v>531</v>
      </c>
      <c r="C2928" s="14">
        <v>45074</v>
      </c>
      <c r="D2928" s="15">
        <v>131.43</v>
      </c>
      <c r="E2928" s="7">
        <f t="shared" si="45"/>
        <v>1</v>
      </c>
    </row>
    <row r="2929" spans="1:5" x14ac:dyDescent="0.25">
      <c r="A2929" s="7">
        <f>IF(E2929=1,
      SUM($E$2:E2929)-1,
"")</f>
        <v>2926</v>
      </c>
      <c r="B2929" s="6" t="s">
        <v>482</v>
      </c>
      <c r="C2929" s="14">
        <v>45063</v>
      </c>
      <c r="D2929" s="15">
        <v>119.58</v>
      </c>
      <c r="E2929" s="7">
        <f t="shared" si="45"/>
        <v>1</v>
      </c>
    </row>
    <row r="2930" spans="1:5" x14ac:dyDescent="0.25">
      <c r="A2930" s="7">
        <f>IF(E2930=1,
      SUM($E$2:E2930)-1,
"")</f>
        <v>2927</v>
      </c>
      <c r="B2930" s="6" t="s">
        <v>565</v>
      </c>
      <c r="C2930" s="14">
        <v>45121</v>
      </c>
      <c r="D2930" s="15">
        <v>151.41999999999999</v>
      </c>
      <c r="E2930" s="7">
        <f t="shared" si="45"/>
        <v>1</v>
      </c>
    </row>
    <row r="2931" spans="1:5" x14ac:dyDescent="0.25">
      <c r="A2931" s="7">
        <f>IF(E2931=1,
      SUM($E$2:E2931)-1,
"")</f>
        <v>2928</v>
      </c>
      <c r="B2931" s="6" t="s">
        <v>617</v>
      </c>
      <c r="C2931" s="14">
        <v>45206</v>
      </c>
      <c r="D2931" s="15">
        <v>106.01</v>
      </c>
      <c r="E2931" s="7">
        <f t="shared" si="45"/>
        <v>1</v>
      </c>
    </row>
    <row r="2932" spans="1:5" x14ac:dyDescent="0.25">
      <c r="A2932" s="7">
        <f>IF(E2932=1,
      SUM($E$2:E2932)-1,
"")</f>
        <v>2929</v>
      </c>
      <c r="B2932" s="6" t="s">
        <v>724</v>
      </c>
      <c r="C2932" s="14">
        <v>45252</v>
      </c>
      <c r="D2932" s="15">
        <v>98.51</v>
      </c>
      <c r="E2932" s="7">
        <f t="shared" si="45"/>
        <v>1</v>
      </c>
    </row>
    <row r="2933" spans="1:5" x14ac:dyDescent="0.25">
      <c r="A2933" s="7">
        <f>IF(E2933=1,
      SUM($E$2:E2933)-1,
"")</f>
        <v>2930</v>
      </c>
      <c r="B2933" s="6" t="s">
        <v>371</v>
      </c>
      <c r="C2933" s="14">
        <v>45170</v>
      </c>
      <c r="D2933" s="15">
        <v>132.93</v>
      </c>
      <c r="E2933" s="7">
        <f t="shared" si="45"/>
        <v>1</v>
      </c>
    </row>
    <row r="2934" spans="1:5" x14ac:dyDescent="0.25">
      <c r="A2934" s="7">
        <f>IF(E2934=1,
      SUM($E$2:E2934)-1,
"")</f>
        <v>2931</v>
      </c>
      <c r="B2934" s="6" t="s">
        <v>934</v>
      </c>
      <c r="C2934" s="14">
        <v>44962</v>
      </c>
      <c r="D2934" s="15">
        <v>71.94</v>
      </c>
      <c r="E2934" s="7">
        <f t="shared" si="45"/>
        <v>1</v>
      </c>
    </row>
    <row r="2935" spans="1:5" x14ac:dyDescent="0.25">
      <c r="A2935" s="7">
        <f>IF(E2935=1,
      SUM($E$2:E2935)-1,
"")</f>
        <v>2932</v>
      </c>
      <c r="B2935" s="6" t="s">
        <v>296</v>
      </c>
      <c r="C2935" s="14">
        <v>44995</v>
      </c>
      <c r="D2935" s="15">
        <v>86.68</v>
      </c>
      <c r="E2935" s="7">
        <f t="shared" si="45"/>
        <v>1</v>
      </c>
    </row>
    <row r="2936" spans="1:5" x14ac:dyDescent="0.25">
      <c r="A2936" s="7">
        <f>IF(E2936=1,
      SUM($E$2:E2936)-1,
"")</f>
        <v>2933</v>
      </c>
      <c r="B2936" s="6" t="s">
        <v>794</v>
      </c>
      <c r="C2936" s="14">
        <v>45115</v>
      </c>
      <c r="D2936" s="15">
        <v>49.6</v>
      </c>
      <c r="E2936" s="7">
        <f t="shared" si="45"/>
        <v>1</v>
      </c>
    </row>
    <row r="2937" spans="1:5" x14ac:dyDescent="0.25">
      <c r="A2937" s="7">
        <f>IF(E2937=1,
      SUM($E$2:E2937)-1,
"")</f>
        <v>2934</v>
      </c>
      <c r="B2937" s="6" t="s">
        <v>676</v>
      </c>
      <c r="C2937" s="14">
        <v>45230</v>
      </c>
      <c r="D2937" s="15">
        <v>62.37</v>
      </c>
      <c r="E2937" s="7">
        <f t="shared" si="45"/>
        <v>1</v>
      </c>
    </row>
    <row r="2938" spans="1:5" x14ac:dyDescent="0.25">
      <c r="A2938" s="7">
        <f>IF(E2938=1,
      SUM($E$2:E2938)-1,
"")</f>
        <v>2935</v>
      </c>
      <c r="B2938" s="6" t="s">
        <v>120</v>
      </c>
      <c r="C2938" s="14">
        <v>45128</v>
      </c>
      <c r="D2938" s="15">
        <v>157.69999999999999</v>
      </c>
      <c r="E2938" s="7">
        <f t="shared" si="45"/>
        <v>1</v>
      </c>
    </row>
    <row r="2939" spans="1:5" x14ac:dyDescent="0.25">
      <c r="A2939" s="7">
        <f>IF(E2939=1,
      SUM($E$2:E2939)-1,
"")</f>
        <v>2936</v>
      </c>
      <c r="B2939" s="6" t="s">
        <v>563</v>
      </c>
      <c r="C2939" s="14">
        <v>45106</v>
      </c>
      <c r="D2939" s="15">
        <v>120.77</v>
      </c>
      <c r="E2939" s="7">
        <f t="shared" si="45"/>
        <v>1</v>
      </c>
    </row>
    <row r="2940" spans="1:5" x14ac:dyDescent="0.25">
      <c r="A2940" s="7">
        <f>IF(E2940=1,
      SUM($E$2:E2940)-1,
"")</f>
        <v>2937</v>
      </c>
      <c r="B2940" s="6" t="s">
        <v>883</v>
      </c>
      <c r="C2940" s="14">
        <v>45084</v>
      </c>
      <c r="D2940" s="15">
        <v>58.88</v>
      </c>
      <c r="E2940" s="7">
        <f t="shared" si="45"/>
        <v>1</v>
      </c>
    </row>
    <row r="2941" spans="1:5" x14ac:dyDescent="0.25">
      <c r="A2941" s="7">
        <f>IF(E2941=1,
      SUM($E$2:E2941)-1,
"")</f>
        <v>2938</v>
      </c>
      <c r="B2941" s="6" t="s">
        <v>1004</v>
      </c>
      <c r="C2941" s="14">
        <v>45066</v>
      </c>
      <c r="D2941" s="15">
        <v>135.84</v>
      </c>
      <c r="E2941" s="7">
        <f t="shared" si="45"/>
        <v>1</v>
      </c>
    </row>
    <row r="2942" spans="1:5" x14ac:dyDescent="0.25">
      <c r="A2942" s="7">
        <f>IF(E2942=1,
      SUM($E$2:E2942)-1,
"")</f>
        <v>2939</v>
      </c>
      <c r="B2942" s="6" t="s">
        <v>342</v>
      </c>
      <c r="C2942" s="14">
        <v>45245</v>
      </c>
      <c r="D2942" s="15">
        <v>78.89</v>
      </c>
      <c r="E2942" s="7">
        <f t="shared" si="45"/>
        <v>1</v>
      </c>
    </row>
    <row r="2943" spans="1:5" x14ac:dyDescent="0.25">
      <c r="A2943" s="7">
        <f>IF(E2943=1,
      SUM($E$2:E2943)-1,
"")</f>
        <v>2940</v>
      </c>
      <c r="B2943" s="6" t="s">
        <v>846</v>
      </c>
      <c r="C2943" s="14">
        <v>45069</v>
      </c>
      <c r="D2943" s="15">
        <v>119.23</v>
      </c>
      <c r="E2943" s="7">
        <f t="shared" si="45"/>
        <v>1</v>
      </c>
    </row>
    <row r="2944" spans="1:5" x14ac:dyDescent="0.25">
      <c r="A2944" s="7">
        <f>IF(E2944=1,
      SUM($E$2:E2944)-1,
"")</f>
        <v>2941</v>
      </c>
      <c r="B2944" s="6" t="s">
        <v>912</v>
      </c>
      <c r="C2944" s="14">
        <v>45290</v>
      </c>
      <c r="D2944" s="15">
        <v>118.78</v>
      </c>
      <c r="E2944" s="7">
        <f t="shared" si="45"/>
        <v>1</v>
      </c>
    </row>
    <row r="2945" spans="1:5" x14ac:dyDescent="0.25">
      <c r="A2945" s="7">
        <f>IF(E2945=1,
      SUM($E$2:E2945)-1,
"")</f>
        <v>2942</v>
      </c>
      <c r="B2945" s="6" t="s">
        <v>892</v>
      </c>
      <c r="C2945" s="14">
        <v>45118</v>
      </c>
      <c r="D2945" s="15">
        <v>149.94999999999999</v>
      </c>
      <c r="E2945" s="7">
        <f t="shared" si="45"/>
        <v>1</v>
      </c>
    </row>
    <row r="2946" spans="1:5" x14ac:dyDescent="0.25">
      <c r="A2946" s="7">
        <f>IF(E2946=1,
      SUM($E$2:E2946)-1,
"")</f>
        <v>2943</v>
      </c>
      <c r="B2946" s="6" t="s">
        <v>608</v>
      </c>
      <c r="C2946" s="14">
        <v>45194</v>
      </c>
      <c r="D2946" s="15">
        <v>83.87</v>
      </c>
      <c r="E2946" s="7">
        <f t="shared" ref="E2946:E3009" si="46">IF(D2946&gt;0,1,0)</f>
        <v>1</v>
      </c>
    </row>
    <row r="2947" spans="1:5" x14ac:dyDescent="0.25">
      <c r="A2947" s="7">
        <f>IF(E2947=1,
      SUM($E$2:E2947)-1,
"")</f>
        <v>2944</v>
      </c>
      <c r="B2947" s="6" t="s">
        <v>557</v>
      </c>
      <c r="C2947" s="14">
        <v>45177</v>
      </c>
      <c r="D2947" s="15">
        <v>77.790000000000006</v>
      </c>
      <c r="E2947" s="7">
        <f t="shared" si="46"/>
        <v>1</v>
      </c>
    </row>
    <row r="2948" spans="1:5" x14ac:dyDescent="0.25">
      <c r="A2948" s="7">
        <f>IF(E2948=1,
      SUM($E$2:E2948)-1,
"")</f>
        <v>2945</v>
      </c>
      <c r="B2948" s="6" t="s">
        <v>81</v>
      </c>
      <c r="C2948" s="14">
        <v>45023</v>
      </c>
      <c r="D2948" s="15">
        <v>19.329999999999998</v>
      </c>
      <c r="E2948" s="7">
        <f t="shared" si="46"/>
        <v>1</v>
      </c>
    </row>
    <row r="2949" spans="1:5" x14ac:dyDescent="0.25">
      <c r="A2949" s="7">
        <f>IF(E2949=1,
      SUM($E$2:E2949)-1,
"")</f>
        <v>2946</v>
      </c>
      <c r="B2949" s="6" t="s">
        <v>225</v>
      </c>
      <c r="C2949" s="14">
        <v>45040</v>
      </c>
      <c r="D2949" s="15">
        <v>96.35</v>
      </c>
      <c r="E2949" s="7">
        <f t="shared" si="46"/>
        <v>1</v>
      </c>
    </row>
    <row r="2950" spans="1:5" x14ac:dyDescent="0.25">
      <c r="A2950" s="7">
        <f>IF(E2950=1,
      SUM($E$2:E2950)-1,
"")</f>
        <v>2947</v>
      </c>
      <c r="B2950" s="6" t="s">
        <v>1005</v>
      </c>
      <c r="C2950" s="14">
        <v>44976</v>
      </c>
      <c r="D2950" s="15">
        <v>121.76</v>
      </c>
      <c r="E2950" s="7">
        <f t="shared" si="46"/>
        <v>1</v>
      </c>
    </row>
    <row r="2951" spans="1:5" x14ac:dyDescent="0.25">
      <c r="A2951" s="7">
        <f>IF(E2951=1,
      SUM($E$2:E2951)-1,
"")</f>
        <v>2948</v>
      </c>
      <c r="B2951" s="6" t="s">
        <v>553</v>
      </c>
      <c r="C2951" s="14">
        <v>45198</v>
      </c>
      <c r="D2951" s="15">
        <v>125.86</v>
      </c>
      <c r="E2951" s="7">
        <f t="shared" si="46"/>
        <v>1</v>
      </c>
    </row>
    <row r="2952" spans="1:5" x14ac:dyDescent="0.25">
      <c r="A2952" s="7">
        <f>IF(E2952=1,
      SUM($E$2:E2952)-1,
"")</f>
        <v>2949</v>
      </c>
      <c r="B2952" s="6" t="s">
        <v>658</v>
      </c>
      <c r="C2952" s="14">
        <v>45020</v>
      </c>
      <c r="D2952" s="15">
        <v>137.57</v>
      </c>
      <c r="E2952" s="7">
        <f t="shared" si="46"/>
        <v>1</v>
      </c>
    </row>
    <row r="2953" spans="1:5" x14ac:dyDescent="0.25">
      <c r="A2953" s="7">
        <f>IF(E2953=1,
      SUM($E$2:E2953)-1,
"")</f>
        <v>2950</v>
      </c>
      <c r="B2953" s="6" t="s">
        <v>510</v>
      </c>
      <c r="C2953" s="14">
        <v>45269</v>
      </c>
      <c r="D2953" s="15">
        <v>108.69</v>
      </c>
      <c r="E2953" s="7">
        <f t="shared" si="46"/>
        <v>1</v>
      </c>
    </row>
    <row r="2954" spans="1:5" x14ac:dyDescent="0.25">
      <c r="A2954" s="7">
        <f>IF(E2954=1,
      SUM($E$2:E2954)-1,
"")</f>
        <v>2951</v>
      </c>
      <c r="B2954" s="6" t="s">
        <v>340</v>
      </c>
      <c r="C2954" s="14">
        <v>45177</v>
      </c>
      <c r="D2954" s="15">
        <v>115.14</v>
      </c>
      <c r="E2954" s="7">
        <f t="shared" si="46"/>
        <v>1</v>
      </c>
    </row>
    <row r="2955" spans="1:5" x14ac:dyDescent="0.25">
      <c r="A2955" s="7">
        <f>IF(E2955=1,
      SUM($E$2:E2955)-1,
"")</f>
        <v>2952</v>
      </c>
      <c r="B2955" s="6" t="s">
        <v>937</v>
      </c>
      <c r="C2955" s="14">
        <v>45142</v>
      </c>
      <c r="D2955" s="15">
        <v>102.04</v>
      </c>
      <c r="E2955" s="7">
        <f t="shared" si="46"/>
        <v>1</v>
      </c>
    </row>
    <row r="2956" spans="1:5" x14ac:dyDescent="0.25">
      <c r="A2956" s="7">
        <f>IF(E2956=1,
      SUM($E$2:E2956)-1,
"")</f>
        <v>2953</v>
      </c>
      <c r="B2956" s="6" t="s">
        <v>443</v>
      </c>
      <c r="C2956" s="14">
        <v>44955</v>
      </c>
      <c r="D2956" s="15">
        <v>121.22</v>
      </c>
      <c r="E2956" s="7">
        <f t="shared" si="46"/>
        <v>1</v>
      </c>
    </row>
    <row r="2957" spans="1:5" x14ac:dyDescent="0.25">
      <c r="A2957" s="7">
        <f>IF(E2957=1,
      SUM($E$2:E2957)-1,
"")</f>
        <v>2954</v>
      </c>
      <c r="B2957" s="6" t="s">
        <v>641</v>
      </c>
      <c r="C2957" s="14">
        <v>45243</v>
      </c>
      <c r="D2957" s="15">
        <v>71.97</v>
      </c>
      <c r="E2957" s="7">
        <f t="shared" si="46"/>
        <v>1</v>
      </c>
    </row>
    <row r="2958" spans="1:5" x14ac:dyDescent="0.25">
      <c r="A2958" s="7">
        <f>IF(E2958=1,
      SUM($E$2:E2958)-1,
"")</f>
        <v>2955</v>
      </c>
      <c r="B2958" s="6" t="s">
        <v>793</v>
      </c>
      <c r="C2958" s="14">
        <v>45087</v>
      </c>
      <c r="D2958" s="15">
        <v>57.75</v>
      </c>
      <c r="E2958" s="7">
        <f t="shared" si="46"/>
        <v>1</v>
      </c>
    </row>
    <row r="2959" spans="1:5" x14ac:dyDescent="0.25">
      <c r="A2959" s="7">
        <f>IF(E2959=1,
      SUM($E$2:E2959)-1,
"")</f>
        <v>2956</v>
      </c>
      <c r="B2959" s="6" t="s">
        <v>481</v>
      </c>
      <c r="C2959" s="14">
        <v>44958</v>
      </c>
      <c r="D2959" s="15">
        <v>75.14</v>
      </c>
      <c r="E2959" s="7">
        <f t="shared" si="46"/>
        <v>1</v>
      </c>
    </row>
    <row r="2960" spans="1:5" x14ac:dyDescent="0.25">
      <c r="A2960" s="7">
        <f>IF(E2960=1,
      SUM($E$2:E2960)-1,
"")</f>
        <v>2957</v>
      </c>
      <c r="B2960" s="6" t="s">
        <v>120</v>
      </c>
      <c r="C2960" s="14">
        <v>45214</v>
      </c>
      <c r="D2960" s="15">
        <v>106.41</v>
      </c>
      <c r="E2960" s="7">
        <f t="shared" si="46"/>
        <v>1</v>
      </c>
    </row>
    <row r="2961" spans="1:5" x14ac:dyDescent="0.25">
      <c r="A2961" s="7">
        <f>IF(E2961=1,
      SUM($E$2:E2961)-1,
"")</f>
        <v>2958</v>
      </c>
      <c r="B2961" s="6" t="s">
        <v>830</v>
      </c>
      <c r="C2961" s="14">
        <v>45223</v>
      </c>
      <c r="D2961" s="15">
        <v>60.99</v>
      </c>
      <c r="E2961" s="7">
        <f t="shared" si="46"/>
        <v>1</v>
      </c>
    </row>
    <row r="2962" spans="1:5" x14ac:dyDescent="0.25">
      <c r="A2962" s="7">
        <f>IF(E2962=1,
      SUM($E$2:E2962)-1,
"")</f>
        <v>2959</v>
      </c>
      <c r="B2962" s="6" t="s">
        <v>745</v>
      </c>
      <c r="C2962" s="14">
        <v>45266</v>
      </c>
      <c r="D2962" s="15">
        <v>81</v>
      </c>
      <c r="E2962" s="7">
        <f t="shared" si="46"/>
        <v>1</v>
      </c>
    </row>
    <row r="2963" spans="1:5" x14ac:dyDescent="0.25">
      <c r="A2963" s="7">
        <f>IF(E2963=1,
      SUM($E$2:E2963)-1,
"")</f>
        <v>2960</v>
      </c>
      <c r="B2963" s="6" t="s">
        <v>837</v>
      </c>
      <c r="C2963" s="14">
        <v>45022</v>
      </c>
      <c r="D2963" s="15">
        <v>81.96</v>
      </c>
      <c r="E2963" s="7">
        <f t="shared" si="46"/>
        <v>1</v>
      </c>
    </row>
    <row r="2964" spans="1:5" x14ac:dyDescent="0.25">
      <c r="A2964" s="7">
        <f>IF(E2964=1,
      SUM($E$2:E2964)-1,
"")</f>
        <v>2961</v>
      </c>
      <c r="B2964" s="6" t="s">
        <v>408</v>
      </c>
      <c r="C2964" s="14">
        <v>45243</v>
      </c>
      <c r="D2964" s="15">
        <v>123.45</v>
      </c>
      <c r="E2964" s="7">
        <f t="shared" si="46"/>
        <v>1</v>
      </c>
    </row>
    <row r="2965" spans="1:5" x14ac:dyDescent="0.25">
      <c r="A2965" s="7">
        <f>IF(E2965=1,
      SUM($E$2:E2965)-1,
"")</f>
        <v>2962</v>
      </c>
      <c r="B2965" s="6" t="s">
        <v>504</v>
      </c>
      <c r="C2965" s="14">
        <v>45001</v>
      </c>
      <c r="D2965" s="15">
        <v>119.8</v>
      </c>
      <c r="E2965" s="7">
        <f t="shared" si="46"/>
        <v>1</v>
      </c>
    </row>
    <row r="2966" spans="1:5" x14ac:dyDescent="0.25">
      <c r="A2966" s="7">
        <f>IF(E2966=1,
      SUM($E$2:E2966)-1,
"")</f>
        <v>2963</v>
      </c>
      <c r="B2966" s="6" t="s">
        <v>517</v>
      </c>
      <c r="C2966" s="14">
        <v>45046</v>
      </c>
      <c r="D2966" s="15">
        <v>102.11</v>
      </c>
      <c r="E2966" s="7">
        <f t="shared" si="46"/>
        <v>1</v>
      </c>
    </row>
    <row r="2967" spans="1:5" x14ac:dyDescent="0.25">
      <c r="A2967" s="7">
        <f>IF(E2967=1,
      SUM($E$2:E2967)-1,
"")</f>
        <v>2964</v>
      </c>
      <c r="B2967" s="6" t="s">
        <v>810</v>
      </c>
      <c r="C2967" s="14">
        <v>45029</v>
      </c>
      <c r="D2967" s="15">
        <v>113.53</v>
      </c>
      <c r="E2967" s="7">
        <f t="shared" si="46"/>
        <v>1</v>
      </c>
    </row>
    <row r="2968" spans="1:5" x14ac:dyDescent="0.25">
      <c r="A2968" s="7">
        <f>IF(E2968=1,
      SUM($E$2:E2968)-1,
"")</f>
        <v>2965</v>
      </c>
      <c r="B2968" s="6" t="s">
        <v>944</v>
      </c>
      <c r="C2968" s="14">
        <v>45214</v>
      </c>
      <c r="D2968" s="15">
        <v>114.12</v>
      </c>
      <c r="E2968" s="7">
        <f t="shared" si="46"/>
        <v>1</v>
      </c>
    </row>
    <row r="2969" spans="1:5" x14ac:dyDescent="0.25">
      <c r="A2969" s="7">
        <f>IF(E2969=1,
      SUM($E$2:E2969)-1,
"")</f>
        <v>2966</v>
      </c>
      <c r="B2969" s="6" t="s">
        <v>939</v>
      </c>
      <c r="C2969" s="14">
        <v>45103</v>
      </c>
      <c r="D2969" s="15">
        <v>89.09</v>
      </c>
      <c r="E2969" s="7">
        <f t="shared" si="46"/>
        <v>1</v>
      </c>
    </row>
    <row r="2970" spans="1:5" x14ac:dyDescent="0.25">
      <c r="A2970" s="7">
        <f>IF(E2970=1,
      SUM($E$2:E2970)-1,
"")</f>
        <v>2967</v>
      </c>
      <c r="B2970" s="6" t="s">
        <v>89</v>
      </c>
      <c r="C2970" s="14">
        <v>45246</v>
      </c>
      <c r="D2970" s="15">
        <v>83.73</v>
      </c>
      <c r="E2970" s="7">
        <f t="shared" si="46"/>
        <v>1</v>
      </c>
    </row>
    <row r="2971" spans="1:5" x14ac:dyDescent="0.25">
      <c r="A2971" s="7">
        <f>IF(E2971=1,
      SUM($E$2:E2971)-1,
"")</f>
        <v>2968</v>
      </c>
      <c r="B2971" s="6" t="s">
        <v>256</v>
      </c>
      <c r="C2971" s="14">
        <v>44932</v>
      </c>
      <c r="D2971" s="15">
        <v>146.1</v>
      </c>
      <c r="E2971" s="7">
        <f t="shared" si="46"/>
        <v>1</v>
      </c>
    </row>
    <row r="2972" spans="1:5" x14ac:dyDescent="0.25">
      <c r="A2972" s="7">
        <f>IF(E2972=1,
      SUM($E$2:E2972)-1,
"")</f>
        <v>2969</v>
      </c>
      <c r="B2972" s="6" t="s">
        <v>898</v>
      </c>
      <c r="C2972" s="14">
        <v>44939</v>
      </c>
      <c r="D2972" s="15">
        <v>25.33</v>
      </c>
      <c r="E2972" s="7">
        <f t="shared" si="46"/>
        <v>1</v>
      </c>
    </row>
    <row r="2973" spans="1:5" x14ac:dyDescent="0.25">
      <c r="A2973" s="7">
        <f>IF(E2973=1,
      SUM($E$2:E2973)-1,
"")</f>
        <v>2970</v>
      </c>
      <c r="B2973" s="6" t="s">
        <v>967</v>
      </c>
      <c r="C2973" s="14">
        <v>44941</v>
      </c>
      <c r="D2973" s="15">
        <v>77.760000000000005</v>
      </c>
      <c r="E2973" s="7">
        <f t="shared" si="46"/>
        <v>1</v>
      </c>
    </row>
    <row r="2974" spans="1:5" x14ac:dyDescent="0.25">
      <c r="A2974" s="7">
        <f>IF(E2974=1,
      SUM($E$2:E2974)-1,
"")</f>
        <v>2971</v>
      </c>
      <c r="B2974" s="6" t="s">
        <v>824</v>
      </c>
      <c r="C2974" s="14">
        <v>45104</v>
      </c>
      <c r="D2974" s="15">
        <v>93.89</v>
      </c>
      <c r="E2974" s="7">
        <f t="shared" si="46"/>
        <v>1</v>
      </c>
    </row>
    <row r="2975" spans="1:5" x14ac:dyDescent="0.25">
      <c r="A2975" s="7">
        <f>IF(E2975=1,
      SUM($E$2:E2975)-1,
"")</f>
        <v>2972</v>
      </c>
      <c r="B2975" s="6" t="s">
        <v>516</v>
      </c>
      <c r="C2975" s="14">
        <v>45037</v>
      </c>
      <c r="D2975" s="15">
        <v>116.8</v>
      </c>
      <c r="E2975" s="7">
        <f t="shared" si="46"/>
        <v>1</v>
      </c>
    </row>
    <row r="2976" spans="1:5" x14ac:dyDescent="0.25">
      <c r="A2976" s="7">
        <f>IF(E2976=1,
      SUM($E$2:E2976)-1,
"")</f>
        <v>2973</v>
      </c>
      <c r="B2976" s="6" t="s">
        <v>861</v>
      </c>
      <c r="C2976" s="14">
        <v>45071</v>
      </c>
      <c r="D2976" s="15">
        <v>134.07</v>
      </c>
      <c r="E2976" s="7">
        <f t="shared" si="46"/>
        <v>1</v>
      </c>
    </row>
    <row r="2977" spans="1:5" x14ac:dyDescent="0.25">
      <c r="A2977" s="7">
        <f>IF(E2977=1,
      SUM($E$2:E2977)-1,
"")</f>
        <v>2974</v>
      </c>
      <c r="B2977" s="6" t="s">
        <v>813</v>
      </c>
      <c r="C2977" s="14">
        <v>45052</v>
      </c>
      <c r="D2977" s="15">
        <v>155.69999999999999</v>
      </c>
      <c r="E2977" s="7">
        <f t="shared" si="46"/>
        <v>1</v>
      </c>
    </row>
    <row r="2978" spans="1:5" x14ac:dyDescent="0.25">
      <c r="A2978" s="7">
        <f>IF(E2978=1,
      SUM($E$2:E2978)-1,
"")</f>
        <v>2975</v>
      </c>
      <c r="B2978" s="6" t="s">
        <v>202</v>
      </c>
      <c r="C2978" s="14">
        <v>45024</v>
      </c>
      <c r="D2978" s="15">
        <v>97.25</v>
      </c>
      <c r="E2978" s="7">
        <f t="shared" si="46"/>
        <v>1</v>
      </c>
    </row>
    <row r="2979" spans="1:5" x14ac:dyDescent="0.25">
      <c r="A2979" s="7">
        <f>IF(E2979=1,
      SUM($E$2:E2979)-1,
"")</f>
        <v>2976</v>
      </c>
      <c r="B2979" s="6" t="s">
        <v>338</v>
      </c>
      <c r="C2979" s="14">
        <v>45292</v>
      </c>
      <c r="D2979" s="15">
        <v>99.26</v>
      </c>
      <c r="E2979" s="7">
        <f t="shared" si="46"/>
        <v>1</v>
      </c>
    </row>
    <row r="2980" spans="1:5" x14ac:dyDescent="0.25">
      <c r="A2980" s="7">
        <f>IF(E2980=1,
      SUM($E$2:E2980)-1,
"")</f>
        <v>2977</v>
      </c>
      <c r="B2980" s="6" t="s">
        <v>161</v>
      </c>
      <c r="C2980" s="14">
        <v>45259</v>
      </c>
      <c r="D2980" s="15">
        <v>110.88</v>
      </c>
      <c r="E2980" s="7">
        <f t="shared" si="46"/>
        <v>1</v>
      </c>
    </row>
    <row r="2981" spans="1:5" x14ac:dyDescent="0.25">
      <c r="A2981" s="7">
        <f>IF(E2981=1,
      SUM($E$2:E2981)-1,
"")</f>
        <v>2978</v>
      </c>
      <c r="B2981" s="6" t="s">
        <v>387</v>
      </c>
      <c r="C2981" s="14">
        <v>45214</v>
      </c>
      <c r="D2981" s="15">
        <v>84.07</v>
      </c>
      <c r="E2981" s="7">
        <f t="shared" si="46"/>
        <v>1</v>
      </c>
    </row>
    <row r="2982" spans="1:5" x14ac:dyDescent="0.25">
      <c r="A2982" s="7">
        <f>IF(E2982=1,
      SUM($E$2:E2982)-1,
"")</f>
        <v>2979</v>
      </c>
      <c r="B2982" s="6" t="s">
        <v>411</v>
      </c>
      <c r="C2982" s="14">
        <v>45057</v>
      </c>
      <c r="D2982" s="15">
        <v>64.47</v>
      </c>
      <c r="E2982" s="7">
        <f t="shared" si="46"/>
        <v>1</v>
      </c>
    </row>
    <row r="2983" spans="1:5" x14ac:dyDescent="0.25">
      <c r="A2983" s="7">
        <f>IF(E2983=1,
      SUM($E$2:E2983)-1,
"")</f>
        <v>2980</v>
      </c>
      <c r="B2983" s="6" t="s">
        <v>621</v>
      </c>
      <c r="C2983" s="14">
        <v>44959</v>
      </c>
      <c r="D2983" s="15">
        <v>97.11</v>
      </c>
      <c r="E2983" s="7">
        <f t="shared" si="46"/>
        <v>1</v>
      </c>
    </row>
    <row r="2984" spans="1:5" x14ac:dyDescent="0.25">
      <c r="A2984" s="7">
        <f>IF(E2984=1,
      SUM($E$2:E2984)-1,
"")</f>
        <v>2981</v>
      </c>
      <c r="B2984" s="6" t="s">
        <v>158</v>
      </c>
      <c r="C2984" s="14">
        <v>44944</v>
      </c>
      <c r="D2984" s="15">
        <v>122.36</v>
      </c>
      <c r="E2984" s="7">
        <f t="shared" si="46"/>
        <v>1</v>
      </c>
    </row>
    <row r="2985" spans="1:5" x14ac:dyDescent="0.25">
      <c r="A2985" s="7">
        <f>IF(E2985=1,
      SUM($E$2:E2985)-1,
"")</f>
        <v>2982</v>
      </c>
      <c r="B2985" s="6" t="s">
        <v>749</v>
      </c>
      <c r="C2985" s="14">
        <v>45195</v>
      </c>
      <c r="D2985" s="15">
        <v>92.71</v>
      </c>
      <c r="E2985" s="7">
        <f t="shared" si="46"/>
        <v>1</v>
      </c>
    </row>
    <row r="2986" spans="1:5" x14ac:dyDescent="0.25">
      <c r="A2986" s="7">
        <f>IF(E2986=1,
      SUM($E$2:E2986)-1,
"")</f>
        <v>2983</v>
      </c>
      <c r="B2986" s="6" t="s">
        <v>959</v>
      </c>
      <c r="C2986" s="14">
        <v>45211</v>
      </c>
      <c r="D2986" s="15">
        <v>112.4</v>
      </c>
      <c r="E2986" s="7">
        <f t="shared" si="46"/>
        <v>1</v>
      </c>
    </row>
    <row r="2987" spans="1:5" x14ac:dyDescent="0.25">
      <c r="A2987" s="7">
        <f>IF(E2987=1,
      SUM($E$2:E2987)-1,
"")</f>
        <v>2984</v>
      </c>
      <c r="B2987" s="6" t="s">
        <v>875</v>
      </c>
      <c r="C2987" s="14">
        <v>45101</v>
      </c>
      <c r="D2987" s="15">
        <v>43.94</v>
      </c>
      <c r="E2987" s="7">
        <f t="shared" si="46"/>
        <v>1</v>
      </c>
    </row>
    <row r="2988" spans="1:5" x14ac:dyDescent="0.25">
      <c r="A2988" s="7">
        <f>IF(E2988=1,
      SUM($E$2:E2988)-1,
"")</f>
        <v>2985</v>
      </c>
      <c r="B2988" s="6" t="s">
        <v>568</v>
      </c>
      <c r="C2988" s="14">
        <v>45040</v>
      </c>
      <c r="D2988" s="15">
        <v>100.55</v>
      </c>
      <c r="E2988" s="7">
        <f t="shared" si="46"/>
        <v>1</v>
      </c>
    </row>
    <row r="2989" spans="1:5" x14ac:dyDescent="0.25">
      <c r="A2989" s="7">
        <f>IF(E2989=1,
      SUM($E$2:E2989)-1,
"")</f>
        <v>2986</v>
      </c>
      <c r="B2989" s="6" t="s">
        <v>955</v>
      </c>
      <c r="C2989" s="14">
        <v>45255</v>
      </c>
      <c r="D2989" s="15">
        <v>87.9</v>
      </c>
      <c r="E2989" s="7">
        <f t="shared" si="46"/>
        <v>1</v>
      </c>
    </row>
    <row r="2990" spans="1:5" x14ac:dyDescent="0.25">
      <c r="A2990" s="7">
        <f>IF(E2990=1,
      SUM($E$2:E2990)-1,
"")</f>
        <v>2987</v>
      </c>
      <c r="B2990" s="6" t="s">
        <v>495</v>
      </c>
      <c r="C2990" s="14">
        <v>45279</v>
      </c>
      <c r="D2990" s="15">
        <v>61.75</v>
      </c>
      <c r="E2990" s="7">
        <f t="shared" si="46"/>
        <v>1</v>
      </c>
    </row>
    <row r="2991" spans="1:5" x14ac:dyDescent="0.25">
      <c r="A2991" s="7">
        <f>IF(E2991=1,
      SUM($E$2:E2991)-1,
"")</f>
        <v>2988</v>
      </c>
      <c r="B2991" s="6" t="s">
        <v>87</v>
      </c>
      <c r="C2991" s="14">
        <v>44946</v>
      </c>
      <c r="D2991" s="15">
        <v>119.72</v>
      </c>
      <c r="E2991" s="7">
        <f t="shared" si="46"/>
        <v>1</v>
      </c>
    </row>
    <row r="2992" spans="1:5" x14ac:dyDescent="0.25">
      <c r="A2992" s="7">
        <f>IF(E2992=1,
      SUM($E$2:E2992)-1,
"")</f>
        <v>2989</v>
      </c>
      <c r="B2992" s="6" t="s">
        <v>366</v>
      </c>
      <c r="C2992" s="14">
        <v>44983</v>
      </c>
      <c r="D2992" s="15">
        <v>155.37</v>
      </c>
      <c r="E2992" s="7">
        <f t="shared" si="46"/>
        <v>1</v>
      </c>
    </row>
    <row r="2993" spans="1:5" x14ac:dyDescent="0.25">
      <c r="A2993" s="7">
        <f>IF(E2993=1,
      SUM($E$2:E2993)-1,
"")</f>
        <v>2990</v>
      </c>
      <c r="B2993" s="6" t="s">
        <v>1006</v>
      </c>
      <c r="C2993" s="14">
        <v>45084</v>
      </c>
      <c r="D2993" s="15">
        <v>129.69999999999999</v>
      </c>
      <c r="E2993" s="7">
        <f t="shared" si="46"/>
        <v>1</v>
      </c>
    </row>
    <row r="2994" spans="1:5" x14ac:dyDescent="0.25">
      <c r="A2994" s="7">
        <f>IF(E2994=1,
      SUM($E$2:E2994)-1,
"")</f>
        <v>2991</v>
      </c>
      <c r="B2994" s="6" t="s">
        <v>913</v>
      </c>
      <c r="C2994" s="14">
        <v>44936</v>
      </c>
      <c r="D2994" s="15">
        <v>131.61000000000001</v>
      </c>
      <c r="E2994" s="7">
        <f t="shared" si="46"/>
        <v>1</v>
      </c>
    </row>
    <row r="2995" spans="1:5" x14ac:dyDescent="0.25">
      <c r="A2995" s="7">
        <f>IF(E2995=1,
      SUM($E$2:E2995)-1,
"")</f>
        <v>2992</v>
      </c>
      <c r="B2995" s="6" t="s">
        <v>961</v>
      </c>
      <c r="C2995" s="14">
        <v>45204</v>
      </c>
      <c r="D2995" s="15">
        <v>121.37</v>
      </c>
      <c r="E2995" s="7">
        <f t="shared" si="46"/>
        <v>1</v>
      </c>
    </row>
    <row r="2996" spans="1:5" x14ac:dyDescent="0.25">
      <c r="A2996" s="7">
        <f>IF(E2996=1,
      SUM($E$2:E2996)-1,
"")</f>
        <v>2993</v>
      </c>
      <c r="B2996" s="6" t="s">
        <v>459</v>
      </c>
      <c r="C2996" s="14">
        <v>45237</v>
      </c>
      <c r="D2996" s="15">
        <v>119.39</v>
      </c>
      <c r="E2996" s="7">
        <f t="shared" si="46"/>
        <v>1</v>
      </c>
    </row>
    <row r="2997" spans="1:5" x14ac:dyDescent="0.25">
      <c r="A2997" s="7">
        <f>IF(E2997=1,
      SUM($E$2:E2997)-1,
"")</f>
        <v>2994</v>
      </c>
      <c r="B2997" s="6" t="s">
        <v>682</v>
      </c>
      <c r="C2997" s="14">
        <v>45199</v>
      </c>
      <c r="D2997" s="15">
        <v>46.02</v>
      </c>
      <c r="E2997" s="7">
        <f t="shared" si="46"/>
        <v>1</v>
      </c>
    </row>
    <row r="2998" spans="1:5" x14ac:dyDescent="0.25">
      <c r="A2998" s="7">
        <f>IF(E2998=1,
      SUM($E$2:E2998)-1,
"")</f>
        <v>2995</v>
      </c>
      <c r="B2998" s="6" t="s">
        <v>829</v>
      </c>
      <c r="C2998" s="14">
        <v>45200</v>
      </c>
      <c r="D2998" s="15">
        <v>96.16</v>
      </c>
      <c r="E2998" s="7">
        <f t="shared" si="46"/>
        <v>1</v>
      </c>
    </row>
    <row r="2999" spans="1:5" x14ac:dyDescent="0.25">
      <c r="A2999" s="7">
        <f>IF(E2999=1,
      SUM($E$2:E2999)-1,
"")</f>
        <v>2996</v>
      </c>
      <c r="B2999" s="6" t="s">
        <v>1007</v>
      </c>
      <c r="C2999" s="14">
        <v>44953</v>
      </c>
      <c r="D2999" s="15">
        <v>115.26</v>
      </c>
      <c r="E2999" s="7">
        <f t="shared" si="46"/>
        <v>1</v>
      </c>
    </row>
    <row r="3000" spans="1:5" x14ac:dyDescent="0.25">
      <c r="A3000" s="7">
        <f>IF(E3000=1,
      SUM($E$2:E3000)-1,
"")</f>
        <v>2997</v>
      </c>
      <c r="B3000" s="6" t="s">
        <v>480</v>
      </c>
      <c r="C3000" s="14">
        <v>45208</v>
      </c>
      <c r="D3000" s="15">
        <v>115.94</v>
      </c>
      <c r="E3000" s="7">
        <f t="shared" si="46"/>
        <v>1</v>
      </c>
    </row>
    <row r="3001" spans="1:5" x14ac:dyDescent="0.25">
      <c r="A3001" s="7">
        <f>IF(E3001=1,
      SUM($E$2:E3001)-1,
"")</f>
        <v>2998</v>
      </c>
      <c r="B3001" s="6" t="s">
        <v>762</v>
      </c>
      <c r="C3001" s="14">
        <v>45048</v>
      </c>
      <c r="D3001" s="15">
        <v>138.15</v>
      </c>
      <c r="E3001" s="7">
        <f t="shared" si="46"/>
        <v>1</v>
      </c>
    </row>
    <row r="3002" spans="1:5" x14ac:dyDescent="0.25">
      <c r="A3002" s="7">
        <f>IF(E3002=1,
      SUM($E$2:E3002)-1,
"")</f>
        <v>2999</v>
      </c>
      <c r="B3002" s="6" t="s">
        <v>255</v>
      </c>
      <c r="C3002" s="14">
        <v>45271</v>
      </c>
      <c r="D3002" s="15">
        <v>69.03</v>
      </c>
      <c r="E3002" s="7">
        <f t="shared" si="46"/>
        <v>1</v>
      </c>
    </row>
    <row r="3003" spans="1:5" x14ac:dyDescent="0.25">
      <c r="A3003" s="7">
        <f>IF(E3003=1,
      SUM($E$2:E3003)-1,
"")</f>
        <v>3000</v>
      </c>
      <c r="B3003" s="6" t="s">
        <v>990</v>
      </c>
      <c r="C3003" s="14">
        <v>45002</v>
      </c>
      <c r="D3003" s="15">
        <v>118.22</v>
      </c>
      <c r="E3003" s="7">
        <f t="shared" si="46"/>
        <v>1</v>
      </c>
    </row>
    <row r="3004" spans="1:5" x14ac:dyDescent="0.25">
      <c r="A3004" s="7">
        <f>IF(E3004=1,
      SUM($E$2:E3004)-1,
"")</f>
        <v>3001</v>
      </c>
      <c r="B3004" s="6" t="s">
        <v>600</v>
      </c>
      <c r="C3004" s="14">
        <v>45021</v>
      </c>
      <c r="D3004" s="15">
        <v>68.05</v>
      </c>
      <c r="E3004" s="7">
        <f t="shared" si="46"/>
        <v>1</v>
      </c>
    </row>
    <row r="3005" spans="1:5" x14ac:dyDescent="0.25">
      <c r="A3005" s="7">
        <f>IF(E3005=1,
      SUM($E$2:E3005)-1,
"")</f>
        <v>3002</v>
      </c>
      <c r="B3005" s="6" t="s">
        <v>364</v>
      </c>
      <c r="C3005" s="14">
        <v>44987</v>
      </c>
      <c r="D3005" s="15">
        <v>93.65</v>
      </c>
      <c r="E3005" s="7">
        <f t="shared" si="46"/>
        <v>1</v>
      </c>
    </row>
    <row r="3006" spans="1:5" x14ac:dyDescent="0.25">
      <c r="A3006" s="7">
        <f>IF(E3006=1,
      SUM($E$2:E3006)-1,
"")</f>
        <v>3003</v>
      </c>
      <c r="B3006" s="6" t="s">
        <v>312</v>
      </c>
      <c r="C3006" s="14">
        <v>45171</v>
      </c>
      <c r="D3006" s="15">
        <v>98.14</v>
      </c>
      <c r="E3006" s="7">
        <f t="shared" si="46"/>
        <v>1</v>
      </c>
    </row>
    <row r="3007" spans="1:5" x14ac:dyDescent="0.25">
      <c r="A3007" s="7">
        <f>IF(E3007=1,
      SUM($E$2:E3007)-1,
"")</f>
        <v>3004</v>
      </c>
      <c r="B3007" s="6" t="s">
        <v>263</v>
      </c>
      <c r="C3007" s="14">
        <v>45165</v>
      </c>
      <c r="D3007" s="15">
        <v>125.88</v>
      </c>
      <c r="E3007" s="7">
        <f t="shared" si="46"/>
        <v>1</v>
      </c>
    </row>
    <row r="3008" spans="1:5" x14ac:dyDescent="0.25">
      <c r="A3008" s="7">
        <f>IF(E3008=1,
      SUM($E$2:E3008)-1,
"")</f>
        <v>3005</v>
      </c>
      <c r="B3008" s="6" t="s">
        <v>863</v>
      </c>
      <c r="C3008" s="14">
        <v>45180</v>
      </c>
      <c r="D3008" s="15">
        <v>122.35</v>
      </c>
      <c r="E3008" s="7">
        <f t="shared" si="46"/>
        <v>1</v>
      </c>
    </row>
    <row r="3009" spans="1:5" x14ac:dyDescent="0.25">
      <c r="A3009" s="7">
        <f>IF(E3009=1,
      SUM($E$2:E3009)-1,
"")</f>
        <v>3006</v>
      </c>
      <c r="B3009" s="6" t="s">
        <v>882</v>
      </c>
      <c r="C3009" s="14">
        <v>45020</v>
      </c>
      <c r="D3009" s="15">
        <v>103.61</v>
      </c>
      <c r="E3009" s="7">
        <f t="shared" si="46"/>
        <v>1</v>
      </c>
    </row>
    <row r="3010" spans="1:5" x14ac:dyDescent="0.25">
      <c r="A3010" s="7">
        <f>IF(E3010=1,
      SUM($E$2:E3010)-1,
"")</f>
        <v>3007</v>
      </c>
      <c r="B3010" s="6" t="s">
        <v>661</v>
      </c>
      <c r="C3010" s="14">
        <v>44957</v>
      </c>
      <c r="D3010" s="15">
        <v>35.44</v>
      </c>
      <c r="E3010" s="7">
        <f t="shared" ref="E3010:E3073" si="47">IF(D3010&gt;0,1,0)</f>
        <v>1</v>
      </c>
    </row>
    <row r="3011" spans="1:5" x14ac:dyDescent="0.25">
      <c r="A3011" s="7">
        <f>IF(E3011=1,
      SUM($E$2:E3011)-1,
"")</f>
        <v>3008</v>
      </c>
      <c r="B3011" s="6" t="s">
        <v>884</v>
      </c>
      <c r="C3011" s="14">
        <v>45163</v>
      </c>
      <c r="D3011" s="15">
        <v>113.35</v>
      </c>
      <c r="E3011" s="7">
        <f t="shared" si="47"/>
        <v>1</v>
      </c>
    </row>
    <row r="3012" spans="1:5" x14ac:dyDescent="0.25">
      <c r="A3012" s="7">
        <f>IF(E3012=1,
      SUM($E$2:E3012)-1,
"")</f>
        <v>3009</v>
      </c>
      <c r="B3012" s="6" t="s">
        <v>163</v>
      </c>
      <c r="C3012" s="14">
        <v>45161</v>
      </c>
      <c r="D3012" s="15">
        <v>91.97</v>
      </c>
      <c r="E3012" s="7">
        <f t="shared" si="47"/>
        <v>1</v>
      </c>
    </row>
    <row r="3013" spans="1:5" x14ac:dyDescent="0.25">
      <c r="A3013" s="7">
        <f>IF(E3013=1,
      SUM($E$2:E3013)-1,
"")</f>
        <v>3010</v>
      </c>
      <c r="B3013" s="6" t="s">
        <v>281</v>
      </c>
      <c r="C3013" s="14">
        <v>45208</v>
      </c>
      <c r="D3013" s="15">
        <v>141.75</v>
      </c>
      <c r="E3013" s="7">
        <f t="shared" si="47"/>
        <v>1</v>
      </c>
    </row>
    <row r="3014" spans="1:5" x14ac:dyDescent="0.25">
      <c r="A3014" s="7">
        <f>IF(E3014=1,
      SUM($E$2:E3014)-1,
"")</f>
        <v>3011</v>
      </c>
      <c r="B3014" s="6" t="s">
        <v>426</v>
      </c>
      <c r="C3014" s="14">
        <v>44943</v>
      </c>
      <c r="D3014" s="15">
        <v>134.6</v>
      </c>
      <c r="E3014" s="7">
        <f t="shared" si="47"/>
        <v>1</v>
      </c>
    </row>
    <row r="3015" spans="1:5" x14ac:dyDescent="0.25">
      <c r="A3015" s="7">
        <f>IF(E3015=1,
      SUM($E$2:E3015)-1,
"")</f>
        <v>3012</v>
      </c>
      <c r="B3015" s="6" t="s">
        <v>579</v>
      </c>
      <c r="C3015" s="14">
        <v>45212</v>
      </c>
      <c r="D3015" s="15">
        <v>71.86</v>
      </c>
      <c r="E3015" s="7">
        <f t="shared" si="47"/>
        <v>1</v>
      </c>
    </row>
    <row r="3016" spans="1:5" x14ac:dyDescent="0.25">
      <c r="A3016" s="7">
        <f>IF(E3016=1,
      SUM($E$2:E3016)-1,
"")</f>
        <v>3013</v>
      </c>
      <c r="B3016" s="6" t="s">
        <v>469</v>
      </c>
      <c r="C3016" s="14">
        <v>44968</v>
      </c>
      <c r="D3016" s="15">
        <v>117.47</v>
      </c>
      <c r="E3016" s="7">
        <f t="shared" si="47"/>
        <v>1</v>
      </c>
    </row>
    <row r="3017" spans="1:5" x14ac:dyDescent="0.25">
      <c r="A3017" s="7">
        <f>IF(E3017=1,
      SUM($E$2:E3017)-1,
"")</f>
        <v>3014</v>
      </c>
      <c r="B3017" s="6" t="s">
        <v>1008</v>
      </c>
      <c r="C3017" s="14">
        <v>45224</v>
      </c>
      <c r="D3017" s="15">
        <v>118.06</v>
      </c>
      <c r="E3017" s="7">
        <f t="shared" si="47"/>
        <v>1</v>
      </c>
    </row>
    <row r="3018" spans="1:5" x14ac:dyDescent="0.25">
      <c r="A3018" s="7">
        <f>IF(E3018=1,
      SUM($E$2:E3018)-1,
"")</f>
        <v>3015</v>
      </c>
      <c r="B3018" s="6" t="s">
        <v>797</v>
      </c>
      <c r="C3018" s="14">
        <v>45145</v>
      </c>
      <c r="D3018" s="15">
        <v>115.88</v>
      </c>
      <c r="E3018" s="7">
        <f t="shared" si="47"/>
        <v>1</v>
      </c>
    </row>
    <row r="3019" spans="1:5" x14ac:dyDescent="0.25">
      <c r="A3019" s="7">
        <f>IF(E3019=1,
      SUM($E$2:E3019)-1,
"")</f>
        <v>3016</v>
      </c>
      <c r="B3019" s="6" t="s">
        <v>608</v>
      </c>
      <c r="C3019" s="14">
        <v>45277</v>
      </c>
      <c r="D3019" s="15">
        <v>111.99</v>
      </c>
      <c r="E3019" s="7">
        <f t="shared" si="47"/>
        <v>1</v>
      </c>
    </row>
    <row r="3020" spans="1:5" x14ac:dyDescent="0.25">
      <c r="A3020" s="7">
        <f>IF(E3020=1,
      SUM($E$2:E3020)-1,
"")</f>
        <v>3017</v>
      </c>
      <c r="B3020" s="6" t="s">
        <v>837</v>
      </c>
      <c r="C3020" s="14">
        <v>44986</v>
      </c>
      <c r="D3020" s="15">
        <v>118.9</v>
      </c>
      <c r="E3020" s="7">
        <f t="shared" si="47"/>
        <v>1</v>
      </c>
    </row>
    <row r="3021" spans="1:5" x14ac:dyDescent="0.25">
      <c r="A3021" s="7">
        <f>IF(E3021=1,
      SUM($E$2:E3021)-1,
"")</f>
        <v>3018</v>
      </c>
      <c r="B3021" s="6" t="s">
        <v>966</v>
      </c>
      <c r="C3021" s="14">
        <v>45188</v>
      </c>
      <c r="D3021" s="15">
        <v>145.04</v>
      </c>
      <c r="E3021" s="7">
        <f t="shared" si="47"/>
        <v>1</v>
      </c>
    </row>
    <row r="3022" spans="1:5" x14ac:dyDescent="0.25">
      <c r="A3022" s="7">
        <f>IF(E3022=1,
      SUM($E$2:E3022)-1,
"")</f>
        <v>3019</v>
      </c>
      <c r="B3022" s="6" t="s">
        <v>812</v>
      </c>
      <c r="C3022" s="14">
        <v>45128</v>
      </c>
      <c r="D3022" s="15">
        <v>83.46</v>
      </c>
      <c r="E3022" s="7">
        <f t="shared" si="47"/>
        <v>1</v>
      </c>
    </row>
    <row r="3023" spans="1:5" x14ac:dyDescent="0.25">
      <c r="A3023" s="7">
        <f>IF(E3023=1,
      SUM($E$2:E3023)-1,
"")</f>
        <v>3020</v>
      </c>
      <c r="B3023" s="6" t="s">
        <v>518</v>
      </c>
      <c r="C3023" s="14">
        <v>45092</v>
      </c>
      <c r="D3023" s="15">
        <v>72.83</v>
      </c>
      <c r="E3023" s="7">
        <f t="shared" si="47"/>
        <v>1</v>
      </c>
    </row>
    <row r="3024" spans="1:5" x14ac:dyDescent="0.25">
      <c r="A3024" s="7">
        <f>IF(E3024=1,
      SUM($E$2:E3024)-1,
"")</f>
        <v>3021</v>
      </c>
      <c r="B3024" s="6" t="s">
        <v>104</v>
      </c>
      <c r="C3024" s="14">
        <v>45096</v>
      </c>
      <c r="D3024" s="15">
        <v>123.48</v>
      </c>
      <c r="E3024" s="7">
        <f t="shared" si="47"/>
        <v>1</v>
      </c>
    </row>
    <row r="3025" spans="1:5" x14ac:dyDescent="0.25">
      <c r="A3025" s="7">
        <f>IF(E3025=1,
      SUM($E$2:E3025)-1,
"")</f>
        <v>3022</v>
      </c>
      <c r="B3025" s="6" t="s">
        <v>231</v>
      </c>
      <c r="C3025" s="14">
        <v>45108</v>
      </c>
      <c r="D3025" s="15">
        <v>43.5</v>
      </c>
      <c r="E3025" s="7">
        <f t="shared" si="47"/>
        <v>1</v>
      </c>
    </row>
    <row r="3026" spans="1:5" x14ac:dyDescent="0.25">
      <c r="A3026" s="7">
        <f>IF(E3026=1,
      SUM($E$2:E3026)-1,
"")</f>
        <v>3023</v>
      </c>
      <c r="B3026" s="6" t="s">
        <v>314</v>
      </c>
      <c r="C3026" s="14">
        <v>44971</v>
      </c>
      <c r="D3026" s="15">
        <v>119.62</v>
      </c>
      <c r="E3026" s="7">
        <f t="shared" si="47"/>
        <v>1</v>
      </c>
    </row>
    <row r="3027" spans="1:5" x14ac:dyDescent="0.25">
      <c r="A3027" s="7">
        <f>IF(E3027=1,
      SUM($E$2:E3027)-1,
"")</f>
        <v>3024</v>
      </c>
      <c r="B3027" s="6" t="s">
        <v>844</v>
      </c>
      <c r="C3027" s="14">
        <v>45028</v>
      </c>
      <c r="D3027" s="15">
        <v>114.31</v>
      </c>
      <c r="E3027" s="7">
        <f t="shared" si="47"/>
        <v>1</v>
      </c>
    </row>
    <row r="3028" spans="1:5" x14ac:dyDescent="0.25">
      <c r="A3028" s="7">
        <f>IF(E3028=1,
      SUM($E$2:E3028)-1,
"")</f>
        <v>3025</v>
      </c>
      <c r="B3028" s="6" t="s">
        <v>757</v>
      </c>
      <c r="C3028" s="14">
        <v>44930</v>
      </c>
      <c r="D3028" s="15">
        <v>29.63</v>
      </c>
      <c r="E3028" s="7">
        <f t="shared" si="47"/>
        <v>1</v>
      </c>
    </row>
    <row r="3029" spans="1:5" x14ac:dyDescent="0.25">
      <c r="A3029" s="7">
        <f>IF(E3029=1,
      SUM($E$2:E3029)-1,
"")</f>
        <v>3026</v>
      </c>
      <c r="B3029" s="6" t="s">
        <v>200</v>
      </c>
      <c r="C3029" s="14">
        <v>45193</v>
      </c>
      <c r="D3029" s="15">
        <v>80.91</v>
      </c>
      <c r="E3029" s="7">
        <f t="shared" si="47"/>
        <v>1</v>
      </c>
    </row>
    <row r="3030" spans="1:5" x14ac:dyDescent="0.25">
      <c r="A3030" s="7">
        <f>IF(E3030=1,
      SUM($E$2:E3030)-1,
"")</f>
        <v>3027</v>
      </c>
      <c r="B3030" s="6" t="s">
        <v>120</v>
      </c>
      <c r="C3030" s="14">
        <v>44951</v>
      </c>
      <c r="D3030" s="15">
        <v>147.28</v>
      </c>
      <c r="E3030" s="7">
        <f t="shared" si="47"/>
        <v>1</v>
      </c>
    </row>
    <row r="3031" spans="1:5" x14ac:dyDescent="0.25">
      <c r="A3031" s="7">
        <f>IF(E3031=1,
      SUM($E$2:E3031)-1,
"")</f>
        <v>3028</v>
      </c>
      <c r="B3031" s="6" t="s">
        <v>687</v>
      </c>
      <c r="C3031" s="14">
        <v>44973</v>
      </c>
      <c r="D3031" s="15">
        <v>56.28</v>
      </c>
      <c r="E3031" s="7">
        <f t="shared" si="47"/>
        <v>1</v>
      </c>
    </row>
    <row r="3032" spans="1:5" x14ac:dyDescent="0.25">
      <c r="A3032" s="7">
        <f>IF(E3032=1,
      SUM($E$2:E3032)-1,
"")</f>
        <v>3029</v>
      </c>
      <c r="B3032" s="6" t="s">
        <v>728</v>
      </c>
      <c r="C3032" s="14">
        <v>45079</v>
      </c>
      <c r="D3032" s="15">
        <v>106.38</v>
      </c>
      <c r="E3032" s="7">
        <f t="shared" si="47"/>
        <v>1</v>
      </c>
    </row>
    <row r="3033" spans="1:5" x14ac:dyDescent="0.25">
      <c r="A3033" s="7">
        <f>IF(E3033=1,
      SUM($E$2:E3033)-1,
"")</f>
        <v>3030</v>
      </c>
      <c r="B3033" s="6" t="s">
        <v>843</v>
      </c>
      <c r="C3033" s="14">
        <v>45015</v>
      </c>
      <c r="D3033" s="15">
        <v>69.849999999999994</v>
      </c>
      <c r="E3033" s="7">
        <f t="shared" si="47"/>
        <v>1</v>
      </c>
    </row>
    <row r="3034" spans="1:5" x14ac:dyDescent="0.25">
      <c r="A3034" s="7">
        <f>IF(E3034=1,
      SUM($E$2:E3034)-1,
"")</f>
        <v>3031</v>
      </c>
      <c r="B3034" s="6" t="s">
        <v>284</v>
      </c>
      <c r="C3034" s="14">
        <v>45131</v>
      </c>
      <c r="D3034" s="15">
        <v>78.73</v>
      </c>
      <c r="E3034" s="7">
        <f t="shared" si="47"/>
        <v>1</v>
      </c>
    </row>
    <row r="3035" spans="1:5" x14ac:dyDescent="0.25">
      <c r="A3035" s="7">
        <f>IF(E3035=1,
      SUM($E$2:E3035)-1,
"")</f>
        <v>3032</v>
      </c>
      <c r="B3035" s="6" t="s">
        <v>817</v>
      </c>
      <c r="C3035" s="14">
        <v>45136</v>
      </c>
      <c r="D3035" s="15">
        <v>157.49</v>
      </c>
      <c r="E3035" s="7">
        <f t="shared" si="47"/>
        <v>1</v>
      </c>
    </row>
    <row r="3036" spans="1:5" x14ac:dyDescent="0.25">
      <c r="A3036" s="7">
        <f>IF(E3036=1,
      SUM($E$2:E3036)-1,
"")</f>
        <v>3033</v>
      </c>
      <c r="B3036" s="6" t="s">
        <v>116</v>
      </c>
      <c r="C3036" s="14">
        <v>45042</v>
      </c>
      <c r="D3036" s="15">
        <v>103.7</v>
      </c>
      <c r="E3036" s="7">
        <f t="shared" si="47"/>
        <v>1</v>
      </c>
    </row>
    <row r="3037" spans="1:5" x14ac:dyDescent="0.25">
      <c r="A3037" s="7">
        <f>IF(E3037=1,
      SUM($E$2:E3037)-1,
"")</f>
        <v>3034</v>
      </c>
      <c r="B3037" s="6" t="s">
        <v>940</v>
      </c>
      <c r="C3037" s="14">
        <v>45196</v>
      </c>
      <c r="D3037" s="15">
        <v>115.51</v>
      </c>
      <c r="E3037" s="7">
        <f t="shared" si="47"/>
        <v>1</v>
      </c>
    </row>
    <row r="3038" spans="1:5" x14ac:dyDescent="0.25">
      <c r="A3038" s="7">
        <f>IF(E3038=1,
      SUM($E$2:E3038)-1,
"")</f>
        <v>3035</v>
      </c>
      <c r="B3038" s="6" t="s">
        <v>380</v>
      </c>
      <c r="C3038" s="14">
        <v>45275</v>
      </c>
      <c r="D3038" s="15">
        <v>96.63</v>
      </c>
      <c r="E3038" s="7">
        <f t="shared" si="47"/>
        <v>1</v>
      </c>
    </row>
    <row r="3039" spans="1:5" x14ac:dyDescent="0.25">
      <c r="A3039" s="7">
        <f>IF(E3039=1,
      SUM($E$2:E3039)-1,
"")</f>
        <v>3036</v>
      </c>
      <c r="B3039" s="6" t="s">
        <v>182</v>
      </c>
      <c r="C3039" s="14">
        <v>44966</v>
      </c>
      <c r="D3039" s="15">
        <v>54.55</v>
      </c>
      <c r="E3039" s="7">
        <f t="shared" si="47"/>
        <v>1</v>
      </c>
    </row>
    <row r="3040" spans="1:5" x14ac:dyDescent="0.25">
      <c r="A3040" s="7">
        <f>IF(E3040=1,
      SUM($E$2:E3040)-1,
"")</f>
        <v>3037</v>
      </c>
      <c r="B3040" s="6" t="s">
        <v>423</v>
      </c>
      <c r="C3040" s="14">
        <v>45196</v>
      </c>
      <c r="D3040" s="15">
        <v>64.45</v>
      </c>
      <c r="E3040" s="7">
        <f t="shared" si="47"/>
        <v>1</v>
      </c>
    </row>
    <row r="3041" spans="1:5" x14ac:dyDescent="0.25">
      <c r="A3041" s="7">
        <f>IF(E3041=1,
      SUM($E$2:E3041)-1,
"")</f>
        <v>3038</v>
      </c>
      <c r="B3041" s="6" t="s">
        <v>531</v>
      </c>
      <c r="C3041" s="14">
        <v>45292</v>
      </c>
      <c r="D3041" s="15">
        <v>135.35</v>
      </c>
      <c r="E3041" s="7">
        <f t="shared" si="47"/>
        <v>1</v>
      </c>
    </row>
    <row r="3042" spans="1:5" x14ac:dyDescent="0.25">
      <c r="A3042" s="7">
        <f>IF(E3042=1,
      SUM($E$2:E3042)-1,
"")</f>
        <v>3039</v>
      </c>
      <c r="B3042" s="6" t="s">
        <v>723</v>
      </c>
      <c r="C3042" s="14">
        <v>45077</v>
      </c>
      <c r="D3042" s="15">
        <v>104.59</v>
      </c>
      <c r="E3042" s="7">
        <f t="shared" si="47"/>
        <v>1</v>
      </c>
    </row>
    <row r="3043" spans="1:5" x14ac:dyDescent="0.25">
      <c r="A3043" s="7">
        <f>IF(E3043=1,
      SUM($E$2:E3043)-1,
"")</f>
        <v>3040</v>
      </c>
      <c r="B3043" s="6" t="s">
        <v>934</v>
      </c>
      <c r="C3043" s="14">
        <v>45161</v>
      </c>
      <c r="D3043" s="15">
        <v>76.89</v>
      </c>
      <c r="E3043" s="7">
        <f t="shared" si="47"/>
        <v>1</v>
      </c>
    </row>
    <row r="3044" spans="1:5" x14ac:dyDescent="0.25">
      <c r="A3044" s="7">
        <f>IF(E3044=1,
      SUM($E$2:E3044)-1,
"")</f>
        <v>3041</v>
      </c>
      <c r="B3044" s="6" t="s">
        <v>401</v>
      </c>
      <c r="C3044" s="14">
        <v>45033</v>
      </c>
      <c r="D3044" s="15">
        <v>99.34</v>
      </c>
      <c r="E3044" s="7">
        <f t="shared" si="47"/>
        <v>1</v>
      </c>
    </row>
    <row r="3045" spans="1:5" x14ac:dyDescent="0.25">
      <c r="A3045" s="7">
        <f>IF(E3045=1,
      SUM($E$2:E3045)-1,
"")</f>
        <v>3042</v>
      </c>
      <c r="B3045" s="6" t="s">
        <v>1009</v>
      </c>
      <c r="C3045" s="14">
        <v>45168</v>
      </c>
      <c r="D3045" s="15">
        <v>119.85</v>
      </c>
      <c r="E3045" s="7">
        <f t="shared" si="47"/>
        <v>1</v>
      </c>
    </row>
    <row r="3046" spans="1:5" x14ac:dyDescent="0.25">
      <c r="A3046" s="7">
        <f>IF(E3046=1,
      SUM($E$2:E3046)-1,
"")</f>
        <v>3043</v>
      </c>
      <c r="B3046" s="6" t="s">
        <v>92</v>
      </c>
      <c r="C3046" s="14">
        <v>45211</v>
      </c>
      <c r="D3046" s="15">
        <v>113.63</v>
      </c>
      <c r="E3046" s="7">
        <f t="shared" si="47"/>
        <v>1</v>
      </c>
    </row>
    <row r="3047" spans="1:5" x14ac:dyDescent="0.25">
      <c r="A3047" s="7">
        <f>IF(E3047=1,
      SUM($E$2:E3047)-1,
"")</f>
        <v>3044</v>
      </c>
      <c r="B3047" s="6" t="s">
        <v>646</v>
      </c>
      <c r="C3047" s="14">
        <v>45010</v>
      </c>
      <c r="D3047" s="15">
        <v>76.91</v>
      </c>
      <c r="E3047" s="7">
        <f t="shared" si="47"/>
        <v>1</v>
      </c>
    </row>
    <row r="3048" spans="1:5" x14ac:dyDescent="0.25">
      <c r="A3048" s="7">
        <f>IF(E3048=1,
      SUM($E$2:E3048)-1,
"")</f>
        <v>3045</v>
      </c>
      <c r="B3048" s="6" t="s">
        <v>542</v>
      </c>
      <c r="C3048" s="14">
        <v>45122</v>
      </c>
      <c r="D3048" s="15">
        <v>52.74</v>
      </c>
      <c r="E3048" s="7">
        <f t="shared" si="47"/>
        <v>1</v>
      </c>
    </row>
    <row r="3049" spans="1:5" x14ac:dyDescent="0.25">
      <c r="A3049" s="7">
        <f>IF(E3049=1,
      SUM($E$2:E3049)-1,
"")</f>
        <v>3046</v>
      </c>
      <c r="B3049" s="6" t="s">
        <v>970</v>
      </c>
      <c r="C3049" s="14">
        <v>45234</v>
      </c>
      <c r="D3049" s="15">
        <v>87.79</v>
      </c>
      <c r="E3049" s="7">
        <f t="shared" si="47"/>
        <v>1</v>
      </c>
    </row>
    <row r="3050" spans="1:5" x14ac:dyDescent="0.25">
      <c r="A3050" s="7">
        <f>IF(E3050=1,
      SUM($E$2:E3050)-1,
"")</f>
        <v>3047</v>
      </c>
      <c r="B3050" s="6" t="s">
        <v>134</v>
      </c>
      <c r="C3050" s="14">
        <v>45261</v>
      </c>
      <c r="D3050" s="15">
        <v>133.27000000000001</v>
      </c>
      <c r="E3050" s="7">
        <f t="shared" si="47"/>
        <v>1</v>
      </c>
    </row>
    <row r="3051" spans="1:5" x14ac:dyDescent="0.25">
      <c r="A3051" s="7">
        <f>IF(E3051=1,
      SUM($E$2:E3051)-1,
"")</f>
        <v>3048</v>
      </c>
      <c r="B3051" s="6" t="s">
        <v>170</v>
      </c>
      <c r="C3051" s="14">
        <v>45132</v>
      </c>
      <c r="D3051" s="15">
        <v>125.63</v>
      </c>
      <c r="E3051" s="7">
        <f t="shared" si="47"/>
        <v>1</v>
      </c>
    </row>
    <row r="3052" spans="1:5" x14ac:dyDescent="0.25">
      <c r="A3052" s="7">
        <f>IF(E3052=1,
      SUM($E$2:E3052)-1,
"")</f>
        <v>3049</v>
      </c>
      <c r="B3052" s="6" t="s">
        <v>111</v>
      </c>
      <c r="C3052" s="14">
        <v>45009</v>
      </c>
      <c r="D3052" s="15">
        <v>112.31</v>
      </c>
      <c r="E3052" s="7">
        <f t="shared" si="47"/>
        <v>1</v>
      </c>
    </row>
    <row r="3053" spans="1:5" x14ac:dyDescent="0.25">
      <c r="A3053" s="7">
        <f>IF(E3053=1,
      SUM($E$2:E3053)-1,
"")</f>
        <v>3050</v>
      </c>
      <c r="B3053" s="6" t="s">
        <v>690</v>
      </c>
      <c r="C3053" s="14">
        <v>45187</v>
      </c>
      <c r="D3053" s="15">
        <v>94.87</v>
      </c>
      <c r="E3053" s="7">
        <f t="shared" si="47"/>
        <v>1</v>
      </c>
    </row>
    <row r="3054" spans="1:5" x14ac:dyDescent="0.25">
      <c r="A3054" s="7">
        <f>IF(E3054=1,
      SUM($E$2:E3054)-1,
"")</f>
        <v>3051</v>
      </c>
      <c r="B3054" s="6" t="s">
        <v>601</v>
      </c>
      <c r="C3054" s="14">
        <v>45188</v>
      </c>
      <c r="D3054" s="15">
        <v>84.5</v>
      </c>
      <c r="E3054" s="7">
        <f t="shared" si="47"/>
        <v>1</v>
      </c>
    </row>
    <row r="3055" spans="1:5" x14ac:dyDescent="0.25">
      <c r="A3055" s="7">
        <f>IF(E3055=1,
      SUM($E$2:E3055)-1,
"")</f>
        <v>3052</v>
      </c>
      <c r="B3055" s="6" t="s">
        <v>582</v>
      </c>
      <c r="C3055" s="14">
        <v>45065</v>
      </c>
      <c r="D3055" s="15">
        <v>95.43</v>
      </c>
      <c r="E3055" s="7">
        <f t="shared" si="47"/>
        <v>1</v>
      </c>
    </row>
    <row r="3056" spans="1:5" x14ac:dyDescent="0.25">
      <c r="A3056" s="7">
        <f>IF(E3056=1,
      SUM($E$2:E3056)-1,
"")</f>
        <v>3053</v>
      </c>
      <c r="B3056" s="6" t="s">
        <v>570</v>
      </c>
      <c r="C3056" s="14">
        <v>45105</v>
      </c>
      <c r="D3056" s="15">
        <v>123.45</v>
      </c>
      <c r="E3056" s="7">
        <f t="shared" si="47"/>
        <v>1</v>
      </c>
    </row>
    <row r="3057" spans="1:5" x14ac:dyDescent="0.25">
      <c r="A3057" s="7">
        <f>IF(E3057=1,
      SUM($E$2:E3057)-1,
"")</f>
        <v>3054</v>
      </c>
      <c r="B3057" s="6" t="s">
        <v>433</v>
      </c>
      <c r="C3057" s="14">
        <v>45223</v>
      </c>
      <c r="D3057" s="15">
        <v>130.31</v>
      </c>
      <c r="E3057" s="7">
        <f t="shared" si="47"/>
        <v>1</v>
      </c>
    </row>
    <row r="3058" spans="1:5" x14ac:dyDescent="0.25">
      <c r="A3058" s="7">
        <f>IF(E3058=1,
      SUM($E$2:E3058)-1,
"")</f>
        <v>3055</v>
      </c>
      <c r="B3058" s="6" t="s">
        <v>324</v>
      </c>
      <c r="C3058" s="14">
        <v>44975</v>
      </c>
      <c r="D3058" s="15">
        <v>92.15</v>
      </c>
      <c r="E3058" s="7">
        <f t="shared" si="47"/>
        <v>1</v>
      </c>
    </row>
    <row r="3059" spans="1:5" x14ac:dyDescent="0.25">
      <c r="A3059" s="7">
        <f>IF(E3059=1,
      SUM($E$2:E3059)-1,
"")</f>
        <v>3056</v>
      </c>
      <c r="B3059" s="6" t="s">
        <v>140</v>
      </c>
      <c r="C3059" s="14">
        <v>45003</v>
      </c>
      <c r="D3059" s="15">
        <v>176.09</v>
      </c>
      <c r="E3059" s="7">
        <f t="shared" si="47"/>
        <v>1</v>
      </c>
    </row>
    <row r="3060" spans="1:5" x14ac:dyDescent="0.25">
      <c r="A3060" s="7">
        <f>IF(E3060=1,
      SUM($E$2:E3060)-1,
"")</f>
        <v>3057</v>
      </c>
      <c r="B3060" s="6" t="s">
        <v>528</v>
      </c>
      <c r="C3060" s="14">
        <v>45206</v>
      </c>
      <c r="D3060" s="15">
        <v>102.77</v>
      </c>
      <c r="E3060" s="7">
        <f t="shared" si="47"/>
        <v>1</v>
      </c>
    </row>
    <row r="3061" spans="1:5" x14ac:dyDescent="0.25">
      <c r="A3061" s="7">
        <f>IF(E3061=1,
      SUM($E$2:E3061)-1,
"")</f>
        <v>3058</v>
      </c>
      <c r="B3061" s="6" t="s">
        <v>123</v>
      </c>
      <c r="C3061" s="14">
        <v>44931</v>
      </c>
      <c r="D3061" s="15">
        <v>89.59</v>
      </c>
      <c r="E3061" s="7">
        <f t="shared" si="47"/>
        <v>1</v>
      </c>
    </row>
    <row r="3062" spans="1:5" x14ac:dyDescent="0.25">
      <c r="A3062" s="7">
        <f>IF(E3062=1,
      SUM($E$2:E3062)-1,
"")</f>
        <v>3059</v>
      </c>
      <c r="B3062" s="6" t="s">
        <v>112</v>
      </c>
      <c r="C3062" s="14">
        <v>45237</v>
      </c>
      <c r="D3062" s="15">
        <v>144.27000000000001</v>
      </c>
      <c r="E3062" s="7">
        <f t="shared" si="47"/>
        <v>1</v>
      </c>
    </row>
    <row r="3063" spans="1:5" x14ac:dyDescent="0.25">
      <c r="A3063" s="7">
        <f>IF(E3063=1,
      SUM($E$2:E3063)-1,
"")</f>
        <v>3060</v>
      </c>
      <c r="B3063" s="6" t="s">
        <v>1010</v>
      </c>
      <c r="C3063" s="14">
        <v>45180</v>
      </c>
      <c r="D3063" s="15">
        <v>38.85</v>
      </c>
      <c r="E3063" s="7">
        <f t="shared" si="47"/>
        <v>1</v>
      </c>
    </row>
    <row r="3064" spans="1:5" x14ac:dyDescent="0.25">
      <c r="A3064" s="7">
        <f>IF(E3064=1,
      SUM($E$2:E3064)-1,
"")</f>
        <v>3061</v>
      </c>
      <c r="B3064" s="6" t="s">
        <v>913</v>
      </c>
      <c r="C3064" s="14">
        <v>45280</v>
      </c>
      <c r="D3064" s="15">
        <v>114.4</v>
      </c>
      <c r="E3064" s="7">
        <f t="shared" si="47"/>
        <v>1</v>
      </c>
    </row>
    <row r="3065" spans="1:5" x14ac:dyDescent="0.25">
      <c r="A3065" s="7">
        <f>IF(E3065=1,
      SUM($E$2:E3065)-1,
"")</f>
        <v>3062</v>
      </c>
      <c r="B3065" s="6" t="s">
        <v>417</v>
      </c>
      <c r="C3065" s="14">
        <v>45275</v>
      </c>
      <c r="D3065" s="15">
        <v>97.82</v>
      </c>
      <c r="E3065" s="7">
        <f t="shared" si="47"/>
        <v>1</v>
      </c>
    </row>
    <row r="3066" spans="1:5" x14ac:dyDescent="0.25">
      <c r="A3066" s="7">
        <f>IF(E3066=1,
      SUM($E$2:E3066)-1,
"")</f>
        <v>3063</v>
      </c>
      <c r="B3066" s="6" t="s">
        <v>383</v>
      </c>
      <c r="C3066" s="14">
        <v>45111</v>
      </c>
      <c r="D3066" s="15">
        <v>143.44999999999999</v>
      </c>
      <c r="E3066" s="7">
        <f t="shared" si="47"/>
        <v>1</v>
      </c>
    </row>
    <row r="3067" spans="1:5" x14ac:dyDescent="0.25">
      <c r="A3067" s="7">
        <f>IF(E3067=1,
      SUM($E$2:E3067)-1,
"")</f>
        <v>3064</v>
      </c>
      <c r="B3067" s="6" t="s">
        <v>768</v>
      </c>
      <c r="C3067" s="14">
        <v>45180</v>
      </c>
      <c r="D3067" s="15">
        <v>118.15</v>
      </c>
      <c r="E3067" s="7">
        <f t="shared" si="47"/>
        <v>1</v>
      </c>
    </row>
    <row r="3068" spans="1:5" x14ac:dyDescent="0.25">
      <c r="A3068" s="7">
        <f>IF(E3068=1,
      SUM($E$2:E3068)-1,
"")</f>
        <v>3065</v>
      </c>
      <c r="B3068" s="6" t="s">
        <v>850</v>
      </c>
      <c r="C3068" s="14">
        <v>45064</v>
      </c>
      <c r="D3068" s="15">
        <v>104.17</v>
      </c>
      <c r="E3068" s="7">
        <f t="shared" si="47"/>
        <v>1</v>
      </c>
    </row>
    <row r="3069" spans="1:5" x14ac:dyDescent="0.25">
      <c r="A3069" s="7">
        <f>IF(E3069=1,
      SUM($E$2:E3069)-1,
"")</f>
        <v>3066</v>
      </c>
      <c r="B3069" s="6" t="s">
        <v>697</v>
      </c>
      <c r="C3069" s="14">
        <v>45122</v>
      </c>
      <c r="D3069" s="15">
        <v>119.88</v>
      </c>
      <c r="E3069" s="7">
        <f t="shared" si="47"/>
        <v>1</v>
      </c>
    </row>
    <row r="3070" spans="1:5" x14ac:dyDescent="0.25">
      <c r="A3070" s="7">
        <f>IF(E3070=1,
      SUM($E$2:E3070)-1,
"")</f>
        <v>3067</v>
      </c>
      <c r="B3070" s="6" t="s">
        <v>94</v>
      </c>
      <c r="C3070" s="14">
        <v>44998</v>
      </c>
      <c r="D3070" s="15">
        <v>68.33</v>
      </c>
      <c r="E3070" s="7">
        <f t="shared" si="47"/>
        <v>1</v>
      </c>
    </row>
    <row r="3071" spans="1:5" x14ac:dyDescent="0.25">
      <c r="A3071" s="7">
        <f>IF(E3071=1,
      SUM($E$2:E3071)-1,
"")</f>
        <v>3068</v>
      </c>
      <c r="B3071" s="6" t="s">
        <v>540</v>
      </c>
      <c r="C3071" s="14">
        <v>45104</v>
      </c>
      <c r="D3071" s="15">
        <v>129</v>
      </c>
      <c r="E3071" s="7">
        <f t="shared" si="47"/>
        <v>1</v>
      </c>
    </row>
    <row r="3072" spans="1:5" x14ac:dyDescent="0.25">
      <c r="A3072" s="7">
        <f>IF(E3072=1,
      SUM($E$2:E3072)-1,
"")</f>
        <v>3069</v>
      </c>
      <c r="B3072" s="6" t="s">
        <v>228</v>
      </c>
      <c r="C3072" s="14">
        <v>45214</v>
      </c>
      <c r="D3072" s="15">
        <v>59.66</v>
      </c>
      <c r="E3072" s="7">
        <f t="shared" si="47"/>
        <v>1</v>
      </c>
    </row>
    <row r="3073" spans="1:5" x14ac:dyDescent="0.25">
      <c r="A3073" s="7">
        <f>IF(E3073=1,
      SUM($E$2:E3073)-1,
"")</f>
        <v>3070</v>
      </c>
      <c r="B3073" s="6" t="s">
        <v>260</v>
      </c>
      <c r="C3073" s="14">
        <v>45147</v>
      </c>
      <c r="D3073" s="15">
        <v>110.75</v>
      </c>
      <c r="E3073" s="7">
        <f t="shared" si="47"/>
        <v>1</v>
      </c>
    </row>
    <row r="3074" spans="1:5" x14ac:dyDescent="0.25">
      <c r="A3074" s="7">
        <f>IF(E3074=1,
      SUM($E$2:E3074)-1,
"")</f>
        <v>3071</v>
      </c>
      <c r="B3074" s="6" t="s">
        <v>210</v>
      </c>
      <c r="C3074" s="14">
        <v>45111</v>
      </c>
      <c r="D3074" s="15">
        <v>101.07</v>
      </c>
      <c r="E3074" s="7">
        <f t="shared" ref="E3074:E3137" si="48">IF(D3074&gt;0,1,0)</f>
        <v>1</v>
      </c>
    </row>
    <row r="3075" spans="1:5" x14ac:dyDescent="0.25">
      <c r="A3075" s="7">
        <f>IF(E3075=1,
      SUM($E$2:E3075)-1,
"")</f>
        <v>3072</v>
      </c>
      <c r="B3075" s="6" t="s">
        <v>359</v>
      </c>
      <c r="C3075" s="14">
        <v>45007</v>
      </c>
      <c r="D3075" s="15">
        <v>47.11</v>
      </c>
      <c r="E3075" s="7">
        <f t="shared" si="48"/>
        <v>1</v>
      </c>
    </row>
    <row r="3076" spans="1:5" x14ac:dyDescent="0.25">
      <c r="A3076" s="7">
        <f>IF(E3076=1,
      SUM($E$2:E3076)-1,
"")</f>
        <v>3073</v>
      </c>
      <c r="B3076" s="6" t="s">
        <v>148</v>
      </c>
      <c r="C3076" s="14">
        <v>45043</v>
      </c>
      <c r="D3076" s="15">
        <v>102.07</v>
      </c>
      <c r="E3076" s="7">
        <f t="shared" si="48"/>
        <v>1</v>
      </c>
    </row>
    <row r="3077" spans="1:5" x14ac:dyDescent="0.25">
      <c r="A3077" s="7">
        <f>IF(E3077=1,
      SUM($E$2:E3077)-1,
"")</f>
        <v>3074</v>
      </c>
      <c r="B3077" s="6" t="s">
        <v>265</v>
      </c>
      <c r="C3077" s="14">
        <v>44939</v>
      </c>
      <c r="D3077" s="15">
        <v>108.46</v>
      </c>
      <c r="E3077" s="7">
        <f t="shared" si="48"/>
        <v>1</v>
      </c>
    </row>
    <row r="3078" spans="1:5" x14ac:dyDescent="0.25">
      <c r="A3078" s="7">
        <f>IF(E3078=1,
      SUM($E$2:E3078)-1,
"")</f>
        <v>3075</v>
      </c>
      <c r="B3078" s="6" t="s">
        <v>888</v>
      </c>
      <c r="C3078" s="14">
        <v>44979</v>
      </c>
      <c r="D3078" s="15">
        <v>80.349999999999994</v>
      </c>
      <c r="E3078" s="7">
        <f t="shared" si="48"/>
        <v>1</v>
      </c>
    </row>
    <row r="3079" spans="1:5" x14ac:dyDescent="0.25">
      <c r="A3079" s="7">
        <f>IF(E3079=1,
      SUM($E$2:E3079)-1,
"")</f>
        <v>3076</v>
      </c>
      <c r="B3079" s="6" t="s">
        <v>804</v>
      </c>
      <c r="C3079" s="14">
        <v>45097</v>
      </c>
      <c r="D3079" s="15">
        <v>69.63</v>
      </c>
      <c r="E3079" s="7">
        <f t="shared" si="48"/>
        <v>1</v>
      </c>
    </row>
    <row r="3080" spans="1:5" x14ac:dyDescent="0.25">
      <c r="A3080" s="7">
        <f>IF(E3080=1,
      SUM($E$2:E3080)-1,
"")</f>
        <v>3077</v>
      </c>
      <c r="B3080" s="6" t="s">
        <v>852</v>
      </c>
      <c r="C3080" s="14">
        <v>44970</v>
      </c>
      <c r="D3080" s="15">
        <v>114.77</v>
      </c>
      <c r="E3080" s="7">
        <f t="shared" si="48"/>
        <v>1</v>
      </c>
    </row>
    <row r="3081" spans="1:5" x14ac:dyDescent="0.25">
      <c r="A3081" s="7">
        <f>IF(E3081=1,
      SUM($E$2:E3081)-1,
"")</f>
        <v>3078</v>
      </c>
      <c r="B3081" s="6" t="s">
        <v>870</v>
      </c>
      <c r="C3081" s="14">
        <v>45222</v>
      </c>
      <c r="D3081" s="15">
        <v>110.87</v>
      </c>
      <c r="E3081" s="7">
        <f t="shared" si="48"/>
        <v>1</v>
      </c>
    </row>
    <row r="3082" spans="1:5" x14ac:dyDescent="0.25">
      <c r="A3082" s="7">
        <f>IF(E3082=1,
      SUM($E$2:E3082)-1,
"")</f>
        <v>3079</v>
      </c>
      <c r="B3082" s="6" t="s">
        <v>1011</v>
      </c>
      <c r="C3082" s="14">
        <v>45045</v>
      </c>
      <c r="D3082" s="15">
        <v>106.8</v>
      </c>
      <c r="E3082" s="7">
        <f t="shared" si="48"/>
        <v>1</v>
      </c>
    </row>
    <row r="3083" spans="1:5" x14ac:dyDescent="0.25">
      <c r="A3083" s="7">
        <f>IF(E3083=1,
      SUM($E$2:E3083)-1,
"")</f>
        <v>3080</v>
      </c>
      <c r="B3083" s="6" t="s">
        <v>150</v>
      </c>
      <c r="C3083" s="14">
        <v>45147</v>
      </c>
      <c r="D3083" s="15">
        <v>100.27</v>
      </c>
      <c r="E3083" s="7">
        <f t="shared" si="48"/>
        <v>1</v>
      </c>
    </row>
    <row r="3084" spans="1:5" x14ac:dyDescent="0.25">
      <c r="A3084" s="7">
        <f>IF(E3084=1,
      SUM($E$2:E3084)-1,
"")</f>
        <v>3081</v>
      </c>
      <c r="B3084" s="6" t="s">
        <v>665</v>
      </c>
      <c r="C3084" s="14">
        <v>45187</v>
      </c>
      <c r="D3084" s="15">
        <v>83</v>
      </c>
      <c r="E3084" s="7">
        <f t="shared" si="48"/>
        <v>1</v>
      </c>
    </row>
    <row r="3085" spans="1:5" x14ac:dyDescent="0.25">
      <c r="A3085" s="7">
        <f>IF(E3085=1,
      SUM($E$2:E3085)-1,
"")</f>
        <v>3082</v>
      </c>
      <c r="B3085" s="6" t="s">
        <v>372</v>
      </c>
      <c r="C3085" s="14">
        <v>45030</v>
      </c>
      <c r="D3085" s="15">
        <v>168.17</v>
      </c>
      <c r="E3085" s="7">
        <f t="shared" si="48"/>
        <v>1</v>
      </c>
    </row>
    <row r="3086" spans="1:5" x14ac:dyDescent="0.25">
      <c r="A3086" s="7">
        <f>IF(E3086=1,
      SUM($E$2:E3086)-1,
"")</f>
        <v>3083</v>
      </c>
      <c r="B3086" s="6" t="s">
        <v>464</v>
      </c>
      <c r="C3086" s="14">
        <v>44997</v>
      </c>
      <c r="D3086" s="15">
        <v>91.05</v>
      </c>
      <c r="E3086" s="7">
        <f t="shared" si="48"/>
        <v>1</v>
      </c>
    </row>
    <row r="3087" spans="1:5" x14ac:dyDescent="0.25">
      <c r="A3087" s="7">
        <f>IF(E3087=1,
      SUM($E$2:E3087)-1,
"")</f>
        <v>3084</v>
      </c>
      <c r="B3087" s="6" t="s">
        <v>96</v>
      </c>
      <c r="C3087" s="14">
        <v>45223</v>
      </c>
      <c r="D3087" s="15">
        <v>74.05</v>
      </c>
      <c r="E3087" s="7">
        <f t="shared" si="48"/>
        <v>1</v>
      </c>
    </row>
    <row r="3088" spans="1:5" x14ac:dyDescent="0.25">
      <c r="A3088" s="7">
        <f>IF(E3088=1,
      SUM($E$2:E3088)-1,
"")</f>
        <v>3085</v>
      </c>
      <c r="B3088" s="6" t="s">
        <v>776</v>
      </c>
      <c r="C3088" s="14">
        <v>45100</v>
      </c>
      <c r="D3088" s="15">
        <v>101.63</v>
      </c>
      <c r="E3088" s="7">
        <f t="shared" si="48"/>
        <v>1</v>
      </c>
    </row>
    <row r="3089" spans="1:5" x14ac:dyDescent="0.25">
      <c r="A3089" s="7">
        <f>IF(E3089=1,
      SUM($E$2:E3089)-1,
"")</f>
        <v>3086</v>
      </c>
      <c r="B3089" s="6" t="s">
        <v>855</v>
      </c>
      <c r="C3089" s="14">
        <v>45225</v>
      </c>
      <c r="D3089" s="15">
        <v>94.57</v>
      </c>
      <c r="E3089" s="7">
        <f t="shared" si="48"/>
        <v>1</v>
      </c>
    </row>
    <row r="3090" spans="1:5" x14ac:dyDescent="0.25">
      <c r="A3090" s="7">
        <f>IF(E3090=1,
      SUM($E$2:E3090)-1,
"")</f>
        <v>3087</v>
      </c>
      <c r="B3090" s="6" t="s">
        <v>366</v>
      </c>
      <c r="C3090" s="14">
        <v>44988</v>
      </c>
      <c r="D3090" s="15">
        <v>90.35</v>
      </c>
      <c r="E3090" s="7">
        <f t="shared" si="48"/>
        <v>1</v>
      </c>
    </row>
    <row r="3091" spans="1:5" x14ac:dyDescent="0.25">
      <c r="A3091" s="7">
        <f>IF(E3091=1,
      SUM($E$2:E3091)-1,
"")</f>
        <v>3088</v>
      </c>
      <c r="B3091" s="6" t="s">
        <v>1012</v>
      </c>
      <c r="C3091" s="14">
        <v>45241</v>
      </c>
      <c r="D3091" s="15">
        <v>156.22999999999999</v>
      </c>
      <c r="E3091" s="7">
        <f t="shared" si="48"/>
        <v>1</v>
      </c>
    </row>
    <row r="3092" spans="1:5" x14ac:dyDescent="0.25">
      <c r="A3092" s="7">
        <f>IF(E3092=1,
      SUM($E$2:E3092)-1,
"")</f>
        <v>3089</v>
      </c>
      <c r="B3092" s="6" t="s">
        <v>621</v>
      </c>
      <c r="C3092" s="14">
        <v>44930</v>
      </c>
      <c r="D3092" s="15">
        <v>66.11</v>
      </c>
      <c r="E3092" s="7">
        <f t="shared" si="48"/>
        <v>1</v>
      </c>
    </row>
    <row r="3093" spans="1:5" x14ac:dyDescent="0.25">
      <c r="A3093" s="7">
        <f>IF(E3093=1,
      SUM($E$2:E3093)-1,
"")</f>
        <v>3090</v>
      </c>
      <c r="B3093" s="6" t="s">
        <v>558</v>
      </c>
      <c r="C3093" s="14">
        <v>45008</v>
      </c>
      <c r="D3093" s="15">
        <v>101.12</v>
      </c>
      <c r="E3093" s="7">
        <f t="shared" si="48"/>
        <v>1</v>
      </c>
    </row>
    <row r="3094" spans="1:5" x14ac:dyDescent="0.25">
      <c r="A3094" s="7">
        <f>IF(E3094=1,
      SUM($E$2:E3094)-1,
"")</f>
        <v>3091</v>
      </c>
      <c r="B3094" s="6" t="s">
        <v>248</v>
      </c>
      <c r="C3094" s="14">
        <v>44959</v>
      </c>
      <c r="D3094" s="15">
        <v>68.12</v>
      </c>
      <c r="E3094" s="7">
        <f t="shared" si="48"/>
        <v>1</v>
      </c>
    </row>
    <row r="3095" spans="1:5" x14ac:dyDescent="0.25">
      <c r="A3095" s="7">
        <f>IF(E3095=1,
      SUM($E$2:E3095)-1,
"")</f>
        <v>3092</v>
      </c>
      <c r="B3095" s="6" t="s">
        <v>298</v>
      </c>
      <c r="C3095" s="14">
        <v>45284</v>
      </c>
      <c r="D3095" s="15">
        <v>83.77</v>
      </c>
      <c r="E3095" s="7">
        <f t="shared" si="48"/>
        <v>1</v>
      </c>
    </row>
    <row r="3096" spans="1:5" x14ac:dyDescent="0.25">
      <c r="A3096" s="7">
        <f>IF(E3096=1,
      SUM($E$2:E3096)-1,
"")</f>
        <v>3093</v>
      </c>
      <c r="B3096" s="6" t="s">
        <v>817</v>
      </c>
      <c r="C3096" s="14">
        <v>45042</v>
      </c>
      <c r="D3096" s="15">
        <v>152.08000000000001</v>
      </c>
      <c r="E3096" s="7">
        <f t="shared" si="48"/>
        <v>1</v>
      </c>
    </row>
    <row r="3097" spans="1:5" x14ac:dyDescent="0.25">
      <c r="A3097" s="7">
        <f>IF(E3097=1,
      SUM($E$2:E3097)-1,
"")</f>
        <v>3094</v>
      </c>
      <c r="B3097" s="6" t="s">
        <v>134</v>
      </c>
      <c r="C3097" s="14">
        <v>44961</v>
      </c>
      <c r="D3097" s="15">
        <v>108.44</v>
      </c>
      <c r="E3097" s="7">
        <f t="shared" si="48"/>
        <v>1</v>
      </c>
    </row>
    <row r="3098" spans="1:5" x14ac:dyDescent="0.25">
      <c r="A3098" s="7">
        <f>IF(E3098=1,
      SUM($E$2:E3098)-1,
"")</f>
        <v>3095</v>
      </c>
      <c r="B3098" s="6" t="s">
        <v>854</v>
      </c>
      <c r="C3098" s="14">
        <v>44995</v>
      </c>
      <c r="D3098" s="15">
        <v>108.08</v>
      </c>
      <c r="E3098" s="7">
        <f t="shared" si="48"/>
        <v>1</v>
      </c>
    </row>
    <row r="3099" spans="1:5" x14ac:dyDescent="0.25">
      <c r="A3099" s="7">
        <f>IF(E3099=1,
      SUM($E$2:E3099)-1,
"")</f>
        <v>3096</v>
      </c>
      <c r="B3099" s="6" t="s">
        <v>942</v>
      </c>
      <c r="C3099" s="14">
        <v>45109</v>
      </c>
      <c r="D3099" s="15">
        <v>71.819999999999993</v>
      </c>
      <c r="E3099" s="7">
        <f t="shared" si="48"/>
        <v>1</v>
      </c>
    </row>
    <row r="3100" spans="1:5" x14ac:dyDescent="0.25">
      <c r="A3100" s="7">
        <f>IF(E3100=1,
      SUM($E$2:E3100)-1,
"")</f>
        <v>3097</v>
      </c>
      <c r="B3100" s="6" t="s">
        <v>87</v>
      </c>
      <c r="C3100" s="14">
        <v>45114</v>
      </c>
      <c r="D3100" s="15">
        <v>87.26</v>
      </c>
      <c r="E3100" s="7">
        <f t="shared" si="48"/>
        <v>1</v>
      </c>
    </row>
    <row r="3101" spans="1:5" x14ac:dyDescent="0.25">
      <c r="A3101" s="7">
        <f>IF(E3101=1,
      SUM($E$2:E3101)-1,
"")</f>
        <v>3098</v>
      </c>
      <c r="B3101" s="6" t="s">
        <v>525</v>
      </c>
      <c r="C3101" s="14">
        <v>45095</v>
      </c>
      <c r="D3101" s="15">
        <v>154.69</v>
      </c>
      <c r="E3101" s="7">
        <f t="shared" si="48"/>
        <v>1</v>
      </c>
    </row>
    <row r="3102" spans="1:5" x14ac:dyDescent="0.25">
      <c r="A3102" s="7">
        <f>IF(E3102=1,
      SUM($E$2:E3102)-1,
"")</f>
        <v>3099</v>
      </c>
      <c r="B3102" s="6" t="s">
        <v>330</v>
      </c>
      <c r="C3102" s="14">
        <v>45165</v>
      </c>
      <c r="D3102" s="15">
        <v>114.98</v>
      </c>
      <c r="E3102" s="7">
        <f t="shared" si="48"/>
        <v>1</v>
      </c>
    </row>
    <row r="3103" spans="1:5" x14ac:dyDescent="0.25">
      <c r="A3103" s="7">
        <f>IF(E3103=1,
      SUM($E$2:E3103)-1,
"")</f>
        <v>3100</v>
      </c>
      <c r="B3103" s="6" t="s">
        <v>118</v>
      </c>
      <c r="C3103" s="14">
        <v>45273</v>
      </c>
      <c r="D3103" s="15">
        <v>89.81</v>
      </c>
      <c r="E3103" s="7">
        <f t="shared" si="48"/>
        <v>1</v>
      </c>
    </row>
    <row r="3104" spans="1:5" x14ac:dyDescent="0.25">
      <c r="A3104" s="7">
        <f>IF(E3104=1,
      SUM($E$2:E3104)-1,
"")</f>
        <v>3101</v>
      </c>
      <c r="B3104" s="6" t="s">
        <v>430</v>
      </c>
      <c r="C3104" s="14">
        <v>44965</v>
      </c>
      <c r="D3104" s="15">
        <v>113.22</v>
      </c>
      <c r="E3104" s="7">
        <f t="shared" si="48"/>
        <v>1</v>
      </c>
    </row>
    <row r="3105" spans="1:5" x14ac:dyDescent="0.25">
      <c r="A3105" s="7">
        <f>IF(E3105=1,
      SUM($E$2:E3105)-1,
"")</f>
        <v>3102</v>
      </c>
      <c r="B3105" s="6" t="s">
        <v>646</v>
      </c>
      <c r="C3105" s="14">
        <v>45228</v>
      </c>
      <c r="D3105" s="15">
        <v>108.03</v>
      </c>
      <c r="E3105" s="7">
        <f t="shared" si="48"/>
        <v>1</v>
      </c>
    </row>
    <row r="3106" spans="1:5" x14ac:dyDescent="0.25">
      <c r="A3106" s="7">
        <f>IF(E3106=1,
      SUM($E$2:E3106)-1,
"")</f>
        <v>3103</v>
      </c>
      <c r="B3106" s="6" t="s">
        <v>401</v>
      </c>
      <c r="C3106" s="14">
        <v>45111</v>
      </c>
      <c r="D3106" s="15">
        <v>74.819999999999993</v>
      </c>
      <c r="E3106" s="7">
        <f t="shared" si="48"/>
        <v>1</v>
      </c>
    </row>
    <row r="3107" spans="1:5" x14ac:dyDescent="0.25">
      <c r="A3107" s="7">
        <f>IF(E3107=1,
      SUM($E$2:E3107)-1,
"")</f>
        <v>3104</v>
      </c>
      <c r="B3107" s="6" t="s">
        <v>240</v>
      </c>
      <c r="C3107" s="14">
        <v>45052</v>
      </c>
      <c r="D3107" s="15">
        <v>88.94</v>
      </c>
      <c r="E3107" s="7">
        <f t="shared" si="48"/>
        <v>1</v>
      </c>
    </row>
    <row r="3108" spans="1:5" x14ac:dyDescent="0.25">
      <c r="A3108" s="7">
        <f>IF(E3108=1,
      SUM($E$2:E3108)-1,
"")</f>
        <v>3105</v>
      </c>
      <c r="B3108" s="6" t="s">
        <v>914</v>
      </c>
      <c r="C3108" s="14">
        <v>45269</v>
      </c>
      <c r="D3108" s="15">
        <v>167.64</v>
      </c>
      <c r="E3108" s="7">
        <f t="shared" si="48"/>
        <v>1</v>
      </c>
    </row>
    <row r="3109" spans="1:5" x14ac:dyDescent="0.25">
      <c r="A3109" s="7">
        <f>IF(E3109=1,
      SUM($E$2:E3109)-1,
"")</f>
        <v>3106</v>
      </c>
      <c r="B3109" s="6" t="s">
        <v>248</v>
      </c>
      <c r="C3109" s="14">
        <v>45210</v>
      </c>
      <c r="D3109" s="15">
        <v>111.76</v>
      </c>
      <c r="E3109" s="7">
        <f t="shared" si="48"/>
        <v>1</v>
      </c>
    </row>
    <row r="3110" spans="1:5" x14ac:dyDescent="0.25">
      <c r="A3110" s="7">
        <f>IF(E3110=1,
      SUM($E$2:E3110)-1,
"")</f>
        <v>3107</v>
      </c>
      <c r="B3110" s="6" t="s">
        <v>448</v>
      </c>
      <c r="C3110" s="14">
        <v>44974</v>
      </c>
      <c r="D3110" s="15">
        <v>52.93</v>
      </c>
      <c r="E3110" s="7">
        <f t="shared" si="48"/>
        <v>1</v>
      </c>
    </row>
    <row r="3111" spans="1:5" x14ac:dyDescent="0.25">
      <c r="A3111" s="7">
        <f>IF(E3111=1,
      SUM($E$2:E3111)-1,
"")</f>
        <v>3108</v>
      </c>
      <c r="B3111" s="6" t="s">
        <v>134</v>
      </c>
      <c r="C3111" s="14">
        <v>45108</v>
      </c>
      <c r="D3111" s="15">
        <v>115.31</v>
      </c>
      <c r="E3111" s="7">
        <f t="shared" si="48"/>
        <v>1</v>
      </c>
    </row>
    <row r="3112" spans="1:5" x14ac:dyDescent="0.25">
      <c r="A3112" s="7">
        <f>IF(E3112=1,
      SUM($E$2:E3112)-1,
"")</f>
        <v>3109</v>
      </c>
      <c r="B3112" s="6" t="s">
        <v>1013</v>
      </c>
      <c r="C3112" s="14">
        <v>44977</v>
      </c>
      <c r="D3112" s="15">
        <v>139.09</v>
      </c>
      <c r="E3112" s="7">
        <f t="shared" si="48"/>
        <v>1</v>
      </c>
    </row>
    <row r="3113" spans="1:5" x14ac:dyDescent="0.25">
      <c r="A3113" s="7">
        <f>IF(E3113=1,
      SUM($E$2:E3113)-1,
"")</f>
        <v>3110</v>
      </c>
      <c r="B3113" s="6" t="s">
        <v>263</v>
      </c>
      <c r="C3113" s="14">
        <v>45194</v>
      </c>
      <c r="D3113" s="15">
        <v>72.87</v>
      </c>
      <c r="E3113" s="7">
        <f t="shared" si="48"/>
        <v>1</v>
      </c>
    </row>
    <row r="3114" spans="1:5" x14ac:dyDescent="0.25">
      <c r="A3114" s="7">
        <f>IF(E3114=1,
      SUM($E$2:E3114)-1,
"")</f>
        <v>3111</v>
      </c>
      <c r="B3114" s="6" t="s">
        <v>906</v>
      </c>
      <c r="C3114" s="14">
        <v>45231</v>
      </c>
      <c r="D3114" s="15">
        <v>86.29</v>
      </c>
      <c r="E3114" s="7">
        <f t="shared" si="48"/>
        <v>1</v>
      </c>
    </row>
    <row r="3115" spans="1:5" x14ac:dyDescent="0.25">
      <c r="A3115" s="7">
        <f>IF(E3115=1,
      SUM($E$2:E3115)-1,
"")</f>
        <v>3112</v>
      </c>
      <c r="B3115" s="6" t="s">
        <v>508</v>
      </c>
      <c r="C3115" s="14">
        <v>45007</v>
      </c>
      <c r="D3115" s="15">
        <v>143.61000000000001</v>
      </c>
      <c r="E3115" s="7">
        <f t="shared" si="48"/>
        <v>1</v>
      </c>
    </row>
    <row r="3116" spans="1:5" x14ac:dyDescent="0.25">
      <c r="A3116" s="7">
        <f>IF(E3116=1,
      SUM($E$2:E3116)-1,
"")</f>
        <v>3113</v>
      </c>
      <c r="B3116" s="6" t="s">
        <v>954</v>
      </c>
      <c r="C3116" s="14">
        <v>45271</v>
      </c>
      <c r="D3116" s="15">
        <v>101.05</v>
      </c>
      <c r="E3116" s="7">
        <f t="shared" si="48"/>
        <v>1</v>
      </c>
    </row>
    <row r="3117" spans="1:5" x14ac:dyDescent="0.25">
      <c r="A3117" s="7">
        <f>IF(E3117=1,
      SUM($E$2:E3117)-1,
"")</f>
        <v>3114</v>
      </c>
      <c r="B3117" s="6" t="s">
        <v>582</v>
      </c>
      <c r="C3117" s="14">
        <v>45081</v>
      </c>
      <c r="D3117" s="15">
        <v>95.71</v>
      </c>
      <c r="E3117" s="7">
        <f t="shared" si="48"/>
        <v>1</v>
      </c>
    </row>
    <row r="3118" spans="1:5" x14ac:dyDescent="0.25">
      <c r="A3118" s="7">
        <f>IF(E3118=1,
      SUM($E$2:E3118)-1,
"")</f>
        <v>3115</v>
      </c>
      <c r="B3118" s="6" t="s">
        <v>782</v>
      </c>
      <c r="C3118" s="14">
        <v>45167</v>
      </c>
      <c r="D3118" s="15">
        <v>59.92</v>
      </c>
      <c r="E3118" s="7">
        <f t="shared" si="48"/>
        <v>1</v>
      </c>
    </row>
    <row r="3119" spans="1:5" x14ac:dyDescent="0.25">
      <c r="A3119" s="7">
        <f>IF(E3119=1,
      SUM($E$2:E3119)-1,
"")</f>
        <v>3116</v>
      </c>
      <c r="B3119" s="6" t="s">
        <v>750</v>
      </c>
      <c r="C3119" s="14">
        <v>45251</v>
      </c>
      <c r="D3119" s="15">
        <v>132.12</v>
      </c>
      <c r="E3119" s="7">
        <f t="shared" si="48"/>
        <v>1</v>
      </c>
    </row>
    <row r="3120" spans="1:5" x14ac:dyDescent="0.25">
      <c r="A3120" s="7">
        <f>IF(E3120=1,
      SUM($E$2:E3120)-1,
"")</f>
        <v>3117</v>
      </c>
      <c r="B3120" s="6" t="s">
        <v>202</v>
      </c>
      <c r="C3120" s="14">
        <v>45195</v>
      </c>
      <c r="D3120" s="15">
        <v>94.35</v>
      </c>
      <c r="E3120" s="7">
        <f t="shared" si="48"/>
        <v>1</v>
      </c>
    </row>
    <row r="3121" spans="1:5" x14ac:dyDescent="0.25">
      <c r="A3121" s="7">
        <f>IF(E3121=1,
      SUM($E$2:E3121)-1,
"")</f>
        <v>3118</v>
      </c>
      <c r="B3121" s="6" t="s">
        <v>954</v>
      </c>
      <c r="C3121" s="14">
        <v>45262</v>
      </c>
      <c r="D3121" s="15">
        <v>34.869999999999997</v>
      </c>
      <c r="E3121" s="7">
        <f t="shared" si="48"/>
        <v>1</v>
      </c>
    </row>
    <row r="3122" spans="1:5" x14ac:dyDescent="0.25">
      <c r="A3122" s="7">
        <f>IF(E3122=1,
      SUM($E$2:E3122)-1,
"")</f>
        <v>3119</v>
      </c>
      <c r="B3122" s="6" t="s">
        <v>608</v>
      </c>
      <c r="C3122" s="14">
        <v>45135</v>
      </c>
      <c r="D3122" s="15">
        <v>52.82</v>
      </c>
      <c r="E3122" s="7">
        <f t="shared" si="48"/>
        <v>1</v>
      </c>
    </row>
    <row r="3123" spans="1:5" x14ac:dyDescent="0.25">
      <c r="A3123" s="7">
        <f>IF(E3123=1,
      SUM($E$2:E3123)-1,
"")</f>
        <v>3120</v>
      </c>
      <c r="B3123" s="6" t="s">
        <v>642</v>
      </c>
      <c r="C3123" s="14">
        <v>45181</v>
      </c>
      <c r="D3123" s="15">
        <v>83.15</v>
      </c>
      <c r="E3123" s="7">
        <f t="shared" si="48"/>
        <v>1</v>
      </c>
    </row>
    <row r="3124" spans="1:5" x14ac:dyDescent="0.25">
      <c r="A3124" s="7">
        <f>IF(E3124=1,
      SUM($E$2:E3124)-1,
"")</f>
        <v>3121</v>
      </c>
      <c r="B3124" s="6" t="s">
        <v>775</v>
      </c>
      <c r="C3124" s="14">
        <v>45046</v>
      </c>
      <c r="D3124" s="15">
        <v>67.81</v>
      </c>
      <c r="E3124" s="7">
        <f t="shared" si="48"/>
        <v>1</v>
      </c>
    </row>
    <row r="3125" spans="1:5" x14ac:dyDescent="0.25">
      <c r="A3125" s="7">
        <f>IF(E3125=1,
      SUM($E$2:E3125)-1,
"")</f>
        <v>3122</v>
      </c>
      <c r="B3125" s="6" t="s">
        <v>525</v>
      </c>
      <c r="C3125" s="14">
        <v>45171</v>
      </c>
      <c r="D3125" s="15">
        <v>72.52</v>
      </c>
      <c r="E3125" s="7">
        <f t="shared" si="48"/>
        <v>1</v>
      </c>
    </row>
    <row r="3126" spans="1:5" x14ac:dyDescent="0.25">
      <c r="A3126" s="7">
        <f>IF(E3126=1,
      SUM($E$2:E3126)-1,
"")</f>
        <v>3123</v>
      </c>
      <c r="B3126" s="6" t="s">
        <v>1014</v>
      </c>
      <c r="C3126" s="14">
        <v>45020</v>
      </c>
      <c r="D3126" s="15">
        <v>170.34</v>
      </c>
      <c r="E3126" s="7">
        <f t="shared" si="48"/>
        <v>1</v>
      </c>
    </row>
    <row r="3127" spans="1:5" x14ac:dyDescent="0.25">
      <c r="A3127" s="7">
        <f>IF(E3127=1,
      SUM($E$2:E3127)-1,
"")</f>
        <v>3124</v>
      </c>
      <c r="B3127" s="6" t="s">
        <v>928</v>
      </c>
      <c r="C3127" s="14">
        <v>44999</v>
      </c>
      <c r="D3127" s="15">
        <v>121.23</v>
      </c>
      <c r="E3127" s="7">
        <f t="shared" si="48"/>
        <v>1</v>
      </c>
    </row>
    <row r="3128" spans="1:5" x14ac:dyDescent="0.25">
      <c r="A3128" s="7">
        <f>IF(E3128=1,
      SUM($E$2:E3128)-1,
"")</f>
        <v>3125</v>
      </c>
      <c r="B3128" s="6" t="s">
        <v>112</v>
      </c>
      <c r="C3128" s="14">
        <v>45086</v>
      </c>
      <c r="D3128" s="15">
        <v>22.68</v>
      </c>
      <c r="E3128" s="7">
        <f t="shared" si="48"/>
        <v>1</v>
      </c>
    </row>
    <row r="3129" spans="1:5" x14ac:dyDescent="0.25">
      <c r="A3129" s="7">
        <f>IF(E3129=1,
      SUM($E$2:E3129)-1,
"")</f>
        <v>3126</v>
      </c>
      <c r="B3129" s="6" t="s">
        <v>466</v>
      </c>
      <c r="C3129" s="14">
        <v>45183</v>
      </c>
      <c r="D3129" s="15">
        <v>90.57</v>
      </c>
      <c r="E3129" s="7">
        <f t="shared" si="48"/>
        <v>1</v>
      </c>
    </row>
    <row r="3130" spans="1:5" x14ac:dyDescent="0.25">
      <c r="A3130" s="7">
        <f>IF(E3130=1,
      SUM($E$2:E3130)-1,
"")</f>
        <v>3127</v>
      </c>
      <c r="B3130" s="6" t="s">
        <v>313</v>
      </c>
      <c r="C3130" s="14">
        <v>45015</v>
      </c>
      <c r="D3130" s="15">
        <v>97.32</v>
      </c>
      <c r="E3130" s="7">
        <f t="shared" si="48"/>
        <v>1</v>
      </c>
    </row>
    <row r="3131" spans="1:5" x14ac:dyDescent="0.25">
      <c r="A3131" s="7">
        <f>IF(E3131=1,
      SUM($E$2:E3131)-1,
"")</f>
        <v>3128</v>
      </c>
      <c r="B3131" s="6" t="s">
        <v>103</v>
      </c>
      <c r="C3131" s="14">
        <v>45237</v>
      </c>
      <c r="D3131" s="15">
        <v>55.69</v>
      </c>
      <c r="E3131" s="7">
        <f t="shared" si="48"/>
        <v>1</v>
      </c>
    </row>
    <row r="3132" spans="1:5" x14ac:dyDescent="0.25">
      <c r="A3132" s="7">
        <f>IF(E3132=1,
      SUM($E$2:E3132)-1,
"")</f>
        <v>3129</v>
      </c>
      <c r="B3132" s="6" t="s">
        <v>631</v>
      </c>
      <c r="C3132" s="14">
        <v>45236</v>
      </c>
      <c r="D3132" s="15">
        <v>116.03</v>
      </c>
      <c r="E3132" s="7">
        <f t="shared" si="48"/>
        <v>1</v>
      </c>
    </row>
    <row r="3133" spans="1:5" x14ac:dyDescent="0.25">
      <c r="A3133" s="7">
        <f>IF(E3133=1,
      SUM($E$2:E3133)-1,
"")</f>
        <v>3130</v>
      </c>
      <c r="B3133" s="6" t="s">
        <v>149</v>
      </c>
      <c r="C3133" s="14">
        <v>45002</v>
      </c>
      <c r="D3133" s="15">
        <v>38.76</v>
      </c>
      <c r="E3133" s="7">
        <f t="shared" si="48"/>
        <v>1</v>
      </c>
    </row>
    <row r="3134" spans="1:5" x14ac:dyDescent="0.25">
      <c r="A3134" s="7">
        <f>IF(E3134=1,
      SUM($E$2:E3134)-1,
"")</f>
        <v>3131</v>
      </c>
      <c r="B3134" s="6" t="s">
        <v>967</v>
      </c>
      <c r="C3134" s="14">
        <v>45179</v>
      </c>
      <c r="D3134" s="15">
        <v>132.91</v>
      </c>
      <c r="E3134" s="7">
        <f t="shared" si="48"/>
        <v>1</v>
      </c>
    </row>
    <row r="3135" spans="1:5" x14ac:dyDescent="0.25">
      <c r="A3135" s="7">
        <f>IF(E3135=1,
      SUM($E$2:E3135)-1,
"")</f>
        <v>3132</v>
      </c>
      <c r="B3135" s="6" t="s">
        <v>265</v>
      </c>
      <c r="C3135" s="14">
        <v>44985</v>
      </c>
      <c r="D3135" s="15">
        <v>143.25</v>
      </c>
      <c r="E3135" s="7">
        <f t="shared" si="48"/>
        <v>1</v>
      </c>
    </row>
    <row r="3136" spans="1:5" x14ac:dyDescent="0.25">
      <c r="A3136" s="7">
        <f>IF(E3136=1,
      SUM($E$2:E3136)-1,
"")</f>
        <v>3133</v>
      </c>
      <c r="B3136" s="6" t="s">
        <v>659</v>
      </c>
      <c r="C3136" s="14">
        <v>44952</v>
      </c>
      <c r="D3136" s="15">
        <v>170.58</v>
      </c>
      <c r="E3136" s="7">
        <f t="shared" si="48"/>
        <v>1</v>
      </c>
    </row>
    <row r="3137" spans="1:5" x14ac:dyDescent="0.25">
      <c r="A3137" s="7">
        <f>IF(E3137=1,
      SUM($E$2:E3137)-1,
"")</f>
        <v>3134</v>
      </c>
      <c r="B3137" s="6" t="s">
        <v>151</v>
      </c>
      <c r="C3137" s="14">
        <v>45095</v>
      </c>
      <c r="D3137" s="15">
        <v>52.77</v>
      </c>
      <c r="E3137" s="7">
        <f t="shared" si="48"/>
        <v>1</v>
      </c>
    </row>
    <row r="3138" spans="1:5" x14ac:dyDescent="0.25">
      <c r="A3138" s="7">
        <f>IF(E3138=1,
      SUM($E$2:E3138)-1,
"")</f>
        <v>3135</v>
      </c>
      <c r="B3138" s="6" t="s">
        <v>413</v>
      </c>
      <c r="C3138" s="14">
        <v>44972</v>
      </c>
      <c r="D3138" s="15">
        <v>58.87</v>
      </c>
      <c r="E3138" s="7">
        <f t="shared" ref="E3138:E3201" si="49">IF(D3138&gt;0,1,0)</f>
        <v>1</v>
      </c>
    </row>
    <row r="3139" spans="1:5" x14ac:dyDescent="0.25">
      <c r="A3139" s="7">
        <f>IF(E3139=1,
      SUM($E$2:E3139)-1,
"")</f>
        <v>3136</v>
      </c>
      <c r="B3139" s="6" t="s">
        <v>836</v>
      </c>
      <c r="C3139" s="14">
        <v>45114</v>
      </c>
      <c r="D3139" s="15">
        <v>120.78</v>
      </c>
      <c r="E3139" s="7">
        <f t="shared" si="49"/>
        <v>1</v>
      </c>
    </row>
    <row r="3140" spans="1:5" x14ac:dyDescent="0.25">
      <c r="A3140" s="7">
        <f>IF(E3140=1,
      SUM($E$2:E3140)-1,
"")</f>
        <v>3137</v>
      </c>
      <c r="B3140" s="6" t="s">
        <v>157</v>
      </c>
      <c r="C3140" s="14">
        <v>45074</v>
      </c>
      <c r="D3140" s="15">
        <v>135.47999999999999</v>
      </c>
      <c r="E3140" s="7">
        <f t="shared" si="49"/>
        <v>1</v>
      </c>
    </row>
    <row r="3141" spans="1:5" x14ac:dyDescent="0.25">
      <c r="A3141" s="7">
        <f>IF(E3141=1,
      SUM($E$2:E3141)-1,
"")</f>
        <v>3138</v>
      </c>
      <c r="B3141" s="6" t="s">
        <v>772</v>
      </c>
      <c r="C3141" s="14">
        <v>45016</v>
      </c>
      <c r="D3141" s="15">
        <v>124.27</v>
      </c>
      <c r="E3141" s="7">
        <f t="shared" si="49"/>
        <v>1</v>
      </c>
    </row>
    <row r="3142" spans="1:5" x14ac:dyDescent="0.25">
      <c r="A3142" s="7">
        <f>IF(E3142=1,
      SUM($E$2:E3142)-1,
"")</f>
        <v>3139</v>
      </c>
      <c r="B3142" s="6" t="s">
        <v>769</v>
      </c>
      <c r="C3142" s="14">
        <v>45277</v>
      </c>
      <c r="D3142" s="15">
        <v>132.38999999999999</v>
      </c>
      <c r="E3142" s="7">
        <f t="shared" si="49"/>
        <v>1</v>
      </c>
    </row>
    <row r="3143" spans="1:5" x14ac:dyDescent="0.25">
      <c r="A3143" s="7">
        <f>IF(E3143=1,
      SUM($E$2:E3143)-1,
"")</f>
        <v>3140</v>
      </c>
      <c r="B3143" s="6" t="s">
        <v>885</v>
      </c>
      <c r="C3143" s="14">
        <v>45232</v>
      </c>
      <c r="D3143" s="15">
        <v>141.30000000000001</v>
      </c>
      <c r="E3143" s="7">
        <f t="shared" si="49"/>
        <v>1</v>
      </c>
    </row>
    <row r="3144" spans="1:5" x14ac:dyDescent="0.25">
      <c r="A3144" s="7">
        <f>IF(E3144=1,
      SUM($E$2:E3144)-1,
"")</f>
        <v>3141</v>
      </c>
      <c r="B3144" s="6" t="s">
        <v>506</v>
      </c>
      <c r="C3144" s="14">
        <v>45239</v>
      </c>
      <c r="D3144" s="15">
        <v>106.07</v>
      </c>
      <c r="E3144" s="7">
        <f t="shared" si="49"/>
        <v>1</v>
      </c>
    </row>
    <row r="3145" spans="1:5" x14ac:dyDescent="0.25">
      <c r="A3145" s="7">
        <f>IF(E3145=1,
      SUM($E$2:E3145)-1,
"")</f>
        <v>3142</v>
      </c>
      <c r="B3145" s="6" t="s">
        <v>288</v>
      </c>
      <c r="C3145" s="14">
        <v>45125</v>
      </c>
      <c r="D3145" s="15">
        <v>93.62</v>
      </c>
      <c r="E3145" s="7">
        <f t="shared" si="49"/>
        <v>1</v>
      </c>
    </row>
    <row r="3146" spans="1:5" x14ac:dyDescent="0.25">
      <c r="A3146" s="7">
        <f>IF(E3146=1,
      SUM($E$2:E3146)-1,
"")</f>
        <v>3143</v>
      </c>
      <c r="B3146" s="6" t="s">
        <v>486</v>
      </c>
      <c r="C3146" s="14">
        <v>45267</v>
      </c>
      <c r="D3146" s="15">
        <v>58.95</v>
      </c>
      <c r="E3146" s="7">
        <f t="shared" si="49"/>
        <v>1</v>
      </c>
    </row>
    <row r="3147" spans="1:5" x14ac:dyDescent="0.25">
      <c r="A3147" s="7">
        <f>IF(E3147=1,
      SUM($E$2:E3147)-1,
"")</f>
        <v>3144</v>
      </c>
      <c r="B3147" s="6" t="s">
        <v>488</v>
      </c>
      <c r="C3147" s="14">
        <v>44957</v>
      </c>
      <c r="D3147" s="15">
        <v>91.06</v>
      </c>
      <c r="E3147" s="7">
        <f t="shared" si="49"/>
        <v>1</v>
      </c>
    </row>
    <row r="3148" spans="1:5" x14ac:dyDescent="0.25">
      <c r="A3148" s="7">
        <f>IF(E3148=1,
      SUM($E$2:E3148)-1,
"")</f>
        <v>3145</v>
      </c>
      <c r="B3148" s="6" t="s">
        <v>320</v>
      </c>
      <c r="C3148" s="14">
        <v>45228</v>
      </c>
      <c r="D3148" s="15">
        <v>95.65</v>
      </c>
      <c r="E3148" s="7">
        <f t="shared" si="49"/>
        <v>1</v>
      </c>
    </row>
    <row r="3149" spans="1:5" x14ac:dyDescent="0.25">
      <c r="A3149" s="7">
        <f>IF(E3149=1,
      SUM($E$2:E3149)-1,
"")</f>
        <v>3146</v>
      </c>
      <c r="B3149" s="6" t="s">
        <v>177</v>
      </c>
      <c r="C3149" s="14">
        <v>45193</v>
      </c>
      <c r="D3149" s="15">
        <v>71.510000000000005</v>
      </c>
      <c r="E3149" s="7">
        <f t="shared" si="49"/>
        <v>1</v>
      </c>
    </row>
    <row r="3150" spans="1:5" x14ac:dyDescent="0.25">
      <c r="A3150" s="7">
        <f>IF(E3150=1,
      SUM($E$2:E3150)-1,
"")</f>
        <v>3147</v>
      </c>
      <c r="B3150" s="6" t="s">
        <v>426</v>
      </c>
      <c r="C3150" s="14">
        <v>45219</v>
      </c>
      <c r="D3150" s="15">
        <v>98.85</v>
      </c>
      <c r="E3150" s="7">
        <f t="shared" si="49"/>
        <v>1</v>
      </c>
    </row>
    <row r="3151" spans="1:5" x14ac:dyDescent="0.25">
      <c r="A3151" s="7">
        <f>IF(E3151=1,
      SUM($E$2:E3151)-1,
"")</f>
        <v>3148</v>
      </c>
      <c r="B3151" s="6" t="s">
        <v>96</v>
      </c>
      <c r="C3151" s="14">
        <v>45101</v>
      </c>
      <c r="D3151" s="15">
        <v>68.13</v>
      </c>
      <c r="E3151" s="7">
        <f t="shared" si="49"/>
        <v>1</v>
      </c>
    </row>
    <row r="3152" spans="1:5" x14ac:dyDescent="0.25">
      <c r="A3152" s="7">
        <f>IF(E3152=1,
      SUM($E$2:E3152)-1,
"")</f>
        <v>3149</v>
      </c>
      <c r="B3152" s="6" t="s">
        <v>1000</v>
      </c>
      <c r="C3152" s="14">
        <v>45122</v>
      </c>
      <c r="D3152" s="15">
        <v>133.4</v>
      </c>
      <c r="E3152" s="7">
        <f t="shared" si="49"/>
        <v>1</v>
      </c>
    </row>
    <row r="3153" spans="1:5" x14ac:dyDescent="0.25">
      <c r="A3153" s="7">
        <f>IF(E3153=1,
      SUM($E$2:E3153)-1,
"")</f>
        <v>3150</v>
      </c>
      <c r="B3153" s="6" t="s">
        <v>895</v>
      </c>
      <c r="C3153" s="14">
        <v>45020</v>
      </c>
      <c r="D3153" s="15">
        <v>112.77</v>
      </c>
      <c r="E3153" s="7">
        <f t="shared" si="49"/>
        <v>1</v>
      </c>
    </row>
    <row r="3154" spans="1:5" x14ac:dyDescent="0.25">
      <c r="A3154" s="7">
        <f>IF(E3154=1,
      SUM($E$2:E3154)-1,
"")</f>
        <v>3151</v>
      </c>
      <c r="B3154" s="6" t="s">
        <v>855</v>
      </c>
      <c r="C3154" s="14">
        <v>45106</v>
      </c>
      <c r="D3154" s="15">
        <v>86.21</v>
      </c>
      <c r="E3154" s="7">
        <f t="shared" si="49"/>
        <v>1</v>
      </c>
    </row>
    <row r="3155" spans="1:5" x14ac:dyDescent="0.25">
      <c r="A3155" s="7">
        <f>IF(E3155=1,
      SUM($E$2:E3155)-1,
"")</f>
        <v>3152</v>
      </c>
      <c r="B3155" s="6" t="s">
        <v>477</v>
      </c>
      <c r="C3155" s="14">
        <v>45270</v>
      </c>
      <c r="D3155" s="15">
        <v>105.67</v>
      </c>
      <c r="E3155" s="7">
        <f t="shared" si="49"/>
        <v>1</v>
      </c>
    </row>
    <row r="3156" spans="1:5" x14ac:dyDescent="0.25">
      <c r="A3156" s="7">
        <f>IF(E3156=1,
      SUM($E$2:E3156)-1,
"")</f>
        <v>3153</v>
      </c>
      <c r="B3156" s="6" t="s">
        <v>475</v>
      </c>
      <c r="C3156" s="14">
        <v>45112</v>
      </c>
      <c r="D3156" s="15">
        <v>66.849999999999994</v>
      </c>
      <c r="E3156" s="7">
        <f t="shared" si="49"/>
        <v>1</v>
      </c>
    </row>
    <row r="3157" spans="1:5" x14ac:dyDescent="0.25">
      <c r="A3157" s="7">
        <f>IF(E3157=1,
      SUM($E$2:E3157)-1,
"")</f>
        <v>3154</v>
      </c>
      <c r="B3157" s="6" t="s">
        <v>275</v>
      </c>
      <c r="C3157" s="14">
        <v>44966</v>
      </c>
      <c r="D3157" s="15">
        <v>69.89</v>
      </c>
      <c r="E3157" s="7">
        <f t="shared" si="49"/>
        <v>1</v>
      </c>
    </row>
    <row r="3158" spans="1:5" x14ac:dyDescent="0.25">
      <c r="A3158" s="7">
        <f>IF(E3158=1,
      SUM($E$2:E3158)-1,
"")</f>
        <v>3155</v>
      </c>
      <c r="B3158" s="6" t="s">
        <v>434</v>
      </c>
      <c r="C3158" s="14">
        <v>45185</v>
      </c>
      <c r="D3158" s="15">
        <v>80.98</v>
      </c>
      <c r="E3158" s="7">
        <f t="shared" si="49"/>
        <v>1</v>
      </c>
    </row>
    <row r="3159" spans="1:5" x14ac:dyDescent="0.25">
      <c r="A3159" s="7">
        <f>IF(E3159=1,
      SUM($E$2:E3159)-1,
"")</f>
        <v>3156</v>
      </c>
      <c r="B3159" s="6" t="s">
        <v>490</v>
      </c>
      <c r="C3159" s="14">
        <v>44958</v>
      </c>
      <c r="D3159" s="15">
        <v>94.24</v>
      </c>
      <c r="E3159" s="7">
        <f t="shared" si="49"/>
        <v>1</v>
      </c>
    </row>
    <row r="3160" spans="1:5" x14ac:dyDescent="0.25">
      <c r="A3160" s="7">
        <f>IF(E3160=1,
      SUM($E$2:E3160)-1,
"")</f>
        <v>3157</v>
      </c>
      <c r="B3160" s="6" t="s">
        <v>94</v>
      </c>
      <c r="C3160" s="14">
        <v>45131</v>
      </c>
      <c r="D3160" s="15">
        <v>104.24</v>
      </c>
      <c r="E3160" s="7">
        <f t="shared" si="49"/>
        <v>1</v>
      </c>
    </row>
    <row r="3161" spans="1:5" x14ac:dyDescent="0.25">
      <c r="A3161" s="7">
        <f>IF(E3161=1,
      SUM($E$2:E3161)-1,
"")</f>
        <v>3158</v>
      </c>
      <c r="B3161" s="6" t="s">
        <v>769</v>
      </c>
      <c r="C3161" s="14">
        <v>44991</v>
      </c>
      <c r="D3161" s="15">
        <v>104.35</v>
      </c>
      <c r="E3161" s="7">
        <f t="shared" si="49"/>
        <v>1</v>
      </c>
    </row>
    <row r="3162" spans="1:5" x14ac:dyDescent="0.25">
      <c r="A3162" s="7">
        <f>IF(E3162=1,
      SUM($E$2:E3162)-1,
"")</f>
        <v>3159</v>
      </c>
      <c r="B3162" s="6" t="s">
        <v>306</v>
      </c>
      <c r="C3162" s="14">
        <v>45087</v>
      </c>
      <c r="D3162" s="15">
        <v>60.44</v>
      </c>
      <c r="E3162" s="7">
        <f t="shared" si="49"/>
        <v>1</v>
      </c>
    </row>
    <row r="3163" spans="1:5" x14ac:dyDescent="0.25">
      <c r="A3163" s="7">
        <f>IF(E3163=1,
      SUM($E$2:E3163)-1,
"")</f>
        <v>3160</v>
      </c>
      <c r="B3163" s="6" t="s">
        <v>587</v>
      </c>
      <c r="C3163" s="14">
        <v>45215</v>
      </c>
      <c r="D3163" s="15">
        <v>97.58</v>
      </c>
      <c r="E3163" s="7">
        <f t="shared" si="49"/>
        <v>1</v>
      </c>
    </row>
    <row r="3164" spans="1:5" x14ac:dyDescent="0.25">
      <c r="A3164" s="7">
        <f>IF(E3164=1,
      SUM($E$2:E3164)-1,
"")</f>
        <v>3161</v>
      </c>
      <c r="B3164" s="6" t="s">
        <v>374</v>
      </c>
      <c r="C3164" s="14">
        <v>45277</v>
      </c>
      <c r="D3164" s="15">
        <v>75.459999999999994</v>
      </c>
      <c r="E3164" s="7">
        <f t="shared" si="49"/>
        <v>1</v>
      </c>
    </row>
    <row r="3165" spans="1:5" x14ac:dyDescent="0.25">
      <c r="A3165" s="7" t="str">
        <f>IF(E3165=1,
      SUM($E$2:E3165)-1,
"")</f>
        <v/>
      </c>
      <c r="B3165" s="6" t="s">
        <v>801</v>
      </c>
      <c r="C3165" s="14">
        <v>44966</v>
      </c>
      <c r="D3165" s="15">
        <v>-2.27</v>
      </c>
      <c r="E3165" s="7">
        <f t="shared" si="49"/>
        <v>0</v>
      </c>
    </row>
    <row r="3166" spans="1:5" x14ac:dyDescent="0.25">
      <c r="A3166" s="7">
        <f>IF(E3166=1,
      SUM($E$2:E3166)-1,
"")</f>
        <v>3162</v>
      </c>
      <c r="B3166" s="6" t="s">
        <v>164</v>
      </c>
      <c r="C3166" s="14">
        <v>45197</v>
      </c>
      <c r="D3166" s="15">
        <v>192.27</v>
      </c>
      <c r="E3166" s="7">
        <f t="shared" si="49"/>
        <v>1</v>
      </c>
    </row>
    <row r="3167" spans="1:5" x14ac:dyDescent="0.25">
      <c r="A3167" s="7">
        <f>IF(E3167=1,
      SUM($E$2:E3167)-1,
"")</f>
        <v>3163</v>
      </c>
      <c r="B3167" s="6" t="s">
        <v>902</v>
      </c>
      <c r="C3167" s="14">
        <v>45146</v>
      </c>
      <c r="D3167" s="15">
        <v>76.040000000000006</v>
      </c>
      <c r="E3167" s="7">
        <f t="shared" si="49"/>
        <v>1</v>
      </c>
    </row>
    <row r="3168" spans="1:5" x14ac:dyDescent="0.25">
      <c r="A3168" s="7">
        <f>IF(E3168=1,
      SUM($E$2:E3168)-1,
"")</f>
        <v>3164</v>
      </c>
      <c r="B3168" s="6" t="s">
        <v>716</v>
      </c>
      <c r="C3168" s="14">
        <v>45291</v>
      </c>
      <c r="D3168" s="15">
        <v>77.709999999999994</v>
      </c>
      <c r="E3168" s="7">
        <f t="shared" si="49"/>
        <v>1</v>
      </c>
    </row>
    <row r="3169" spans="1:5" x14ac:dyDescent="0.25">
      <c r="A3169" s="7">
        <f>IF(E3169=1,
      SUM($E$2:E3169)-1,
"")</f>
        <v>3165</v>
      </c>
      <c r="B3169" s="6" t="s">
        <v>927</v>
      </c>
      <c r="C3169" s="14">
        <v>45283</v>
      </c>
      <c r="D3169" s="15">
        <v>59.61</v>
      </c>
      <c r="E3169" s="7">
        <f t="shared" si="49"/>
        <v>1</v>
      </c>
    </row>
    <row r="3170" spans="1:5" x14ac:dyDescent="0.25">
      <c r="A3170" s="7">
        <f>IF(E3170=1,
      SUM($E$2:E3170)-1,
"")</f>
        <v>3166</v>
      </c>
      <c r="B3170" s="6" t="s">
        <v>378</v>
      </c>
      <c r="C3170" s="14">
        <v>45168</v>
      </c>
      <c r="D3170" s="15">
        <v>68.28</v>
      </c>
      <c r="E3170" s="7">
        <f t="shared" si="49"/>
        <v>1</v>
      </c>
    </row>
    <row r="3171" spans="1:5" x14ac:dyDescent="0.25">
      <c r="A3171" s="7">
        <f>IF(E3171=1,
      SUM($E$2:E3171)-1,
"")</f>
        <v>3167</v>
      </c>
      <c r="B3171" s="6" t="s">
        <v>1015</v>
      </c>
      <c r="C3171" s="14">
        <v>45212</v>
      </c>
      <c r="D3171" s="15">
        <v>94.34</v>
      </c>
      <c r="E3171" s="7">
        <f t="shared" si="49"/>
        <v>1</v>
      </c>
    </row>
    <row r="3172" spans="1:5" x14ac:dyDescent="0.25">
      <c r="A3172" s="7">
        <f>IF(E3172=1,
      SUM($E$2:E3172)-1,
"")</f>
        <v>3168</v>
      </c>
      <c r="B3172" s="6" t="s">
        <v>706</v>
      </c>
      <c r="C3172" s="14">
        <v>45153</v>
      </c>
      <c r="D3172" s="15">
        <v>140.55000000000001</v>
      </c>
      <c r="E3172" s="7">
        <f t="shared" si="49"/>
        <v>1</v>
      </c>
    </row>
    <row r="3173" spans="1:5" x14ac:dyDescent="0.25">
      <c r="A3173" s="7">
        <f>IF(E3173=1,
      SUM($E$2:E3173)-1,
"")</f>
        <v>3169</v>
      </c>
      <c r="B3173" s="6" t="s">
        <v>411</v>
      </c>
      <c r="C3173" s="14">
        <v>44967</v>
      </c>
      <c r="D3173" s="15">
        <v>94.17</v>
      </c>
      <c r="E3173" s="7">
        <f t="shared" si="49"/>
        <v>1</v>
      </c>
    </row>
    <row r="3174" spans="1:5" x14ac:dyDescent="0.25">
      <c r="A3174" s="7">
        <f>IF(E3174=1,
      SUM($E$2:E3174)-1,
"")</f>
        <v>3170</v>
      </c>
      <c r="B3174" s="6" t="s">
        <v>284</v>
      </c>
      <c r="C3174" s="14">
        <v>45143</v>
      </c>
      <c r="D3174" s="15">
        <v>90.29</v>
      </c>
      <c r="E3174" s="7">
        <f t="shared" si="49"/>
        <v>1</v>
      </c>
    </row>
    <row r="3175" spans="1:5" x14ac:dyDescent="0.25">
      <c r="A3175" s="7">
        <f>IF(E3175=1,
      SUM($E$2:E3175)-1,
"")</f>
        <v>3171</v>
      </c>
      <c r="B3175" s="6" t="s">
        <v>876</v>
      </c>
      <c r="C3175" s="14">
        <v>45005</v>
      </c>
      <c r="D3175" s="15">
        <v>136.01</v>
      </c>
      <c r="E3175" s="7">
        <f t="shared" si="49"/>
        <v>1</v>
      </c>
    </row>
    <row r="3176" spans="1:5" x14ac:dyDescent="0.25">
      <c r="A3176" s="7">
        <f>IF(E3176=1,
      SUM($E$2:E3176)-1,
"")</f>
        <v>3172</v>
      </c>
      <c r="B3176" s="6" t="s">
        <v>539</v>
      </c>
      <c r="C3176" s="14">
        <v>44932</v>
      </c>
      <c r="D3176" s="15">
        <v>84.27</v>
      </c>
      <c r="E3176" s="7">
        <f t="shared" si="49"/>
        <v>1</v>
      </c>
    </row>
    <row r="3177" spans="1:5" x14ac:dyDescent="0.25">
      <c r="A3177" s="7">
        <f>IF(E3177=1,
      SUM($E$2:E3177)-1,
"")</f>
        <v>3173</v>
      </c>
      <c r="B3177" s="6" t="s">
        <v>565</v>
      </c>
      <c r="C3177" s="14">
        <v>44953</v>
      </c>
      <c r="D3177" s="15">
        <v>100.63</v>
      </c>
      <c r="E3177" s="7">
        <f t="shared" si="49"/>
        <v>1</v>
      </c>
    </row>
    <row r="3178" spans="1:5" x14ac:dyDescent="0.25">
      <c r="A3178" s="7">
        <f>IF(E3178=1,
      SUM($E$2:E3178)-1,
"")</f>
        <v>3174</v>
      </c>
      <c r="B3178" s="6" t="s">
        <v>502</v>
      </c>
      <c r="C3178" s="14">
        <v>45164</v>
      </c>
      <c r="D3178" s="15">
        <v>72.349999999999994</v>
      </c>
      <c r="E3178" s="7">
        <f t="shared" si="49"/>
        <v>1</v>
      </c>
    </row>
    <row r="3179" spans="1:5" x14ac:dyDescent="0.25">
      <c r="A3179" s="7">
        <f>IF(E3179=1,
      SUM($E$2:E3179)-1,
"")</f>
        <v>3175</v>
      </c>
      <c r="B3179" s="6" t="s">
        <v>472</v>
      </c>
      <c r="C3179" s="14">
        <v>45054</v>
      </c>
      <c r="D3179" s="15">
        <v>150.55000000000001</v>
      </c>
      <c r="E3179" s="7">
        <f t="shared" si="49"/>
        <v>1</v>
      </c>
    </row>
    <row r="3180" spans="1:5" x14ac:dyDescent="0.25">
      <c r="A3180" s="7">
        <f>IF(E3180=1,
      SUM($E$2:E3180)-1,
"")</f>
        <v>3176</v>
      </c>
      <c r="B3180" s="6" t="s">
        <v>513</v>
      </c>
      <c r="C3180" s="14">
        <v>45235</v>
      </c>
      <c r="D3180" s="15">
        <v>131.46</v>
      </c>
      <c r="E3180" s="7">
        <f t="shared" si="49"/>
        <v>1</v>
      </c>
    </row>
    <row r="3181" spans="1:5" x14ac:dyDescent="0.25">
      <c r="A3181" s="7">
        <f>IF(E3181=1,
      SUM($E$2:E3181)-1,
"")</f>
        <v>3177</v>
      </c>
      <c r="B3181" s="6" t="s">
        <v>202</v>
      </c>
      <c r="C3181" s="14">
        <v>45095</v>
      </c>
      <c r="D3181" s="15">
        <v>95.41</v>
      </c>
      <c r="E3181" s="7">
        <f t="shared" si="49"/>
        <v>1</v>
      </c>
    </row>
    <row r="3182" spans="1:5" x14ac:dyDescent="0.25">
      <c r="A3182" s="7">
        <f>IF(E3182=1,
      SUM($E$2:E3182)-1,
"")</f>
        <v>3178</v>
      </c>
      <c r="B3182" s="6" t="s">
        <v>995</v>
      </c>
      <c r="C3182" s="14">
        <v>45082</v>
      </c>
      <c r="D3182" s="15">
        <v>88.02</v>
      </c>
      <c r="E3182" s="7">
        <f t="shared" si="49"/>
        <v>1</v>
      </c>
    </row>
    <row r="3183" spans="1:5" x14ac:dyDescent="0.25">
      <c r="A3183" s="7">
        <f>IF(E3183=1,
      SUM($E$2:E3183)-1,
"")</f>
        <v>3179</v>
      </c>
      <c r="B3183" s="6" t="s">
        <v>981</v>
      </c>
      <c r="C3183" s="14">
        <v>45248</v>
      </c>
      <c r="D3183" s="15">
        <v>99.04</v>
      </c>
      <c r="E3183" s="7">
        <f t="shared" si="49"/>
        <v>1</v>
      </c>
    </row>
    <row r="3184" spans="1:5" x14ac:dyDescent="0.25">
      <c r="A3184" s="7">
        <f>IF(E3184=1,
      SUM($E$2:E3184)-1,
"")</f>
        <v>3180</v>
      </c>
      <c r="B3184" s="6" t="s">
        <v>498</v>
      </c>
      <c r="C3184" s="14">
        <v>45196</v>
      </c>
      <c r="D3184" s="15">
        <v>95.85</v>
      </c>
      <c r="E3184" s="7">
        <f t="shared" si="49"/>
        <v>1</v>
      </c>
    </row>
    <row r="3185" spans="1:5" x14ac:dyDescent="0.25">
      <c r="A3185" s="7">
        <f>IF(E3185=1,
      SUM($E$2:E3185)-1,
"")</f>
        <v>3181</v>
      </c>
      <c r="B3185" s="6" t="s">
        <v>729</v>
      </c>
      <c r="C3185" s="14">
        <v>45014</v>
      </c>
      <c r="D3185" s="15">
        <v>53.6</v>
      </c>
      <c r="E3185" s="7">
        <f t="shared" si="49"/>
        <v>1</v>
      </c>
    </row>
    <row r="3186" spans="1:5" x14ac:dyDescent="0.25">
      <c r="A3186" s="7">
        <f>IF(E3186=1,
      SUM($E$2:E3186)-1,
"")</f>
        <v>3182</v>
      </c>
      <c r="B3186" s="6" t="s">
        <v>521</v>
      </c>
      <c r="C3186" s="14">
        <v>45270</v>
      </c>
      <c r="D3186" s="15">
        <v>132.47999999999999</v>
      </c>
      <c r="E3186" s="7">
        <f t="shared" si="49"/>
        <v>1</v>
      </c>
    </row>
    <row r="3187" spans="1:5" x14ac:dyDescent="0.25">
      <c r="A3187" s="7">
        <f>IF(E3187=1,
      SUM($E$2:E3187)-1,
"")</f>
        <v>3183</v>
      </c>
      <c r="B3187" s="6" t="s">
        <v>591</v>
      </c>
      <c r="C3187" s="14">
        <v>44958</v>
      </c>
      <c r="D3187" s="15">
        <v>93.19</v>
      </c>
      <c r="E3187" s="7">
        <f t="shared" si="49"/>
        <v>1</v>
      </c>
    </row>
    <row r="3188" spans="1:5" x14ac:dyDescent="0.25">
      <c r="A3188" s="7">
        <f>IF(E3188=1,
      SUM($E$2:E3188)-1,
"")</f>
        <v>3184</v>
      </c>
      <c r="B3188" s="6" t="s">
        <v>278</v>
      </c>
      <c r="C3188" s="14">
        <v>45249</v>
      </c>
      <c r="D3188" s="15">
        <v>156.94999999999999</v>
      </c>
      <c r="E3188" s="7">
        <f t="shared" si="49"/>
        <v>1</v>
      </c>
    </row>
    <row r="3189" spans="1:5" x14ac:dyDescent="0.25">
      <c r="A3189" s="7">
        <f>IF(E3189=1,
      SUM($E$2:E3189)-1,
"")</f>
        <v>3185</v>
      </c>
      <c r="B3189" s="6" t="s">
        <v>832</v>
      </c>
      <c r="C3189" s="14">
        <v>45266</v>
      </c>
      <c r="D3189" s="15">
        <v>112.65</v>
      </c>
      <c r="E3189" s="7">
        <f t="shared" si="49"/>
        <v>1</v>
      </c>
    </row>
    <row r="3190" spans="1:5" x14ac:dyDescent="0.25">
      <c r="A3190" s="7">
        <f>IF(E3190=1,
      SUM($E$2:E3190)-1,
"")</f>
        <v>3186</v>
      </c>
      <c r="B3190" s="6" t="s">
        <v>389</v>
      </c>
      <c r="C3190" s="14">
        <v>45011</v>
      </c>
      <c r="D3190" s="15">
        <v>24.37</v>
      </c>
      <c r="E3190" s="7">
        <f t="shared" si="49"/>
        <v>1</v>
      </c>
    </row>
    <row r="3191" spans="1:5" x14ac:dyDescent="0.25">
      <c r="A3191" s="7">
        <f>IF(E3191=1,
      SUM($E$2:E3191)-1,
"")</f>
        <v>3187</v>
      </c>
      <c r="B3191" s="6" t="s">
        <v>864</v>
      </c>
      <c r="C3191" s="14">
        <v>45196</v>
      </c>
      <c r="D3191" s="15">
        <v>61.55</v>
      </c>
      <c r="E3191" s="7">
        <f t="shared" si="49"/>
        <v>1</v>
      </c>
    </row>
    <row r="3192" spans="1:5" x14ac:dyDescent="0.25">
      <c r="A3192" s="7">
        <f>IF(E3192=1,
      SUM($E$2:E3192)-1,
"")</f>
        <v>3188</v>
      </c>
      <c r="B3192" s="6" t="s">
        <v>631</v>
      </c>
      <c r="C3192" s="14">
        <v>45257</v>
      </c>
      <c r="D3192" s="15">
        <v>35.619999999999997</v>
      </c>
      <c r="E3192" s="7">
        <f t="shared" si="49"/>
        <v>1</v>
      </c>
    </row>
    <row r="3193" spans="1:5" x14ac:dyDescent="0.25">
      <c r="A3193" s="7">
        <f>IF(E3193=1,
      SUM($E$2:E3193)-1,
"")</f>
        <v>3189</v>
      </c>
      <c r="B3193" s="6" t="s">
        <v>995</v>
      </c>
      <c r="C3193" s="14">
        <v>45184</v>
      </c>
      <c r="D3193" s="15">
        <v>61.18</v>
      </c>
      <c r="E3193" s="7">
        <f t="shared" si="49"/>
        <v>1</v>
      </c>
    </row>
    <row r="3194" spans="1:5" x14ac:dyDescent="0.25">
      <c r="A3194" s="7">
        <f>IF(E3194=1,
      SUM($E$2:E3194)-1,
"")</f>
        <v>3190</v>
      </c>
      <c r="B3194" s="6" t="s">
        <v>91</v>
      </c>
      <c r="C3194" s="14">
        <v>45238</v>
      </c>
      <c r="D3194" s="15">
        <v>50.99</v>
      </c>
      <c r="E3194" s="7">
        <f t="shared" si="49"/>
        <v>1</v>
      </c>
    </row>
    <row r="3195" spans="1:5" x14ac:dyDescent="0.25">
      <c r="A3195" s="7">
        <f>IF(E3195=1,
      SUM($E$2:E3195)-1,
"")</f>
        <v>3191</v>
      </c>
      <c r="B3195" s="6" t="s">
        <v>1016</v>
      </c>
      <c r="C3195" s="14">
        <v>45101</v>
      </c>
      <c r="D3195" s="15">
        <v>107.58</v>
      </c>
      <c r="E3195" s="7">
        <f t="shared" si="49"/>
        <v>1</v>
      </c>
    </row>
    <row r="3196" spans="1:5" x14ac:dyDescent="0.25">
      <c r="A3196" s="7">
        <f>IF(E3196=1,
      SUM($E$2:E3196)-1,
"")</f>
        <v>3192</v>
      </c>
      <c r="B3196" s="6" t="s">
        <v>892</v>
      </c>
      <c r="C3196" s="14">
        <v>45074</v>
      </c>
      <c r="D3196" s="15">
        <v>90.52</v>
      </c>
      <c r="E3196" s="7">
        <f t="shared" si="49"/>
        <v>1</v>
      </c>
    </row>
    <row r="3197" spans="1:5" x14ac:dyDescent="0.25">
      <c r="A3197" s="7">
        <f>IF(E3197=1,
      SUM($E$2:E3197)-1,
"")</f>
        <v>3193</v>
      </c>
      <c r="B3197" s="6" t="s">
        <v>471</v>
      </c>
      <c r="C3197" s="14">
        <v>45108</v>
      </c>
      <c r="D3197" s="15">
        <v>122.22</v>
      </c>
      <c r="E3197" s="7">
        <f t="shared" si="49"/>
        <v>1</v>
      </c>
    </row>
    <row r="3198" spans="1:5" x14ac:dyDescent="0.25">
      <c r="A3198" s="7">
        <f>IF(E3198=1,
      SUM($E$2:E3198)-1,
"")</f>
        <v>3194</v>
      </c>
      <c r="B3198" s="6" t="s">
        <v>284</v>
      </c>
      <c r="C3198" s="14">
        <v>45224</v>
      </c>
      <c r="D3198" s="15">
        <v>98.86</v>
      </c>
      <c r="E3198" s="7">
        <f t="shared" si="49"/>
        <v>1</v>
      </c>
    </row>
    <row r="3199" spans="1:5" x14ac:dyDescent="0.25">
      <c r="A3199" s="7">
        <f>IF(E3199=1,
      SUM($E$2:E3199)-1,
"")</f>
        <v>3195</v>
      </c>
      <c r="B3199" s="6" t="s">
        <v>868</v>
      </c>
      <c r="C3199" s="14">
        <v>44976</v>
      </c>
      <c r="D3199" s="15">
        <v>92.79</v>
      </c>
      <c r="E3199" s="7">
        <f t="shared" si="49"/>
        <v>1</v>
      </c>
    </row>
    <row r="3200" spans="1:5" x14ac:dyDescent="0.25">
      <c r="A3200" s="7">
        <f>IF(E3200=1,
      SUM($E$2:E3200)-1,
"")</f>
        <v>3196</v>
      </c>
      <c r="B3200" s="6" t="s">
        <v>659</v>
      </c>
      <c r="C3200" s="14">
        <v>45163</v>
      </c>
      <c r="D3200" s="15">
        <v>160.1</v>
      </c>
      <c r="E3200" s="7">
        <f t="shared" si="49"/>
        <v>1</v>
      </c>
    </row>
    <row r="3201" spans="1:5" x14ac:dyDescent="0.25">
      <c r="A3201" s="7">
        <f>IF(E3201=1,
      SUM($E$2:E3201)-1,
"")</f>
        <v>3197</v>
      </c>
      <c r="B3201" s="6" t="s">
        <v>863</v>
      </c>
      <c r="C3201" s="14">
        <v>45238</v>
      </c>
      <c r="D3201" s="15">
        <v>106.68</v>
      </c>
      <c r="E3201" s="7">
        <f t="shared" si="49"/>
        <v>1</v>
      </c>
    </row>
    <row r="3202" spans="1:5" x14ac:dyDescent="0.25">
      <c r="A3202" s="7">
        <f>IF(E3202=1,
      SUM($E$2:E3202)-1,
"")</f>
        <v>3198</v>
      </c>
      <c r="B3202" s="6" t="s">
        <v>779</v>
      </c>
      <c r="C3202" s="14">
        <v>45196</v>
      </c>
      <c r="D3202" s="15">
        <v>97.58</v>
      </c>
      <c r="E3202" s="7">
        <f t="shared" ref="E3202:E3265" si="50">IF(D3202&gt;0,1,0)</f>
        <v>1</v>
      </c>
    </row>
    <row r="3203" spans="1:5" x14ac:dyDescent="0.25">
      <c r="A3203" s="7">
        <f>IF(E3203=1,
      SUM($E$2:E3203)-1,
"")</f>
        <v>3199</v>
      </c>
      <c r="B3203" s="6" t="s">
        <v>908</v>
      </c>
      <c r="C3203" s="14">
        <v>44957</v>
      </c>
      <c r="D3203" s="15">
        <v>74.400000000000006</v>
      </c>
      <c r="E3203" s="7">
        <f t="shared" si="50"/>
        <v>1</v>
      </c>
    </row>
    <row r="3204" spans="1:5" x14ac:dyDescent="0.25">
      <c r="A3204" s="7">
        <f>IF(E3204=1,
      SUM($E$2:E3204)-1,
"")</f>
        <v>3200</v>
      </c>
      <c r="B3204" s="6" t="s">
        <v>588</v>
      </c>
      <c r="C3204" s="14">
        <v>45206</v>
      </c>
      <c r="D3204" s="15">
        <v>64.72</v>
      </c>
      <c r="E3204" s="7">
        <f t="shared" si="50"/>
        <v>1</v>
      </c>
    </row>
    <row r="3205" spans="1:5" x14ac:dyDescent="0.25">
      <c r="A3205" s="7">
        <f>IF(E3205=1,
      SUM($E$2:E3205)-1,
"")</f>
        <v>3201</v>
      </c>
      <c r="B3205" s="6" t="s">
        <v>175</v>
      </c>
      <c r="C3205" s="14">
        <v>44999</v>
      </c>
      <c r="D3205" s="15">
        <v>123.12</v>
      </c>
      <c r="E3205" s="7">
        <f t="shared" si="50"/>
        <v>1</v>
      </c>
    </row>
    <row r="3206" spans="1:5" x14ac:dyDescent="0.25">
      <c r="A3206" s="7">
        <f>IF(E3206=1,
      SUM($E$2:E3206)-1,
"")</f>
        <v>3202</v>
      </c>
      <c r="B3206" s="6" t="s">
        <v>254</v>
      </c>
      <c r="C3206" s="14">
        <v>45174</v>
      </c>
      <c r="D3206" s="15">
        <v>121.32</v>
      </c>
      <c r="E3206" s="7">
        <f t="shared" si="50"/>
        <v>1</v>
      </c>
    </row>
    <row r="3207" spans="1:5" x14ac:dyDescent="0.25">
      <c r="A3207" s="7">
        <f>IF(E3207=1,
      SUM($E$2:E3207)-1,
"")</f>
        <v>3203</v>
      </c>
      <c r="B3207" s="6" t="s">
        <v>479</v>
      </c>
      <c r="C3207" s="14">
        <v>45085</v>
      </c>
      <c r="D3207" s="15">
        <v>147.15</v>
      </c>
      <c r="E3207" s="7">
        <f t="shared" si="50"/>
        <v>1</v>
      </c>
    </row>
    <row r="3208" spans="1:5" x14ac:dyDescent="0.25">
      <c r="A3208" s="7">
        <f>IF(E3208=1,
      SUM($E$2:E3208)-1,
"")</f>
        <v>3204</v>
      </c>
      <c r="B3208" s="6" t="s">
        <v>105</v>
      </c>
      <c r="C3208" s="14">
        <v>44959</v>
      </c>
      <c r="D3208" s="15">
        <v>114.37</v>
      </c>
      <c r="E3208" s="7">
        <f t="shared" si="50"/>
        <v>1</v>
      </c>
    </row>
    <row r="3209" spans="1:5" x14ac:dyDescent="0.25">
      <c r="A3209" s="7">
        <f>IF(E3209=1,
      SUM($E$2:E3209)-1,
"")</f>
        <v>3205</v>
      </c>
      <c r="B3209" s="6" t="s">
        <v>669</v>
      </c>
      <c r="C3209" s="14">
        <v>45139</v>
      </c>
      <c r="D3209" s="15">
        <v>88.21</v>
      </c>
      <c r="E3209" s="7">
        <f t="shared" si="50"/>
        <v>1</v>
      </c>
    </row>
    <row r="3210" spans="1:5" x14ac:dyDescent="0.25">
      <c r="A3210" s="7">
        <f>IF(E3210=1,
      SUM($E$2:E3210)-1,
"")</f>
        <v>3206</v>
      </c>
      <c r="B3210" s="6" t="s">
        <v>106</v>
      </c>
      <c r="C3210" s="14">
        <v>45258</v>
      </c>
      <c r="D3210" s="15">
        <v>115.33</v>
      </c>
      <c r="E3210" s="7">
        <f t="shared" si="50"/>
        <v>1</v>
      </c>
    </row>
    <row r="3211" spans="1:5" x14ac:dyDescent="0.25">
      <c r="A3211" s="7">
        <f>IF(E3211=1,
      SUM($E$2:E3211)-1,
"")</f>
        <v>3207</v>
      </c>
      <c r="B3211" s="6" t="s">
        <v>798</v>
      </c>
      <c r="C3211" s="14">
        <v>45214</v>
      </c>
      <c r="D3211" s="15">
        <v>97.59</v>
      </c>
      <c r="E3211" s="7">
        <f t="shared" si="50"/>
        <v>1</v>
      </c>
    </row>
    <row r="3212" spans="1:5" x14ac:dyDescent="0.25">
      <c r="A3212" s="7">
        <f>IF(E3212=1,
      SUM($E$2:E3212)-1,
"")</f>
        <v>3208</v>
      </c>
      <c r="B3212" s="6" t="s">
        <v>637</v>
      </c>
      <c r="C3212" s="14">
        <v>45226</v>
      </c>
      <c r="D3212" s="15">
        <v>125.96</v>
      </c>
      <c r="E3212" s="7">
        <f t="shared" si="50"/>
        <v>1</v>
      </c>
    </row>
    <row r="3213" spans="1:5" x14ac:dyDescent="0.25">
      <c r="A3213" s="7">
        <f>IF(E3213=1,
      SUM($E$2:E3213)-1,
"")</f>
        <v>3209</v>
      </c>
      <c r="B3213" s="6" t="s">
        <v>719</v>
      </c>
      <c r="C3213" s="14">
        <v>44950</v>
      </c>
      <c r="D3213" s="15">
        <v>140.03</v>
      </c>
      <c r="E3213" s="7">
        <f t="shared" si="50"/>
        <v>1</v>
      </c>
    </row>
    <row r="3214" spans="1:5" x14ac:dyDescent="0.25">
      <c r="A3214" s="7">
        <f>IF(E3214=1,
      SUM($E$2:E3214)-1,
"")</f>
        <v>3210</v>
      </c>
      <c r="B3214" s="6" t="s">
        <v>150</v>
      </c>
      <c r="C3214" s="14">
        <v>45259</v>
      </c>
      <c r="D3214" s="15">
        <v>94.94</v>
      </c>
      <c r="E3214" s="7">
        <f t="shared" si="50"/>
        <v>1</v>
      </c>
    </row>
    <row r="3215" spans="1:5" x14ac:dyDescent="0.25">
      <c r="A3215" s="7">
        <f>IF(E3215=1,
      SUM($E$2:E3215)-1,
"")</f>
        <v>3211</v>
      </c>
      <c r="B3215" s="6" t="s">
        <v>473</v>
      </c>
      <c r="C3215" s="14">
        <v>45196</v>
      </c>
      <c r="D3215" s="15">
        <v>152.72</v>
      </c>
      <c r="E3215" s="7">
        <f t="shared" si="50"/>
        <v>1</v>
      </c>
    </row>
    <row r="3216" spans="1:5" x14ac:dyDescent="0.25">
      <c r="A3216" s="7">
        <f>IF(E3216=1,
      SUM($E$2:E3216)-1,
"")</f>
        <v>3212</v>
      </c>
      <c r="B3216" s="6" t="s">
        <v>641</v>
      </c>
      <c r="C3216" s="14">
        <v>45124</v>
      </c>
      <c r="D3216" s="15">
        <v>135.65</v>
      </c>
      <c r="E3216" s="7">
        <f t="shared" si="50"/>
        <v>1</v>
      </c>
    </row>
    <row r="3217" spans="1:5" x14ac:dyDescent="0.25">
      <c r="A3217" s="7">
        <f>IF(E3217=1,
      SUM($E$2:E3217)-1,
"")</f>
        <v>3213</v>
      </c>
      <c r="B3217" s="6" t="s">
        <v>420</v>
      </c>
      <c r="C3217" s="14">
        <v>45124</v>
      </c>
      <c r="D3217" s="15">
        <v>100.53</v>
      </c>
      <c r="E3217" s="7">
        <f t="shared" si="50"/>
        <v>1</v>
      </c>
    </row>
    <row r="3218" spans="1:5" x14ac:dyDescent="0.25">
      <c r="A3218" s="7">
        <f>IF(E3218=1,
      SUM($E$2:E3218)-1,
"")</f>
        <v>3214</v>
      </c>
      <c r="B3218" s="6" t="s">
        <v>450</v>
      </c>
      <c r="C3218" s="14">
        <v>45142</v>
      </c>
      <c r="D3218" s="15">
        <v>120.12</v>
      </c>
      <c r="E3218" s="7">
        <f t="shared" si="50"/>
        <v>1</v>
      </c>
    </row>
    <row r="3219" spans="1:5" x14ac:dyDescent="0.25">
      <c r="A3219" s="7">
        <f>IF(E3219=1,
      SUM($E$2:E3219)-1,
"")</f>
        <v>3215</v>
      </c>
      <c r="B3219" s="6" t="s">
        <v>872</v>
      </c>
      <c r="C3219" s="14">
        <v>45222</v>
      </c>
      <c r="D3219" s="15">
        <v>109.16</v>
      </c>
      <c r="E3219" s="7">
        <f t="shared" si="50"/>
        <v>1</v>
      </c>
    </row>
    <row r="3220" spans="1:5" x14ac:dyDescent="0.25">
      <c r="A3220" s="7">
        <f>IF(E3220=1,
      SUM($E$2:E3220)-1,
"")</f>
        <v>3216</v>
      </c>
      <c r="B3220" s="6" t="s">
        <v>183</v>
      </c>
      <c r="C3220" s="14">
        <v>45290</v>
      </c>
      <c r="D3220" s="15">
        <v>100.66</v>
      </c>
      <c r="E3220" s="7">
        <f t="shared" si="50"/>
        <v>1</v>
      </c>
    </row>
    <row r="3221" spans="1:5" x14ac:dyDescent="0.25">
      <c r="A3221" s="7">
        <f>IF(E3221=1,
      SUM($E$2:E3221)-1,
"")</f>
        <v>3217</v>
      </c>
      <c r="B3221" s="6" t="s">
        <v>270</v>
      </c>
      <c r="C3221" s="14">
        <v>44979</v>
      </c>
      <c r="D3221" s="15">
        <v>157.38999999999999</v>
      </c>
      <c r="E3221" s="7">
        <f t="shared" si="50"/>
        <v>1</v>
      </c>
    </row>
    <row r="3222" spans="1:5" x14ac:dyDescent="0.25">
      <c r="A3222" s="7">
        <f>IF(E3222=1,
      SUM($E$2:E3222)-1,
"")</f>
        <v>3218</v>
      </c>
      <c r="B3222" s="6" t="s">
        <v>651</v>
      </c>
      <c r="C3222" s="14">
        <v>45261</v>
      </c>
      <c r="D3222" s="15">
        <v>115.53</v>
      </c>
      <c r="E3222" s="7">
        <f t="shared" si="50"/>
        <v>1</v>
      </c>
    </row>
    <row r="3223" spans="1:5" x14ac:dyDescent="0.25">
      <c r="A3223" s="7">
        <f>IF(E3223=1,
      SUM($E$2:E3223)-1,
"")</f>
        <v>3219</v>
      </c>
      <c r="B3223" s="6" t="s">
        <v>541</v>
      </c>
      <c r="C3223" s="14">
        <v>45006</v>
      </c>
      <c r="D3223" s="15">
        <v>74.77</v>
      </c>
      <c r="E3223" s="7">
        <f t="shared" si="50"/>
        <v>1</v>
      </c>
    </row>
    <row r="3224" spans="1:5" x14ac:dyDescent="0.25">
      <c r="A3224" s="7">
        <f>IF(E3224=1,
      SUM($E$2:E3224)-1,
"")</f>
        <v>3220</v>
      </c>
      <c r="B3224" s="6" t="s">
        <v>96</v>
      </c>
      <c r="C3224" s="14">
        <v>45211</v>
      </c>
      <c r="D3224" s="15">
        <v>69.16</v>
      </c>
      <c r="E3224" s="7">
        <f t="shared" si="50"/>
        <v>1</v>
      </c>
    </row>
    <row r="3225" spans="1:5" x14ac:dyDescent="0.25">
      <c r="A3225" s="7">
        <f>IF(E3225=1,
      SUM($E$2:E3225)-1,
"")</f>
        <v>3221</v>
      </c>
      <c r="B3225" s="6" t="s">
        <v>232</v>
      </c>
      <c r="C3225" s="14">
        <v>45250</v>
      </c>
      <c r="D3225" s="15">
        <v>70.39</v>
      </c>
      <c r="E3225" s="7">
        <f t="shared" si="50"/>
        <v>1</v>
      </c>
    </row>
    <row r="3226" spans="1:5" x14ac:dyDescent="0.25">
      <c r="A3226" s="7">
        <f>IF(E3226=1,
      SUM($E$2:E3226)-1,
"")</f>
        <v>3222</v>
      </c>
      <c r="B3226" s="6" t="s">
        <v>581</v>
      </c>
      <c r="C3226" s="14">
        <v>45188</v>
      </c>
      <c r="D3226" s="15">
        <v>114.69</v>
      </c>
      <c r="E3226" s="7">
        <f t="shared" si="50"/>
        <v>1</v>
      </c>
    </row>
    <row r="3227" spans="1:5" x14ac:dyDescent="0.25">
      <c r="A3227" s="7">
        <f>IF(E3227=1,
      SUM($E$2:E3227)-1,
"")</f>
        <v>3223</v>
      </c>
      <c r="B3227" s="6" t="s">
        <v>852</v>
      </c>
      <c r="C3227" s="14">
        <v>45292</v>
      </c>
      <c r="D3227" s="15">
        <v>89.75</v>
      </c>
      <c r="E3227" s="7">
        <f t="shared" si="50"/>
        <v>1</v>
      </c>
    </row>
    <row r="3228" spans="1:5" x14ac:dyDescent="0.25">
      <c r="A3228" s="7">
        <f>IF(E3228=1,
      SUM($E$2:E3228)-1,
"")</f>
        <v>3224</v>
      </c>
      <c r="B3228" s="6" t="s">
        <v>707</v>
      </c>
      <c r="C3228" s="14">
        <v>45232</v>
      </c>
      <c r="D3228" s="15">
        <v>110</v>
      </c>
      <c r="E3228" s="7">
        <f t="shared" si="50"/>
        <v>1</v>
      </c>
    </row>
    <row r="3229" spans="1:5" x14ac:dyDescent="0.25">
      <c r="A3229" s="7">
        <f>IF(E3229=1,
      SUM($E$2:E3229)-1,
"")</f>
        <v>3225</v>
      </c>
      <c r="B3229" s="6" t="s">
        <v>620</v>
      </c>
      <c r="C3229" s="14">
        <v>45023</v>
      </c>
      <c r="D3229" s="15">
        <v>128.09</v>
      </c>
      <c r="E3229" s="7">
        <f t="shared" si="50"/>
        <v>1</v>
      </c>
    </row>
    <row r="3230" spans="1:5" x14ac:dyDescent="0.25">
      <c r="A3230" s="7">
        <f>IF(E3230=1,
      SUM($E$2:E3230)-1,
"")</f>
        <v>3226</v>
      </c>
      <c r="B3230" s="6" t="s">
        <v>558</v>
      </c>
      <c r="C3230" s="14">
        <v>45113</v>
      </c>
      <c r="D3230" s="15">
        <v>160.86000000000001</v>
      </c>
      <c r="E3230" s="7">
        <f t="shared" si="50"/>
        <v>1</v>
      </c>
    </row>
    <row r="3231" spans="1:5" x14ac:dyDescent="0.25">
      <c r="A3231" s="7">
        <f>IF(E3231=1,
      SUM($E$2:E3231)-1,
"")</f>
        <v>3227</v>
      </c>
      <c r="B3231" s="6" t="s">
        <v>548</v>
      </c>
      <c r="C3231" s="14">
        <v>45069</v>
      </c>
      <c r="D3231" s="15">
        <v>90.45</v>
      </c>
      <c r="E3231" s="7">
        <f t="shared" si="50"/>
        <v>1</v>
      </c>
    </row>
    <row r="3232" spans="1:5" x14ac:dyDescent="0.25">
      <c r="A3232" s="7">
        <f>IF(E3232=1,
      SUM($E$2:E3232)-1,
"")</f>
        <v>3228</v>
      </c>
      <c r="B3232" s="6" t="s">
        <v>179</v>
      </c>
      <c r="C3232" s="14">
        <v>45287</v>
      </c>
      <c r="D3232" s="15">
        <v>57.74</v>
      </c>
      <c r="E3232" s="7">
        <f t="shared" si="50"/>
        <v>1</v>
      </c>
    </row>
    <row r="3233" spans="1:5" x14ac:dyDescent="0.25">
      <c r="A3233" s="7">
        <f>IF(E3233=1,
      SUM($E$2:E3233)-1,
"")</f>
        <v>3229</v>
      </c>
      <c r="B3233" s="6" t="s">
        <v>225</v>
      </c>
      <c r="C3233" s="14">
        <v>45190</v>
      </c>
      <c r="D3233" s="15">
        <v>153.77000000000001</v>
      </c>
      <c r="E3233" s="7">
        <f t="shared" si="50"/>
        <v>1</v>
      </c>
    </row>
    <row r="3234" spans="1:5" x14ac:dyDescent="0.25">
      <c r="A3234" s="7">
        <f>IF(E3234=1,
      SUM($E$2:E3234)-1,
"")</f>
        <v>3230</v>
      </c>
      <c r="B3234" s="6" t="s">
        <v>761</v>
      </c>
      <c r="C3234" s="14">
        <v>45283</v>
      </c>
      <c r="D3234" s="15">
        <v>56.29</v>
      </c>
      <c r="E3234" s="7">
        <f t="shared" si="50"/>
        <v>1</v>
      </c>
    </row>
    <row r="3235" spans="1:5" x14ac:dyDescent="0.25">
      <c r="A3235" s="7">
        <f>IF(E3235=1,
      SUM($E$2:E3235)-1,
"")</f>
        <v>3231</v>
      </c>
      <c r="B3235" s="6" t="s">
        <v>491</v>
      </c>
      <c r="C3235" s="14">
        <v>45222</v>
      </c>
      <c r="D3235" s="15">
        <v>55.11</v>
      </c>
      <c r="E3235" s="7">
        <f t="shared" si="50"/>
        <v>1</v>
      </c>
    </row>
    <row r="3236" spans="1:5" x14ac:dyDescent="0.25">
      <c r="A3236" s="7">
        <f>IF(E3236=1,
      SUM($E$2:E3236)-1,
"")</f>
        <v>3232</v>
      </c>
      <c r="B3236" s="6" t="s">
        <v>746</v>
      </c>
      <c r="C3236" s="14">
        <v>45203</v>
      </c>
      <c r="D3236" s="15">
        <v>152.99</v>
      </c>
      <c r="E3236" s="7">
        <f t="shared" si="50"/>
        <v>1</v>
      </c>
    </row>
    <row r="3237" spans="1:5" x14ac:dyDescent="0.25">
      <c r="A3237" s="7">
        <f>IF(E3237=1,
      SUM($E$2:E3237)-1,
"")</f>
        <v>3233</v>
      </c>
      <c r="B3237" s="6" t="s">
        <v>927</v>
      </c>
      <c r="C3237" s="14">
        <v>45067</v>
      </c>
      <c r="D3237" s="15">
        <v>131.99</v>
      </c>
      <c r="E3237" s="7">
        <f t="shared" si="50"/>
        <v>1</v>
      </c>
    </row>
    <row r="3238" spans="1:5" x14ac:dyDescent="0.25">
      <c r="A3238" s="7">
        <f>IF(E3238=1,
      SUM($E$2:E3238)-1,
"")</f>
        <v>3234</v>
      </c>
      <c r="B3238" s="6" t="s">
        <v>953</v>
      </c>
      <c r="C3238" s="14">
        <v>45135</v>
      </c>
      <c r="D3238" s="15">
        <v>114.55</v>
      </c>
      <c r="E3238" s="7">
        <f t="shared" si="50"/>
        <v>1</v>
      </c>
    </row>
    <row r="3239" spans="1:5" x14ac:dyDescent="0.25">
      <c r="A3239" s="7">
        <f>IF(E3239=1,
      SUM($E$2:E3239)-1,
"")</f>
        <v>3235</v>
      </c>
      <c r="B3239" s="6" t="s">
        <v>210</v>
      </c>
      <c r="C3239" s="14">
        <v>45065</v>
      </c>
      <c r="D3239" s="15">
        <v>98.5</v>
      </c>
      <c r="E3239" s="7">
        <f t="shared" si="50"/>
        <v>1</v>
      </c>
    </row>
    <row r="3240" spans="1:5" x14ac:dyDescent="0.25">
      <c r="A3240" s="7">
        <f>IF(E3240=1,
      SUM($E$2:E3240)-1,
"")</f>
        <v>3236</v>
      </c>
      <c r="B3240" s="6" t="s">
        <v>908</v>
      </c>
      <c r="C3240" s="14">
        <v>45167</v>
      </c>
      <c r="D3240" s="15">
        <v>92.82</v>
      </c>
      <c r="E3240" s="7">
        <f t="shared" si="50"/>
        <v>1</v>
      </c>
    </row>
    <row r="3241" spans="1:5" x14ac:dyDescent="0.25">
      <c r="A3241" s="7">
        <f>IF(E3241=1,
      SUM($E$2:E3241)-1,
"")</f>
        <v>3237</v>
      </c>
      <c r="B3241" s="6" t="s">
        <v>858</v>
      </c>
      <c r="C3241" s="14">
        <v>45084</v>
      </c>
      <c r="D3241" s="15">
        <v>80.48</v>
      </c>
      <c r="E3241" s="7">
        <f t="shared" si="50"/>
        <v>1</v>
      </c>
    </row>
    <row r="3242" spans="1:5" x14ac:dyDescent="0.25">
      <c r="A3242" s="7">
        <f>IF(E3242=1,
      SUM($E$2:E3242)-1,
"")</f>
        <v>3238</v>
      </c>
      <c r="B3242" s="6" t="s">
        <v>476</v>
      </c>
      <c r="C3242" s="14">
        <v>45196</v>
      </c>
      <c r="D3242" s="15">
        <v>91.51</v>
      </c>
      <c r="E3242" s="7">
        <f t="shared" si="50"/>
        <v>1</v>
      </c>
    </row>
    <row r="3243" spans="1:5" x14ac:dyDescent="0.25">
      <c r="A3243" s="7">
        <f>IF(E3243=1,
      SUM($E$2:E3243)-1,
"")</f>
        <v>3239</v>
      </c>
      <c r="B3243" s="6" t="s">
        <v>486</v>
      </c>
      <c r="C3243" s="14">
        <v>45219</v>
      </c>
      <c r="D3243" s="15">
        <v>98.58</v>
      </c>
      <c r="E3243" s="7">
        <f t="shared" si="50"/>
        <v>1</v>
      </c>
    </row>
    <row r="3244" spans="1:5" x14ac:dyDescent="0.25">
      <c r="A3244" s="7">
        <f>IF(E3244=1,
      SUM($E$2:E3244)-1,
"")</f>
        <v>3240</v>
      </c>
      <c r="B3244" s="6" t="s">
        <v>138</v>
      </c>
      <c r="C3244" s="14">
        <v>45178</v>
      </c>
      <c r="D3244" s="15">
        <v>58.77</v>
      </c>
      <c r="E3244" s="7">
        <f t="shared" si="50"/>
        <v>1</v>
      </c>
    </row>
    <row r="3245" spans="1:5" x14ac:dyDescent="0.25">
      <c r="A3245" s="7">
        <f>IF(E3245=1,
      SUM($E$2:E3245)-1,
"")</f>
        <v>3241</v>
      </c>
      <c r="B3245" s="6" t="s">
        <v>1017</v>
      </c>
      <c r="C3245" s="14">
        <v>45102</v>
      </c>
      <c r="D3245" s="15">
        <v>75.39</v>
      </c>
      <c r="E3245" s="7">
        <f t="shared" si="50"/>
        <v>1</v>
      </c>
    </row>
    <row r="3246" spans="1:5" x14ac:dyDescent="0.25">
      <c r="A3246" s="7">
        <f>IF(E3246=1,
      SUM($E$2:E3246)-1,
"")</f>
        <v>3242</v>
      </c>
      <c r="B3246" s="6" t="s">
        <v>127</v>
      </c>
      <c r="C3246" s="14">
        <v>45123</v>
      </c>
      <c r="D3246" s="15">
        <v>36.64</v>
      </c>
      <c r="E3246" s="7">
        <f t="shared" si="50"/>
        <v>1</v>
      </c>
    </row>
    <row r="3247" spans="1:5" x14ac:dyDescent="0.25">
      <c r="A3247" s="7">
        <f>IF(E3247=1,
      SUM($E$2:E3247)-1,
"")</f>
        <v>3243</v>
      </c>
      <c r="B3247" s="6" t="s">
        <v>214</v>
      </c>
      <c r="C3247" s="14">
        <v>44986</v>
      </c>
      <c r="D3247" s="15">
        <v>102.34</v>
      </c>
      <c r="E3247" s="7">
        <f t="shared" si="50"/>
        <v>1</v>
      </c>
    </row>
    <row r="3248" spans="1:5" x14ac:dyDescent="0.25">
      <c r="A3248" s="7">
        <f>IF(E3248=1,
      SUM($E$2:E3248)-1,
"")</f>
        <v>3244</v>
      </c>
      <c r="B3248" s="6" t="s">
        <v>565</v>
      </c>
      <c r="C3248" s="14">
        <v>45089</v>
      </c>
      <c r="D3248" s="15">
        <v>102.34</v>
      </c>
      <c r="E3248" s="7">
        <f t="shared" si="50"/>
        <v>1</v>
      </c>
    </row>
    <row r="3249" spans="1:5" x14ac:dyDescent="0.25">
      <c r="A3249" s="7">
        <f>IF(E3249=1,
      SUM($E$2:E3249)-1,
"")</f>
        <v>3245</v>
      </c>
      <c r="B3249" s="6" t="s">
        <v>692</v>
      </c>
      <c r="C3249" s="14">
        <v>45237</v>
      </c>
      <c r="D3249" s="15">
        <v>153.36000000000001</v>
      </c>
      <c r="E3249" s="7">
        <f t="shared" si="50"/>
        <v>1</v>
      </c>
    </row>
    <row r="3250" spans="1:5" x14ac:dyDescent="0.25">
      <c r="A3250" s="7">
        <f>IF(E3250=1,
      SUM($E$2:E3250)-1,
"")</f>
        <v>3246</v>
      </c>
      <c r="B3250" s="6" t="s">
        <v>112</v>
      </c>
      <c r="C3250" s="14">
        <v>45085</v>
      </c>
      <c r="D3250" s="15">
        <v>111.27</v>
      </c>
      <c r="E3250" s="7">
        <f t="shared" si="50"/>
        <v>1</v>
      </c>
    </row>
    <row r="3251" spans="1:5" x14ac:dyDescent="0.25">
      <c r="A3251" s="7">
        <f>IF(E3251=1,
      SUM($E$2:E3251)-1,
"")</f>
        <v>3247</v>
      </c>
      <c r="B3251" s="6" t="s">
        <v>614</v>
      </c>
      <c r="C3251" s="14">
        <v>45252</v>
      </c>
      <c r="D3251" s="15">
        <v>83.32</v>
      </c>
      <c r="E3251" s="7">
        <f t="shared" si="50"/>
        <v>1</v>
      </c>
    </row>
    <row r="3252" spans="1:5" x14ac:dyDescent="0.25">
      <c r="A3252" s="7">
        <f>IF(E3252=1,
      SUM($E$2:E3252)-1,
"")</f>
        <v>3248</v>
      </c>
      <c r="B3252" s="6" t="s">
        <v>874</v>
      </c>
      <c r="C3252" s="14">
        <v>45261</v>
      </c>
      <c r="D3252" s="15">
        <v>93.99</v>
      </c>
      <c r="E3252" s="7">
        <f t="shared" si="50"/>
        <v>1</v>
      </c>
    </row>
    <row r="3253" spans="1:5" x14ac:dyDescent="0.25">
      <c r="A3253" s="7">
        <f>IF(E3253=1,
      SUM($E$2:E3253)-1,
"")</f>
        <v>3249</v>
      </c>
      <c r="B3253" s="6" t="s">
        <v>684</v>
      </c>
      <c r="C3253" s="14">
        <v>45278</v>
      </c>
      <c r="D3253" s="15">
        <v>114.6</v>
      </c>
      <c r="E3253" s="7">
        <f t="shared" si="50"/>
        <v>1</v>
      </c>
    </row>
    <row r="3254" spans="1:5" x14ac:dyDescent="0.25">
      <c r="A3254" s="7">
        <f>IF(E3254=1,
      SUM($E$2:E3254)-1,
"")</f>
        <v>3250</v>
      </c>
      <c r="B3254" s="6" t="s">
        <v>867</v>
      </c>
      <c r="C3254" s="14">
        <v>45231</v>
      </c>
      <c r="D3254" s="15">
        <v>106.83</v>
      </c>
      <c r="E3254" s="7">
        <f t="shared" si="50"/>
        <v>1</v>
      </c>
    </row>
    <row r="3255" spans="1:5" x14ac:dyDescent="0.25">
      <c r="A3255" s="7">
        <f>IF(E3255=1,
      SUM($E$2:E3255)-1,
"")</f>
        <v>3251</v>
      </c>
      <c r="B3255" s="6" t="s">
        <v>855</v>
      </c>
      <c r="C3255" s="14">
        <v>45138</v>
      </c>
      <c r="D3255" s="15">
        <v>117.35</v>
      </c>
      <c r="E3255" s="7">
        <f t="shared" si="50"/>
        <v>1</v>
      </c>
    </row>
    <row r="3256" spans="1:5" x14ac:dyDescent="0.25">
      <c r="A3256" s="7">
        <f>IF(E3256=1,
      SUM($E$2:E3256)-1,
"")</f>
        <v>3252</v>
      </c>
      <c r="B3256" s="6" t="s">
        <v>427</v>
      </c>
      <c r="C3256" s="14">
        <v>45009</v>
      </c>
      <c r="D3256" s="15">
        <v>111.31</v>
      </c>
      <c r="E3256" s="7">
        <f t="shared" si="50"/>
        <v>1</v>
      </c>
    </row>
    <row r="3257" spans="1:5" x14ac:dyDescent="0.25">
      <c r="A3257" s="7">
        <f>IF(E3257=1,
      SUM($E$2:E3257)-1,
"")</f>
        <v>3253</v>
      </c>
      <c r="B3257" s="6" t="s">
        <v>760</v>
      </c>
      <c r="C3257" s="14">
        <v>45084</v>
      </c>
      <c r="D3257" s="15">
        <v>92.42</v>
      </c>
      <c r="E3257" s="7">
        <f t="shared" si="50"/>
        <v>1</v>
      </c>
    </row>
    <row r="3258" spans="1:5" x14ac:dyDescent="0.25">
      <c r="A3258" s="7">
        <f>IF(E3258=1,
      SUM($E$2:E3258)-1,
"")</f>
        <v>3254</v>
      </c>
      <c r="B3258" s="6" t="s">
        <v>411</v>
      </c>
      <c r="C3258" s="14">
        <v>44973</v>
      </c>
      <c r="D3258" s="15">
        <v>83.93</v>
      </c>
      <c r="E3258" s="7">
        <f t="shared" si="50"/>
        <v>1</v>
      </c>
    </row>
    <row r="3259" spans="1:5" x14ac:dyDescent="0.25">
      <c r="A3259" s="7">
        <f>IF(E3259=1,
      SUM($E$2:E3259)-1,
"")</f>
        <v>3255</v>
      </c>
      <c r="B3259" s="6" t="s">
        <v>176</v>
      </c>
      <c r="C3259" s="14">
        <v>45106</v>
      </c>
      <c r="D3259" s="15">
        <v>82.31</v>
      </c>
      <c r="E3259" s="7">
        <f t="shared" si="50"/>
        <v>1</v>
      </c>
    </row>
    <row r="3260" spans="1:5" x14ac:dyDescent="0.25">
      <c r="A3260" s="7">
        <f>IF(E3260=1,
      SUM($E$2:E3260)-1,
"")</f>
        <v>3256</v>
      </c>
      <c r="B3260" s="6" t="s">
        <v>657</v>
      </c>
      <c r="C3260" s="14">
        <v>45163</v>
      </c>
      <c r="D3260" s="15">
        <v>72.239999999999995</v>
      </c>
      <c r="E3260" s="7">
        <f t="shared" si="50"/>
        <v>1</v>
      </c>
    </row>
    <row r="3261" spans="1:5" x14ac:dyDescent="0.25">
      <c r="A3261" s="7">
        <f>IF(E3261=1,
      SUM($E$2:E3261)-1,
"")</f>
        <v>3257</v>
      </c>
      <c r="B3261" s="6" t="s">
        <v>772</v>
      </c>
      <c r="C3261" s="14">
        <v>45166</v>
      </c>
      <c r="D3261" s="15">
        <v>67.540000000000006</v>
      </c>
      <c r="E3261" s="7">
        <f t="shared" si="50"/>
        <v>1</v>
      </c>
    </row>
    <row r="3262" spans="1:5" x14ac:dyDescent="0.25">
      <c r="A3262" s="7">
        <f>IF(E3262=1,
      SUM($E$2:E3262)-1,
"")</f>
        <v>3258</v>
      </c>
      <c r="B3262" s="6" t="s">
        <v>737</v>
      </c>
      <c r="C3262" s="14">
        <v>45001</v>
      </c>
      <c r="D3262" s="15">
        <v>155.15</v>
      </c>
      <c r="E3262" s="7">
        <f t="shared" si="50"/>
        <v>1</v>
      </c>
    </row>
    <row r="3263" spans="1:5" x14ac:dyDescent="0.25">
      <c r="A3263" s="7">
        <f>IF(E3263=1,
      SUM($E$2:E3263)-1,
"")</f>
        <v>3259</v>
      </c>
      <c r="B3263" s="6" t="s">
        <v>763</v>
      </c>
      <c r="C3263" s="14">
        <v>45179</v>
      </c>
      <c r="D3263" s="15">
        <v>103.74</v>
      </c>
      <c r="E3263" s="7">
        <f t="shared" si="50"/>
        <v>1</v>
      </c>
    </row>
    <row r="3264" spans="1:5" x14ac:dyDescent="0.25">
      <c r="A3264" s="7">
        <f>IF(E3264=1,
      SUM($E$2:E3264)-1,
"")</f>
        <v>3260</v>
      </c>
      <c r="B3264" s="6" t="s">
        <v>607</v>
      </c>
      <c r="C3264" s="14">
        <v>45094</v>
      </c>
      <c r="D3264" s="15">
        <v>95.34</v>
      </c>
      <c r="E3264" s="7">
        <f t="shared" si="50"/>
        <v>1</v>
      </c>
    </row>
    <row r="3265" spans="1:5" x14ac:dyDescent="0.25">
      <c r="A3265" s="7">
        <f>IF(E3265=1,
      SUM($E$2:E3265)-1,
"")</f>
        <v>3261</v>
      </c>
      <c r="B3265" s="6" t="s">
        <v>666</v>
      </c>
      <c r="C3265" s="14">
        <v>45280</v>
      </c>
      <c r="D3265" s="15">
        <v>85.12</v>
      </c>
      <c r="E3265" s="7">
        <f t="shared" si="50"/>
        <v>1</v>
      </c>
    </row>
    <row r="3266" spans="1:5" x14ac:dyDescent="0.25">
      <c r="A3266" s="7">
        <f>IF(E3266=1,
      SUM($E$2:E3266)-1,
"")</f>
        <v>3262</v>
      </c>
      <c r="B3266" s="6" t="s">
        <v>750</v>
      </c>
      <c r="C3266" s="14">
        <v>45022</v>
      </c>
      <c r="D3266" s="15">
        <v>112.87</v>
      </c>
      <c r="E3266" s="7">
        <f t="shared" ref="E3266:E3329" si="51">IF(D3266&gt;0,1,0)</f>
        <v>1</v>
      </c>
    </row>
    <row r="3267" spans="1:5" x14ac:dyDescent="0.25">
      <c r="A3267" s="7">
        <f>IF(E3267=1,
      SUM($E$2:E3267)-1,
"")</f>
        <v>3263</v>
      </c>
      <c r="B3267" s="6" t="s">
        <v>937</v>
      </c>
      <c r="C3267" s="14">
        <v>45204</v>
      </c>
      <c r="D3267" s="15">
        <v>136.11000000000001</v>
      </c>
      <c r="E3267" s="7">
        <f t="shared" si="51"/>
        <v>1</v>
      </c>
    </row>
    <row r="3268" spans="1:5" x14ac:dyDescent="0.25">
      <c r="A3268" s="7">
        <f>IF(E3268=1,
      SUM($E$2:E3268)-1,
"")</f>
        <v>3264</v>
      </c>
      <c r="B3268" s="6" t="s">
        <v>696</v>
      </c>
      <c r="C3268" s="14">
        <v>45078</v>
      </c>
      <c r="D3268" s="15">
        <v>121.7</v>
      </c>
      <c r="E3268" s="7">
        <f t="shared" si="51"/>
        <v>1</v>
      </c>
    </row>
    <row r="3269" spans="1:5" x14ac:dyDescent="0.25">
      <c r="A3269" s="7">
        <f>IF(E3269=1,
      SUM($E$2:E3269)-1,
"")</f>
        <v>3265</v>
      </c>
      <c r="B3269" s="6" t="s">
        <v>209</v>
      </c>
      <c r="C3269" s="14">
        <v>45015</v>
      </c>
      <c r="D3269" s="15">
        <v>127.65</v>
      </c>
      <c r="E3269" s="7">
        <f t="shared" si="51"/>
        <v>1</v>
      </c>
    </row>
    <row r="3270" spans="1:5" x14ac:dyDescent="0.25">
      <c r="A3270" s="7">
        <f>IF(E3270=1,
      SUM($E$2:E3270)-1,
"")</f>
        <v>3266</v>
      </c>
      <c r="B3270" s="6" t="s">
        <v>270</v>
      </c>
      <c r="C3270" s="14">
        <v>45090</v>
      </c>
      <c r="D3270" s="15">
        <v>82.4</v>
      </c>
      <c r="E3270" s="7">
        <f t="shared" si="51"/>
        <v>1</v>
      </c>
    </row>
    <row r="3271" spans="1:5" x14ac:dyDescent="0.25">
      <c r="A3271" s="7">
        <f>IF(E3271=1,
      SUM($E$2:E3271)-1,
"")</f>
        <v>3267</v>
      </c>
      <c r="B3271" s="6" t="s">
        <v>723</v>
      </c>
      <c r="C3271" s="14">
        <v>45219</v>
      </c>
      <c r="D3271" s="15">
        <v>99.88</v>
      </c>
      <c r="E3271" s="7">
        <f t="shared" si="51"/>
        <v>1</v>
      </c>
    </row>
    <row r="3272" spans="1:5" x14ac:dyDescent="0.25">
      <c r="A3272" s="7">
        <f>IF(E3272=1,
      SUM($E$2:E3272)-1,
"")</f>
        <v>3268</v>
      </c>
      <c r="B3272" s="6" t="s">
        <v>320</v>
      </c>
      <c r="C3272" s="14">
        <v>45268</v>
      </c>
      <c r="D3272" s="15">
        <v>82.8</v>
      </c>
      <c r="E3272" s="7">
        <f t="shared" si="51"/>
        <v>1</v>
      </c>
    </row>
    <row r="3273" spans="1:5" x14ac:dyDescent="0.25">
      <c r="A3273" s="7">
        <f>IF(E3273=1,
      SUM($E$2:E3273)-1,
"")</f>
        <v>3269</v>
      </c>
      <c r="B3273" s="6" t="s">
        <v>1018</v>
      </c>
      <c r="C3273" s="14">
        <v>45192</v>
      </c>
      <c r="D3273" s="15">
        <v>103.21</v>
      </c>
      <c r="E3273" s="7">
        <f t="shared" si="51"/>
        <v>1</v>
      </c>
    </row>
    <row r="3274" spans="1:5" x14ac:dyDescent="0.25">
      <c r="A3274" s="7">
        <f>IF(E3274=1,
      SUM($E$2:E3274)-1,
"")</f>
        <v>3270</v>
      </c>
      <c r="B3274" s="6" t="s">
        <v>746</v>
      </c>
      <c r="C3274" s="14">
        <v>45117</v>
      </c>
      <c r="D3274" s="15">
        <v>138.18</v>
      </c>
      <c r="E3274" s="7">
        <f t="shared" si="51"/>
        <v>1</v>
      </c>
    </row>
    <row r="3275" spans="1:5" x14ac:dyDescent="0.25">
      <c r="A3275" s="7">
        <f>IF(E3275=1,
      SUM($E$2:E3275)-1,
"")</f>
        <v>3271</v>
      </c>
      <c r="B3275" s="6" t="s">
        <v>154</v>
      </c>
      <c r="C3275" s="14">
        <v>45176</v>
      </c>
      <c r="D3275" s="15">
        <v>113.18</v>
      </c>
      <c r="E3275" s="7">
        <f t="shared" si="51"/>
        <v>1</v>
      </c>
    </row>
    <row r="3276" spans="1:5" x14ac:dyDescent="0.25">
      <c r="A3276" s="7">
        <f>IF(E3276=1,
      SUM($E$2:E3276)-1,
"")</f>
        <v>3272</v>
      </c>
      <c r="B3276" s="6" t="s">
        <v>1019</v>
      </c>
      <c r="C3276" s="14">
        <v>45127</v>
      </c>
      <c r="D3276" s="15">
        <v>148.80000000000001</v>
      </c>
      <c r="E3276" s="7">
        <f t="shared" si="51"/>
        <v>1</v>
      </c>
    </row>
    <row r="3277" spans="1:5" x14ac:dyDescent="0.25">
      <c r="A3277" s="7">
        <f>IF(E3277=1,
      SUM($E$2:E3277)-1,
"")</f>
        <v>3273</v>
      </c>
      <c r="B3277" s="6" t="s">
        <v>588</v>
      </c>
      <c r="C3277" s="14">
        <v>45252</v>
      </c>
      <c r="D3277" s="15">
        <v>91.34</v>
      </c>
      <c r="E3277" s="7">
        <f t="shared" si="51"/>
        <v>1</v>
      </c>
    </row>
    <row r="3278" spans="1:5" x14ac:dyDescent="0.25">
      <c r="A3278" s="7">
        <f>IF(E3278=1,
      SUM($E$2:E3278)-1,
"")</f>
        <v>3274</v>
      </c>
      <c r="B3278" s="6" t="s">
        <v>1020</v>
      </c>
      <c r="C3278" s="14">
        <v>44949</v>
      </c>
      <c r="D3278" s="15">
        <v>75.790000000000006</v>
      </c>
      <c r="E3278" s="7">
        <f t="shared" si="51"/>
        <v>1</v>
      </c>
    </row>
    <row r="3279" spans="1:5" x14ac:dyDescent="0.25">
      <c r="A3279" s="7">
        <f>IF(E3279=1,
      SUM($E$2:E3279)-1,
"")</f>
        <v>3275</v>
      </c>
      <c r="B3279" s="6" t="s">
        <v>931</v>
      </c>
      <c r="C3279" s="14">
        <v>45173</v>
      </c>
      <c r="D3279" s="15">
        <v>115.36</v>
      </c>
      <c r="E3279" s="7">
        <f t="shared" si="51"/>
        <v>1</v>
      </c>
    </row>
    <row r="3280" spans="1:5" x14ac:dyDescent="0.25">
      <c r="A3280" s="7">
        <f>IF(E3280=1,
      SUM($E$2:E3280)-1,
"")</f>
        <v>3276</v>
      </c>
      <c r="B3280" s="6" t="s">
        <v>770</v>
      </c>
      <c r="C3280" s="14">
        <v>45196</v>
      </c>
      <c r="D3280" s="15">
        <v>103.57</v>
      </c>
      <c r="E3280" s="7">
        <f t="shared" si="51"/>
        <v>1</v>
      </c>
    </row>
    <row r="3281" spans="1:5" x14ac:dyDescent="0.25">
      <c r="A3281" s="7">
        <f>IF(E3281=1,
      SUM($E$2:E3281)-1,
"")</f>
        <v>3277</v>
      </c>
      <c r="B3281" s="6" t="s">
        <v>451</v>
      </c>
      <c r="C3281" s="14">
        <v>45148</v>
      </c>
      <c r="D3281" s="15">
        <v>109.68</v>
      </c>
      <c r="E3281" s="7">
        <f t="shared" si="51"/>
        <v>1</v>
      </c>
    </row>
    <row r="3282" spans="1:5" x14ac:dyDescent="0.25">
      <c r="A3282" s="7">
        <f>IF(E3282=1,
      SUM($E$2:E3282)-1,
"")</f>
        <v>3278</v>
      </c>
      <c r="B3282" s="6" t="s">
        <v>443</v>
      </c>
      <c r="C3282" s="14">
        <v>45077</v>
      </c>
      <c r="D3282" s="15">
        <v>105.2</v>
      </c>
      <c r="E3282" s="7">
        <f t="shared" si="51"/>
        <v>1</v>
      </c>
    </row>
    <row r="3283" spans="1:5" x14ac:dyDescent="0.25">
      <c r="A3283" s="7">
        <f>IF(E3283=1,
      SUM($E$2:E3283)-1,
"")</f>
        <v>3279</v>
      </c>
      <c r="B3283" s="6" t="s">
        <v>109</v>
      </c>
      <c r="C3283" s="14">
        <v>45064</v>
      </c>
      <c r="D3283" s="15">
        <v>85.47</v>
      </c>
      <c r="E3283" s="7">
        <f t="shared" si="51"/>
        <v>1</v>
      </c>
    </row>
    <row r="3284" spans="1:5" x14ac:dyDescent="0.25">
      <c r="A3284" s="7">
        <f>IF(E3284=1,
      SUM($E$2:E3284)-1,
"")</f>
        <v>3280</v>
      </c>
      <c r="B3284" s="6" t="s">
        <v>163</v>
      </c>
      <c r="C3284" s="14">
        <v>44980</v>
      </c>
      <c r="D3284" s="15">
        <v>105.87</v>
      </c>
      <c r="E3284" s="7">
        <f t="shared" si="51"/>
        <v>1</v>
      </c>
    </row>
    <row r="3285" spans="1:5" x14ac:dyDescent="0.25">
      <c r="A3285" s="7">
        <f>IF(E3285=1,
      SUM($E$2:E3285)-1,
"")</f>
        <v>3281</v>
      </c>
      <c r="B3285" s="6" t="s">
        <v>211</v>
      </c>
      <c r="C3285" s="14">
        <v>45163</v>
      </c>
      <c r="D3285" s="15">
        <v>129.19999999999999</v>
      </c>
      <c r="E3285" s="7">
        <f t="shared" si="51"/>
        <v>1</v>
      </c>
    </row>
    <row r="3286" spans="1:5" x14ac:dyDescent="0.25">
      <c r="A3286" s="7">
        <f>IF(E3286=1,
      SUM($E$2:E3286)-1,
"")</f>
        <v>3282</v>
      </c>
      <c r="B3286" s="6" t="s">
        <v>1021</v>
      </c>
      <c r="C3286" s="14">
        <v>44941</v>
      </c>
      <c r="D3286" s="15">
        <v>132.28</v>
      </c>
      <c r="E3286" s="7">
        <f t="shared" si="51"/>
        <v>1</v>
      </c>
    </row>
    <row r="3287" spans="1:5" x14ac:dyDescent="0.25">
      <c r="A3287" s="7">
        <f>IF(E3287=1,
      SUM($E$2:E3287)-1,
"")</f>
        <v>3283</v>
      </c>
      <c r="B3287" s="6" t="s">
        <v>709</v>
      </c>
      <c r="C3287" s="14">
        <v>44975</v>
      </c>
      <c r="D3287" s="15">
        <v>85.31</v>
      </c>
      <c r="E3287" s="7">
        <f t="shared" si="51"/>
        <v>1</v>
      </c>
    </row>
    <row r="3288" spans="1:5" x14ac:dyDescent="0.25">
      <c r="A3288" s="7">
        <f>IF(E3288=1,
      SUM($E$2:E3288)-1,
"")</f>
        <v>3284</v>
      </c>
      <c r="B3288" s="6" t="s">
        <v>922</v>
      </c>
      <c r="C3288" s="14">
        <v>45156</v>
      </c>
      <c r="D3288" s="15">
        <v>106.93</v>
      </c>
      <c r="E3288" s="7">
        <f t="shared" si="51"/>
        <v>1</v>
      </c>
    </row>
    <row r="3289" spans="1:5" x14ac:dyDescent="0.25">
      <c r="A3289" s="7">
        <f>IF(E3289=1,
      SUM($E$2:E3289)-1,
"")</f>
        <v>3285</v>
      </c>
      <c r="B3289" s="6" t="s">
        <v>636</v>
      </c>
      <c r="C3289" s="14">
        <v>44969</v>
      </c>
      <c r="D3289" s="15">
        <v>144.31</v>
      </c>
      <c r="E3289" s="7">
        <f t="shared" si="51"/>
        <v>1</v>
      </c>
    </row>
    <row r="3290" spans="1:5" x14ac:dyDescent="0.25">
      <c r="A3290" s="7">
        <f>IF(E3290=1,
      SUM($E$2:E3290)-1,
"")</f>
        <v>3286</v>
      </c>
      <c r="B3290" s="6" t="s">
        <v>1022</v>
      </c>
      <c r="C3290" s="14">
        <v>44956</v>
      </c>
      <c r="D3290" s="15">
        <v>85.96</v>
      </c>
      <c r="E3290" s="7">
        <f t="shared" si="51"/>
        <v>1</v>
      </c>
    </row>
    <row r="3291" spans="1:5" x14ac:dyDescent="0.25">
      <c r="A3291" s="7">
        <f>IF(E3291=1,
      SUM($E$2:E3291)-1,
"")</f>
        <v>3287</v>
      </c>
      <c r="B3291" s="6" t="s">
        <v>553</v>
      </c>
      <c r="C3291" s="14">
        <v>45020</v>
      </c>
      <c r="D3291" s="15">
        <v>80.52</v>
      </c>
      <c r="E3291" s="7">
        <f t="shared" si="51"/>
        <v>1</v>
      </c>
    </row>
    <row r="3292" spans="1:5" x14ac:dyDescent="0.25">
      <c r="A3292" s="7">
        <f>IF(E3292=1,
      SUM($E$2:E3292)-1,
"")</f>
        <v>3288</v>
      </c>
      <c r="B3292" s="6" t="s">
        <v>163</v>
      </c>
      <c r="C3292" s="14">
        <v>45176</v>
      </c>
      <c r="D3292" s="15">
        <v>123.83</v>
      </c>
      <c r="E3292" s="7">
        <f t="shared" si="51"/>
        <v>1</v>
      </c>
    </row>
    <row r="3293" spans="1:5" x14ac:dyDescent="0.25">
      <c r="A3293" s="7">
        <f>IF(E3293=1,
      SUM($E$2:E3293)-1,
"")</f>
        <v>3289</v>
      </c>
      <c r="B3293" s="6" t="s">
        <v>1023</v>
      </c>
      <c r="C3293" s="14">
        <v>44987</v>
      </c>
      <c r="D3293" s="15">
        <v>118.57</v>
      </c>
      <c r="E3293" s="7">
        <f t="shared" si="51"/>
        <v>1</v>
      </c>
    </row>
    <row r="3294" spans="1:5" x14ac:dyDescent="0.25">
      <c r="A3294" s="7">
        <f>IF(E3294=1,
      SUM($E$2:E3294)-1,
"")</f>
        <v>3290</v>
      </c>
      <c r="B3294" s="6" t="s">
        <v>885</v>
      </c>
      <c r="C3294" s="14">
        <v>45199</v>
      </c>
      <c r="D3294" s="15">
        <v>74.89</v>
      </c>
      <c r="E3294" s="7">
        <f t="shared" si="51"/>
        <v>1</v>
      </c>
    </row>
    <row r="3295" spans="1:5" x14ac:dyDescent="0.25">
      <c r="A3295" s="7">
        <f>IF(E3295=1,
      SUM($E$2:E3295)-1,
"")</f>
        <v>3291</v>
      </c>
      <c r="B3295" s="6" t="s">
        <v>75</v>
      </c>
      <c r="C3295" s="14">
        <v>45125</v>
      </c>
      <c r="D3295" s="15">
        <v>58.02</v>
      </c>
      <c r="E3295" s="7">
        <f t="shared" si="51"/>
        <v>1</v>
      </c>
    </row>
    <row r="3296" spans="1:5" x14ac:dyDescent="0.25">
      <c r="A3296" s="7">
        <f>IF(E3296=1,
      SUM($E$2:E3296)-1,
"")</f>
        <v>3292</v>
      </c>
      <c r="B3296" s="6" t="s">
        <v>782</v>
      </c>
      <c r="C3296" s="14">
        <v>45090</v>
      </c>
      <c r="D3296" s="15">
        <v>106.35</v>
      </c>
      <c r="E3296" s="7">
        <f t="shared" si="51"/>
        <v>1</v>
      </c>
    </row>
    <row r="3297" spans="1:5" x14ac:dyDescent="0.25">
      <c r="A3297" s="7">
        <f>IF(E3297=1,
      SUM($E$2:E3297)-1,
"")</f>
        <v>3293</v>
      </c>
      <c r="B3297" s="6" t="s">
        <v>1010</v>
      </c>
      <c r="C3297" s="14">
        <v>44952</v>
      </c>
      <c r="D3297" s="15">
        <v>87.44</v>
      </c>
      <c r="E3297" s="7">
        <f t="shared" si="51"/>
        <v>1</v>
      </c>
    </row>
    <row r="3298" spans="1:5" x14ac:dyDescent="0.25">
      <c r="A3298" s="7">
        <f>IF(E3298=1,
      SUM($E$2:E3298)-1,
"")</f>
        <v>3294</v>
      </c>
      <c r="B3298" s="6" t="s">
        <v>854</v>
      </c>
      <c r="C3298" s="14">
        <v>45144</v>
      </c>
      <c r="D3298" s="15">
        <v>49.48</v>
      </c>
      <c r="E3298" s="7">
        <f t="shared" si="51"/>
        <v>1</v>
      </c>
    </row>
    <row r="3299" spans="1:5" x14ac:dyDescent="0.25">
      <c r="A3299" s="7">
        <f>IF(E3299=1,
      SUM($E$2:E3299)-1,
"")</f>
        <v>3295</v>
      </c>
      <c r="B3299" s="6" t="s">
        <v>802</v>
      </c>
      <c r="C3299" s="14">
        <v>45110</v>
      </c>
      <c r="D3299" s="15">
        <v>79.38</v>
      </c>
      <c r="E3299" s="7">
        <f t="shared" si="51"/>
        <v>1</v>
      </c>
    </row>
    <row r="3300" spans="1:5" x14ac:dyDescent="0.25">
      <c r="A3300" s="7">
        <f>IF(E3300=1,
      SUM($E$2:E3300)-1,
"")</f>
        <v>3296</v>
      </c>
      <c r="B3300" s="6" t="s">
        <v>606</v>
      </c>
      <c r="C3300" s="14">
        <v>45141</v>
      </c>
      <c r="D3300" s="15">
        <v>118.08</v>
      </c>
      <c r="E3300" s="7">
        <f t="shared" si="51"/>
        <v>1</v>
      </c>
    </row>
    <row r="3301" spans="1:5" x14ac:dyDescent="0.25">
      <c r="A3301" s="7">
        <f>IF(E3301=1,
      SUM($E$2:E3301)-1,
"")</f>
        <v>3297</v>
      </c>
      <c r="B3301" s="6" t="s">
        <v>628</v>
      </c>
      <c r="C3301" s="14">
        <v>45219</v>
      </c>
      <c r="D3301" s="15">
        <v>95.46</v>
      </c>
      <c r="E3301" s="7">
        <f t="shared" si="51"/>
        <v>1</v>
      </c>
    </row>
    <row r="3302" spans="1:5" x14ac:dyDescent="0.25">
      <c r="A3302" s="7">
        <f>IF(E3302=1,
      SUM($E$2:E3302)-1,
"")</f>
        <v>3298</v>
      </c>
      <c r="B3302" s="6" t="s">
        <v>510</v>
      </c>
      <c r="C3302" s="14">
        <v>44928</v>
      </c>
      <c r="D3302" s="15">
        <v>146.97999999999999</v>
      </c>
      <c r="E3302" s="7">
        <f t="shared" si="51"/>
        <v>1</v>
      </c>
    </row>
    <row r="3303" spans="1:5" x14ac:dyDescent="0.25">
      <c r="A3303" s="7">
        <f>IF(E3303=1,
      SUM($E$2:E3303)-1,
"")</f>
        <v>3299</v>
      </c>
      <c r="B3303" s="6" t="s">
        <v>910</v>
      </c>
      <c r="C3303" s="14">
        <v>45019</v>
      </c>
      <c r="D3303" s="15">
        <v>37.380000000000003</v>
      </c>
      <c r="E3303" s="7">
        <f t="shared" si="51"/>
        <v>1</v>
      </c>
    </row>
    <row r="3304" spans="1:5" x14ac:dyDescent="0.25">
      <c r="A3304" s="7">
        <f>IF(E3304=1,
      SUM($E$2:E3304)-1,
"")</f>
        <v>3300</v>
      </c>
      <c r="B3304" s="6" t="s">
        <v>208</v>
      </c>
      <c r="C3304" s="14">
        <v>45251</v>
      </c>
      <c r="D3304" s="15">
        <v>140.13999999999999</v>
      </c>
      <c r="E3304" s="7">
        <f t="shared" si="51"/>
        <v>1</v>
      </c>
    </row>
    <row r="3305" spans="1:5" x14ac:dyDescent="0.25">
      <c r="A3305" s="7">
        <f>IF(E3305=1,
      SUM($E$2:E3305)-1,
"")</f>
        <v>3301</v>
      </c>
      <c r="B3305" s="6" t="s">
        <v>1001</v>
      </c>
      <c r="C3305" s="14">
        <v>45081</v>
      </c>
      <c r="D3305" s="15">
        <v>89.68</v>
      </c>
      <c r="E3305" s="7">
        <f t="shared" si="51"/>
        <v>1</v>
      </c>
    </row>
    <row r="3306" spans="1:5" x14ac:dyDescent="0.25">
      <c r="A3306" s="7">
        <f>IF(E3306=1,
      SUM($E$2:E3306)-1,
"")</f>
        <v>3302</v>
      </c>
      <c r="B3306" s="6" t="s">
        <v>724</v>
      </c>
      <c r="C3306" s="14">
        <v>45192</v>
      </c>
      <c r="D3306" s="15">
        <v>85.35</v>
      </c>
      <c r="E3306" s="7">
        <f t="shared" si="51"/>
        <v>1</v>
      </c>
    </row>
    <row r="3307" spans="1:5" x14ac:dyDescent="0.25">
      <c r="A3307" s="7">
        <f>IF(E3307=1,
      SUM($E$2:E3307)-1,
"")</f>
        <v>3303</v>
      </c>
      <c r="B3307" s="6" t="s">
        <v>939</v>
      </c>
      <c r="C3307" s="14">
        <v>45248</v>
      </c>
      <c r="D3307" s="15">
        <v>53.46</v>
      </c>
      <c r="E3307" s="7">
        <f t="shared" si="51"/>
        <v>1</v>
      </c>
    </row>
    <row r="3308" spans="1:5" x14ac:dyDescent="0.25">
      <c r="A3308" s="7">
        <f>IF(E3308=1,
      SUM($E$2:E3308)-1,
"")</f>
        <v>3304</v>
      </c>
      <c r="B3308" s="6" t="s">
        <v>770</v>
      </c>
      <c r="C3308" s="14">
        <v>45211</v>
      </c>
      <c r="D3308" s="15">
        <v>113.95</v>
      </c>
      <c r="E3308" s="7">
        <f t="shared" si="51"/>
        <v>1</v>
      </c>
    </row>
    <row r="3309" spans="1:5" x14ac:dyDescent="0.25">
      <c r="A3309" s="7">
        <f>IF(E3309=1,
      SUM($E$2:E3309)-1,
"")</f>
        <v>3305</v>
      </c>
      <c r="B3309" s="6" t="s">
        <v>964</v>
      </c>
      <c r="C3309" s="14">
        <v>45276</v>
      </c>
      <c r="D3309" s="15">
        <v>45.2</v>
      </c>
      <c r="E3309" s="7">
        <f t="shared" si="51"/>
        <v>1</v>
      </c>
    </row>
    <row r="3310" spans="1:5" x14ac:dyDescent="0.25">
      <c r="A3310" s="7">
        <f>IF(E3310=1,
      SUM($E$2:E3310)-1,
"")</f>
        <v>3306</v>
      </c>
      <c r="B3310" s="6" t="s">
        <v>401</v>
      </c>
      <c r="C3310" s="14">
        <v>45220</v>
      </c>
      <c r="D3310" s="15">
        <v>124.54</v>
      </c>
      <c r="E3310" s="7">
        <f t="shared" si="51"/>
        <v>1</v>
      </c>
    </row>
    <row r="3311" spans="1:5" x14ac:dyDescent="0.25">
      <c r="A3311" s="7">
        <f>IF(E3311=1,
      SUM($E$2:E3311)-1,
"")</f>
        <v>3307</v>
      </c>
      <c r="B3311" s="6" t="s">
        <v>649</v>
      </c>
      <c r="C3311" s="14">
        <v>45279</v>
      </c>
      <c r="D3311" s="15">
        <v>54.6</v>
      </c>
      <c r="E3311" s="7">
        <f t="shared" si="51"/>
        <v>1</v>
      </c>
    </row>
    <row r="3312" spans="1:5" x14ac:dyDescent="0.25">
      <c r="A3312" s="7">
        <f>IF(E3312=1,
      SUM($E$2:E3312)-1,
"")</f>
        <v>3308</v>
      </c>
      <c r="B3312" s="6" t="s">
        <v>103</v>
      </c>
      <c r="C3312" s="14">
        <v>45136</v>
      </c>
      <c r="D3312" s="15">
        <v>59.33</v>
      </c>
      <c r="E3312" s="7">
        <f t="shared" si="51"/>
        <v>1</v>
      </c>
    </row>
    <row r="3313" spans="1:5" x14ac:dyDescent="0.25">
      <c r="A3313" s="7">
        <f>IF(E3313=1,
      SUM($E$2:E3313)-1,
"")</f>
        <v>3309</v>
      </c>
      <c r="B3313" s="6" t="s">
        <v>565</v>
      </c>
      <c r="C3313" s="14">
        <v>45070</v>
      </c>
      <c r="D3313" s="15">
        <v>64.260000000000005</v>
      </c>
      <c r="E3313" s="7">
        <f t="shared" si="51"/>
        <v>1</v>
      </c>
    </row>
    <row r="3314" spans="1:5" x14ac:dyDescent="0.25">
      <c r="A3314" s="7">
        <f>IF(E3314=1,
      SUM($E$2:E3314)-1,
"")</f>
        <v>3310</v>
      </c>
      <c r="B3314" s="6" t="s">
        <v>479</v>
      </c>
      <c r="C3314" s="14">
        <v>45161</v>
      </c>
      <c r="D3314" s="15">
        <v>78.52</v>
      </c>
      <c r="E3314" s="7">
        <f t="shared" si="51"/>
        <v>1</v>
      </c>
    </row>
    <row r="3315" spans="1:5" x14ac:dyDescent="0.25">
      <c r="A3315" s="7">
        <f>IF(E3315=1,
      SUM($E$2:E3315)-1,
"")</f>
        <v>3311</v>
      </c>
      <c r="B3315" s="6" t="s">
        <v>441</v>
      </c>
      <c r="C3315" s="14">
        <v>44955</v>
      </c>
      <c r="D3315" s="15">
        <v>128.26</v>
      </c>
      <c r="E3315" s="7">
        <f t="shared" si="51"/>
        <v>1</v>
      </c>
    </row>
    <row r="3316" spans="1:5" x14ac:dyDescent="0.25">
      <c r="A3316" s="7">
        <f>IF(E3316=1,
      SUM($E$2:E3316)-1,
"")</f>
        <v>3312</v>
      </c>
      <c r="B3316" s="6" t="s">
        <v>300</v>
      </c>
      <c r="C3316" s="14">
        <v>45246</v>
      </c>
      <c r="D3316" s="15">
        <v>145.12</v>
      </c>
      <c r="E3316" s="7">
        <f t="shared" si="51"/>
        <v>1</v>
      </c>
    </row>
    <row r="3317" spans="1:5" x14ac:dyDescent="0.25">
      <c r="A3317" s="7">
        <f>IF(E3317=1,
      SUM($E$2:E3317)-1,
"")</f>
        <v>3313</v>
      </c>
      <c r="B3317" s="6" t="s">
        <v>146</v>
      </c>
      <c r="C3317" s="14">
        <v>45186</v>
      </c>
      <c r="D3317" s="15">
        <v>81.62</v>
      </c>
      <c r="E3317" s="7">
        <f t="shared" si="51"/>
        <v>1</v>
      </c>
    </row>
    <row r="3318" spans="1:5" x14ac:dyDescent="0.25">
      <c r="A3318" s="7">
        <f>IF(E3318=1,
      SUM($E$2:E3318)-1,
"")</f>
        <v>3314</v>
      </c>
      <c r="B3318" s="6" t="s">
        <v>628</v>
      </c>
      <c r="C3318" s="14">
        <v>45185</v>
      </c>
      <c r="D3318" s="15">
        <v>98.6</v>
      </c>
      <c r="E3318" s="7">
        <f t="shared" si="51"/>
        <v>1</v>
      </c>
    </row>
    <row r="3319" spans="1:5" x14ac:dyDescent="0.25">
      <c r="A3319" s="7">
        <f>IF(E3319=1,
      SUM($E$2:E3319)-1,
"")</f>
        <v>3315</v>
      </c>
      <c r="B3319" s="6" t="s">
        <v>783</v>
      </c>
      <c r="C3319" s="14">
        <v>45028</v>
      </c>
      <c r="D3319" s="15">
        <v>114.7</v>
      </c>
      <c r="E3319" s="7">
        <f t="shared" si="51"/>
        <v>1</v>
      </c>
    </row>
    <row r="3320" spans="1:5" x14ac:dyDescent="0.25">
      <c r="A3320" s="7">
        <f>IF(E3320=1,
      SUM($E$2:E3320)-1,
"")</f>
        <v>3316</v>
      </c>
      <c r="B3320" s="6" t="s">
        <v>1024</v>
      </c>
      <c r="C3320" s="14">
        <v>45088</v>
      </c>
      <c r="D3320" s="15">
        <v>90.12</v>
      </c>
      <c r="E3320" s="7">
        <f t="shared" si="51"/>
        <v>1</v>
      </c>
    </row>
    <row r="3321" spans="1:5" x14ac:dyDescent="0.25">
      <c r="A3321" s="7">
        <f>IF(E3321=1,
      SUM($E$2:E3321)-1,
"")</f>
        <v>3317</v>
      </c>
      <c r="B3321" s="6" t="s">
        <v>664</v>
      </c>
      <c r="C3321" s="14">
        <v>45214</v>
      </c>
      <c r="D3321" s="15">
        <v>113.52</v>
      </c>
      <c r="E3321" s="7">
        <f t="shared" si="51"/>
        <v>1</v>
      </c>
    </row>
    <row r="3322" spans="1:5" x14ac:dyDescent="0.25">
      <c r="A3322" s="7">
        <f>IF(E3322=1,
      SUM($E$2:E3322)-1,
"")</f>
        <v>3318</v>
      </c>
      <c r="B3322" s="6" t="s">
        <v>621</v>
      </c>
      <c r="C3322" s="14">
        <v>45138</v>
      </c>
      <c r="D3322" s="15">
        <v>99.88</v>
      </c>
      <c r="E3322" s="7">
        <f t="shared" si="51"/>
        <v>1</v>
      </c>
    </row>
    <row r="3323" spans="1:5" x14ac:dyDescent="0.25">
      <c r="A3323" s="7">
        <f>IF(E3323=1,
      SUM($E$2:E3323)-1,
"")</f>
        <v>3319</v>
      </c>
      <c r="B3323" s="6" t="s">
        <v>960</v>
      </c>
      <c r="C3323" s="14">
        <v>45022</v>
      </c>
      <c r="D3323" s="15">
        <v>92.4</v>
      </c>
      <c r="E3323" s="7">
        <f t="shared" si="51"/>
        <v>1</v>
      </c>
    </row>
    <row r="3324" spans="1:5" x14ac:dyDescent="0.25">
      <c r="A3324" s="7">
        <f>IF(E3324=1,
      SUM($E$2:E3324)-1,
"")</f>
        <v>3320</v>
      </c>
      <c r="B3324" s="6" t="s">
        <v>466</v>
      </c>
      <c r="C3324" s="14">
        <v>45046</v>
      </c>
      <c r="D3324" s="15">
        <v>57.41</v>
      </c>
      <c r="E3324" s="7">
        <f t="shared" si="51"/>
        <v>1</v>
      </c>
    </row>
    <row r="3325" spans="1:5" x14ac:dyDescent="0.25">
      <c r="A3325" s="7">
        <f>IF(E3325=1,
      SUM($E$2:E3325)-1,
"")</f>
        <v>3321</v>
      </c>
      <c r="B3325" s="6" t="s">
        <v>527</v>
      </c>
      <c r="C3325" s="14">
        <v>45274</v>
      </c>
      <c r="D3325" s="15">
        <v>104.47</v>
      </c>
      <c r="E3325" s="7">
        <f t="shared" si="51"/>
        <v>1</v>
      </c>
    </row>
    <row r="3326" spans="1:5" x14ac:dyDescent="0.25">
      <c r="A3326" s="7">
        <f>IF(E3326=1,
      SUM($E$2:E3326)-1,
"")</f>
        <v>3322</v>
      </c>
      <c r="B3326" s="6" t="s">
        <v>159</v>
      </c>
      <c r="C3326" s="14">
        <v>44947</v>
      </c>
      <c r="D3326" s="15">
        <v>128.75</v>
      </c>
      <c r="E3326" s="7">
        <f t="shared" si="51"/>
        <v>1</v>
      </c>
    </row>
    <row r="3327" spans="1:5" x14ac:dyDescent="0.25">
      <c r="A3327" s="7">
        <f>IF(E3327=1,
      SUM($E$2:E3327)-1,
"")</f>
        <v>3323</v>
      </c>
      <c r="B3327" s="6" t="s">
        <v>299</v>
      </c>
      <c r="C3327" s="14">
        <v>45267</v>
      </c>
      <c r="D3327" s="15">
        <v>76.650000000000006</v>
      </c>
      <c r="E3327" s="7">
        <f t="shared" si="51"/>
        <v>1</v>
      </c>
    </row>
    <row r="3328" spans="1:5" x14ac:dyDescent="0.25">
      <c r="A3328" s="7">
        <f>IF(E3328=1,
      SUM($E$2:E3328)-1,
"")</f>
        <v>3324</v>
      </c>
      <c r="B3328" s="6" t="s">
        <v>76</v>
      </c>
      <c r="C3328" s="14">
        <v>45076</v>
      </c>
      <c r="D3328" s="15">
        <v>40.950000000000003</v>
      </c>
      <c r="E3328" s="7">
        <f t="shared" si="51"/>
        <v>1</v>
      </c>
    </row>
    <row r="3329" spans="1:5" x14ac:dyDescent="0.25">
      <c r="A3329" s="7">
        <f>IF(E3329=1,
      SUM($E$2:E3329)-1,
"")</f>
        <v>3325</v>
      </c>
      <c r="B3329" s="6" t="s">
        <v>563</v>
      </c>
      <c r="C3329" s="14">
        <v>45139</v>
      </c>
      <c r="D3329" s="15">
        <v>90.41</v>
      </c>
      <c r="E3329" s="7">
        <f t="shared" si="51"/>
        <v>1</v>
      </c>
    </row>
    <row r="3330" spans="1:5" x14ac:dyDescent="0.25">
      <c r="A3330" s="7">
        <f>IF(E3330=1,
      SUM($E$2:E3330)-1,
"")</f>
        <v>3326</v>
      </c>
      <c r="B3330" s="6" t="s">
        <v>372</v>
      </c>
      <c r="C3330" s="14">
        <v>45139</v>
      </c>
      <c r="D3330" s="15">
        <v>145.29</v>
      </c>
      <c r="E3330" s="7">
        <f t="shared" ref="E3330:E3393" si="52">IF(D3330&gt;0,1,0)</f>
        <v>1</v>
      </c>
    </row>
    <row r="3331" spans="1:5" x14ac:dyDescent="0.25">
      <c r="A3331" s="7">
        <f>IF(E3331=1,
      SUM($E$2:E3331)-1,
"")</f>
        <v>3327</v>
      </c>
      <c r="B3331" s="6" t="s">
        <v>320</v>
      </c>
      <c r="C3331" s="14">
        <v>45119</v>
      </c>
      <c r="D3331" s="15">
        <v>136.36000000000001</v>
      </c>
      <c r="E3331" s="7">
        <f t="shared" si="52"/>
        <v>1</v>
      </c>
    </row>
    <row r="3332" spans="1:5" x14ac:dyDescent="0.25">
      <c r="A3332" s="7">
        <f>IF(E3332=1,
      SUM($E$2:E3332)-1,
"")</f>
        <v>3328</v>
      </c>
      <c r="B3332" s="6" t="s">
        <v>970</v>
      </c>
      <c r="C3332" s="14">
        <v>45201</v>
      </c>
      <c r="D3332" s="15">
        <v>82.59</v>
      </c>
      <c r="E3332" s="7">
        <f t="shared" si="52"/>
        <v>1</v>
      </c>
    </row>
    <row r="3333" spans="1:5" x14ac:dyDescent="0.25">
      <c r="A3333" s="7">
        <f>IF(E3333=1,
      SUM($E$2:E3333)-1,
"")</f>
        <v>3329</v>
      </c>
      <c r="B3333" s="6" t="s">
        <v>450</v>
      </c>
      <c r="C3333" s="14">
        <v>44955</v>
      </c>
      <c r="D3333" s="15">
        <v>113.67</v>
      </c>
      <c r="E3333" s="7">
        <f t="shared" si="52"/>
        <v>1</v>
      </c>
    </row>
    <row r="3334" spans="1:5" x14ac:dyDescent="0.25">
      <c r="A3334" s="7">
        <f>IF(E3334=1,
      SUM($E$2:E3334)-1,
"")</f>
        <v>3330</v>
      </c>
      <c r="B3334" s="6" t="s">
        <v>84</v>
      </c>
      <c r="C3334" s="14">
        <v>45112</v>
      </c>
      <c r="D3334" s="15">
        <v>118.41</v>
      </c>
      <c r="E3334" s="7">
        <f t="shared" si="52"/>
        <v>1</v>
      </c>
    </row>
    <row r="3335" spans="1:5" x14ac:dyDescent="0.25">
      <c r="A3335" s="7">
        <f>IF(E3335=1,
      SUM($E$2:E3335)-1,
"")</f>
        <v>3331</v>
      </c>
      <c r="B3335" s="6" t="s">
        <v>902</v>
      </c>
      <c r="C3335" s="14">
        <v>45162</v>
      </c>
      <c r="D3335" s="15">
        <v>144.71</v>
      </c>
      <c r="E3335" s="7">
        <f t="shared" si="52"/>
        <v>1</v>
      </c>
    </row>
    <row r="3336" spans="1:5" x14ac:dyDescent="0.25">
      <c r="A3336" s="7">
        <f>IF(E3336=1,
      SUM($E$2:E3336)-1,
"")</f>
        <v>3332</v>
      </c>
      <c r="B3336" s="6" t="s">
        <v>631</v>
      </c>
      <c r="C3336" s="14">
        <v>44995</v>
      </c>
      <c r="D3336" s="15">
        <v>53.48</v>
      </c>
      <c r="E3336" s="7">
        <f t="shared" si="52"/>
        <v>1</v>
      </c>
    </row>
    <row r="3337" spans="1:5" x14ac:dyDescent="0.25">
      <c r="A3337" s="7">
        <f>IF(E3337=1,
      SUM($E$2:E3337)-1,
"")</f>
        <v>3333</v>
      </c>
      <c r="B3337" s="6" t="s">
        <v>84</v>
      </c>
      <c r="C3337" s="14">
        <v>45018</v>
      </c>
      <c r="D3337" s="15">
        <v>67.94</v>
      </c>
      <c r="E3337" s="7">
        <f t="shared" si="52"/>
        <v>1</v>
      </c>
    </row>
    <row r="3338" spans="1:5" x14ac:dyDescent="0.25">
      <c r="A3338" s="7">
        <f>IF(E3338=1,
      SUM($E$2:E3338)-1,
"")</f>
        <v>3334</v>
      </c>
      <c r="B3338" s="6" t="s">
        <v>221</v>
      </c>
      <c r="C3338" s="14">
        <v>45020</v>
      </c>
      <c r="D3338" s="15">
        <v>39.71</v>
      </c>
      <c r="E3338" s="7">
        <f t="shared" si="52"/>
        <v>1</v>
      </c>
    </row>
    <row r="3339" spans="1:5" x14ac:dyDescent="0.25">
      <c r="A3339" s="7">
        <f>IF(E3339=1,
      SUM($E$2:E3339)-1,
"")</f>
        <v>3335</v>
      </c>
      <c r="B3339" s="6" t="s">
        <v>877</v>
      </c>
      <c r="C3339" s="14">
        <v>45217</v>
      </c>
      <c r="D3339" s="15">
        <v>79.650000000000006</v>
      </c>
      <c r="E3339" s="7">
        <f t="shared" si="52"/>
        <v>1</v>
      </c>
    </row>
    <row r="3340" spans="1:5" x14ac:dyDescent="0.25">
      <c r="A3340" s="7">
        <f>IF(E3340=1,
      SUM($E$2:E3340)-1,
"")</f>
        <v>3336</v>
      </c>
      <c r="B3340" s="6" t="s">
        <v>955</v>
      </c>
      <c r="C3340" s="14">
        <v>45116</v>
      </c>
      <c r="D3340" s="15">
        <v>131.99</v>
      </c>
      <c r="E3340" s="7">
        <f t="shared" si="52"/>
        <v>1</v>
      </c>
    </row>
    <row r="3341" spans="1:5" x14ac:dyDescent="0.25">
      <c r="A3341" s="7">
        <f>IF(E3341=1,
      SUM($E$2:E3341)-1,
"")</f>
        <v>3337</v>
      </c>
      <c r="B3341" s="6" t="s">
        <v>313</v>
      </c>
      <c r="C3341" s="14">
        <v>45109</v>
      </c>
      <c r="D3341" s="15">
        <v>83.21</v>
      </c>
      <c r="E3341" s="7">
        <f t="shared" si="52"/>
        <v>1</v>
      </c>
    </row>
    <row r="3342" spans="1:5" x14ac:dyDescent="0.25">
      <c r="A3342" s="7">
        <f>IF(E3342=1,
      SUM($E$2:E3342)-1,
"")</f>
        <v>3338</v>
      </c>
      <c r="B3342" s="6" t="s">
        <v>968</v>
      </c>
      <c r="C3342" s="14">
        <v>44974</v>
      </c>
      <c r="D3342" s="15">
        <v>60.75</v>
      </c>
      <c r="E3342" s="7">
        <f t="shared" si="52"/>
        <v>1</v>
      </c>
    </row>
    <row r="3343" spans="1:5" x14ac:dyDescent="0.25">
      <c r="A3343" s="7">
        <f>IF(E3343=1,
      SUM($E$2:E3343)-1,
"")</f>
        <v>3339</v>
      </c>
      <c r="B3343" s="6" t="s">
        <v>358</v>
      </c>
      <c r="C3343" s="14">
        <v>45162</v>
      </c>
      <c r="D3343" s="15">
        <v>106.8</v>
      </c>
      <c r="E3343" s="7">
        <f t="shared" si="52"/>
        <v>1</v>
      </c>
    </row>
    <row r="3344" spans="1:5" x14ac:dyDescent="0.25">
      <c r="A3344" s="7">
        <f>IF(E3344=1,
      SUM($E$2:E3344)-1,
"")</f>
        <v>3340</v>
      </c>
      <c r="B3344" s="6" t="s">
        <v>555</v>
      </c>
      <c r="C3344" s="14">
        <v>44930</v>
      </c>
      <c r="D3344" s="15">
        <v>107.57</v>
      </c>
      <c r="E3344" s="7">
        <f t="shared" si="52"/>
        <v>1</v>
      </c>
    </row>
    <row r="3345" spans="1:5" x14ac:dyDescent="0.25">
      <c r="A3345" s="7">
        <f>IF(E3345=1,
      SUM($E$2:E3345)-1,
"")</f>
        <v>3341</v>
      </c>
      <c r="B3345" s="6" t="s">
        <v>109</v>
      </c>
      <c r="C3345" s="14">
        <v>45244</v>
      </c>
      <c r="D3345" s="15">
        <v>69.489999999999995</v>
      </c>
      <c r="E3345" s="7">
        <f t="shared" si="52"/>
        <v>1</v>
      </c>
    </row>
    <row r="3346" spans="1:5" x14ac:dyDescent="0.25">
      <c r="A3346" s="7">
        <f>IF(E3346=1,
      SUM($E$2:E3346)-1,
"")</f>
        <v>3342</v>
      </c>
      <c r="B3346" s="6" t="s">
        <v>958</v>
      </c>
      <c r="C3346" s="14">
        <v>45238</v>
      </c>
      <c r="D3346" s="15">
        <v>84.82</v>
      </c>
      <c r="E3346" s="7">
        <f t="shared" si="52"/>
        <v>1</v>
      </c>
    </row>
    <row r="3347" spans="1:5" x14ac:dyDescent="0.25">
      <c r="A3347" s="7">
        <f>IF(E3347=1,
      SUM($E$2:E3347)-1,
"")</f>
        <v>3343</v>
      </c>
      <c r="B3347" s="6" t="s">
        <v>754</v>
      </c>
      <c r="C3347" s="14">
        <v>45139</v>
      </c>
      <c r="D3347" s="15">
        <v>104.52</v>
      </c>
      <c r="E3347" s="7">
        <f t="shared" si="52"/>
        <v>1</v>
      </c>
    </row>
    <row r="3348" spans="1:5" x14ac:dyDescent="0.25">
      <c r="A3348" s="7">
        <f>IF(E3348=1,
      SUM($E$2:E3348)-1,
"")</f>
        <v>3344</v>
      </c>
      <c r="B3348" s="6" t="s">
        <v>947</v>
      </c>
      <c r="C3348" s="14">
        <v>44938</v>
      </c>
      <c r="D3348" s="15">
        <v>122.38</v>
      </c>
      <c r="E3348" s="7">
        <f t="shared" si="52"/>
        <v>1</v>
      </c>
    </row>
    <row r="3349" spans="1:5" x14ac:dyDescent="0.25">
      <c r="A3349" s="7">
        <f>IF(E3349=1,
      SUM($E$2:E3349)-1,
"")</f>
        <v>3345</v>
      </c>
      <c r="B3349" s="6" t="s">
        <v>585</v>
      </c>
      <c r="C3349" s="14">
        <v>45093</v>
      </c>
      <c r="D3349" s="15">
        <v>80.53</v>
      </c>
      <c r="E3349" s="7">
        <f t="shared" si="52"/>
        <v>1</v>
      </c>
    </row>
    <row r="3350" spans="1:5" x14ac:dyDescent="0.25">
      <c r="A3350" s="7">
        <f>IF(E3350=1,
      SUM($E$2:E3350)-1,
"")</f>
        <v>3346</v>
      </c>
      <c r="B3350" s="6" t="s">
        <v>438</v>
      </c>
      <c r="C3350" s="14">
        <v>44985</v>
      </c>
      <c r="D3350" s="15">
        <v>76.209999999999994</v>
      </c>
      <c r="E3350" s="7">
        <f t="shared" si="52"/>
        <v>1</v>
      </c>
    </row>
    <row r="3351" spans="1:5" x14ac:dyDescent="0.25">
      <c r="A3351" s="7">
        <f>IF(E3351=1,
      SUM($E$2:E3351)-1,
"")</f>
        <v>3347</v>
      </c>
      <c r="B3351" s="6" t="s">
        <v>702</v>
      </c>
      <c r="C3351" s="14">
        <v>44937</v>
      </c>
      <c r="D3351" s="15">
        <v>157.38</v>
      </c>
      <c r="E3351" s="7">
        <f t="shared" si="52"/>
        <v>1</v>
      </c>
    </row>
    <row r="3352" spans="1:5" x14ac:dyDescent="0.25">
      <c r="A3352" s="7">
        <f>IF(E3352=1,
      SUM($E$2:E3352)-1,
"")</f>
        <v>3348</v>
      </c>
      <c r="B3352" s="6" t="s">
        <v>844</v>
      </c>
      <c r="C3352" s="14">
        <v>45175</v>
      </c>
      <c r="D3352" s="15">
        <v>91.78</v>
      </c>
      <c r="E3352" s="7">
        <f t="shared" si="52"/>
        <v>1</v>
      </c>
    </row>
    <row r="3353" spans="1:5" x14ac:dyDescent="0.25">
      <c r="A3353" s="7">
        <f>IF(E3353=1,
      SUM($E$2:E3353)-1,
"")</f>
        <v>3349</v>
      </c>
      <c r="B3353" s="6" t="s">
        <v>229</v>
      </c>
      <c r="C3353" s="14">
        <v>45030</v>
      </c>
      <c r="D3353" s="15">
        <v>107.48</v>
      </c>
      <c r="E3353" s="7">
        <f t="shared" si="52"/>
        <v>1</v>
      </c>
    </row>
    <row r="3354" spans="1:5" x14ac:dyDescent="0.25">
      <c r="A3354" s="7">
        <f>IF(E3354=1,
      SUM($E$2:E3354)-1,
"")</f>
        <v>3350</v>
      </c>
      <c r="B3354" s="6" t="s">
        <v>659</v>
      </c>
      <c r="C3354" s="14">
        <v>45247</v>
      </c>
      <c r="D3354" s="15">
        <v>119.45</v>
      </c>
      <c r="E3354" s="7">
        <f t="shared" si="52"/>
        <v>1</v>
      </c>
    </row>
    <row r="3355" spans="1:5" x14ac:dyDescent="0.25">
      <c r="A3355" s="7">
        <f>IF(E3355=1,
      SUM($E$2:E3355)-1,
"")</f>
        <v>3351</v>
      </c>
      <c r="B3355" s="6" t="s">
        <v>807</v>
      </c>
      <c r="C3355" s="14">
        <v>44991</v>
      </c>
      <c r="D3355" s="15">
        <v>46.39</v>
      </c>
      <c r="E3355" s="7">
        <f t="shared" si="52"/>
        <v>1</v>
      </c>
    </row>
    <row r="3356" spans="1:5" x14ac:dyDescent="0.25">
      <c r="A3356" s="7">
        <f>IF(E3356=1,
      SUM($E$2:E3356)-1,
"")</f>
        <v>3352</v>
      </c>
      <c r="B3356" s="6" t="s">
        <v>861</v>
      </c>
      <c r="C3356" s="14">
        <v>44937</v>
      </c>
      <c r="D3356" s="15">
        <v>99.44</v>
      </c>
      <c r="E3356" s="7">
        <f t="shared" si="52"/>
        <v>1</v>
      </c>
    </row>
    <row r="3357" spans="1:5" x14ac:dyDescent="0.25">
      <c r="A3357" s="7">
        <f>IF(E3357=1,
      SUM($E$2:E3357)-1,
"")</f>
        <v>3353</v>
      </c>
      <c r="B3357" s="6" t="s">
        <v>121</v>
      </c>
      <c r="C3357" s="14">
        <v>45104</v>
      </c>
      <c r="D3357" s="15">
        <v>50.63</v>
      </c>
      <c r="E3357" s="7">
        <f t="shared" si="52"/>
        <v>1</v>
      </c>
    </row>
    <row r="3358" spans="1:5" x14ac:dyDescent="0.25">
      <c r="A3358" s="7">
        <f>IF(E3358=1,
      SUM($E$2:E3358)-1,
"")</f>
        <v>3354</v>
      </c>
      <c r="B3358" s="6" t="s">
        <v>898</v>
      </c>
      <c r="C3358" s="14">
        <v>44983</v>
      </c>
      <c r="D3358" s="15">
        <v>96.08</v>
      </c>
      <c r="E3358" s="7">
        <f t="shared" si="52"/>
        <v>1</v>
      </c>
    </row>
    <row r="3359" spans="1:5" x14ac:dyDescent="0.25">
      <c r="A3359" s="7">
        <f>IF(E3359=1,
      SUM($E$2:E3359)-1,
"")</f>
        <v>3355</v>
      </c>
      <c r="B3359" s="6" t="s">
        <v>407</v>
      </c>
      <c r="C3359" s="14">
        <v>44975</v>
      </c>
      <c r="D3359" s="15">
        <v>141.19</v>
      </c>
      <c r="E3359" s="7">
        <f t="shared" si="52"/>
        <v>1</v>
      </c>
    </row>
    <row r="3360" spans="1:5" x14ac:dyDescent="0.25">
      <c r="A3360" s="7">
        <f>IF(E3360=1,
      SUM($E$2:E3360)-1,
"")</f>
        <v>3356</v>
      </c>
      <c r="B3360" s="6" t="s">
        <v>366</v>
      </c>
      <c r="C3360" s="14">
        <v>45164</v>
      </c>
      <c r="D3360" s="15">
        <v>70.05</v>
      </c>
      <c r="E3360" s="7">
        <f t="shared" si="52"/>
        <v>1</v>
      </c>
    </row>
    <row r="3361" spans="1:5" x14ac:dyDescent="0.25">
      <c r="A3361" s="7">
        <f>IF(E3361=1,
      SUM($E$2:E3361)-1,
"")</f>
        <v>3357</v>
      </c>
      <c r="B3361" s="6" t="s">
        <v>660</v>
      </c>
      <c r="C3361" s="14">
        <v>45244</v>
      </c>
      <c r="D3361" s="15">
        <v>50.01</v>
      </c>
      <c r="E3361" s="7">
        <f t="shared" si="52"/>
        <v>1</v>
      </c>
    </row>
    <row r="3362" spans="1:5" x14ac:dyDescent="0.25">
      <c r="A3362" s="7">
        <f>IF(E3362=1,
      SUM($E$2:E3362)-1,
"")</f>
        <v>3358</v>
      </c>
      <c r="B3362" s="6" t="s">
        <v>472</v>
      </c>
      <c r="C3362" s="14">
        <v>45268</v>
      </c>
      <c r="D3362" s="15">
        <v>156.63</v>
      </c>
      <c r="E3362" s="7">
        <f t="shared" si="52"/>
        <v>1</v>
      </c>
    </row>
    <row r="3363" spans="1:5" x14ac:dyDescent="0.25">
      <c r="A3363" s="7">
        <f>IF(E3363=1,
      SUM($E$2:E3363)-1,
"")</f>
        <v>3359</v>
      </c>
      <c r="B3363" s="6" t="s">
        <v>190</v>
      </c>
      <c r="C3363" s="14">
        <v>45027</v>
      </c>
      <c r="D3363" s="15">
        <v>65.59</v>
      </c>
      <c r="E3363" s="7">
        <f t="shared" si="52"/>
        <v>1</v>
      </c>
    </row>
    <row r="3364" spans="1:5" x14ac:dyDescent="0.25">
      <c r="A3364" s="7">
        <f>IF(E3364=1,
      SUM($E$2:E3364)-1,
"")</f>
        <v>3360</v>
      </c>
      <c r="B3364" s="6" t="s">
        <v>339</v>
      </c>
      <c r="C3364" s="14">
        <v>45175</v>
      </c>
      <c r="D3364" s="15">
        <v>55.04</v>
      </c>
      <c r="E3364" s="7">
        <f t="shared" si="52"/>
        <v>1</v>
      </c>
    </row>
    <row r="3365" spans="1:5" x14ac:dyDescent="0.25">
      <c r="A3365" s="7">
        <f>IF(E3365=1,
      SUM($E$2:E3365)-1,
"")</f>
        <v>3361</v>
      </c>
      <c r="B3365" s="6" t="s">
        <v>1025</v>
      </c>
      <c r="C3365" s="14">
        <v>45149</v>
      </c>
      <c r="D3365" s="15">
        <v>148.57</v>
      </c>
      <c r="E3365" s="7">
        <f t="shared" si="52"/>
        <v>1</v>
      </c>
    </row>
    <row r="3366" spans="1:5" x14ac:dyDescent="0.25">
      <c r="A3366" s="7">
        <f>IF(E3366=1,
      SUM($E$2:E3366)-1,
"")</f>
        <v>3362</v>
      </c>
      <c r="B3366" s="6" t="s">
        <v>162</v>
      </c>
      <c r="C3366" s="14">
        <v>45093</v>
      </c>
      <c r="D3366" s="15">
        <v>64.41</v>
      </c>
      <c r="E3366" s="7">
        <f t="shared" si="52"/>
        <v>1</v>
      </c>
    </row>
    <row r="3367" spans="1:5" x14ac:dyDescent="0.25">
      <c r="A3367" s="7">
        <f>IF(E3367=1,
      SUM($E$2:E3367)-1,
"")</f>
        <v>3363</v>
      </c>
      <c r="B3367" s="6" t="s">
        <v>82</v>
      </c>
      <c r="C3367" s="14">
        <v>45136</v>
      </c>
      <c r="D3367" s="15">
        <v>149.35</v>
      </c>
      <c r="E3367" s="7">
        <f t="shared" si="52"/>
        <v>1</v>
      </c>
    </row>
    <row r="3368" spans="1:5" x14ac:dyDescent="0.25">
      <c r="A3368" s="7">
        <f>IF(E3368=1,
      SUM($E$2:E3368)-1,
"")</f>
        <v>3364</v>
      </c>
      <c r="B3368" s="6" t="s">
        <v>896</v>
      </c>
      <c r="C3368" s="14">
        <v>44945</v>
      </c>
      <c r="D3368" s="15">
        <v>108.22</v>
      </c>
      <c r="E3368" s="7">
        <f t="shared" si="52"/>
        <v>1</v>
      </c>
    </row>
    <row r="3369" spans="1:5" x14ac:dyDescent="0.25">
      <c r="A3369" s="7">
        <f>IF(E3369=1,
      SUM($E$2:E3369)-1,
"")</f>
        <v>3365</v>
      </c>
      <c r="B3369" s="6" t="s">
        <v>455</v>
      </c>
      <c r="C3369" s="14">
        <v>45159</v>
      </c>
      <c r="D3369" s="15">
        <v>138.52000000000001</v>
      </c>
      <c r="E3369" s="7">
        <f t="shared" si="52"/>
        <v>1</v>
      </c>
    </row>
    <row r="3370" spans="1:5" x14ac:dyDescent="0.25">
      <c r="A3370" s="7">
        <f>IF(E3370=1,
      SUM($E$2:E3370)-1,
"")</f>
        <v>3366</v>
      </c>
      <c r="B3370" s="6" t="s">
        <v>1017</v>
      </c>
      <c r="C3370" s="14">
        <v>45145</v>
      </c>
      <c r="D3370" s="15">
        <v>105.58</v>
      </c>
      <c r="E3370" s="7">
        <f t="shared" si="52"/>
        <v>1</v>
      </c>
    </row>
    <row r="3371" spans="1:5" x14ac:dyDescent="0.25">
      <c r="A3371" s="7">
        <f>IF(E3371=1,
      SUM($E$2:E3371)-1,
"")</f>
        <v>3367</v>
      </c>
      <c r="B3371" s="6" t="s">
        <v>289</v>
      </c>
      <c r="C3371" s="14">
        <v>44957</v>
      </c>
      <c r="D3371" s="15">
        <v>132.38999999999999</v>
      </c>
      <c r="E3371" s="7">
        <f t="shared" si="52"/>
        <v>1</v>
      </c>
    </row>
    <row r="3372" spans="1:5" x14ac:dyDescent="0.25">
      <c r="A3372" s="7">
        <f>IF(E3372=1,
      SUM($E$2:E3372)-1,
"")</f>
        <v>3368</v>
      </c>
      <c r="B3372" s="6" t="s">
        <v>192</v>
      </c>
      <c r="C3372" s="14">
        <v>45222</v>
      </c>
      <c r="D3372" s="15">
        <v>72.45</v>
      </c>
      <c r="E3372" s="7">
        <f t="shared" si="52"/>
        <v>1</v>
      </c>
    </row>
    <row r="3373" spans="1:5" x14ac:dyDescent="0.25">
      <c r="A3373" s="7">
        <f>IF(E3373=1,
      SUM($E$2:E3373)-1,
"")</f>
        <v>3369</v>
      </c>
      <c r="B3373" s="6" t="s">
        <v>352</v>
      </c>
      <c r="C3373" s="14">
        <v>45060</v>
      </c>
      <c r="D3373" s="15">
        <v>81.59</v>
      </c>
      <c r="E3373" s="7">
        <f t="shared" si="52"/>
        <v>1</v>
      </c>
    </row>
    <row r="3374" spans="1:5" x14ac:dyDescent="0.25">
      <c r="A3374" s="7">
        <f>IF(E3374=1,
      SUM($E$2:E3374)-1,
"")</f>
        <v>3370</v>
      </c>
      <c r="B3374" s="6" t="s">
        <v>1003</v>
      </c>
      <c r="C3374" s="14">
        <v>44959</v>
      </c>
      <c r="D3374" s="15">
        <v>36.53</v>
      </c>
      <c r="E3374" s="7">
        <f t="shared" si="52"/>
        <v>1</v>
      </c>
    </row>
    <row r="3375" spans="1:5" x14ac:dyDescent="0.25">
      <c r="A3375" s="7">
        <f>IF(E3375=1,
      SUM($E$2:E3375)-1,
"")</f>
        <v>3371</v>
      </c>
      <c r="B3375" s="6" t="s">
        <v>352</v>
      </c>
      <c r="C3375" s="14">
        <v>44994</v>
      </c>
      <c r="D3375" s="15">
        <v>129.15</v>
      </c>
      <c r="E3375" s="7">
        <f t="shared" si="52"/>
        <v>1</v>
      </c>
    </row>
    <row r="3376" spans="1:5" x14ac:dyDescent="0.25">
      <c r="A3376" s="7">
        <f>IF(E3376=1,
      SUM($E$2:E3376)-1,
"")</f>
        <v>3372</v>
      </c>
      <c r="B3376" s="6" t="s">
        <v>387</v>
      </c>
      <c r="C3376" s="14">
        <v>45139</v>
      </c>
      <c r="D3376" s="15">
        <v>112.59</v>
      </c>
      <c r="E3376" s="7">
        <f t="shared" si="52"/>
        <v>1</v>
      </c>
    </row>
    <row r="3377" spans="1:5" x14ac:dyDescent="0.25">
      <c r="A3377" s="7">
        <f>IF(E3377=1,
      SUM($E$2:E3377)-1,
"")</f>
        <v>3373</v>
      </c>
      <c r="B3377" s="6" t="s">
        <v>340</v>
      </c>
      <c r="C3377" s="14">
        <v>45203</v>
      </c>
      <c r="D3377" s="15">
        <v>69.78</v>
      </c>
      <c r="E3377" s="7">
        <f t="shared" si="52"/>
        <v>1</v>
      </c>
    </row>
    <row r="3378" spans="1:5" x14ac:dyDescent="0.25">
      <c r="A3378" s="7">
        <f>IF(E3378=1,
      SUM($E$2:E3378)-1,
"")</f>
        <v>3374</v>
      </c>
      <c r="B3378" s="6" t="s">
        <v>388</v>
      </c>
      <c r="C3378" s="14">
        <v>44959</v>
      </c>
      <c r="D3378" s="15">
        <v>47.53</v>
      </c>
      <c r="E3378" s="7">
        <f t="shared" si="52"/>
        <v>1</v>
      </c>
    </row>
    <row r="3379" spans="1:5" x14ac:dyDescent="0.25">
      <c r="A3379" s="7">
        <f>IF(E3379=1,
      SUM($E$2:E3379)-1,
"")</f>
        <v>3375</v>
      </c>
      <c r="B3379" s="6" t="s">
        <v>215</v>
      </c>
      <c r="C3379" s="14">
        <v>45094</v>
      </c>
      <c r="D3379" s="15">
        <v>108.45</v>
      </c>
      <c r="E3379" s="7">
        <f t="shared" si="52"/>
        <v>1</v>
      </c>
    </row>
    <row r="3380" spans="1:5" x14ac:dyDescent="0.25">
      <c r="A3380" s="7">
        <f>IF(E3380=1,
      SUM($E$2:E3380)-1,
"")</f>
        <v>3376</v>
      </c>
      <c r="B3380" s="6" t="s">
        <v>555</v>
      </c>
      <c r="C3380" s="14">
        <v>45132</v>
      </c>
      <c r="D3380" s="15">
        <v>150.28</v>
      </c>
      <c r="E3380" s="7">
        <f t="shared" si="52"/>
        <v>1</v>
      </c>
    </row>
    <row r="3381" spans="1:5" x14ac:dyDescent="0.25">
      <c r="A3381" s="7">
        <f>IF(E3381=1,
      SUM($E$2:E3381)-1,
"")</f>
        <v>3377</v>
      </c>
      <c r="B3381" s="6" t="s">
        <v>204</v>
      </c>
      <c r="C3381" s="14">
        <v>45267</v>
      </c>
      <c r="D3381" s="15">
        <v>95.86</v>
      </c>
      <c r="E3381" s="7">
        <f t="shared" si="52"/>
        <v>1</v>
      </c>
    </row>
    <row r="3382" spans="1:5" x14ac:dyDescent="0.25">
      <c r="A3382" s="7">
        <f>IF(E3382=1,
      SUM($E$2:E3382)-1,
"")</f>
        <v>3378</v>
      </c>
      <c r="B3382" s="6" t="s">
        <v>130</v>
      </c>
      <c r="C3382" s="14">
        <v>45172</v>
      </c>
      <c r="D3382" s="15">
        <v>80.25</v>
      </c>
      <c r="E3382" s="7">
        <f t="shared" si="52"/>
        <v>1</v>
      </c>
    </row>
    <row r="3383" spans="1:5" x14ac:dyDescent="0.25">
      <c r="A3383" s="7">
        <f>IF(E3383=1,
      SUM($E$2:E3383)-1,
"")</f>
        <v>3379</v>
      </c>
      <c r="B3383" s="6" t="s">
        <v>285</v>
      </c>
      <c r="C3383" s="14">
        <v>44992</v>
      </c>
      <c r="D3383" s="15">
        <v>71.89</v>
      </c>
      <c r="E3383" s="7">
        <f t="shared" si="52"/>
        <v>1</v>
      </c>
    </row>
    <row r="3384" spans="1:5" x14ac:dyDescent="0.25">
      <c r="A3384" s="7">
        <f>IF(E3384=1,
      SUM($E$2:E3384)-1,
"")</f>
        <v>3380</v>
      </c>
      <c r="B3384" s="6" t="s">
        <v>165</v>
      </c>
      <c r="C3384" s="14">
        <v>45081</v>
      </c>
      <c r="D3384" s="15">
        <v>137.47999999999999</v>
      </c>
      <c r="E3384" s="7">
        <f t="shared" si="52"/>
        <v>1</v>
      </c>
    </row>
    <row r="3385" spans="1:5" x14ac:dyDescent="0.25">
      <c r="A3385" s="7">
        <f>IF(E3385=1,
      SUM($E$2:E3385)-1,
"")</f>
        <v>3381</v>
      </c>
      <c r="B3385" s="6" t="s">
        <v>226</v>
      </c>
      <c r="C3385" s="14">
        <v>45230</v>
      </c>
      <c r="D3385" s="15">
        <v>76.62</v>
      </c>
      <c r="E3385" s="7">
        <f t="shared" si="52"/>
        <v>1</v>
      </c>
    </row>
    <row r="3386" spans="1:5" x14ac:dyDescent="0.25">
      <c r="A3386" s="7">
        <f>IF(E3386=1,
      SUM($E$2:E3386)-1,
"")</f>
        <v>3382</v>
      </c>
      <c r="B3386" s="6" t="s">
        <v>1020</v>
      </c>
      <c r="C3386" s="14">
        <v>45225</v>
      </c>
      <c r="D3386" s="15">
        <v>88.86</v>
      </c>
      <c r="E3386" s="7">
        <f t="shared" si="52"/>
        <v>1</v>
      </c>
    </row>
    <row r="3387" spans="1:5" x14ac:dyDescent="0.25">
      <c r="A3387" s="7">
        <f>IF(E3387=1,
      SUM($E$2:E3387)-1,
"")</f>
        <v>3383</v>
      </c>
      <c r="B3387" s="6" t="s">
        <v>1010</v>
      </c>
      <c r="C3387" s="14">
        <v>45040</v>
      </c>
      <c r="D3387" s="15">
        <v>131.25</v>
      </c>
      <c r="E3387" s="7">
        <f t="shared" si="52"/>
        <v>1</v>
      </c>
    </row>
    <row r="3388" spans="1:5" x14ac:dyDescent="0.25">
      <c r="A3388" s="7">
        <f>IF(E3388=1,
      SUM($E$2:E3388)-1,
"")</f>
        <v>3384</v>
      </c>
      <c r="B3388" s="6" t="s">
        <v>626</v>
      </c>
      <c r="C3388" s="14">
        <v>45291</v>
      </c>
      <c r="D3388" s="15">
        <v>119.12</v>
      </c>
      <c r="E3388" s="7">
        <f t="shared" si="52"/>
        <v>1</v>
      </c>
    </row>
    <row r="3389" spans="1:5" x14ac:dyDescent="0.25">
      <c r="A3389" s="7">
        <f>IF(E3389=1,
      SUM($E$2:E3389)-1,
"")</f>
        <v>3385</v>
      </c>
      <c r="B3389" s="6" t="s">
        <v>453</v>
      </c>
      <c r="C3389" s="14">
        <v>45185</v>
      </c>
      <c r="D3389" s="15">
        <v>90.01</v>
      </c>
      <c r="E3389" s="7">
        <f t="shared" si="52"/>
        <v>1</v>
      </c>
    </row>
    <row r="3390" spans="1:5" x14ac:dyDescent="0.25">
      <c r="A3390" s="7">
        <f>IF(E3390=1,
      SUM($E$2:E3390)-1,
"")</f>
        <v>3386</v>
      </c>
      <c r="B3390" s="6" t="s">
        <v>146</v>
      </c>
      <c r="C3390" s="14">
        <v>45007</v>
      </c>
      <c r="D3390" s="15">
        <v>79.03</v>
      </c>
      <c r="E3390" s="7">
        <f t="shared" si="52"/>
        <v>1</v>
      </c>
    </row>
    <row r="3391" spans="1:5" x14ac:dyDescent="0.25">
      <c r="A3391" s="7">
        <f>IF(E3391=1,
      SUM($E$2:E3391)-1,
"")</f>
        <v>3387</v>
      </c>
      <c r="B3391" s="6" t="s">
        <v>335</v>
      </c>
      <c r="C3391" s="14">
        <v>45244</v>
      </c>
      <c r="D3391" s="15">
        <v>143.97</v>
      </c>
      <c r="E3391" s="7">
        <f t="shared" si="52"/>
        <v>1</v>
      </c>
    </row>
    <row r="3392" spans="1:5" x14ac:dyDescent="0.25">
      <c r="A3392" s="7">
        <f>IF(E3392=1,
      SUM($E$2:E3392)-1,
"")</f>
        <v>3388</v>
      </c>
      <c r="B3392" s="6" t="s">
        <v>666</v>
      </c>
      <c r="C3392" s="14">
        <v>45153</v>
      </c>
      <c r="D3392" s="15">
        <v>66.510000000000005</v>
      </c>
      <c r="E3392" s="7">
        <f t="shared" si="52"/>
        <v>1</v>
      </c>
    </row>
    <row r="3393" spans="1:5" x14ac:dyDescent="0.25">
      <c r="A3393" s="7">
        <f>IF(E3393=1,
      SUM($E$2:E3393)-1,
"")</f>
        <v>3389</v>
      </c>
      <c r="B3393" s="6" t="s">
        <v>148</v>
      </c>
      <c r="C3393" s="14">
        <v>45075</v>
      </c>
      <c r="D3393" s="15">
        <v>93.69</v>
      </c>
      <c r="E3393" s="7">
        <f t="shared" si="52"/>
        <v>1</v>
      </c>
    </row>
    <row r="3394" spans="1:5" x14ac:dyDescent="0.25">
      <c r="A3394" s="7">
        <f>IF(E3394=1,
      SUM($E$2:E3394)-1,
"")</f>
        <v>3390</v>
      </c>
      <c r="B3394" s="6" t="s">
        <v>508</v>
      </c>
      <c r="C3394" s="14">
        <v>45249</v>
      </c>
      <c r="D3394" s="15">
        <v>54.82</v>
      </c>
      <c r="E3394" s="7">
        <f t="shared" ref="E3394:E3457" si="53">IF(D3394&gt;0,1,0)</f>
        <v>1</v>
      </c>
    </row>
    <row r="3395" spans="1:5" x14ac:dyDescent="0.25">
      <c r="A3395" s="7">
        <f>IF(E3395=1,
      SUM($E$2:E3395)-1,
"")</f>
        <v>3391</v>
      </c>
      <c r="B3395" s="6" t="s">
        <v>827</v>
      </c>
      <c r="C3395" s="14">
        <v>45024</v>
      </c>
      <c r="D3395" s="15">
        <v>135.66999999999999</v>
      </c>
      <c r="E3395" s="7">
        <f t="shared" si="53"/>
        <v>1</v>
      </c>
    </row>
    <row r="3396" spans="1:5" x14ac:dyDescent="0.25">
      <c r="A3396" s="7">
        <f>IF(E3396=1,
      SUM($E$2:E3396)-1,
"")</f>
        <v>3392</v>
      </c>
      <c r="B3396" s="6" t="s">
        <v>698</v>
      </c>
      <c r="C3396" s="14">
        <v>45215</v>
      </c>
      <c r="D3396" s="15">
        <v>85.75</v>
      </c>
      <c r="E3396" s="7">
        <f t="shared" si="53"/>
        <v>1</v>
      </c>
    </row>
    <row r="3397" spans="1:5" x14ac:dyDescent="0.25">
      <c r="A3397" s="7">
        <f>IF(E3397=1,
      SUM($E$2:E3397)-1,
"")</f>
        <v>3393</v>
      </c>
      <c r="B3397" s="6" t="s">
        <v>308</v>
      </c>
      <c r="C3397" s="14">
        <v>45077</v>
      </c>
      <c r="D3397" s="15">
        <v>79.010000000000005</v>
      </c>
      <c r="E3397" s="7">
        <f t="shared" si="53"/>
        <v>1</v>
      </c>
    </row>
    <row r="3398" spans="1:5" x14ac:dyDescent="0.25">
      <c r="A3398" s="7">
        <f>IF(E3398=1,
      SUM($E$2:E3398)-1,
"")</f>
        <v>3394</v>
      </c>
      <c r="B3398" s="6" t="s">
        <v>736</v>
      </c>
      <c r="C3398" s="14">
        <v>45195</v>
      </c>
      <c r="D3398" s="15">
        <v>119.85</v>
      </c>
      <c r="E3398" s="7">
        <f t="shared" si="53"/>
        <v>1</v>
      </c>
    </row>
    <row r="3399" spans="1:5" x14ac:dyDescent="0.25">
      <c r="A3399" s="7">
        <f>IF(E3399=1,
      SUM($E$2:E3399)-1,
"")</f>
        <v>3395</v>
      </c>
      <c r="B3399" s="6" t="s">
        <v>101</v>
      </c>
      <c r="C3399" s="14">
        <v>45057</v>
      </c>
      <c r="D3399" s="15">
        <v>57.23</v>
      </c>
      <c r="E3399" s="7">
        <f t="shared" si="53"/>
        <v>1</v>
      </c>
    </row>
    <row r="3400" spans="1:5" x14ac:dyDescent="0.25">
      <c r="A3400" s="7">
        <f>IF(E3400=1,
      SUM($E$2:E3400)-1,
"")</f>
        <v>3396</v>
      </c>
      <c r="B3400" s="6" t="s">
        <v>226</v>
      </c>
      <c r="C3400" s="14">
        <v>45011</v>
      </c>
      <c r="D3400" s="15">
        <v>119.06</v>
      </c>
      <c r="E3400" s="7">
        <f t="shared" si="53"/>
        <v>1</v>
      </c>
    </row>
    <row r="3401" spans="1:5" x14ac:dyDescent="0.25">
      <c r="A3401" s="7">
        <f>IF(E3401=1,
      SUM($E$2:E3401)-1,
"")</f>
        <v>3397</v>
      </c>
      <c r="B3401" s="6" t="s">
        <v>903</v>
      </c>
      <c r="C3401" s="14">
        <v>45144</v>
      </c>
      <c r="D3401" s="15">
        <v>89.18</v>
      </c>
      <c r="E3401" s="7">
        <f t="shared" si="53"/>
        <v>1</v>
      </c>
    </row>
    <row r="3402" spans="1:5" x14ac:dyDescent="0.25">
      <c r="A3402" s="7">
        <f>IF(E3402=1,
      SUM($E$2:E3402)-1,
"")</f>
        <v>3398</v>
      </c>
      <c r="B3402" s="6" t="s">
        <v>696</v>
      </c>
      <c r="C3402" s="14">
        <v>44989</v>
      </c>
      <c r="D3402" s="15">
        <v>63.84</v>
      </c>
      <c r="E3402" s="7">
        <f t="shared" si="53"/>
        <v>1</v>
      </c>
    </row>
    <row r="3403" spans="1:5" x14ac:dyDescent="0.25">
      <c r="A3403" s="7">
        <f>IF(E3403=1,
      SUM($E$2:E3403)-1,
"")</f>
        <v>3399</v>
      </c>
      <c r="B3403" s="6" t="s">
        <v>457</v>
      </c>
      <c r="C3403" s="14">
        <v>45227</v>
      </c>
      <c r="D3403" s="15">
        <v>70.290000000000006</v>
      </c>
      <c r="E3403" s="7">
        <f t="shared" si="53"/>
        <v>1</v>
      </c>
    </row>
    <row r="3404" spans="1:5" x14ac:dyDescent="0.25">
      <c r="A3404" s="7">
        <f>IF(E3404=1,
      SUM($E$2:E3404)-1,
"")</f>
        <v>3400</v>
      </c>
      <c r="B3404" s="6" t="s">
        <v>1026</v>
      </c>
      <c r="C3404" s="14">
        <v>45059</v>
      </c>
      <c r="D3404" s="15">
        <v>79.47</v>
      </c>
      <c r="E3404" s="7">
        <f t="shared" si="53"/>
        <v>1</v>
      </c>
    </row>
    <row r="3405" spans="1:5" x14ac:dyDescent="0.25">
      <c r="A3405" s="7">
        <f>IF(E3405=1,
      SUM($E$2:E3405)-1,
"")</f>
        <v>3401</v>
      </c>
      <c r="B3405" s="6" t="s">
        <v>971</v>
      </c>
      <c r="C3405" s="14">
        <v>45206</v>
      </c>
      <c r="D3405" s="15">
        <v>86.68</v>
      </c>
      <c r="E3405" s="7">
        <f t="shared" si="53"/>
        <v>1</v>
      </c>
    </row>
    <row r="3406" spans="1:5" x14ac:dyDescent="0.25">
      <c r="A3406" s="7">
        <f>IF(E3406=1,
      SUM($E$2:E3406)-1,
"")</f>
        <v>3402</v>
      </c>
      <c r="B3406" s="6" t="s">
        <v>850</v>
      </c>
      <c r="C3406" s="14">
        <v>45214</v>
      </c>
      <c r="D3406" s="15">
        <v>64.040000000000006</v>
      </c>
      <c r="E3406" s="7">
        <f t="shared" si="53"/>
        <v>1</v>
      </c>
    </row>
    <row r="3407" spans="1:5" x14ac:dyDescent="0.25">
      <c r="A3407" s="7">
        <f>IF(E3407=1,
      SUM($E$2:E3407)-1,
"")</f>
        <v>3403</v>
      </c>
      <c r="B3407" s="6" t="s">
        <v>804</v>
      </c>
      <c r="C3407" s="14">
        <v>45088</v>
      </c>
      <c r="D3407" s="15">
        <v>108.84</v>
      </c>
      <c r="E3407" s="7">
        <f t="shared" si="53"/>
        <v>1</v>
      </c>
    </row>
    <row r="3408" spans="1:5" x14ac:dyDescent="0.25">
      <c r="A3408" s="7">
        <f>IF(E3408=1,
      SUM($E$2:E3408)-1,
"")</f>
        <v>3404</v>
      </c>
      <c r="B3408" s="6" t="s">
        <v>475</v>
      </c>
      <c r="C3408" s="14">
        <v>45014</v>
      </c>
      <c r="D3408" s="15">
        <v>63.26</v>
      </c>
      <c r="E3408" s="7">
        <f t="shared" si="53"/>
        <v>1</v>
      </c>
    </row>
    <row r="3409" spans="1:5" x14ac:dyDescent="0.25">
      <c r="A3409" s="7">
        <f>IF(E3409=1,
      SUM($E$2:E3409)-1,
"")</f>
        <v>3405</v>
      </c>
      <c r="B3409" s="6" t="s">
        <v>575</v>
      </c>
      <c r="C3409" s="14">
        <v>44956</v>
      </c>
      <c r="D3409" s="15">
        <v>29.05</v>
      </c>
      <c r="E3409" s="7">
        <f t="shared" si="53"/>
        <v>1</v>
      </c>
    </row>
    <row r="3410" spans="1:5" x14ac:dyDescent="0.25">
      <c r="A3410" s="7">
        <f>IF(E3410=1,
      SUM($E$2:E3410)-1,
"")</f>
        <v>3406</v>
      </c>
      <c r="B3410" s="6" t="s">
        <v>841</v>
      </c>
      <c r="C3410" s="14">
        <v>45039</v>
      </c>
      <c r="D3410" s="15">
        <v>157.59</v>
      </c>
      <c r="E3410" s="7">
        <f t="shared" si="53"/>
        <v>1</v>
      </c>
    </row>
    <row r="3411" spans="1:5" x14ac:dyDescent="0.25">
      <c r="A3411" s="7">
        <f>IF(E3411=1,
      SUM($E$2:E3411)-1,
"")</f>
        <v>3407</v>
      </c>
      <c r="B3411" s="6" t="s">
        <v>1027</v>
      </c>
      <c r="C3411" s="14">
        <v>44989</v>
      </c>
      <c r="D3411" s="15">
        <v>105.94</v>
      </c>
      <c r="E3411" s="7">
        <f t="shared" si="53"/>
        <v>1</v>
      </c>
    </row>
    <row r="3412" spans="1:5" x14ac:dyDescent="0.25">
      <c r="A3412" s="7">
        <f>IF(E3412=1,
      SUM($E$2:E3412)-1,
"")</f>
        <v>3408</v>
      </c>
      <c r="B3412" s="6" t="s">
        <v>949</v>
      </c>
      <c r="C3412" s="14">
        <v>45163</v>
      </c>
      <c r="D3412" s="15">
        <v>160.28</v>
      </c>
      <c r="E3412" s="7">
        <f t="shared" si="53"/>
        <v>1</v>
      </c>
    </row>
    <row r="3413" spans="1:5" x14ac:dyDescent="0.25">
      <c r="A3413" s="7">
        <f>IF(E3413=1,
      SUM($E$2:E3413)-1,
"")</f>
        <v>3409</v>
      </c>
      <c r="B3413" s="6" t="s">
        <v>198</v>
      </c>
      <c r="C3413" s="14">
        <v>45209</v>
      </c>
      <c r="D3413" s="15">
        <v>68.69</v>
      </c>
      <c r="E3413" s="7">
        <f t="shared" si="53"/>
        <v>1</v>
      </c>
    </row>
    <row r="3414" spans="1:5" x14ac:dyDescent="0.25">
      <c r="A3414" s="7">
        <f>IF(E3414=1,
      SUM($E$2:E3414)-1,
"")</f>
        <v>3410</v>
      </c>
      <c r="B3414" s="6" t="s">
        <v>805</v>
      </c>
      <c r="C3414" s="14">
        <v>45017</v>
      </c>
      <c r="D3414" s="15">
        <v>114.39</v>
      </c>
      <c r="E3414" s="7">
        <f t="shared" si="53"/>
        <v>1</v>
      </c>
    </row>
    <row r="3415" spans="1:5" x14ac:dyDescent="0.25">
      <c r="A3415" s="7">
        <f>IF(E3415=1,
      SUM($E$2:E3415)-1,
"")</f>
        <v>3411</v>
      </c>
      <c r="B3415" s="6" t="s">
        <v>662</v>
      </c>
      <c r="C3415" s="14">
        <v>45106</v>
      </c>
      <c r="D3415" s="15">
        <v>126.84</v>
      </c>
      <c r="E3415" s="7">
        <f t="shared" si="53"/>
        <v>1</v>
      </c>
    </row>
    <row r="3416" spans="1:5" x14ac:dyDescent="0.25">
      <c r="A3416" s="7">
        <f>IF(E3416=1,
      SUM($E$2:E3416)-1,
"")</f>
        <v>3412</v>
      </c>
      <c r="B3416" s="6" t="s">
        <v>454</v>
      </c>
      <c r="C3416" s="14">
        <v>45247</v>
      </c>
      <c r="D3416" s="15">
        <v>94.32</v>
      </c>
      <c r="E3416" s="7">
        <f t="shared" si="53"/>
        <v>1</v>
      </c>
    </row>
    <row r="3417" spans="1:5" x14ac:dyDescent="0.25">
      <c r="A3417" s="7">
        <f>IF(E3417=1,
      SUM($E$2:E3417)-1,
"")</f>
        <v>3413</v>
      </c>
      <c r="B3417" s="6" t="s">
        <v>140</v>
      </c>
      <c r="C3417" s="14">
        <v>45110</v>
      </c>
      <c r="D3417" s="15">
        <v>56.67</v>
      </c>
      <c r="E3417" s="7">
        <f t="shared" si="53"/>
        <v>1</v>
      </c>
    </row>
    <row r="3418" spans="1:5" x14ac:dyDescent="0.25">
      <c r="A3418" s="7">
        <f>IF(E3418=1,
      SUM($E$2:E3418)-1,
"")</f>
        <v>3414</v>
      </c>
      <c r="B3418" s="6" t="s">
        <v>193</v>
      </c>
      <c r="C3418" s="14">
        <v>45025</v>
      </c>
      <c r="D3418" s="15">
        <v>92.07</v>
      </c>
      <c r="E3418" s="7">
        <f t="shared" si="53"/>
        <v>1</v>
      </c>
    </row>
    <row r="3419" spans="1:5" x14ac:dyDescent="0.25">
      <c r="A3419" s="7">
        <f>IF(E3419=1,
      SUM($E$2:E3419)-1,
"")</f>
        <v>3415</v>
      </c>
      <c r="B3419" s="6" t="s">
        <v>662</v>
      </c>
      <c r="C3419" s="14">
        <v>44997</v>
      </c>
      <c r="D3419" s="15">
        <v>118.79</v>
      </c>
      <c r="E3419" s="7">
        <f t="shared" si="53"/>
        <v>1</v>
      </c>
    </row>
    <row r="3420" spans="1:5" x14ac:dyDescent="0.25">
      <c r="A3420" s="7">
        <f>IF(E3420=1,
      SUM($E$2:E3420)-1,
"")</f>
        <v>3416</v>
      </c>
      <c r="B3420" s="6" t="s">
        <v>613</v>
      </c>
      <c r="C3420" s="14">
        <v>44971</v>
      </c>
      <c r="D3420" s="15">
        <v>117.65</v>
      </c>
      <c r="E3420" s="7">
        <f t="shared" si="53"/>
        <v>1</v>
      </c>
    </row>
    <row r="3421" spans="1:5" x14ac:dyDescent="0.25">
      <c r="A3421" s="7">
        <f>IF(E3421=1,
      SUM($E$2:E3421)-1,
"")</f>
        <v>3417</v>
      </c>
      <c r="B3421" s="6" t="s">
        <v>184</v>
      </c>
      <c r="C3421" s="14">
        <v>45193</v>
      </c>
      <c r="D3421" s="15">
        <v>99.95</v>
      </c>
      <c r="E3421" s="7">
        <f t="shared" si="53"/>
        <v>1</v>
      </c>
    </row>
    <row r="3422" spans="1:5" x14ac:dyDescent="0.25">
      <c r="A3422" s="7">
        <f>IF(E3422=1,
      SUM($E$2:E3422)-1,
"")</f>
        <v>3418</v>
      </c>
      <c r="B3422" s="6" t="s">
        <v>316</v>
      </c>
      <c r="C3422" s="14">
        <v>45215</v>
      </c>
      <c r="D3422" s="15">
        <v>126.92</v>
      </c>
      <c r="E3422" s="7">
        <f t="shared" si="53"/>
        <v>1</v>
      </c>
    </row>
    <row r="3423" spans="1:5" x14ac:dyDescent="0.25">
      <c r="A3423" s="7">
        <f>IF(E3423=1,
      SUM($E$2:E3423)-1,
"")</f>
        <v>3419</v>
      </c>
      <c r="B3423" s="6" t="s">
        <v>649</v>
      </c>
      <c r="C3423" s="14">
        <v>45021</v>
      </c>
      <c r="D3423" s="15">
        <v>125.5</v>
      </c>
      <c r="E3423" s="7">
        <f t="shared" si="53"/>
        <v>1</v>
      </c>
    </row>
    <row r="3424" spans="1:5" x14ac:dyDescent="0.25">
      <c r="A3424" s="7">
        <f>IF(E3424=1,
      SUM($E$2:E3424)-1,
"")</f>
        <v>3420</v>
      </c>
      <c r="B3424" s="6" t="s">
        <v>299</v>
      </c>
      <c r="C3424" s="14">
        <v>44954</v>
      </c>
      <c r="D3424" s="15">
        <v>84.29</v>
      </c>
      <c r="E3424" s="7">
        <f t="shared" si="53"/>
        <v>1</v>
      </c>
    </row>
    <row r="3425" spans="1:5" x14ac:dyDescent="0.25">
      <c r="A3425" s="7">
        <f>IF(E3425=1,
      SUM($E$2:E3425)-1,
"")</f>
        <v>3421</v>
      </c>
      <c r="B3425" s="6" t="s">
        <v>1021</v>
      </c>
      <c r="C3425" s="14">
        <v>45131</v>
      </c>
      <c r="D3425" s="15">
        <v>54.39</v>
      </c>
      <c r="E3425" s="7">
        <f t="shared" si="53"/>
        <v>1</v>
      </c>
    </row>
    <row r="3426" spans="1:5" x14ac:dyDescent="0.25">
      <c r="A3426" s="7">
        <f>IF(E3426=1,
      SUM($E$2:E3426)-1,
"")</f>
        <v>3422</v>
      </c>
      <c r="B3426" s="6" t="s">
        <v>1028</v>
      </c>
      <c r="C3426" s="14">
        <v>45249</v>
      </c>
      <c r="D3426" s="15">
        <v>105.71</v>
      </c>
      <c r="E3426" s="7">
        <f t="shared" si="53"/>
        <v>1</v>
      </c>
    </row>
    <row r="3427" spans="1:5" x14ac:dyDescent="0.25">
      <c r="A3427" s="7">
        <f>IF(E3427=1,
      SUM($E$2:E3427)-1,
"")</f>
        <v>3423</v>
      </c>
      <c r="B3427" s="6" t="s">
        <v>811</v>
      </c>
      <c r="C3427" s="14">
        <v>45055</v>
      </c>
      <c r="D3427" s="15">
        <v>77.599999999999994</v>
      </c>
      <c r="E3427" s="7">
        <f t="shared" si="53"/>
        <v>1</v>
      </c>
    </row>
    <row r="3428" spans="1:5" x14ac:dyDescent="0.25">
      <c r="A3428" s="7">
        <f>IF(E3428=1,
      SUM($E$2:E3428)-1,
"")</f>
        <v>3424</v>
      </c>
      <c r="B3428" s="6" t="s">
        <v>305</v>
      </c>
      <c r="C3428" s="14">
        <v>45159</v>
      </c>
      <c r="D3428" s="15">
        <v>104.31</v>
      </c>
      <c r="E3428" s="7">
        <f t="shared" si="53"/>
        <v>1</v>
      </c>
    </row>
    <row r="3429" spans="1:5" x14ac:dyDescent="0.25">
      <c r="A3429" s="7">
        <f>IF(E3429=1,
      SUM($E$2:E3429)-1,
"")</f>
        <v>3425</v>
      </c>
      <c r="B3429" s="6" t="s">
        <v>118</v>
      </c>
      <c r="C3429" s="14">
        <v>45101</v>
      </c>
      <c r="D3429" s="15">
        <v>140.37</v>
      </c>
      <c r="E3429" s="7">
        <f t="shared" si="53"/>
        <v>1</v>
      </c>
    </row>
    <row r="3430" spans="1:5" x14ac:dyDescent="0.25">
      <c r="A3430" s="7">
        <f>IF(E3430=1,
      SUM($E$2:E3430)-1,
"")</f>
        <v>3426</v>
      </c>
      <c r="B3430" s="6" t="s">
        <v>948</v>
      </c>
      <c r="C3430" s="14">
        <v>44937</v>
      </c>
      <c r="D3430" s="15">
        <v>113.12</v>
      </c>
      <c r="E3430" s="7">
        <f t="shared" si="53"/>
        <v>1</v>
      </c>
    </row>
    <row r="3431" spans="1:5" x14ac:dyDescent="0.25">
      <c r="A3431" s="7">
        <f>IF(E3431=1,
      SUM($E$2:E3431)-1,
"")</f>
        <v>3427</v>
      </c>
      <c r="B3431" s="6" t="s">
        <v>165</v>
      </c>
      <c r="C3431" s="14">
        <v>45015</v>
      </c>
      <c r="D3431" s="15">
        <v>138.88999999999999</v>
      </c>
      <c r="E3431" s="7">
        <f t="shared" si="53"/>
        <v>1</v>
      </c>
    </row>
    <row r="3432" spans="1:5" x14ac:dyDescent="0.25">
      <c r="A3432" s="7">
        <f>IF(E3432=1,
      SUM($E$2:E3432)-1,
"")</f>
        <v>3428</v>
      </c>
      <c r="B3432" s="6" t="s">
        <v>1001</v>
      </c>
      <c r="C3432" s="14">
        <v>45275</v>
      </c>
      <c r="D3432" s="15">
        <v>69.66</v>
      </c>
      <c r="E3432" s="7">
        <f t="shared" si="53"/>
        <v>1</v>
      </c>
    </row>
    <row r="3433" spans="1:5" x14ac:dyDescent="0.25">
      <c r="A3433" s="7">
        <f>IF(E3433=1,
      SUM($E$2:E3433)-1,
"")</f>
        <v>3429</v>
      </c>
      <c r="B3433" s="6" t="s">
        <v>725</v>
      </c>
      <c r="C3433" s="14">
        <v>45281</v>
      </c>
      <c r="D3433" s="15">
        <v>132.62</v>
      </c>
      <c r="E3433" s="7">
        <f t="shared" si="53"/>
        <v>1</v>
      </c>
    </row>
    <row r="3434" spans="1:5" x14ac:dyDescent="0.25">
      <c r="A3434" s="7">
        <f>IF(E3434=1,
      SUM($E$2:E3434)-1,
"")</f>
        <v>3430</v>
      </c>
      <c r="B3434" s="6" t="s">
        <v>1020</v>
      </c>
      <c r="C3434" s="14">
        <v>45113</v>
      </c>
      <c r="D3434" s="15">
        <v>150.30000000000001</v>
      </c>
      <c r="E3434" s="7">
        <f t="shared" si="53"/>
        <v>1</v>
      </c>
    </row>
    <row r="3435" spans="1:5" x14ac:dyDescent="0.25">
      <c r="A3435" s="7">
        <f>IF(E3435=1,
      SUM($E$2:E3435)-1,
"")</f>
        <v>3431</v>
      </c>
      <c r="B3435" s="6" t="s">
        <v>736</v>
      </c>
      <c r="C3435" s="14">
        <v>45170</v>
      </c>
      <c r="D3435" s="15">
        <v>101.93</v>
      </c>
      <c r="E3435" s="7">
        <f t="shared" si="53"/>
        <v>1</v>
      </c>
    </row>
    <row r="3436" spans="1:5" x14ac:dyDescent="0.25">
      <c r="A3436" s="7">
        <f>IF(E3436=1,
      SUM($E$2:E3436)-1,
"")</f>
        <v>3432</v>
      </c>
      <c r="B3436" s="6" t="s">
        <v>900</v>
      </c>
      <c r="C3436" s="14">
        <v>45047</v>
      </c>
      <c r="D3436" s="15">
        <v>169.66</v>
      </c>
      <c r="E3436" s="7">
        <f t="shared" si="53"/>
        <v>1</v>
      </c>
    </row>
    <row r="3437" spans="1:5" x14ac:dyDescent="0.25">
      <c r="A3437" s="7">
        <f>IF(E3437=1,
      SUM($E$2:E3437)-1,
"")</f>
        <v>3433</v>
      </c>
      <c r="B3437" s="6" t="s">
        <v>751</v>
      </c>
      <c r="C3437" s="14">
        <v>45071</v>
      </c>
      <c r="D3437" s="15">
        <v>74.28</v>
      </c>
      <c r="E3437" s="7">
        <f t="shared" si="53"/>
        <v>1</v>
      </c>
    </row>
    <row r="3438" spans="1:5" x14ac:dyDescent="0.25">
      <c r="A3438" s="7">
        <f>IF(E3438=1,
      SUM($E$2:E3438)-1,
"")</f>
        <v>3434</v>
      </c>
      <c r="B3438" s="6" t="s">
        <v>308</v>
      </c>
      <c r="C3438" s="14">
        <v>45242</v>
      </c>
      <c r="D3438" s="15">
        <v>80.83</v>
      </c>
      <c r="E3438" s="7">
        <f t="shared" si="53"/>
        <v>1</v>
      </c>
    </row>
    <row r="3439" spans="1:5" x14ac:dyDescent="0.25">
      <c r="A3439" s="7">
        <f>IF(E3439=1,
      SUM($E$2:E3439)-1,
"")</f>
        <v>3435</v>
      </c>
      <c r="B3439" s="6" t="s">
        <v>1014</v>
      </c>
      <c r="C3439" s="14">
        <v>45222</v>
      </c>
      <c r="D3439" s="15">
        <v>119.5</v>
      </c>
      <c r="E3439" s="7">
        <f t="shared" si="53"/>
        <v>1</v>
      </c>
    </row>
    <row r="3440" spans="1:5" x14ac:dyDescent="0.25">
      <c r="A3440" s="7">
        <f>IF(E3440=1,
      SUM($E$2:E3440)-1,
"")</f>
        <v>3436</v>
      </c>
      <c r="B3440" s="6" t="s">
        <v>732</v>
      </c>
      <c r="C3440" s="14">
        <v>45245</v>
      </c>
      <c r="D3440" s="15">
        <v>101.63</v>
      </c>
      <c r="E3440" s="7">
        <f t="shared" si="53"/>
        <v>1</v>
      </c>
    </row>
    <row r="3441" spans="1:5" x14ac:dyDescent="0.25">
      <c r="A3441" s="7">
        <f>IF(E3441=1,
      SUM($E$2:E3441)-1,
"")</f>
        <v>3437</v>
      </c>
      <c r="B3441" s="6" t="s">
        <v>256</v>
      </c>
      <c r="C3441" s="14">
        <v>45274</v>
      </c>
      <c r="D3441" s="15">
        <v>77.709999999999994</v>
      </c>
      <c r="E3441" s="7">
        <f t="shared" si="53"/>
        <v>1</v>
      </c>
    </row>
    <row r="3442" spans="1:5" x14ac:dyDescent="0.25">
      <c r="A3442" s="7">
        <f>IF(E3442=1,
      SUM($E$2:E3442)-1,
"")</f>
        <v>3438</v>
      </c>
      <c r="B3442" s="6" t="s">
        <v>367</v>
      </c>
      <c r="C3442" s="14">
        <v>45031</v>
      </c>
      <c r="D3442" s="15">
        <v>118.57</v>
      </c>
      <c r="E3442" s="7">
        <f t="shared" si="53"/>
        <v>1</v>
      </c>
    </row>
    <row r="3443" spans="1:5" x14ac:dyDescent="0.25">
      <c r="A3443" s="7">
        <f>IF(E3443=1,
      SUM($E$2:E3443)-1,
"")</f>
        <v>3439</v>
      </c>
      <c r="B3443" s="6" t="s">
        <v>190</v>
      </c>
      <c r="C3443" s="14">
        <v>45209</v>
      </c>
      <c r="D3443" s="15">
        <v>110.67</v>
      </c>
      <c r="E3443" s="7">
        <f t="shared" si="53"/>
        <v>1</v>
      </c>
    </row>
    <row r="3444" spans="1:5" x14ac:dyDescent="0.25">
      <c r="A3444" s="7">
        <f>IF(E3444=1,
      SUM($E$2:E3444)-1,
"")</f>
        <v>3440</v>
      </c>
      <c r="B3444" s="6" t="s">
        <v>684</v>
      </c>
      <c r="C3444" s="14">
        <v>45138</v>
      </c>
      <c r="D3444" s="15">
        <v>82.41</v>
      </c>
      <c r="E3444" s="7">
        <f t="shared" si="53"/>
        <v>1</v>
      </c>
    </row>
    <row r="3445" spans="1:5" x14ac:dyDescent="0.25">
      <c r="A3445" s="7">
        <f>IF(E3445=1,
      SUM($E$2:E3445)-1,
"")</f>
        <v>3441</v>
      </c>
      <c r="B3445" s="6" t="s">
        <v>906</v>
      </c>
      <c r="C3445" s="14">
        <v>45240</v>
      </c>
      <c r="D3445" s="15">
        <v>105.67</v>
      </c>
      <c r="E3445" s="7">
        <f t="shared" si="53"/>
        <v>1</v>
      </c>
    </row>
    <row r="3446" spans="1:5" x14ac:dyDescent="0.25">
      <c r="A3446" s="7">
        <f>IF(E3446=1,
      SUM($E$2:E3446)-1,
"")</f>
        <v>3442</v>
      </c>
      <c r="B3446" s="6" t="s">
        <v>391</v>
      </c>
      <c r="C3446" s="14">
        <v>45186</v>
      </c>
      <c r="D3446" s="15">
        <v>122.77</v>
      </c>
      <c r="E3446" s="7">
        <f t="shared" si="53"/>
        <v>1</v>
      </c>
    </row>
    <row r="3447" spans="1:5" x14ac:dyDescent="0.25">
      <c r="A3447" s="7">
        <f>IF(E3447=1,
      SUM($E$2:E3447)-1,
"")</f>
        <v>3443</v>
      </c>
      <c r="B3447" s="6" t="s">
        <v>287</v>
      </c>
      <c r="C3447" s="14">
        <v>44936</v>
      </c>
      <c r="D3447" s="15">
        <v>81.75</v>
      </c>
      <c r="E3447" s="7">
        <f t="shared" si="53"/>
        <v>1</v>
      </c>
    </row>
    <row r="3448" spans="1:5" x14ac:dyDescent="0.25">
      <c r="A3448" s="7">
        <f>IF(E3448=1,
      SUM($E$2:E3448)-1,
"")</f>
        <v>3444</v>
      </c>
      <c r="B3448" s="6" t="s">
        <v>618</v>
      </c>
      <c r="C3448" s="14">
        <v>44989</v>
      </c>
      <c r="D3448" s="15">
        <v>115.51</v>
      </c>
      <c r="E3448" s="7">
        <f t="shared" si="53"/>
        <v>1</v>
      </c>
    </row>
    <row r="3449" spans="1:5" x14ac:dyDescent="0.25">
      <c r="A3449" s="7">
        <f>IF(E3449=1,
      SUM($E$2:E3449)-1,
"")</f>
        <v>3445</v>
      </c>
      <c r="B3449" s="6" t="s">
        <v>75</v>
      </c>
      <c r="C3449" s="14">
        <v>45158</v>
      </c>
      <c r="D3449" s="15">
        <v>73.989999999999995</v>
      </c>
      <c r="E3449" s="7">
        <f t="shared" si="53"/>
        <v>1</v>
      </c>
    </row>
    <row r="3450" spans="1:5" x14ac:dyDescent="0.25">
      <c r="A3450" s="7">
        <f>IF(E3450=1,
      SUM($E$2:E3450)-1,
"")</f>
        <v>3446</v>
      </c>
      <c r="B3450" s="6" t="s">
        <v>681</v>
      </c>
      <c r="C3450" s="14">
        <v>45224</v>
      </c>
      <c r="D3450" s="15">
        <v>79.790000000000006</v>
      </c>
      <c r="E3450" s="7">
        <f t="shared" si="53"/>
        <v>1</v>
      </c>
    </row>
    <row r="3451" spans="1:5" x14ac:dyDescent="0.25">
      <c r="A3451" s="7">
        <f>IF(E3451=1,
      SUM($E$2:E3451)-1,
"")</f>
        <v>3447</v>
      </c>
      <c r="B3451" s="6" t="s">
        <v>388</v>
      </c>
      <c r="C3451" s="14">
        <v>45282</v>
      </c>
      <c r="D3451" s="15">
        <v>133.35</v>
      </c>
      <c r="E3451" s="7">
        <f t="shared" si="53"/>
        <v>1</v>
      </c>
    </row>
    <row r="3452" spans="1:5" x14ac:dyDescent="0.25">
      <c r="A3452" s="7">
        <f>IF(E3452=1,
      SUM($E$2:E3452)-1,
"")</f>
        <v>3448</v>
      </c>
      <c r="B3452" s="6" t="s">
        <v>248</v>
      </c>
      <c r="C3452" s="14">
        <v>45150</v>
      </c>
      <c r="D3452" s="15">
        <v>118.41</v>
      </c>
      <c r="E3452" s="7">
        <f t="shared" si="53"/>
        <v>1</v>
      </c>
    </row>
    <row r="3453" spans="1:5" x14ac:dyDescent="0.25">
      <c r="A3453" s="7">
        <f>IF(E3453=1,
      SUM($E$2:E3453)-1,
"")</f>
        <v>3449</v>
      </c>
      <c r="B3453" s="6" t="s">
        <v>81</v>
      </c>
      <c r="C3453" s="14">
        <v>45101</v>
      </c>
      <c r="D3453" s="15">
        <v>43.39</v>
      </c>
      <c r="E3453" s="7">
        <f t="shared" si="53"/>
        <v>1</v>
      </c>
    </row>
    <row r="3454" spans="1:5" x14ac:dyDescent="0.25">
      <c r="A3454" s="7">
        <f>IF(E3454=1,
      SUM($E$2:E3454)-1,
"")</f>
        <v>3450</v>
      </c>
      <c r="B3454" s="6" t="s">
        <v>248</v>
      </c>
      <c r="C3454" s="14">
        <v>45224</v>
      </c>
      <c r="D3454" s="15">
        <v>88.77</v>
      </c>
      <c r="E3454" s="7">
        <f t="shared" si="53"/>
        <v>1</v>
      </c>
    </row>
    <row r="3455" spans="1:5" x14ac:dyDescent="0.25">
      <c r="A3455" s="7">
        <f>IF(E3455=1,
      SUM($E$2:E3455)-1,
"")</f>
        <v>3451</v>
      </c>
      <c r="B3455" s="6" t="s">
        <v>564</v>
      </c>
      <c r="C3455" s="14">
        <v>45270</v>
      </c>
      <c r="D3455" s="15">
        <v>114.69</v>
      </c>
      <c r="E3455" s="7">
        <f t="shared" si="53"/>
        <v>1</v>
      </c>
    </row>
    <row r="3456" spans="1:5" x14ac:dyDescent="0.25">
      <c r="A3456" s="7">
        <f>IF(E3456=1,
      SUM($E$2:E3456)-1,
"")</f>
        <v>3452</v>
      </c>
      <c r="B3456" s="6" t="s">
        <v>311</v>
      </c>
      <c r="C3456" s="14">
        <v>45112</v>
      </c>
      <c r="D3456" s="15">
        <v>104.17</v>
      </c>
      <c r="E3456" s="7">
        <f t="shared" si="53"/>
        <v>1</v>
      </c>
    </row>
    <row r="3457" spans="1:5" x14ac:dyDescent="0.25">
      <c r="A3457" s="7">
        <f>IF(E3457=1,
      SUM($E$2:E3457)-1,
"")</f>
        <v>3453</v>
      </c>
      <c r="B3457" s="6" t="s">
        <v>695</v>
      </c>
      <c r="C3457" s="14">
        <v>45000</v>
      </c>
      <c r="D3457" s="15">
        <v>118.55</v>
      </c>
      <c r="E3457" s="7">
        <f t="shared" si="53"/>
        <v>1</v>
      </c>
    </row>
    <row r="3458" spans="1:5" x14ac:dyDescent="0.25">
      <c r="A3458" s="7">
        <f>IF(E3458=1,
      SUM($E$2:E3458)-1,
"")</f>
        <v>3454</v>
      </c>
      <c r="B3458" s="6" t="s">
        <v>102</v>
      </c>
      <c r="C3458" s="14">
        <v>45284</v>
      </c>
      <c r="D3458" s="15">
        <v>103.48</v>
      </c>
      <c r="E3458" s="7">
        <f t="shared" ref="E3458:E3521" si="54">IF(D3458&gt;0,1,0)</f>
        <v>1</v>
      </c>
    </row>
    <row r="3459" spans="1:5" x14ac:dyDescent="0.25">
      <c r="A3459" s="7">
        <f>IF(E3459=1,
      SUM($E$2:E3459)-1,
"")</f>
        <v>3455</v>
      </c>
      <c r="B3459" s="6" t="s">
        <v>425</v>
      </c>
      <c r="C3459" s="14">
        <v>45022</v>
      </c>
      <c r="D3459" s="15">
        <v>96.02</v>
      </c>
      <c r="E3459" s="7">
        <f t="shared" si="54"/>
        <v>1</v>
      </c>
    </row>
    <row r="3460" spans="1:5" x14ac:dyDescent="0.25">
      <c r="A3460" s="7">
        <f>IF(E3460=1,
      SUM($E$2:E3460)-1,
"")</f>
        <v>3456</v>
      </c>
      <c r="B3460" s="6" t="s">
        <v>382</v>
      </c>
      <c r="C3460" s="14">
        <v>45200</v>
      </c>
      <c r="D3460" s="15">
        <v>95.11</v>
      </c>
      <c r="E3460" s="7">
        <f t="shared" si="54"/>
        <v>1</v>
      </c>
    </row>
    <row r="3461" spans="1:5" x14ac:dyDescent="0.25">
      <c r="A3461" s="7">
        <f>IF(E3461=1,
      SUM($E$2:E3461)-1,
"")</f>
        <v>3457</v>
      </c>
      <c r="B3461" s="6" t="s">
        <v>245</v>
      </c>
      <c r="C3461" s="14">
        <v>45276</v>
      </c>
      <c r="D3461" s="15">
        <v>132.74</v>
      </c>
      <c r="E3461" s="7">
        <f t="shared" si="54"/>
        <v>1</v>
      </c>
    </row>
    <row r="3462" spans="1:5" x14ac:dyDescent="0.25">
      <c r="A3462" s="7">
        <f>IF(E3462=1,
      SUM($E$2:E3462)-1,
"")</f>
        <v>3458</v>
      </c>
      <c r="B3462" s="6" t="s">
        <v>775</v>
      </c>
      <c r="C3462" s="14">
        <v>45139</v>
      </c>
      <c r="D3462" s="15">
        <v>120.85</v>
      </c>
      <c r="E3462" s="7">
        <f t="shared" si="54"/>
        <v>1</v>
      </c>
    </row>
    <row r="3463" spans="1:5" x14ac:dyDescent="0.25">
      <c r="A3463" s="7">
        <f>IF(E3463=1,
      SUM($E$2:E3463)-1,
"")</f>
        <v>3459</v>
      </c>
      <c r="B3463" s="6" t="s">
        <v>201</v>
      </c>
      <c r="C3463" s="14">
        <v>44965</v>
      </c>
      <c r="D3463" s="15">
        <v>112.14</v>
      </c>
      <c r="E3463" s="7">
        <f t="shared" si="54"/>
        <v>1</v>
      </c>
    </row>
    <row r="3464" spans="1:5" x14ac:dyDescent="0.25">
      <c r="A3464" s="7">
        <f>IF(E3464=1,
      SUM($E$2:E3464)-1,
"")</f>
        <v>3460</v>
      </c>
      <c r="B3464" s="6" t="s">
        <v>320</v>
      </c>
      <c r="C3464" s="14">
        <v>45144</v>
      </c>
      <c r="D3464" s="15">
        <v>102.66</v>
      </c>
      <c r="E3464" s="7">
        <f t="shared" si="54"/>
        <v>1</v>
      </c>
    </row>
    <row r="3465" spans="1:5" x14ac:dyDescent="0.25">
      <c r="A3465" s="7">
        <f>IF(E3465=1,
      SUM($E$2:E3465)-1,
"")</f>
        <v>3461</v>
      </c>
      <c r="B3465" s="6" t="s">
        <v>368</v>
      </c>
      <c r="C3465" s="14">
        <v>45026</v>
      </c>
      <c r="D3465" s="15">
        <v>83.54</v>
      </c>
      <c r="E3465" s="7">
        <f t="shared" si="54"/>
        <v>1</v>
      </c>
    </row>
    <row r="3466" spans="1:5" x14ac:dyDescent="0.25">
      <c r="A3466" s="7">
        <f>IF(E3466=1,
      SUM($E$2:E3466)-1,
"")</f>
        <v>3462</v>
      </c>
      <c r="B3466" s="6" t="s">
        <v>519</v>
      </c>
      <c r="C3466" s="14">
        <v>44965</v>
      </c>
      <c r="D3466" s="15">
        <v>90.8</v>
      </c>
      <c r="E3466" s="7">
        <f t="shared" si="54"/>
        <v>1</v>
      </c>
    </row>
    <row r="3467" spans="1:5" x14ac:dyDescent="0.25">
      <c r="A3467" s="7">
        <f>IF(E3467=1,
      SUM($E$2:E3467)-1,
"")</f>
        <v>3463</v>
      </c>
      <c r="B3467" s="6" t="s">
        <v>632</v>
      </c>
      <c r="C3467" s="14">
        <v>45187</v>
      </c>
      <c r="D3467" s="15">
        <v>131.94</v>
      </c>
      <c r="E3467" s="7">
        <f t="shared" si="54"/>
        <v>1</v>
      </c>
    </row>
    <row r="3468" spans="1:5" x14ac:dyDescent="0.25">
      <c r="A3468" s="7">
        <f>IF(E3468=1,
      SUM($E$2:E3468)-1,
"")</f>
        <v>3464</v>
      </c>
      <c r="B3468" s="6" t="s">
        <v>826</v>
      </c>
      <c r="C3468" s="14">
        <v>45258</v>
      </c>
      <c r="D3468" s="15">
        <v>129.12</v>
      </c>
      <c r="E3468" s="7">
        <f t="shared" si="54"/>
        <v>1</v>
      </c>
    </row>
    <row r="3469" spans="1:5" x14ac:dyDescent="0.25">
      <c r="A3469" s="7">
        <f>IF(E3469=1,
      SUM($E$2:E3469)-1,
"")</f>
        <v>3465</v>
      </c>
      <c r="B3469" s="6" t="s">
        <v>687</v>
      </c>
      <c r="C3469" s="14">
        <v>45174</v>
      </c>
      <c r="D3469" s="15">
        <v>80.540000000000006</v>
      </c>
      <c r="E3469" s="7">
        <f t="shared" si="54"/>
        <v>1</v>
      </c>
    </row>
    <row r="3470" spans="1:5" x14ac:dyDescent="0.25">
      <c r="A3470" s="7">
        <f>IF(E3470=1,
      SUM($E$2:E3470)-1,
"")</f>
        <v>3466</v>
      </c>
      <c r="B3470" s="6" t="s">
        <v>140</v>
      </c>
      <c r="C3470" s="14">
        <v>45279</v>
      </c>
      <c r="D3470" s="15">
        <v>103</v>
      </c>
      <c r="E3470" s="7">
        <f t="shared" si="54"/>
        <v>1</v>
      </c>
    </row>
    <row r="3471" spans="1:5" x14ac:dyDescent="0.25">
      <c r="A3471" s="7">
        <f>IF(E3471=1,
      SUM($E$2:E3471)-1,
"")</f>
        <v>3467</v>
      </c>
      <c r="B3471" s="6" t="s">
        <v>575</v>
      </c>
      <c r="C3471" s="14">
        <v>45279</v>
      </c>
      <c r="D3471" s="15">
        <v>114.95</v>
      </c>
      <c r="E3471" s="7">
        <f t="shared" si="54"/>
        <v>1</v>
      </c>
    </row>
    <row r="3472" spans="1:5" x14ac:dyDescent="0.25">
      <c r="A3472" s="7">
        <f>IF(E3472=1,
      SUM($E$2:E3472)-1,
"")</f>
        <v>3468</v>
      </c>
      <c r="B3472" s="6" t="s">
        <v>103</v>
      </c>
      <c r="C3472" s="14">
        <v>45027</v>
      </c>
      <c r="D3472" s="15">
        <v>113</v>
      </c>
      <c r="E3472" s="7">
        <f t="shared" si="54"/>
        <v>1</v>
      </c>
    </row>
    <row r="3473" spans="1:5" x14ac:dyDescent="0.25">
      <c r="A3473" s="7">
        <f>IF(E3473=1,
      SUM($E$2:E3473)-1,
"")</f>
        <v>3469</v>
      </c>
      <c r="B3473" s="6" t="s">
        <v>1029</v>
      </c>
      <c r="C3473" s="14">
        <v>45153</v>
      </c>
      <c r="D3473" s="15">
        <v>112.76</v>
      </c>
      <c r="E3473" s="7">
        <f t="shared" si="54"/>
        <v>1</v>
      </c>
    </row>
    <row r="3474" spans="1:5" x14ac:dyDescent="0.25">
      <c r="A3474" s="7">
        <f>IF(E3474=1,
      SUM($E$2:E3474)-1,
"")</f>
        <v>3470</v>
      </c>
      <c r="B3474" s="6" t="s">
        <v>745</v>
      </c>
      <c r="C3474" s="14">
        <v>44999</v>
      </c>
      <c r="D3474" s="15">
        <v>66.64</v>
      </c>
      <c r="E3474" s="7">
        <f t="shared" si="54"/>
        <v>1</v>
      </c>
    </row>
    <row r="3475" spans="1:5" x14ac:dyDescent="0.25">
      <c r="A3475" s="7">
        <f>IF(E3475=1,
      SUM($E$2:E3475)-1,
"")</f>
        <v>3471</v>
      </c>
      <c r="B3475" s="6" t="s">
        <v>418</v>
      </c>
      <c r="C3475" s="14">
        <v>44929</v>
      </c>
      <c r="D3475" s="15">
        <v>64.86</v>
      </c>
      <c r="E3475" s="7">
        <f t="shared" si="54"/>
        <v>1</v>
      </c>
    </row>
    <row r="3476" spans="1:5" x14ac:dyDescent="0.25">
      <c r="A3476" s="7">
        <f>IF(E3476=1,
      SUM($E$2:E3476)-1,
"")</f>
        <v>3472</v>
      </c>
      <c r="B3476" s="6" t="s">
        <v>793</v>
      </c>
      <c r="C3476" s="14">
        <v>45174</v>
      </c>
      <c r="D3476" s="15">
        <v>135.11000000000001</v>
      </c>
      <c r="E3476" s="7">
        <f t="shared" si="54"/>
        <v>1</v>
      </c>
    </row>
    <row r="3477" spans="1:5" x14ac:dyDescent="0.25">
      <c r="A3477" s="7">
        <f>IF(E3477=1,
      SUM($E$2:E3477)-1,
"")</f>
        <v>3473</v>
      </c>
      <c r="B3477" s="6" t="s">
        <v>460</v>
      </c>
      <c r="C3477" s="14">
        <v>45055</v>
      </c>
      <c r="D3477" s="15">
        <v>145.27000000000001</v>
      </c>
      <c r="E3477" s="7">
        <f t="shared" si="54"/>
        <v>1</v>
      </c>
    </row>
    <row r="3478" spans="1:5" x14ac:dyDescent="0.25">
      <c r="A3478" s="7">
        <f>IF(E3478=1,
      SUM($E$2:E3478)-1,
"")</f>
        <v>3474</v>
      </c>
      <c r="B3478" s="6" t="s">
        <v>517</v>
      </c>
      <c r="C3478" s="14">
        <v>45259</v>
      </c>
      <c r="D3478" s="15">
        <v>55.55</v>
      </c>
      <c r="E3478" s="7">
        <f t="shared" si="54"/>
        <v>1</v>
      </c>
    </row>
    <row r="3479" spans="1:5" x14ac:dyDescent="0.25">
      <c r="A3479" s="7">
        <f>IF(E3479=1,
      SUM($E$2:E3479)-1,
"")</f>
        <v>3475</v>
      </c>
      <c r="B3479" s="6" t="s">
        <v>151</v>
      </c>
      <c r="C3479" s="14">
        <v>45124</v>
      </c>
      <c r="D3479" s="15">
        <v>99.17</v>
      </c>
      <c r="E3479" s="7">
        <f t="shared" si="54"/>
        <v>1</v>
      </c>
    </row>
    <row r="3480" spans="1:5" x14ac:dyDescent="0.25">
      <c r="A3480" s="7">
        <f>IF(E3480=1,
      SUM($E$2:E3480)-1,
"")</f>
        <v>3476</v>
      </c>
      <c r="B3480" s="6" t="s">
        <v>347</v>
      </c>
      <c r="C3480" s="14">
        <v>45283</v>
      </c>
      <c r="D3480" s="15">
        <v>124.42</v>
      </c>
      <c r="E3480" s="7">
        <f t="shared" si="54"/>
        <v>1</v>
      </c>
    </row>
    <row r="3481" spans="1:5" x14ac:dyDescent="0.25">
      <c r="A3481" s="7">
        <f>IF(E3481=1,
      SUM($E$2:E3481)-1,
"")</f>
        <v>3477</v>
      </c>
      <c r="B3481" s="6" t="s">
        <v>231</v>
      </c>
      <c r="C3481" s="14">
        <v>45171</v>
      </c>
      <c r="D3481" s="15">
        <v>33.89</v>
      </c>
      <c r="E3481" s="7">
        <f t="shared" si="54"/>
        <v>1</v>
      </c>
    </row>
    <row r="3482" spans="1:5" x14ac:dyDescent="0.25">
      <c r="A3482" s="7">
        <f>IF(E3482=1,
      SUM($E$2:E3482)-1,
"")</f>
        <v>3478</v>
      </c>
      <c r="B3482" s="6" t="s">
        <v>920</v>
      </c>
      <c r="C3482" s="14">
        <v>45148</v>
      </c>
      <c r="D3482" s="15">
        <v>67.8</v>
      </c>
      <c r="E3482" s="7">
        <f t="shared" si="54"/>
        <v>1</v>
      </c>
    </row>
    <row r="3483" spans="1:5" x14ac:dyDescent="0.25">
      <c r="A3483" s="7">
        <f>IF(E3483=1,
      SUM($E$2:E3483)-1,
"")</f>
        <v>3479</v>
      </c>
      <c r="B3483" s="6" t="s">
        <v>749</v>
      </c>
      <c r="C3483" s="14">
        <v>45070</v>
      </c>
      <c r="D3483" s="15">
        <v>97.23</v>
      </c>
      <c r="E3483" s="7">
        <f t="shared" si="54"/>
        <v>1</v>
      </c>
    </row>
    <row r="3484" spans="1:5" x14ac:dyDescent="0.25">
      <c r="A3484" s="7">
        <f>IF(E3484=1,
      SUM($E$2:E3484)-1,
"")</f>
        <v>3480</v>
      </c>
      <c r="B3484" s="6" t="s">
        <v>964</v>
      </c>
      <c r="C3484" s="14">
        <v>45036</v>
      </c>
      <c r="D3484" s="15">
        <v>82.08</v>
      </c>
      <c r="E3484" s="7">
        <f t="shared" si="54"/>
        <v>1</v>
      </c>
    </row>
    <row r="3485" spans="1:5" x14ac:dyDescent="0.25">
      <c r="A3485" s="7">
        <f>IF(E3485=1,
      SUM($E$2:E3485)-1,
"")</f>
        <v>3481</v>
      </c>
      <c r="B3485" s="6" t="s">
        <v>625</v>
      </c>
      <c r="C3485" s="14">
        <v>45025</v>
      </c>
      <c r="D3485" s="15">
        <v>106.27</v>
      </c>
      <c r="E3485" s="7">
        <f t="shared" si="54"/>
        <v>1</v>
      </c>
    </row>
    <row r="3486" spans="1:5" x14ac:dyDescent="0.25">
      <c r="A3486" s="7">
        <f>IF(E3486=1,
      SUM($E$2:E3486)-1,
"")</f>
        <v>3482</v>
      </c>
      <c r="B3486" s="6" t="s">
        <v>103</v>
      </c>
      <c r="C3486" s="14">
        <v>44934</v>
      </c>
      <c r="D3486" s="15">
        <v>144.11000000000001</v>
      </c>
      <c r="E3486" s="7">
        <f t="shared" si="54"/>
        <v>1</v>
      </c>
    </row>
    <row r="3487" spans="1:5" x14ac:dyDescent="0.25">
      <c r="A3487" s="7">
        <f>IF(E3487=1,
      SUM($E$2:E3487)-1,
"")</f>
        <v>3483</v>
      </c>
      <c r="B3487" s="6" t="s">
        <v>315</v>
      </c>
      <c r="C3487" s="14">
        <v>45289</v>
      </c>
      <c r="D3487" s="15">
        <v>74.42</v>
      </c>
      <c r="E3487" s="7">
        <f t="shared" si="54"/>
        <v>1</v>
      </c>
    </row>
    <row r="3488" spans="1:5" x14ac:dyDescent="0.25">
      <c r="A3488" s="7">
        <f>IF(E3488=1,
      SUM($E$2:E3488)-1,
"")</f>
        <v>3484</v>
      </c>
      <c r="B3488" s="6" t="s">
        <v>860</v>
      </c>
      <c r="C3488" s="14">
        <v>44939</v>
      </c>
      <c r="D3488" s="15">
        <v>101.51</v>
      </c>
      <c r="E3488" s="7">
        <f t="shared" si="54"/>
        <v>1</v>
      </c>
    </row>
    <row r="3489" spans="1:5" x14ac:dyDescent="0.25">
      <c r="A3489" s="7">
        <f>IF(E3489=1,
      SUM($E$2:E3489)-1,
"")</f>
        <v>3485</v>
      </c>
      <c r="B3489" s="6" t="s">
        <v>649</v>
      </c>
      <c r="C3489" s="14">
        <v>45187</v>
      </c>
      <c r="D3489" s="15">
        <v>89.66</v>
      </c>
      <c r="E3489" s="7">
        <f t="shared" si="54"/>
        <v>1</v>
      </c>
    </row>
    <row r="3490" spans="1:5" x14ac:dyDescent="0.25">
      <c r="A3490" s="7">
        <f>IF(E3490=1,
      SUM($E$2:E3490)-1,
"")</f>
        <v>3486</v>
      </c>
      <c r="B3490" s="6" t="s">
        <v>84</v>
      </c>
      <c r="C3490" s="14">
        <v>45208</v>
      </c>
      <c r="D3490" s="15">
        <v>104.09</v>
      </c>
      <c r="E3490" s="7">
        <f t="shared" si="54"/>
        <v>1</v>
      </c>
    </row>
    <row r="3491" spans="1:5" x14ac:dyDescent="0.25">
      <c r="A3491" s="7">
        <f>IF(E3491=1,
      SUM($E$2:E3491)-1,
"")</f>
        <v>3487</v>
      </c>
      <c r="B3491" s="6" t="s">
        <v>528</v>
      </c>
      <c r="C3491" s="14">
        <v>45079</v>
      </c>
      <c r="D3491" s="15">
        <v>100.17</v>
      </c>
      <c r="E3491" s="7">
        <f t="shared" si="54"/>
        <v>1</v>
      </c>
    </row>
    <row r="3492" spans="1:5" x14ac:dyDescent="0.25">
      <c r="A3492" s="7">
        <f>IF(E3492=1,
      SUM($E$2:E3492)-1,
"")</f>
        <v>3488</v>
      </c>
      <c r="B3492" s="6" t="s">
        <v>321</v>
      </c>
      <c r="C3492" s="14">
        <v>45172</v>
      </c>
      <c r="D3492" s="15">
        <v>179.12</v>
      </c>
      <c r="E3492" s="7">
        <f t="shared" si="54"/>
        <v>1</v>
      </c>
    </row>
    <row r="3493" spans="1:5" x14ac:dyDescent="0.25">
      <c r="A3493" s="7">
        <f>IF(E3493=1,
      SUM($E$2:E3493)-1,
"")</f>
        <v>3489</v>
      </c>
      <c r="B3493" s="6" t="s">
        <v>891</v>
      </c>
      <c r="C3493" s="14">
        <v>45161</v>
      </c>
      <c r="D3493" s="15">
        <v>144.69</v>
      </c>
      <c r="E3493" s="7">
        <f t="shared" si="54"/>
        <v>1</v>
      </c>
    </row>
    <row r="3494" spans="1:5" x14ac:dyDescent="0.25">
      <c r="A3494" s="7">
        <f>IF(E3494=1,
      SUM($E$2:E3494)-1,
"")</f>
        <v>3490</v>
      </c>
      <c r="B3494" s="6" t="s">
        <v>707</v>
      </c>
      <c r="C3494" s="14">
        <v>44955</v>
      </c>
      <c r="D3494" s="15">
        <v>52.57</v>
      </c>
      <c r="E3494" s="7">
        <f t="shared" si="54"/>
        <v>1</v>
      </c>
    </row>
    <row r="3495" spans="1:5" x14ac:dyDescent="0.25">
      <c r="A3495" s="7">
        <f>IF(E3495=1,
      SUM($E$2:E3495)-1,
"")</f>
        <v>3491</v>
      </c>
      <c r="B3495" s="6" t="s">
        <v>879</v>
      </c>
      <c r="C3495" s="14">
        <v>45096</v>
      </c>
      <c r="D3495" s="15">
        <v>73</v>
      </c>
      <c r="E3495" s="7">
        <f t="shared" si="54"/>
        <v>1</v>
      </c>
    </row>
    <row r="3496" spans="1:5" x14ac:dyDescent="0.25">
      <c r="A3496" s="7">
        <f>IF(E3496=1,
      SUM($E$2:E3496)-1,
"")</f>
        <v>3492</v>
      </c>
      <c r="B3496" s="6" t="s">
        <v>1017</v>
      </c>
      <c r="C3496" s="14">
        <v>45274</v>
      </c>
      <c r="D3496" s="15">
        <v>76.66</v>
      </c>
      <c r="E3496" s="7">
        <f t="shared" si="54"/>
        <v>1</v>
      </c>
    </row>
    <row r="3497" spans="1:5" x14ac:dyDescent="0.25">
      <c r="A3497" s="7">
        <f>IF(E3497=1,
      SUM($E$2:E3497)-1,
"")</f>
        <v>3493</v>
      </c>
      <c r="B3497" s="6" t="s">
        <v>672</v>
      </c>
      <c r="C3497" s="14">
        <v>45163</v>
      </c>
      <c r="D3497" s="15">
        <v>62.97</v>
      </c>
      <c r="E3497" s="7">
        <f t="shared" si="54"/>
        <v>1</v>
      </c>
    </row>
    <row r="3498" spans="1:5" x14ac:dyDescent="0.25">
      <c r="A3498" s="7">
        <f>IF(E3498=1,
      SUM($E$2:E3498)-1,
"")</f>
        <v>3494</v>
      </c>
      <c r="B3498" s="6" t="s">
        <v>801</v>
      </c>
      <c r="C3498" s="14">
        <v>45281</v>
      </c>
      <c r="D3498" s="15">
        <v>58.95</v>
      </c>
      <c r="E3498" s="7">
        <f t="shared" si="54"/>
        <v>1</v>
      </c>
    </row>
    <row r="3499" spans="1:5" x14ac:dyDescent="0.25">
      <c r="A3499" s="7">
        <f>IF(E3499=1,
      SUM($E$2:E3499)-1,
"")</f>
        <v>3495</v>
      </c>
      <c r="B3499" s="6" t="s">
        <v>920</v>
      </c>
      <c r="C3499" s="14">
        <v>45212</v>
      </c>
      <c r="D3499" s="15">
        <v>94.65</v>
      </c>
      <c r="E3499" s="7">
        <f t="shared" si="54"/>
        <v>1</v>
      </c>
    </row>
    <row r="3500" spans="1:5" x14ac:dyDescent="0.25">
      <c r="A3500" s="7">
        <f>IF(E3500=1,
      SUM($E$2:E3500)-1,
"")</f>
        <v>3496</v>
      </c>
      <c r="B3500" s="6" t="s">
        <v>129</v>
      </c>
      <c r="C3500" s="14">
        <v>44963</v>
      </c>
      <c r="D3500" s="15">
        <v>77.81</v>
      </c>
      <c r="E3500" s="7">
        <f t="shared" si="54"/>
        <v>1</v>
      </c>
    </row>
    <row r="3501" spans="1:5" x14ac:dyDescent="0.25">
      <c r="A3501" s="7">
        <f>IF(E3501=1,
      SUM($E$2:E3501)-1,
"")</f>
        <v>3497</v>
      </c>
      <c r="B3501" s="6" t="s">
        <v>879</v>
      </c>
      <c r="C3501" s="14">
        <v>44939</v>
      </c>
      <c r="D3501" s="15">
        <v>73.28</v>
      </c>
      <c r="E3501" s="7">
        <f t="shared" si="54"/>
        <v>1</v>
      </c>
    </row>
    <row r="3502" spans="1:5" x14ac:dyDescent="0.25">
      <c r="A3502" s="7">
        <f>IF(E3502=1,
      SUM($E$2:E3502)-1,
"")</f>
        <v>3498</v>
      </c>
      <c r="B3502" s="6" t="s">
        <v>563</v>
      </c>
      <c r="C3502" s="14">
        <v>45031</v>
      </c>
      <c r="D3502" s="15">
        <v>160.61000000000001</v>
      </c>
      <c r="E3502" s="7">
        <f t="shared" si="54"/>
        <v>1</v>
      </c>
    </row>
    <row r="3503" spans="1:5" x14ac:dyDescent="0.25">
      <c r="A3503" s="7">
        <f>IF(E3503=1,
      SUM($E$2:E3503)-1,
"")</f>
        <v>3499</v>
      </c>
      <c r="B3503" s="6" t="s">
        <v>281</v>
      </c>
      <c r="C3503" s="14">
        <v>45168</v>
      </c>
      <c r="D3503" s="15">
        <v>79.87</v>
      </c>
      <c r="E3503" s="7">
        <f t="shared" si="54"/>
        <v>1</v>
      </c>
    </row>
    <row r="3504" spans="1:5" x14ac:dyDescent="0.25">
      <c r="A3504" s="7">
        <f>IF(E3504=1,
      SUM($E$2:E3504)-1,
"")</f>
        <v>3500</v>
      </c>
      <c r="B3504" s="6" t="s">
        <v>1013</v>
      </c>
      <c r="C3504" s="14">
        <v>44986</v>
      </c>
      <c r="D3504" s="15">
        <v>86.7</v>
      </c>
      <c r="E3504" s="7">
        <f t="shared" si="54"/>
        <v>1</v>
      </c>
    </row>
    <row r="3505" spans="1:5" x14ac:dyDescent="0.25">
      <c r="A3505" s="7">
        <f>IF(E3505=1,
      SUM($E$2:E3505)-1,
"")</f>
        <v>3501</v>
      </c>
      <c r="B3505" s="6" t="s">
        <v>532</v>
      </c>
      <c r="C3505" s="14">
        <v>45026</v>
      </c>
      <c r="D3505" s="15">
        <v>122.24</v>
      </c>
      <c r="E3505" s="7">
        <f t="shared" si="54"/>
        <v>1</v>
      </c>
    </row>
    <row r="3506" spans="1:5" x14ac:dyDescent="0.25">
      <c r="A3506" s="7">
        <f>IF(E3506=1,
      SUM($E$2:E3506)-1,
"")</f>
        <v>3502</v>
      </c>
      <c r="B3506" s="6" t="s">
        <v>465</v>
      </c>
      <c r="C3506" s="14">
        <v>45153</v>
      </c>
      <c r="D3506" s="15">
        <v>86.6</v>
      </c>
      <c r="E3506" s="7">
        <f t="shared" si="54"/>
        <v>1</v>
      </c>
    </row>
    <row r="3507" spans="1:5" x14ac:dyDescent="0.25">
      <c r="A3507" s="7">
        <f>IF(E3507=1,
      SUM($E$2:E3507)-1,
"")</f>
        <v>3503</v>
      </c>
      <c r="B3507" s="6" t="s">
        <v>1010</v>
      </c>
      <c r="C3507" s="14">
        <v>44964</v>
      </c>
      <c r="D3507" s="15">
        <v>65.03</v>
      </c>
      <c r="E3507" s="7">
        <f t="shared" si="54"/>
        <v>1</v>
      </c>
    </row>
    <row r="3508" spans="1:5" x14ac:dyDescent="0.25">
      <c r="A3508" s="7">
        <f>IF(E3508=1,
      SUM($E$2:E3508)-1,
"")</f>
        <v>3504</v>
      </c>
      <c r="B3508" s="6" t="s">
        <v>92</v>
      </c>
      <c r="C3508" s="14">
        <v>45291</v>
      </c>
      <c r="D3508" s="15">
        <v>92.26</v>
      </c>
      <c r="E3508" s="7">
        <f t="shared" si="54"/>
        <v>1</v>
      </c>
    </row>
    <row r="3509" spans="1:5" x14ac:dyDescent="0.25">
      <c r="A3509" s="7">
        <f>IF(E3509=1,
      SUM($E$2:E3509)-1,
"")</f>
        <v>3505</v>
      </c>
      <c r="B3509" s="6" t="s">
        <v>425</v>
      </c>
      <c r="C3509" s="14">
        <v>45285</v>
      </c>
      <c r="D3509" s="15">
        <v>160.26</v>
      </c>
      <c r="E3509" s="7">
        <f t="shared" si="54"/>
        <v>1</v>
      </c>
    </row>
    <row r="3510" spans="1:5" x14ac:dyDescent="0.25">
      <c r="A3510" s="7">
        <f>IF(E3510=1,
      SUM($E$2:E3510)-1,
"")</f>
        <v>3506</v>
      </c>
      <c r="B3510" s="6" t="s">
        <v>698</v>
      </c>
      <c r="C3510" s="14">
        <v>45043</v>
      </c>
      <c r="D3510" s="15">
        <v>85.56</v>
      </c>
      <c r="E3510" s="7">
        <f t="shared" si="54"/>
        <v>1</v>
      </c>
    </row>
    <row r="3511" spans="1:5" x14ac:dyDescent="0.25">
      <c r="A3511" s="7">
        <f>IF(E3511=1,
      SUM($E$2:E3511)-1,
"")</f>
        <v>3507</v>
      </c>
      <c r="B3511" s="6" t="s">
        <v>350</v>
      </c>
      <c r="C3511" s="14">
        <v>45154</v>
      </c>
      <c r="D3511" s="15">
        <v>72.650000000000006</v>
      </c>
      <c r="E3511" s="7">
        <f t="shared" si="54"/>
        <v>1</v>
      </c>
    </row>
    <row r="3512" spans="1:5" x14ac:dyDescent="0.25">
      <c r="A3512" s="7">
        <f>IF(E3512=1,
      SUM($E$2:E3512)-1,
"")</f>
        <v>3508</v>
      </c>
      <c r="B3512" s="6" t="s">
        <v>104</v>
      </c>
      <c r="C3512" s="14">
        <v>45169</v>
      </c>
      <c r="D3512" s="15">
        <v>112.61</v>
      </c>
      <c r="E3512" s="7">
        <f t="shared" si="54"/>
        <v>1</v>
      </c>
    </row>
    <row r="3513" spans="1:5" x14ac:dyDescent="0.25">
      <c r="A3513" s="7">
        <f>IF(E3513=1,
      SUM($E$2:E3513)-1,
"")</f>
        <v>3509</v>
      </c>
      <c r="B3513" s="6" t="s">
        <v>1029</v>
      </c>
      <c r="C3513" s="14">
        <v>44984</v>
      </c>
      <c r="D3513" s="15">
        <v>90.82</v>
      </c>
      <c r="E3513" s="7">
        <f t="shared" si="54"/>
        <v>1</v>
      </c>
    </row>
    <row r="3514" spans="1:5" x14ac:dyDescent="0.25">
      <c r="A3514" s="7">
        <f>IF(E3514=1,
      SUM($E$2:E3514)-1,
"")</f>
        <v>3510</v>
      </c>
      <c r="B3514" s="6" t="s">
        <v>575</v>
      </c>
      <c r="C3514" s="14">
        <v>45065</v>
      </c>
      <c r="D3514" s="15">
        <v>182.17</v>
      </c>
      <c r="E3514" s="7">
        <f t="shared" si="54"/>
        <v>1</v>
      </c>
    </row>
    <row r="3515" spans="1:5" x14ac:dyDescent="0.25">
      <c r="A3515" s="7">
        <f>IF(E3515=1,
      SUM($E$2:E3515)-1,
"")</f>
        <v>3511</v>
      </c>
      <c r="B3515" s="6" t="s">
        <v>958</v>
      </c>
      <c r="C3515" s="14">
        <v>45283</v>
      </c>
      <c r="D3515" s="15">
        <v>76.39</v>
      </c>
      <c r="E3515" s="7">
        <f t="shared" si="54"/>
        <v>1</v>
      </c>
    </row>
    <row r="3516" spans="1:5" x14ac:dyDescent="0.25">
      <c r="A3516" s="7">
        <f>IF(E3516=1,
      SUM($E$2:E3516)-1,
"")</f>
        <v>3512</v>
      </c>
      <c r="B3516" s="6" t="s">
        <v>941</v>
      </c>
      <c r="C3516" s="14">
        <v>45081</v>
      </c>
      <c r="D3516" s="15">
        <v>152.01</v>
      </c>
      <c r="E3516" s="7">
        <f t="shared" si="54"/>
        <v>1</v>
      </c>
    </row>
    <row r="3517" spans="1:5" x14ac:dyDescent="0.25">
      <c r="A3517" s="7">
        <f>IF(E3517=1,
      SUM($E$2:E3517)-1,
"")</f>
        <v>3513</v>
      </c>
      <c r="B3517" s="6" t="s">
        <v>773</v>
      </c>
      <c r="C3517" s="14">
        <v>45181</v>
      </c>
      <c r="D3517" s="15">
        <v>134.9</v>
      </c>
      <c r="E3517" s="7">
        <f t="shared" si="54"/>
        <v>1</v>
      </c>
    </row>
    <row r="3518" spans="1:5" x14ac:dyDescent="0.25">
      <c r="A3518" s="7">
        <f>IF(E3518=1,
      SUM($E$2:E3518)-1,
"")</f>
        <v>3514</v>
      </c>
      <c r="B3518" s="6" t="s">
        <v>1030</v>
      </c>
      <c r="C3518" s="14">
        <v>45285</v>
      </c>
      <c r="D3518" s="15">
        <v>88.56</v>
      </c>
      <c r="E3518" s="7">
        <f t="shared" si="54"/>
        <v>1</v>
      </c>
    </row>
    <row r="3519" spans="1:5" x14ac:dyDescent="0.25">
      <c r="A3519" s="7">
        <f>IF(E3519=1,
      SUM($E$2:E3519)-1,
"")</f>
        <v>3515</v>
      </c>
      <c r="B3519" s="6" t="s">
        <v>75</v>
      </c>
      <c r="C3519" s="14">
        <v>45001</v>
      </c>
      <c r="D3519" s="15">
        <v>99.89</v>
      </c>
      <c r="E3519" s="7">
        <f t="shared" si="54"/>
        <v>1</v>
      </c>
    </row>
    <row r="3520" spans="1:5" x14ac:dyDescent="0.25">
      <c r="A3520" s="7">
        <f>IF(E3520=1,
      SUM($E$2:E3520)-1,
"")</f>
        <v>3516</v>
      </c>
      <c r="B3520" s="6" t="s">
        <v>937</v>
      </c>
      <c r="C3520" s="14">
        <v>44931</v>
      </c>
      <c r="D3520" s="15">
        <v>69.099999999999994</v>
      </c>
      <c r="E3520" s="7">
        <f t="shared" si="54"/>
        <v>1</v>
      </c>
    </row>
    <row r="3521" spans="1:5" x14ac:dyDescent="0.25">
      <c r="A3521" s="7">
        <f>IF(E3521=1,
      SUM($E$2:E3521)-1,
"")</f>
        <v>3517</v>
      </c>
      <c r="B3521" s="6" t="s">
        <v>1031</v>
      </c>
      <c r="C3521" s="14">
        <v>45040</v>
      </c>
      <c r="D3521" s="15">
        <v>83.85</v>
      </c>
      <c r="E3521" s="7">
        <f t="shared" si="54"/>
        <v>1</v>
      </c>
    </row>
    <row r="3522" spans="1:5" x14ac:dyDescent="0.25">
      <c r="A3522" s="7">
        <f>IF(E3522=1,
      SUM($E$2:E3522)-1,
"")</f>
        <v>3518</v>
      </c>
      <c r="B3522" s="6" t="s">
        <v>821</v>
      </c>
      <c r="C3522" s="14">
        <v>45279</v>
      </c>
      <c r="D3522" s="15">
        <v>88.35</v>
      </c>
      <c r="E3522" s="7">
        <f t="shared" ref="E3522:E3585" si="55">IF(D3522&gt;0,1,0)</f>
        <v>1</v>
      </c>
    </row>
    <row r="3523" spans="1:5" x14ac:dyDescent="0.25">
      <c r="A3523" s="7">
        <f>IF(E3523=1,
      SUM($E$2:E3523)-1,
"")</f>
        <v>3519</v>
      </c>
      <c r="B3523" s="6" t="s">
        <v>206</v>
      </c>
      <c r="C3523" s="14">
        <v>45053</v>
      </c>
      <c r="D3523" s="15">
        <v>104.74</v>
      </c>
      <c r="E3523" s="7">
        <f t="shared" si="55"/>
        <v>1</v>
      </c>
    </row>
    <row r="3524" spans="1:5" x14ac:dyDescent="0.25">
      <c r="A3524" s="7">
        <f>IF(E3524=1,
      SUM($E$2:E3524)-1,
"")</f>
        <v>3520</v>
      </c>
      <c r="B3524" s="6" t="s">
        <v>674</v>
      </c>
      <c r="C3524" s="14">
        <v>45051</v>
      </c>
      <c r="D3524" s="15">
        <v>57.62</v>
      </c>
      <c r="E3524" s="7">
        <f t="shared" si="55"/>
        <v>1</v>
      </c>
    </row>
    <row r="3525" spans="1:5" x14ac:dyDescent="0.25">
      <c r="A3525" s="7">
        <f>IF(E3525=1,
      SUM($E$2:E3525)-1,
"")</f>
        <v>3521</v>
      </c>
      <c r="B3525" s="6" t="s">
        <v>124</v>
      </c>
      <c r="C3525" s="14">
        <v>44951</v>
      </c>
      <c r="D3525" s="15">
        <v>109.34</v>
      </c>
      <c r="E3525" s="7">
        <f t="shared" si="55"/>
        <v>1</v>
      </c>
    </row>
    <row r="3526" spans="1:5" x14ac:dyDescent="0.25">
      <c r="A3526" s="7">
        <f>IF(E3526=1,
      SUM($E$2:E3526)-1,
"")</f>
        <v>3522</v>
      </c>
      <c r="B3526" s="6" t="s">
        <v>881</v>
      </c>
      <c r="C3526" s="14">
        <v>45144</v>
      </c>
      <c r="D3526" s="15">
        <v>95.62</v>
      </c>
      <c r="E3526" s="7">
        <f t="shared" si="55"/>
        <v>1</v>
      </c>
    </row>
    <row r="3527" spans="1:5" x14ac:dyDescent="0.25">
      <c r="A3527" s="7">
        <f>IF(E3527=1,
      SUM($E$2:E3527)-1,
"")</f>
        <v>3523</v>
      </c>
      <c r="B3527" s="6" t="s">
        <v>306</v>
      </c>
      <c r="C3527" s="14">
        <v>45057</v>
      </c>
      <c r="D3527" s="15">
        <v>111.94</v>
      </c>
      <c r="E3527" s="7">
        <f t="shared" si="55"/>
        <v>1</v>
      </c>
    </row>
    <row r="3528" spans="1:5" x14ac:dyDescent="0.25">
      <c r="A3528" s="7">
        <f>IF(E3528=1,
      SUM($E$2:E3528)-1,
"")</f>
        <v>3524</v>
      </c>
      <c r="B3528" s="6" t="s">
        <v>803</v>
      </c>
      <c r="C3528" s="14">
        <v>44987</v>
      </c>
      <c r="D3528" s="15">
        <v>116.42</v>
      </c>
      <c r="E3528" s="7">
        <f t="shared" si="55"/>
        <v>1</v>
      </c>
    </row>
    <row r="3529" spans="1:5" x14ac:dyDescent="0.25">
      <c r="A3529" s="7">
        <f>IF(E3529=1,
      SUM($E$2:E3529)-1,
"")</f>
        <v>3525</v>
      </c>
      <c r="B3529" s="6" t="s">
        <v>213</v>
      </c>
      <c r="C3529" s="14">
        <v>45126</v>
      </c>
      <c r="D3529" s="15">
        <v>93.22</v>
      </c>
      <c r="E3529" s="7">
        <f t="shared" si="55"/>
        <v>1</v>
      </c>
    </row>
    <row r="3530" spans="1:5" x14ac:dyDescent="0.25">
      <c r="A3530" s="7">
        <f>IF(E3530=1,
      SUM($E$2:E3530)-1,
"")</f>
        <v>3526</v>
      </c>
      <c r="B3530" s="6" t="s">
        <v>495</v>
      </c>
      <c r="C3530" s="14">
        <v>45273</v>
      </c>
      <c r="D3530" s="15">
        <v>114.65</v>
      </c>
      <c r="E3530" s="7">
        <f t="shared" si="55"/>
        <v>1</v>
      </c>
    </row>
    <row r="3531" spans="1:5" x14ac:dyDescent="0.25">
      <c r="A3531" s="7">
        <f>IF(E3531=1,
      SUM($E$2:E3531)-1,
"")</f>
        <v>3527</v>
      </c>
      <c r="B3531" s="6" t="s">
        <v>986</v>
      </c>
      <c r="C3531" s="14">
        <v>45077</v>
      </c>
      <c r="D3531" s="15">
        <v>97.38</v>
      </c>
      <c r="E3531" s="7">
        <f t="shared" si="55"/>
        <v>1</v>
      </c>
    </row>
    <row r="3532" spans="1:5" x14ac:dyDescent="0.25">
      <c r="A3532" s="7">
        <f>IF(E3532=1,
      SUM($E$2:E3532)-1,
"")</f>
        <v>3528</v>
      </c>
      <c r="B3532" s="6" t="s">
        <v>738</v>
      </c>
      <c r="C3532" s="14">
        <v>44950</v>
      </c>
      <c r="D3532" s="15">
        <v>122.3</v>
      </c>
      <c r="E3532" s="7">
        <f t="shared" si="55"/>
        <v>1</v>
      </c>
    </row>
    <row r="3533" spans="1:5" x14ac:dyDescent="0.25">
      <c r="A3533" s="7">
        <f>IF(E3533=1,
      SUM($E$2:E3533)-1,
"")</f>
        <v>3529</v>
      </c>
      <c r="B3533" s="6" t="s">
        <v>776</v>
      </c>
      <c r="C3533" s="14">
        <v>45158</v>
      </c>
      <c r="D3533" s="15">
        <v>109.48</v>
      </c>
      <c r="E3533" s="7">
        <f t="shared" si="55"/>
        <v>1</v>
      </c>
    </row>
    <row r="3534" spans="1:5" x14ac:dyDescent="0.25">
      <c r="A3534" s="7">
        <f>IF(E3534=1,
      SUM($E$2:E3534)-1,
"")</f>
        <v>3530</v>
      </c>
      <c r="B3534" s="6" t="s">
        <v>731</v>
      </c>
      <c r="C3534" s="14">
        <v>45164</v>
      </c>
      <c r="D3534" s="15">
        <v>105.43</v>
      </c>
      <c r="E3534" s="7">
        <f t="shared" si="55"/>
        <v>1</v>
      </c>
    </row>
    <row r="3535" spans="1:5" x14ac:dyDescent="0.25">
      <c r="A3535" s="7">
        <f>IF(E3535=1,
      SUM($E$2:E3535)-1,
"")</f>
        <v>3531</v>
      </c>
      <c r="B3535" s="6" t="s">
        <v>798</v>
      </c>
      <c r="C3535" s="14">
        <v>44999</v>
      </c>
      <c r="D3535" s="15">
        <v>96.93</v>
      </c>
      <c r="E3535" s="7">
        <f t="shared" si="55"/>
        <v>1</v>
      </c>
    </row>
    <row r="3536" spans="1:5" x14ac:dyDescent="0.25">
      <c r="A3536" s="7">
        <f>IF(E3536=1,
      SUM($E$2:E3536)-1,
"")</f>
        <v>3532</v>
      </c>
      <c r="B3536" s="6" t="s">
        <v>765</v>
      </c>
      <c r="C3536" s="14">
        <v>45047</v>
      </c>
      <c r="D3536" s="15">
        <v>138.87</v>
      </c>
      <c r="E3536" s="7">
        <f t="shared" si="55"/>
        <v>1</v>
      </c>
    </row>
    <row r="3537" spans="1:5" x14ac:dyDescent="0.25">
      <c r="A3537" s="7">
        <f>IF(E3537=1,
      SUM($E$2:E3537)-1,
"")</f>
        <v>3533</v>
      </c>
      <c r="B3537" s="6" t="s">
        <v>494</v>
      </c>
      <c r="C3537" s="14">
        <v>45104</v>
      </c>
      <c r="D3537" s="15">
        <v>112.16</v>
      </c>
      <c r="E3537" s="7">
        <f t="shared" si="55"/>
        <v>1</v>
      </c>
    </row>
    <row r="3538" spans="1:5" x14ac:dyDescent="0.25">
      <c r="A3538" s="7">
        <f>IF(E3538=1,
      SUM($E$2:E3538)-1,
"")</f>
        <v>3534</v>
      </c>
      <c r="B3538" s="6" t="s">
        <v>1032</v>
      </c>
      <c r="C3538" s="14">
        <v>45249</v>
      </c>
      <c r="D3538" s="15">
        <v>60.36</v>
      </c>
      <c r="E3538" s="7">
        <f t="shared" si="55"/>
        <v>1</v>
      </c>
    </row>
    <row r="3539" spans="1:5" x14ac:dyDescent="0.25">
      <c r="A3539" s="7">
        <f>IF(E3539=1,
      SUM($E$2:E3539)-1,
"")</f>
        <v>3535</v>
      </c>
      <c r="B3539" s="6" t="s">
        <v>314</v>
      </c>
      <c r="C3539" s="14">
        <v>45207</v>
      </c>
      <c r="D3539" s="15">
        <v>85.84</v>
      </c>
      <c r="E3539" s="7">
        <f t="shared" si="55"/>
        <v>1</v>
      </c>
    </row>
    <row r="3540" spans="1:5" x14ac:dyDescent="0.25">
      <c r="A3540" s="7">
        <f>IF(E3540=1,
      SUM($E$2:E3540)-1,
"")</f>
        <v>3536</v>
      </c>
      <c r="B3540" s="6" t="s">
        <v>756</v>
      </c>
      <c r="C3540" s="14">
        <v>45249</v>
      </c>
      <c r="D3540" s="15">
        <v>93.14</v>
      </c>
      <c r="E3540" s="7">
        <f t="shared" si="55"/>
        <v>1</v>
      </c>
    </row>
    <row r="3541" spans="1:5" x14ac:dyDescent="0.25">
      <c r="A3541" s="7">
        <f>IF(E3541=1,
      SUM($E$2:E3541)-1,
"")</f>
        <v>3537</v>
      </c>
      <c r="B3541" s="6" t="s">
        <v>549</v>
      </c>
      <c r="C3541" s="14">
        <v>44963</v>
      </c>
      <c r="D3541" s="15">
        <v>99.97</v>
      </c>
      <c r="E3541" s="7">
        <f t="shared" si="55"/>
        <v>1</v>
      </c>
    </row>
    <row r="3542" spans="1:5" x14ac:dyDescent="0.25">
      <c r="A3542" s="7">
        <f>IF(E3542=1,
      SUM($E$2:E3542)-1,
"")</f>
        <v>3538</v>
      </c>
      <c r="B3542" s="6" t="s">
        <v>202</v>
      </c>
      <c r="C3542" s="14">
        <v>45148</v>
      </c>
      <c r="D3542" s="15">
        <v>105.3</v>
      </c>
      <c r="E3542" s="7">
        <f t="shared" si="55"/>
        <v>1</v>
      </c>
    </row>
    <row r="3543" spans="1:5" x14ac:dyDescent="0.25">
      <c r="A3543" s="7">
        <f>IF(E3543=1,
      SUM($E$2:E3543)-1,
"")</f>
        <v>3539</v>
      </c>
      <c r="B3543" s="6" t="s">
        <v>1020</v>
      </c>
      <c r="C3543" s="14">
        <v>45242</v>
      </c>
      <c r="D3543" s="15">
        <v>71.67</v>
      </c>
      <c r="E3543" s="7">
        <f t="shared" si="55"/>
        <v>1</v>
      </c>
    </row>
    <row r="3544" spans="1:5" x14ac:dyDescent="0.25">
      <c r="A3544" s="7">
        <f>IF(E3544=1,
      SUM($E$2:E3544)-1,
"")</f>
        <v>3540</v>
      </c>
      <c r="B3544" s="6" t="s">
        <v>739</v>
      </c>
      <c r="C3544" s="14">
        <v>45051</v>
      </c>
      <c r="D3544" s="15">
        <v>97.96</v>
      </c>
      <c r="E3544" s="7">
        <f t="shared" si="55"/>
        <v>1</v>
      </c>
    </row>
    <row r="3545" spans="1:5" x14ac:dyDescent="0.25">
      <c r="A3545" s="7">
        <f>IF(E3545=1,
      SUM($E$2:E3545)-1,
"")</f>
        <v>3541</v>
      </c>
      <c r="B3545" s="6" t="s">
        <v>464</v>
      </c>
      <c r="C3545" s="14">
        <v>44999</v>
      </c>
      <c r="D3545" s="15">
        <v>90.58</v>
      </c>
      <c r="E3545" s="7">
        <f t="shared" si="55"/>
        <v>1</v>
      </c>
    </row>
    <row r="3546" spans="1:5" x14ac:dyDescent="0.25">
      <c r="A3546" s="7">
        <f>IF(E3546=1,
      SUM($E$2:E3546)-1,
"")</f>
        <v>3542</v>
      </c>
      <c r="B3546" s="6" t="s">
        <v>807</v>
      </c>
      <c r="C3546" s="14">
        <v>45242</v>
      </c>
      <c r="D3546" s="15">
        <v>132.54</v>
      </c>
      <c r="E3546" s="7">
        <f t="shared" si="55"/>
        <v>1</v>
      </c>
    </row>
    <row r="3547" spans="1:5" x14ac:dyDescent="0.25">
      <c r="A3547" s="7">
        <f>IF(E3547=1,
      SUM($E$2:E3547)-1,
"")</f>
        <v>3543</v>
      </c>
      <c r="B3547" s="6" t="s">
        <v>451</v>
      </c>
      <c r="C3547" s="14">
        <v>45027</v>
      </c>
      <c r="D3547" s="15">
        <v>70.150000000000006</v>
      </c>
      <c r="E3547" s="7">
        <f t="shared" si="55"/>
        <v>1</v>
      </c>
    </row>
    <row r="3548" spans="1:5" x14ac:dyDescent="0.25">
      <c r="A3548" s="7">
        <f>IF(E3548=1,
      SUM($E$2:E3548)-1,
"")</f>
        <v>3544</v>
      </c>
      <c r="B3548" s="6" t="s">
        <v>947</v>
      </c>
      <c r="C3548" s="14">
        <v>45173</v>
      </c>
      <c r="D3548" s="15">
        <v>99.48</v>
      </c>
      <c r="E3548" s="7">
        <f t="shared" si="55"/>
        <v>1</v>
      </c>
    </row>
    <row r="3549" spans="1:5" x14ac:dyDescent="0.25">
      <c r="A3549" s="7">
        <f>IF(E3549=1,
      SUM($E$2:E3549)-1,
"")</f>
        <v>3545</v>
      </c>
      <c r="B3549" s="6" t="s">
        <v>360</v>
      </c>
      <c r="C3549" s="14">
        <v>45093</v>
      </c>
      <c r="D3549" s="15">
        <v>79.44</v>
      </c>
      <c r="E3549" s="7">
        <f t="shared" si="55"/>
        <v>1</v>
      </c>
    </row>
    <row r="3550" spans="1:5" x14ac:dyDescent="0.25">
      <c r="A3550" s="7">
        <f>IF(E3550=1,
      SUM($E$2:E3550)-1,
"")</f>
        <v>3546</v>
      </c>
      <c r="B3550" s="6" t="s">
        <v>348</v>
      </c>
      <c r="C3550" s="14">
        <v>45045</v>
      </c>
      <c r="D3550" s="15">
        <v>155.88999999999999</v>
      </c>
      <c r="E3550" s="7">
        <f t="shared" si="55"/>
        <v>1</v>
      </c>
    </row>
    <row r="3551" spans="1:5" x14ac:dyDescent="0.25">
      <c r="A3551" s="7">
        <f>IF(E3551=1,
      SUM($E$2:E3551)-1,
"")</f>
        <v>3547</v>
      </c>
      <c r="B3551" s="6" t="s">
        <v>112</v>
      </c>
      <c r="C3551" s="14">
        <v>45223</v>
      </c>
      <c r="D3551" s="15">
        <v>137.69999999999999</v>
      </c>
      <c r="E3551" s="7">
        <f t="shared" si="55"/>
        <v>1</v>
      </c>
    </row>
    <row r="3552" spans="1:5" x14ac:dyDescent="0.25">
      <c r="A3552" s="7">
        <f>IF(E3552=1,
      SUM($E$2:E3552)-1,
"")</f>
        <v>3548</v>
      </c>
      <c r="B3552" s="6" t="s">
        <v>641</v>
      </c>
      <c r="C3552" s="14">
        <v>44952</v>
      </c>
      <c r="D3552" s="15">
        <v>50.73</v>
      </c>
      <c r="E3552" s="7">
        <f t="shared" si="55"/>
        <v>1</v>
      </c>
    </row>
    <row r="3553" spans="1:5" x14ac:dyDescent="0.25">
      <c r="A3553" s="7">
        <f>IF(E3553=1,
      SUM($E$2:E3553)-1,
"")</f>
        <v>3549</v>
      </c>
      <c r="B3553" s="6" t="s">
        <v>968</v>
      </c>
      <c r="C3553" s="14">
        <v>45236</v>
      </c>
      <c r="D3553" s="15">
        <v>76.11</v>
      </c>
      <c r="E3553" s="7">
        <f t="shared" si="55"/>
        <v>1</v>
      </c>
    </row>
    <row r="3554" spans="1:5" x14ac:dyDescent="0.25">
      <c r="A3554" s="7">
        <f>IF(E3554=1,
      SUM($E$2:E3554)-1,
"")</f>
        <v>3550</v>
      </c>
      <c r="B3554" s="6" t="s">
        <v>323</v>
      </c>
      <c r="C3554" s="14">
        <v>45254</v>
      </c>
      <c r="D3554" s="15">
        <v>126.13</v>
      </c>
      <c r="E3554" s="7">
        <f t="shared" si="55"/>
        <v>1</v>
      </c>
    </row>
    <row r="3555" spans="1:5" x14ac:dyDescent="0.25">
      <c r="A3555" s="7">
        <f>IF(E3555=1,
      SUM($E$2:E3555)-1,
"")</f>
        <v>3551</v>
      </c>
      <c r="B3555" s="6" t="s">
        <v>870</v>
      </c>
      <c r="C3555" s="14">
        <v>45004</v>
      </c>
      <c r="D3555" s="15">
        <v>113.72</v>
      </c>
      <c r="E3555" s="7">
        <f t="shared" si="55"/>
        <v>1</v>
      </c>
    </row>
    <row r="3556" spans="1:5" x14ac:dyDescent="0.25">
      <c r="A3556" s="7">
        <f>IF(E3556=1,
      SUM($E$2:E3556)-1,
"")</f>
        <v>3552</v>
      </c>
      <c r="B3556" s="6" t="s">
        <v>574</v>
      </c>
      <c r="C3556" s="14">
        <v>45275</v>
      </c>
      <c r="D3556" s="15">
        <v>112.78</v>
      </c>
      <c r="E3556" s="7">
        <f t="shared" si="55"/>
        <v>1</v>
      </c>
    </row>
    <row r="3557" spans="1:5" x14ac:dyDescent="0.25">
      <c r="A3557" s="7">
        <f>IF(E3557=1,
      SUM($E$2:E3557)-1,
"")</f>
        <v>3553</v>
      </c>
      <c r="B3557" s="6" t="s">
        <v>1033</v>
      </c>
      <c r="C3557" s="14">
        <v>45073</v>
      </c>
      <c r="D3557" s="15">
        <v>105.73</v>
      </c>
      <c r="E3557" s="7">
        <f t="shared" si="55"/>
        <v>1</v>
      </c>
    </row>
    <row r="3558" spans="1:5" x14ac:dyDescent="0.25">
      <c r="A3558" s="7">
        <f>IF(E3558=1,
      SUM($E$2:E3558)-1,
"")</f>
        <v>3554</v>
      </c>
      <c r="B3558" s="6" t="s">
        <v>189</v>
      </c>
      <c r="C3558" s="14">
        <v>44980</v>
      </c>
      <c r="D3558" s="15">
        <v>128.54</v>
      </c>
      <c r="E3558" s="7">
        <f t="shared" si="55"/>
        <v>1</v>
      </c>
    </row>
    <row r="3559" spans="1:5" x14ac:dyDescent="0.25">
      <c r="A3559" s="7">
        <f>IF(E3559=1,
      SUM($E$2:E3559)-1,
"")</f>
        <v>3555</v>
      </c>
      <c r="B3559" s="6" t="s">
        <v>843</v>
      </c>
      <c r="C3559" s="14">
        <v>45049</v>
      </c>
      <c r="D3559" s="15">
        <v>123.43</v>
      </c>
      <c r="E3559" s="7">
        <f t="shared" si="55"/>
        <v>1</v>
      </c>
    </row>
    <row r="3560" spans="1:5" x14ac:dyDescent="0.25">
      <c r="A3560" s="7">
        <f>IF(E3560=1,
      SUM($E$2:E3560)-1,
"")</f>
        <v>3556</v>
      </c>
      <c r="B3560" s="6" t="s">
        <v>689</v>
      </c>
      <c r="C3560" s="14">
        <v>44941</v>
      </c>
      <c r="D3560" s="15">
        <v>91.28</v>
      </c>
      <c r="E3560" s="7">
        <f t="shared" si="55"/>
        <v>1</v>
      </c>
    </row>
    <row r="3561" spans="1:5" x14ac:dyDescent="0.25">
      <c r="A3561" s="7">
        <f>IF(E3561=1,
      SUM($E$2:E3561)-1,
"")</f>
        <v>3557</v>
      </c>
      <c r="B3561" s="6" t="s">
        <v>121</v>
      </c>
      <c r="C3561" s="14">
        <v>44989</v>
      </c>
      <c r="D3561" s="15">
        <v>64.02</v>
      </c>
      <c r="E3561" s="7">
        <f t="shared" si="55"/>
        <v>1</v>
      </c>
    </row>
    <row r="3562" spans="1:5" x14ac:dyDescent="0.25">
      <c r="A3562" s="7">
        <f>IF(E3562=1,
      SUM($E$2:E3562)-1,
"")</f>
        <v>3558</v>
      </c>
      <c r="B3562" s="6" t="s">
        <v>241</v>
      </c>
      <c r="C3562" s="14">
        <v>44995</v>
      </c>
      <c r="D3562" s="15">
        <v>49.3</v>
      </c>
      <c r="E3562" s="7">
        <f t="shared" si="55"/>
        <v>1</v>
      </c>
    </row>
    <row r="3563" spans="1:5" x14ac:dyDescent="0.25">
      <c r="A3563" s="7">
        <f>IF(E3563=1,
      SUM($E$2:E3563)-1,
"")</f>
        <v>3559</v>
      </c>
      <c r="B3563" s="6" t="s">
        <v>500</v>
      </c>
      <c r="C3563" s="14">
        <v>45010</v>
      </c>
      <c r="D3563" s="15">
        <v>96.89</v>
      </c>
      <c r="E3563" s="7">
        <f t="shared" si="55"/>
        <v>1</v>
      </c>
    </row>
    <row r="3564" spans="1:5" x14ac:dyDescent="0.25">
      <c r="A3564" s="7">
        <f>IF(E3564=1,
      SUM($E$2:E3564)-1,
"")</f>
        <v>3560</v>
      </c>
      <c r="B3564" s="6" t="s">
        <v>877</v>
      </c>
      <c r="C3564" s="14">
        <v>45219</v>
      </c>
      <c r="D3564" s="15">
        <v>44.8</v>
      </c>
      <c r="E3564" s="7">
        <f t="shared" si="55"/>
        <v>1</v>
      </c>
    </row>
    <row r="3565" spans="1:5" x14ac:dyDescent="0.25">
      <c r="A3565" s="7">
        <f>IF(E3565=1,
      SUM($E$2:E3565)-1,
"")</f>
        <v>3561</v>
      </c>
      <c r="B3565" s="6" t="s">
        <v>659</v>
      </c>
      <c r="C3565" s="14">
        <v>45183</v>
      </c>
      <c r="D3565" s="15">
        <v>107.53</v>
      </c>
      <c r="E3565" s="7">
        <f t="shared" si="55"/>
        <v>1</v>
      </c>
    </row>
    <row r="3566" spans="1:5" x14ac:dyDescent="0.25">
      <c r="A3566" s="7">
        <f>IF(E3566=1,
      SUM($E$2:E3566)-1,
"")</f>
        <v>3562</v>
      </c>
      <c r="B3566" s="6" t="s">
        <v>582</v>
      </c>
      <c r="C3566" s="14">
        <v>45113</v>
      </c>
      <c r="D3566" s="15">
        <v>90.76</v>
      </c>
      <c r="E3566" s="7">
        <f t="shared" si="55"/>
        <v>1</v>
      </c>
    </row>
    <row r="3567" spans="1:5" x14ac:dyDescent="0.25">
      <c r="A3567" s="7">
        <f>IF(E3567=1,
      SUM($E$2:E3567)-1,
"")</f>
        <v>3563</v>
      </c>
      <c r="B3567" s="6" t="s">
        <v>373</v>
      </c>
      <c r="C3567" s="14">
        <v>45261</v>
      </c>
      <c r="D3567" s="15">
        <v>158.32</v>
      </c>
      <c r="E3567" s="7">
        <f t="shared" si="55"/>
        <v>1</v>
      </c>
    </row>
    <row r="3568" spans="1:5" x14ac:dyDescent="0.25">
      <c r="A3568" s="7">
        <f>IF(E3568=1,
      SUM($E$2:E3568)-1,
"")</f>
        <v>3564</v>
      </c>
      <c r="B3568" s="6" t="s">
        <v>723</v>
      </c>
      <c r="C3568" s="14">
        <v>45059</v>
      </c>
      <c r="D3568" s="15">
        <v>110.29</v>
      </c>
      <c r="E3568" s="7">
        <f t="shared" si="55"/>
        <v>1</v>
      </c>
    </row>
    <row r="3569" spans="1:5" x14ac:dyDescent="0.25">
      <c r="A3569" s="7">
        <f>IF(E3569=1,
      SUM($E$2:E3569)-1,
"")</f>
        <v>3565</v>
      </c>
      <c r="B3569" s="6" t="s">
        <v>520</v>
      </c>
      <c r="C3569" s="14">
        <v>45011</v>
      </c>
      <c r="D3569" s="15">
        <v>99.12</v>
      </c>
      <c r="E3569" s="7">
        <f t="shared" si="55"/>
        <v>1</v>
      </c>
    </row>
    <row r="3570" spans="1:5" x14ac:dyDescent="0.25">
      <c r="A3570" s="7">
        <f>IF(E3570=1,
      SUM($E$2:E3570)-1,
"")</f>
        <v>3566</v>
      </c>
      <c r="B3570" s="6" t="s">
        <v>96</v>
      </c>
      <c r="C3570" s="14">
        <v>45268</v>
      </c>
      <c r="D3570" s="15">
        <v>51.51</v>
      </c>
      <c r="E3570" s="7">
        <f t="shared" si="55"/>
        <v>1</v>
      </c>
    </row>
    <row r="3571" spans="1:5" x14ac:dyDescent="0.25">
      <c r="A3571" s="7">
        <f>IF(E3571=1,
      SUM($E$2:E3571)-1,
"")</f>
        <v>3567</v>
      </c>
      <c r="B3571" s="6" t="s">
        <v>298</v>
      </c>
      <c r="C3571" s="14">
        <v>44962</v>
      </c>
      <c r="D3571" s="15">
        <v>62.13</v>
      </c>
      <c r="E3571" s="7">
        <f t="shared" si="55"/>
        <v>1</v>
      </c>
    </row>
    <row r="3572" spans="1:5" x14ac:dyDescent="0.25">
      <c r="A3572" s="7">
        <f>IF(E3572=1,
      SUM($E$2:E3572)-1,
"")</f>
        <v>3568</v>
      </c>
      <c r="B3572" s="6" t="s">
        <v>928</v>
      </c>
      <c r="C3572" s="14">
        <v>45014</v>
      </c>
      <c r="D3572" s="15">
        <v>120.44</v>
      </c>
      <c r="E3572" s="7">
        <f t="shared" si="55"/>
        <v>1</v>
      </c>
    </row>
    <row r="3573" spans="1:5" x14ac:dyDescent="0.25">
      <c r="A3573" s="7">
        <f>IF(E3573=1,
      SUM($E$2:E3573)-1,
"")</f>
        <v>3569</v>
      </c>
      <c r="B3573" s="6" t="s">
        <v>613</v>
      </c>
      <c r="C3573" s="14">
        <v>45067</v>
      </c>
      <c r="D3573" s="15">
        <v>90.61</v>
      </c>
      <c r="E3573" s="7">
        <f t="shared" si="55"/>
        <v>1</v>
      </c>
    </row>
    <row r="3574" spans="1:5" x14ac:dyDescent="0.25">
      <c r="A3574" s="7">
        <f>IF(E3574=1,
      SUM($E$2:E3574)-1,
"")</f>
        <v>3570</v>
      </c>
      <c r="B3574" s="6" t="s">
        <v>265</v>
      </c>
      <c r="C3574" s="14">
        <v>45236</v>
      </c>
      <c r="D3574" s="15">
        <v>176.06</v>
      </c>
      <c r="E3574" s="7">
        <f t="shared" si="55"/>
        <v>1</v>
      </c>
    </row>
    <row r="3575" spans="1:5" x14ac:dyDescent="0.25">
      <c r="A3575" s="7">
        <f>IF(E3575=1,
      SUM($E$2:E3575)-1,
"")</f>
        <v>3571</v>
      </c>
      <c r="B3575" s="6" t="s">
        <v>1006</v>
      </c>
      <c r="C3575" s="14">
        <v>45113</v>
      </c>
      <c r="D3575" s="15">
        <v>97.51</v>
      </c>
      <c r="E3575" s="7">
        <f t="shared" si="55"/>
        <v>1</v>
      </c>
    </row>
    <row r="3576" spans="1:5" x14ac:dyDescent="0.25">
      <c r="A3576" s="7">
        <f>IF(E3576=1,
      SUM($E$2:E3576)-1,
"")</f>
        <v>3572</v>
      </c>
      <c r="B3576" s="6" t="s">
        <v>539</v>
      </c>
      <c r="C3576" s="14">
        <v>45061</v>
      </c>
      <c r="D3576" s="15">
        <v>105.07</v>
      </c>
      <c r="E3576" s="7">
        <f t="shared" si="55"/>
        <v>1</v>
      </c>
    </row>
    <row r="3577" spans="1:5" x14ac:dyDescent="0.25">
      <c r="A3577" s="7">
        <f>IF(E3577=1,
      SUM($E$2:E3577)-1,
"")</f>
        <v>3573</v>
      </c>
      <c r="B3577" s="6" t="s">
        <v>448</v>
      </c>
      <c r="C3577" s="14">
        <v>44950</v>
      </c>
      <c r="D3577" s="15">
        <v>60.49</v>
      </c>
      <c r="E3577" s="7">
        <f t="shared" si="55"/>
        <v>1</v>
      </c>
    </row>
    <row r="3578" spans="1:5" x14ac:dyDescent="0.25">
      <c r="A3578" s="7">
        <f>IF(E3578=1,
      SUM($E$2:E3578)-1,
"")</f>
        <v>3574</v>
      </c>
      <c r="B3578" s="6" t="s">
        <v>448</v>
      </c>
      <c r="C3578" s="14">
        <v>45006</v>
      </c>
      <c r="D3578" s="15">
        <v>128.41999999999999</v>
      </c>
      <c r="E3578" s="7">
        <f t="shared" si="55"/>
        <v>1</v>
      </c>
    </row>
    <row r="3579" spans="1:5" x14ac:dyDescent="0.25">
      <c r="A3579" s="7">
        <f>IF(E3579=1,
      SUM($E$2:E3579)-1,
"")</f>
        <v>3575</v>
      </c>
      <c r="B3579" s="6" t="s">
        <v>249</v>
      </c>
      <c r="C3579" s="14">
        <v>45229</v>
      </c>
      <c r="D3579" s="15">
        <v>72.23</v>
      </c>
      <c r="E3579" s="7">
        <f t="shared" si="55"/>
        <v>1</v>
      </c>
    </row>
    <row r="3580" spans="1:5" x14ac:dyDescent="0.25">
      <c r="A3580" s="7">
        <f>IF(E3580=1,
      SUM($E$2:E3580)-1,
"")</f>
        <v>3576</v>
      </c>
      <c r="B3580" s="6" t="s">
        <v>417</v>
      </c>
      <c r="C3580" s="14">
        <v>45061</v>
      </c>
      <c r="D3580" s="15">
        <v>115.73</v>
      </c>
      <c r="E3580" s="7">
        <f t="shared" si="55"/>
        <v>1</v>
      </c>
    </row>
    <row r="3581" spans="1:5" x14ac:dyDescent="0.25">
      <c r="A3581" s="7">
        <f>IF(E3581=1,
      SUM($E$2:E3581)-1,
"")</f>
        <v>3577</v>
      </c>
      <c r="B3581" s="6" t="s">
        <v>888</v>
      </c>
      <c r="C3581" s="14">
        <v>45004</v>
      </c>
      <c r="D3581" s="15">
        <v>124.35</v>
      </c>
      <c r="E3581" s="7">
        <f t="shared" si="55"/>
        <v>1</v>
      </c>
    </row>
    <row r="3582" spans="1:5" x14ac:dyDescent="0.25">
      <c r="A3582" s="7">
        <f>IF(E3582=1,
      SUM($E$2:E3582)-1,
"")</f>
        <v>3578</v>
      </c>
      <c r="B3582" s="6" t="s">
        <v>546</v>
      </c>
      <c r="C3582" s="14">
        <v>45080</v>
      </c>
      <c r="D3582" s="15">
        <v>102.86</v>
      </c>
      <c r="E3582" s="7">
        <f t="shared" si="55"/>
        <v>1</v>
      </c>
    </row>
    <row r="3583" spans="1:5" x14ac:dyDescent="0.25">
      <c r="A3583" s="7">
        <f>IF(E3583=1,
      SUM($E$2:E3583)-1,
"")</f>
        <v>3579</v>
      </c>
      <c r="B3583" s="6" t="s">
        <v>120</v>
      </c>
      <c r="C3583" s="14">
        <v>45035</v>
      </c>
      <c r="D3583" s="15">
        <v>152.71</v>
      </c>
      <c r="E3583" s="7">
        <f t="shared" si="55"/>
        <v>1</v>
      </c>
    </row>
    <row r="3584" spans="1:5" x14ac:dyDescent="0.25">
      <c r="A3584" s="7">
        <f>IF(E3584=1,
      SUM($E$2:E3584)-1,
"")</f>
        <v>3580</v>
      </c>
      <c r="B3584" s="6" t="s">
        <v>593</v>
      </c>
      <c r="C3584" s="14">
        <v>45275</v>
      </c>
      <c r="D3584" s="15">
        <v>81.680000000000007</v>
      </c>
      <c r="E3584" s="7">
        <f t="shared" si="55"/>
        <v>1</v>
      </c>
    </row>
    <row r="3585" spans="1:5" x14ac:dyDescent="0.25">
      <c r="A3585" s="7">
        <f>IF(E3585=1,
      SUM($E$2:E3585)-1,
"")</f>
        <v>3581</v>
      </c>
      <c r="B3585" s="6" t="s">
        <v>355</v>
      </c>
      <c r="C3585" s="14">
        <v>45118</v>
      </c>
      <c r="D3585" s="15">
        <v>150.27000000000001</v>
      </c>
      <c r="E3585" s="7">
        <f t="shared" si="55"/>
        <v>1</v>
      </c>
    </row>
    <row r="3586" spans="1:5" x14ac:dyDescent="0.25">
      <c r="A3586" s="7">
        <f>IF(E3586=1,
      SUM($E$2:E3586)-1,
"")</f>
        <v>3582</v>
      </c>
      <c r="B3586" s="6" t="s">
        <v>166</v>
      </c>
      <c r="C3586" s="14">
        <v>45064</v>
      </c>
      <c r="D3586" s="15">
        <v>61.87</v>
      </c>
      <c r="E3586" s="7">
        <f t="shared" ref="E3586:E3649" si="56">IF(D3586&gt;0,1,0)</f>
        <v>1</v>
      </c>
    </row>
    <row r="3587" spans="1:5" x14ac:dyDescent="0.25">
      <c r="A3587" s="7">
        <f>IF(E3587=1,
      SUM($E$2:E3587)-1,
"")</f>
        <v>3583</v>
      </c>
      <c r="B3587" s="6" t="s">
        <v>736</v>
      </c>
      <c r="C3587" s="14">
        <v>45067</v>
      </c>
      <c r="D3587" s="15">
        <v>123.97</v>
      </c>
      <c r="E3587" s="7">
        <f t="shared" si="56"/>
        <v>1</v>
      </c>
    </row>
    <row r="3588" spans="1:5" x14ac:dyDescent="0.25">
      <c r="A3588" s="7">
        <f>IF(E3588=1,
      SUM($E$2:E3588)-1,
"")</f>
        <v>3584</v>
      </c>
      <c r="B3588" s="6" t="s">
        <v>852</v>
      </c>
      <c r="C3588" s="14">
        <v>45209</v>
      </c>
      <c r="D3588" s="15">
        <v>95.73</v>
      </c>
      <c r="E3588" s="7">
        <f t="shared" si="56"/>
        <v>1</v>
      </c>
    </row>
    <row r="3589" spans="1:5" x14ac:dyDescent="0.25">
      <c r="A3589" s="7">
        <f>IF(E3589=1,
      SUM($E$2:E3589)-1,
"")</f>
        <v>3585</v>
      </c>
      <c r="B3589" s="6" t="s">
        <v>482</v>
      </c>
      <c r="C3589" s="14">
        <v>45002</v>
      </c>
      <c r="D3589" s="15">
        <v>78.760000000000005</v>
      </c>
      <c r="E3589" s="7">
        <f t="shared" si="56"/>
        <v>1</v>
      </c>
    </row>
    <row r="3590" spans="1:5" x14ac:dyDescent="0.25">
      <c r="A3590" s="7">
        <f>IF(E3590=1,
      SUM($E$2:E3590)-1,
"")</f>
        <v>3586</v>
      </c>
      <c r="B3590" s="6" t="s">
        <v>520</v>
      </c>
      <c r="C3590" s="14">
        <v>45047</v>
      </c>
      <c r="D3590" s="15">
        <v>50.16</v>
      </c>
      <c r="E3590" s="7">
        <f t="shared" si="56"/>
        <v>1</v>
      </c>
    </row>
    <row r="3591" spans="1:5" x14ac:dyDescent="0.25">
      <c r="A3591" s="7">
        <f>IF(E3591=1,
      SUM($E$2:E3591)-1,
"")</f>
        <v>3587</v>
      </c>
      <c r="B3591" s="6" t="s">
        <v>297</v>
      </c>
      <c r="C3591" s="14">
        <v>45183</v>
      </c>
      <c r="D3591" s="15">
        <v>92.18</v>
      </c>
      <c r="E3591" s="7">
        <f t="shared" si="56"/>
        <v>1</v>
      </c>
    </row>
    <row r="3592" spans="1:5" x14ac:dyDescent="0.25">
      <c r="A3592" s="7">
        <f>IF(E3592=1,
      SUM($E$2:E3592)-1,
"")</f>
        <v>3588</v>
      </c>
      <c r="B3592" s="6" t="s">
        <v>1024</v>
      </c>
      <c r="C3592" s="14">
        <v>45039</v>
      </c>
      <c r="D3592" s="15">
        <v>90.29</v>
      </c>
      <c r="E3592" s="7">
        <f t="shared" si="56"/>
        <v>1</v>
      </c>
    </row>
    <row r="3593" spans="1:5" x14ac:dyDescent="0.25">
      <c r="A3593" s="7">
        <f>IF(E3593=1,
      SUM($E$2:E3593)-1,
"")</f>
        <v>3589</v>
      </c>
      <c r="B3593" s="6" t="s">
        <v>340</v>
      </c>
      <c r="C3593" s="14">
        <v>45205</v>
      </c>
      <c r="D3593" s="15">
        <v>105.19</v>
      </c>
      <c r="E3593" s="7">
        <f t="shared" si="56"/>
        <v>1</v>
      </c>
    </row>
    <row r="3594" spans="1:5" x14ac:dyDescent="0.25">
      <c r="A3594" s="7">
        <f>IF(E3594=1,
      SUM($E$2:E3594)-1,
"")</f>
        <v>3590</v>
      </c>
      <c r="B3594" s="6" t="s">
        <v>767</v>
      </c>
      <c r="C3594" s="14">
        <v>45221</v>
      </c>
      <c r="D3594" s="15">
        <v>121.74</v>
      </c>
      <c r="E3594" s="7">
        <f t="shared" si="56"/>
        <v>1</v>
      </c>
    </row>
    <row r="3595" spans="1:5" x14ac:dyDescent="0.25">
      <c r="A3595" s="7">
        <f>IF(E3595=1,
      SUM($E$2:E3595)-1,
"")</f>
        <v>3591</v>
      </c>
      <c r="B3595" s="6" t="s">
        <v>447</v>
      </c>
      <c r="C3595" s="14">
        <v>45263</v>
      </c>
      <c r="D3595" s="15">
        <v>75.75</v>
      </c>
      <c r="E3595" s="7">
        <f t="shared" si="56"/>
        <v>1</v>
      </c>
    </row>
    <row r="3596" spans="1:5" x14ac:dyDescent="0.25">
      <c r="A3596" s="7">
        <f>IF(E3596=1,
      SUM($E$2:E3596)-1,
"")</f>
        <v>3592</v>
      </c>
      <c r="B3596" s="6" t="s">
        <v>529</v>
      </c>
      <c r="C3596" s="14">
        <v>45121</v>
      </c>
      <c r="D3596" s="15">
        <v>152.75</v>
      </c>
      <c r="E3596" s="7">
        <f t="shared" si="56"/>
        <v>1</v>
      </c>
    </row>
    <row r="3597" spans="1:5" x14ac:dyDescent="0.25">
      <c r="A3597" s="7">
        <f>IF(E3597=1,
      SUM($E$2:E3597)-1,
"")</f>
        <v>3593</v>
      </c>
      <c r="B3597" s="6" t="s">
        <v>99</v>
      </c>
      <c r="C3597" s="14">
        <v>44984</v>
      </c>
      <c r="D3597" s="15">
        <v>83.84</v>
      </c>
      <c r="E3597" s="7">
        <f t="shared" si="56"/>
        <v>1</v>
      </c>
    </row>
    <row r="3598" spans="1:5" x14ac:dyDescent="0.25">
      <c r="A3598" s="7">
        <f>IF(E3598=1,
      SUM($E$2:E3598)-1,
"")</f>
        <v>3594</v>
      </c>
      <c r="B3598" s="6" t="s">
        <v>995</v>
      </c>
      <c r="C3598" s="14">
        <v>44950</v>
      </c>
      <c r="D3598" s="15">
        <v>118.07</v>
      </c>
      <c r="E3598" s="7">
        <f t="shared" si="56"/>
        <v>1</v>
      </c>
    </row>
    <row r="3599" spans="1:5" x14ac:dyDescent="0.25">
      <c r="A3599" s="7">
        <f>IF(E3599=1,
      SUM($E$2:E3599)-1,
"")</f>
        <v>3595</v>
      </c>
      <c r="B3599" s="6" t="s">
        <v>181</v>
      </c>
      <c r="C3599" s="14">
        <v>45116</v>
      </c>
      <c r="D3599" s="15">
        <v>102.71</v>
      </c>
      <c r="E3599" s="7">
        <f t="shared" si="56"/>
        <v>1</v>
      </c>
    </row>
    <row r="3600" spans="1:5" x14ac:dyDescent="0.25">
      <c r="A3600" s="7">
        <f>IF(E3600=1,
      SUM($E$2:E3600)-1,
"")</f>
        <v>3596</v>
      </c>
      <c r="B3600" s="6" t="s">
        <v>426</v>
      </c>
      <c r="C3600" s="14">
        <v>45154</v>
      </c>
      <c r="D3600" s="15">
        <v>94.04</v>
      </c>
      <c r="E3600" s="7">
        <f t="shared" si="56"/>
        <v>1</v>
      </c>
    </row>
    <row r="3601" spans="1:5" x14ac:dyDescent="0.25">
      <c r="A3601" s="7">
        <f>IF(E3601=1,
      SUM($E$2:E3601)-1,
"")</f>
        <v>3597</v>
      </c>
      <c r="B3601" s="6" t="s">
        <v>448</v>
      </c>
      <c r="C3601" s="14">
        <v>45099</v>
      </c>
      <c r="D3601" s="15">
        <v>101.2</v>
      </c>
      <c r="E3601" s="7">
        <f t="shared" si="56"/>
        <v>1</v>
      </c>
    </row>
    <row r="3602" spans="1:5" x14ac:dyDescent="0.25">
      <c r="A3602" s="7">
        <f>IF(E3602=1,
      SUM($E$2:E3602)-1,
"")</f>
        <v>3598</v>
      </c>
      <c r="B3602" s="6" t="s">
        <v>532</v>
      </c>
      <c r="C3602" s="14">
        <v>45107</v>
      </c>
      <c r="D3602" s="15">
        <v>71.790000000000006</v>
      </c>
      <c r="E3602" s="7">
        <f t="shared" si="56"/>
        <v>1</v>
      </c>
    </row>
    <row r="3603" spans="1:5" x14ac:dyDescent="0.25">
      <c r="A3603" s="7">
        <f>IF(E3603=1,
      SUM($E$2:E3603)-1,
"")</f>
        <v>3599</v>
      </c>
      <c r="B3603" s="6" t="s">
        <v>446</v>
      </c>
      <c r="C3603" s="14">
        <v>45075</v>
      </c>
      <c r="D3603" s="15">
        <v>88.37</v>
      </c>
      <c r="E3603" s="7">
        <f t="shared" si="56"/>
        <v>1</v>
      </c>
    </row>
    <row r="3604" spans="1:5" x14ac:dyDescent="0.25">
      <c r="A3604" s="7">
        <f>IF(E3604=1,
      SUM($E$2:E3604)-1,
"")</f>
        <v>3600</v>
      </c>
      <c r="B3604" s="6" t="s">
        <v>303</v>
      </c>
      <c r="C3604" s="14">
        <v>45129</v>
      </c>
      <c r="D3604" s="15">
        <v>59.81</v>
      </c>
      <c r="E3604" s="7">
        <f t="shared" si="56"/>
        <v>1</v>
      </c>
    </row>
    <row r="3605" spans="1:5" x14ac:dyDescent="0.25">
      <c r="A3605" s="7">
        <f>IF(E3605=1,
      SUM($E$2:E3605)-1,
"")</f>
        <v>3601</v>
      </c>
      <c r="B3605" s="6" t="s">
        <v>841</v>
      </c>
      <c r="C3605" s="14">
        <v>45132</v>
      </c>
      <c r="D3605" s="15">
        <v>83.52</v>
      </c>
      <c r="E3605" s="7">
        <f t="shared" si="56"/>
        <v>1</v>
      </c>
    </row>
    <row r="3606" spans="1:5" x14ac:dyDescent="0.25">
      <c r="A3606" s="7">
        <f>IF(E3606=1,
      SUM($E$2:E3606)-1,
"")</f>
        <v>3602</v>
      </c>
      <c r="B3606" s="6" t="s">
        <v>1001</v>
      </c>
      <c r="C3606" s="14">
        <v>45280</v>
      </c>
      <c r="D3606" s="15">
        <v>86</v>
      </c>
      <c r="E3606" s="7">
        <f t="shared" si="56"/>
        <v>1</v>
      </c>
    </row>
    <row r="3607" spans="1:5" x14ac:dyDescent="0.25">
      <c r="A3607" s="7">
        <f>IF(E3607=1,
      SUM($E$2:E3607)-1,
"")</f>
        <v>3603</v>
      </c>
      <c r="B3607" s="6" t="s">
        <v>811</v>
      </c>
      <c r="C3607" s="14">
        <v>44997</v>
      </c>
      <c r="D3607" s="15">
        <v>125.36</v>
      </c>
      <c r="E3607" s="7">
        <f t="shared" si="56"/>
        <v>1</v>
      </c>
    </row>
    <row r="3608" spans="1:5" x14ac:dyDescent="0.25">
      <c r="A3608" s="7">
        <f>IF(E3608=1,
      SUM($E$2:E3608)-1,
"")</f>
        <v>3604</v>
      </c>
      <c r="B3608" s="6" t="s">
        <v>83</v>
      </c>
      <c r="C3608" s="14">
        <v>45204</v>
      </c>
      <c r="D3608" s="15">
        <v>90.04</v>
      </c>
      <c r="E3608" s="7">
        <f t="shared" si="56"/>
        <v>1</v>
      </c>
    </row>
    <row r="3609" spans="1:5" x14ac:dyDescent="0.25">
      <c r="A3609" s="7">
        <f>IF(E3609=1,
      SUM($E$2:E3609)-1,
"")</f>
        <v>3605</v>
      </c>
      <c r="B3609" s="6" t="s">
        <v>976</v>
      </c>
      <c r="C3609" s="14">
        <v>44969</v>
      </c>
      <c r="D3609" s="15">
        <v>86.56</v>
      </c>
      <c r="E3609" s="7">
        <f t="shared" si="56"/>
        <v>1</v>
      </c>
    </row>
    <row r="3610" spans="1:5" x14ac:dyDescent="0.25">
      <c r="A3610" s="7">
        <f>IF(E3610=1,
      SUM($E$2:E3610)-1,
"")</f>
        <v>3606</v>
      </c>
      <c r="B3610" s="6" t="s">
        <v>873</v>
      </c>
      <c r="C3610" s="14">
        <v>45251</v>
      </c>
      <c r="D3610" s="15">
        <v>106.6</v>
      </c>
      <c r="E3610" s="7">
        <f t="shared" si="56"/>
        <v>1</v>
      </c>
    </row>
    <row r="3611" spans="1:5" x14ac:dyDescent="0.25">
      <c r="A3611" s="7">
        <f>IF(E3611=1,
      SUM($E$2:E3611)-1,
"")</f>
        <v>3607</v>
      </c>
      <c r="B3611" s="6" t="s">
        <v>768</v>
      </c>
      <c r="C3611" s="14">
        <v>45083</v>
      </c>
      <c r="D3611" s="15">
        <v>105.43</v>
      </c>
      <c r="E3611" s="7">
        <f t="shared" si="56"/>
        <v>1</v>
      </c>
    </row>
    <row r="3612" spans="1:5" x14ac:dyDescent="0.25">
      <c r="A3612" s="7">
        <f>IF(E3612=1,
      SUM($E$2:E3612)-1,
"")</f>
        <v>3608</v>
      </c>
      <c r="B3612" s="6" t="s">
        <v>459</v>
      </c>
      <c r="C3612" s="14">
        <v>45064</v>
      </c>
      <c r="D3612" s="15">
        <v>82.27</v>
      </c>
      <c r="E3612" s="7">
        <f t="shared" si="56"/>
        <v>1</v>
      </c>
    </row>
    <row r="3613" spans="1:5" x14ac:dyDescent="0.25">
      <c r="A3613" s="7">
        <f>IF(E3613=1,
      SUM($E$2:E3613)-1,
"")</f>
        <v>3609</v>
      </c>
      <c r="B3613" s="6" t="s">
        <v>305</v>
      </c>
      <c r="C3613" s="14">
        <v>44943</v>
      </c>
      <c r="D3613" s="15">
        <v>111.83</v>
      </c>
      <c r="E3613" s="7">
        <f t="shared" si="56"/>
        <v>1</v>
      </c>
    </row>
    <row r="3614" spans="1:5" x14ac:dyDescent="0.25">
      <c r="A3614" s="7">
        <f>IF(E3614=1,
      SUM($E$2:E3614)-1,
"")</f>
        <v>3610</v>
      </c>
      <c r="B3614" s="6" t="s">
        <v>220</v>
      </c>
      <c r="C3614" s="14">
        <v>45018</v>
      </c>
      <c r="D3614" s="15">
        <v>94.64</v>
      </c>
      <c r="E3614" s="7">
        <f t="shared" si="56"/>
        <v>1</v>
      </c>
    </row>
    <row r="3615" spans="1:5" x14ac:dyDescent="0.25">
      <c r="A3615" s="7">
        <f>IF(E3615=1,
      SUM($E$2:E3615)-1,
"")</f>
        <v>3611</v>
      </c>
      <c r="B3615" s="6" t="s">
        <v>301</v>
      </c>
      <c r="C3615" s="14">
        <v>45014</v>
      </c>
      <c r="D3615" s="15">
        <v>82.22</v>
      </c>
      <c r="E3615" s="7">
        <f t="shared" si="56"/>
        <v>1</v>
      </c>
    </row>
    <row r="3616" spans="1:5" x14ac:dyDescent="0.25">
      <c r="A3616" s="7">
        <f>IF(E3616=1,
      SUM($E$2:E3616)-1,
"")</f>
        <v>3612</v>
      </c>
      <c r="B3616" s="6" t="s">
        <v>152</v>
      </c>
      <c r="C3616" s="14">
        <v>45042</v>
      </c>
      <c r="D3616" s="15">
        <v>85.14</v>
      </c>
      <c r="E3616" s="7">
        <f t="shared" si="56"/>
        <v>1</v>
      </c>
    </row>
    <row r="3617" spans="1:5" x14ac:dyDescent="0.25">
      <c r="A3617" s="7">
        <f>IF(E3617=1,
      SUM($E$2:E3617)-1,
"")</f>
        <v>3613</v>
      </c>
      <c r="B3617" s="6" t="s">
        <v>991</v>
      </c>
      <c r="C3617" s="14">
        <v>44983</v>
      </c>
      <c r="D3617" s="15">
        <v>128.47999999999999</v>
      </c>
      <c r="E3617" s="7">
        <f t="shared" si="56"/>
        <v>1</v>
      </c>
    </row>
    <row r="3618" spans="1:5" x14ac:dyDescent="0.25">
      <c r="A3618" s="7">
        <f>IF(E3618=1,
      SUM($E$2:E3618)-1,
"")</f>
        <v>3614</v>
      </c>
      <c r="B3618" s="6" t="s">
        <v>659</v>
      </c>
      <c r="C3618" s="14">
        <v>45085</v>
      </c>
      <c r="D3618" s="15">
        <v>86.04</v>
      </c>
      <c r="E3618" s="7">
        <f t="shared" si="56"/>
        <v>1</v>
      </c>
    </row>
    <row r="3619" spans="1:5" x14ac:dyDescent="0.25">
      <c r="A3619" s="7">
        <f>IF(E3619=1,
      SUM($E$2:E3619)-1,
"")</f>
        <v>3615</v>
      </c>
      <c r="B3619" s="6" t="s">
        <v>564</v>
      </c>
      <c r="C3619" s="14">
        <v>44972</v>
      </c>
      <c r="D3619" s="15">
        <v>107.83</v>
      </c>
      <c r="E3619" s="7">
        <f t="shared" si="56"/>
        <v>1</v>
      </c>
    </row>
    <row r="3620" spans="1:5" x14ac:dyDescent="0.25">
      <c r="A3620" s="7">
        <f>IF(E3620=1,
      SUM($E$2:E3620)-1,
"")</f>
        <v>3616</v>
      </c>
      <c r="B3620" s="6" t="s">
        <v>850</v>
      </c>
      <c r="C3620" s="14">
        <v>45153</v>
      </c>
      <c r="D3620" s="15">
        <v>61.53</v>
      </c>
      <c r="E3620" s="7">
        <f t="shared" si="56"/>
        <v>1</v>
      </c>
    </row>
    <row r="3621" spans="1:5" x14ac:dyDescent="0.25">
      <c r="A3621" s="7">
        <f>IF(E3621=1,
      SUM($E$2:E3621)-1,
"")</f>
        <v>3617</v>
      </c>
      <c r="B3621" s="6" t="s">
        <v>319</v>
      </c>
      <c r="C3621" s="14">
        <v>45013</v>
      </c>
      <c r="D3621" s="15">
        <v>133.46</v>
      </c>
      <c r="E3621" s="7">
        <f t="shared" si="56"/>
        <v>1</v>
      </c>
    </row>
    <row r="3622" spans="1:5" x14ac:dyDescent="0.25">
      <c r="A3622" s="7">
        <f>IF(E3622=1,
      SUM($E$2:E3622)-1,
"")</f>
        <v>3618</v>
      </c>
      <c r="B3622" s="6" t="s">
        <v>983</v>
      </c>
      <c r="C3622" s="14">
        <v>45259</v>
      </c>
      <c r="D3622" s="15">
        <v>82.51</v>
      </c>
      <c r="E3622" s="7">
        <f t="shared" si="56"/>
        <v>1</v>
      </c>
    </row>
    <row r="3623" spans="1:5" x14ac:dyDescent="0.25">
      <c r="A3623" s="7">
        <f>IF(E3623=1,
      SUM($E$2:E3623)-1,
"")</f>
        <v>3619</v>
      </c>
      <c r="B3623" s="6" t="s">
        <v>430</v>
      </c>
      <c r="C3623" s="14">
        <v>44984</v>
      </c>
      <c r="D3623" s="15">
        <v>112.01</v>
      </c>
      <c r="E3623" s="7">
        <f t="shared" si="56"/>
        <v>1</v>
      </c>
    </row>
    <row r="3624" spans="1:5" x14ac:dyDescent="0.25">
      <c r="A3624" s="7">
        <f>IF(E3624=1,
      SUM($E$2:E3624)-1,
"")</f>
        <v>3620</v>
      </c>
      <c r="B3624" s="6" t="s">
        <v>739</v>
      </c>
      <c r="C3624" s="14">
        <v>45275</v>
      </c>
      <c r="D3624" s="15">
        <v>92.45</v>
      </c>
      <c r="E3624" s="7">
        <f t="shared" si="56"/>
        <v>1</v>
      </c>
    </row>
    <row r="3625" spans="1:5" x14ac:dyDescent="0.25">
      <c r="A3625" s="7">
        <f>IF(E3625=1,
      SUM($E$2:E3625)-1,
"")</f>
        <v>3621</v>
      </c>
      <c r="B3625" s="6" t="s">
        <v>1023</v>
      </c>
      <c r="C3625" s="14">
        <v>45236</v>
      </c>
      <c r="D3625" s="15">
        <v>111.67</v>
      </c>
      <c r="E3625" s="7">
        <f t="shared" si="56"/>
        <v>1</v>
      </c>
    </row>
    <row r="3626" spans="1:5" x14ac:dyDescent="0.25">
      <c r="A3626" s="7">
        <f>IF(E3626=1,
      SUM($E$2:E3626)-1,
"")</f>
        <v>3622</v>
      </c>
      <c r="B3626" s="6" t="s">
        <v>132</v>
      </c>
      <c r="C3626" s="14">
        <v>45181</v>
      </c>
      <c r="D3626" s="15">
        <v>113.3</v>
      </c>
      <c r="E3626" s="7">
        <f t="shared" si="56"/>
        <v>1</v>
      </c>
    </row>
    <row r="3627" spans="1:5" x14ac:dyDescent="0.25">
      <c r="A3627" s="7">
        <f>IF(E3627=1,
      SUM($E$2:E3627)-1,
"")</f>
        <v>3623</v>
      </c>
      <c r="B3627" s="6" t="s">
        <v>450</v>
      </c>
      <c r="C3627" s="14">
        <v>45288</v>
      </c>
      <c r="D3627" s="15">
        <v>95.66</v>
      </c>
      <c r="E3627" s="7">
        <f t="shared" si="56"/>
        <v>1</v>
      </c>
    </row>
    <row r="3628" spans="1:5" x14ac:dyDescent="0.25">
      <c r="A3628" s="7">
        <f>IF(E3628=1,
      SUM($E$2:E3628)-1,
"")</f>
        <v>3624</v>
      </c>
      <c r="B3628" s="6" t="s">
        <v>713</v>
      </c>
      <c r="C3628" s="14">
        <v>45111</v>
      </c>
      <c r="D3628" s="15">
        <v>44.02</v>
      </c>
      <c r="E3628" s="7">
        <f t="shared" si="56"/>
        <v>1</v>
      </c>
    </row>
    <row r="3629" spans="1:5" x14ac:dyDescent="0.25">
      <c r="A3629" s="7">
        <f>IF(E3629=1,
      SUM($E$2:E3629)-1,
"")</f>
        <v>3625</v>
      </c>
      <c r="B3629" s="6" t="s">
        <v>317</v>
      </c>
      <c r="C3629" s="14">
        <v>45280</v>
      </c>
      <c r="D3629" s="15">
        <v>132.72999999999999</v>
      </c>
      <c r="E3629" s="7">
        <f t="shared" si="56"/>
        <v>1</v>
      </c>
    </row>
    <row r="3630" spans="1:5" x14ac:dyDescent="0.25">
      <c r="A3630" s="7">
        <f>IF(E3630=1,
      SUM($E$2:E3630)-1,
"")</f>
        <v>3626</v>
      </c>
      <c r="B3630" s="6" t="s">
        <v>325</v>
      </c>
      <c r="C3630" s="14">
        <v>44954</v>
      </c>
      <c r="D3630" s="15">
        <v>95.8</v>
      </c>
      <c r="E3630" s="7">
        <f t="shared" si="56"/>
        <v>1</v>
      </c>
    </row>
    <row r="3631" spans="1:5" x14ac:dyDescent="0.25">
      <c r="A3631" s="7">
        <f>IF(E3631=1,
      SUM($E$2:E3631)-1,
"")</f>
        <v>3627</v>
      </c>
      <c r="B3631" s="6" t="s">
        <v>439</v>
      </c>
      <c r="C3631" s="14">
        <v>45008</v>
      </c>
      <c r="D3631" s="15">
        <v>111.04</v>
      </c>
      <c r="E3631" s="7">
        <f t="shared" si="56"/>
        <v>1</v>
      </c>
    </row>
    <row r="3632" spans="1:5" x14ac:dyDescent="0.25">
      <c r="A3632" s="7">
        <f>IF(E3632=1,
      SUM($E$2:E3632)-1,
"")</f>
        <v>3628</v>
      </c>
      <c r="B3632" s="6" t="s">
        <v>827</v>
      </c>
      <c r="C3632" s="14">
        <v>45034</v>
      </c>
      <c r="D3632" s="15">
        <v>120.75</v>
      </c>
      <c r="E3632" s="7">
        <f t="shared" si="56"/>
        <v>1</v>
      </c>
    </row>
    <row r="3633" spans="1:5" x14ac:dyDescent="0.25">
      <c r="A3633" s="7">
        <f>IF(E3633=1,
      SUM($E$2:E3633)-1,
"")</f>
        <v>3629</v>
      </c>
      <c r="B3633" s="6" t="s">
        <v>94</v>
      </c>
      <c r="C3633" s="14">
        <v>45203</v>
      </c>
      <c r="D3633" s="15">
        <v>86.28</v>
      </c>
      <c r="E3633" s="7">
        <f t="shared" si="56"/>
        <v>1</v>
      </c>
    </row>
    <row r="3634" spans="1:5" x14ac:dyDescent="0.25">
      <c r="A3634" s="7">
        <f>IF(E3634=1,
      SUM($E$2:E3634)-1,
"")</f>
        <v>3630</v>
      </c>
      <c r="B3634" s="6" t="s">
        <v>619</v>
      </c>
      <c r="C3634" s="14">
        <v>45189</v>
      </c>
      <c r="D3634" s="15">
        <v>115.51</v>
      </c>
      <c r="E3634" s="7">
        <f t="shared" si="56"/>
        <v>1</v>
      </c>
    </row>
    <row r="3635" spans="1:5" x14ac:dyDescent="0.25">
      <c r="A3635" s="7">
        <f>IF(E3635=1,
      SUM($E$2:E3635)-1,
"")</f>
        <v>3631</v>
      </c>
      <c r="B3635" s="6" t="s">
        <v>955</v>
      </c>
      <c r="C3635" s="14">
        <v>45107</v>
      </c>
      <c r="D3635" s="15">
        <v>77.569999999999993</v>
      </c>
      <c r="E3635" s="7">
        <f t="shared" si="56"/>
        <v>1</v>
      </c>
    </row>
    <row r="3636" spans="1:5" x14ac:dyDescent="0.25">
      <c r="A3636" s="7">
        <f>IF(E3636=1,
      SUM($E$2:E3636)-1,
"")</f>
        <v>3632</v>
      </c>
      <c r="B3636" s="6" t="s">
        <v>747</v>
      </c>
      <c r="C3636" s="14">
        <v>45043</v>
      </c>
      <c r="D3636" s="15">
        <v>111.63</v>
      </c>
      <c r="E3636" s="7">
        <f t="shared" si="56"/>
        <v>1</v>
      </c>
    </row>
    <row r="3637" spans="1:5" x14ac:dyDescent="0.25">
      <c r="A3637" s="7">
        <f>IF(E3637=1,
      SUM($E$2:E3637)-1,
"")</f>
        <v>3633</v>
      </c>
      <c r="B3637" s="6" t="s">
        <v>979</v>
      </c>
      <c r="C3637" s="14">
        <v>45038</v>
      </c>
      <c r="D3637" s="15">
        <v>100.59</v>
      </c>
      <c r="E3637" s="7">
        <f t="shared" si="56"/>
        <v>1</v>
      </c>
    </row>
    <row r="3638" spans="1:5" x14ac:dyDescent="0.25">
      <c r="A3638" s="7">
        <f>IF(E3638=1,
      SUM($E$2:E3638)-1,
"")</f>
        <v>3634</v>
      </c>
      <c r="B3638" s="6" t="s">
        <v>730</v>
      </c>
      <c r="C3638" s="14">
        <v>45217</v>
      </c>
      <c r="D3638" s="15">
        <v>87.33</v>
      </c>
      <c r="E3638" s="7">
        <f t="shared" si="56"/>
        <v>1</v>
      </c>
    </row>
    <row r="3639" spans="1:5" x14ac:dyDescent="0.25">
      <c r="A3639" s="7">
        <f>IF(E3639=1,
      SUM($E$2:E3639)-1,
"")</f>
        <v>3635</v>
      </c>
      <c r="B3639" s="6" t="s">
        <v>928</v>
      </c>
      <c r="C3639" s="14">
        <v>45185</v>
      </c>
      <c r="D3639" s="15">
        <v>101.41</v>
      </c>
      <c r="E3639" s="7">
        <f t="shared" si="56"/>
        <v>1</v>
      </c>
    </row>
    <row r="3640" spans="1:5" x14ac:dyDescent="0.25">
      <c r="A3640" s="7">
        <f>IF(E3640=1,
      SUM($E$2:E3640)-1,
"")</f>
        <v>3636</v>
      </c>
      <c r="B3640" s="6" t="s">
        <v>746</v>
      </c>
      <c r="C3640" s="14">
        <v>45137</v>
      </c>
      <c r="D3640" s="15">
        <v>68.34</v>
      </c>
      <c r="E3640" s="7">
        <f t="shared" si="56"/>
        <v>1</v>
      </c>
    </row>
    <row r="3641" spans="1:5" x14ac:dyDescent="0.25">
      <c r="A3641" s="7">
        <f>IF(E3641=1,
      SUM($E$2:E3641)-1,
"")</f>
        <v>3637</v>
      </c>
      <c r="B3641" s="6" t="s">
        <v>96</v>
      </c>
      <c r="C3641" s="14">
        <v>45211</v>
      </c>
      <c r="D3641" s="15">
        <v>109.27</v>
      </c>
      <c r="E3641" s="7">
        <f t="shared" si="56"/>
        <v>1</v>
      </c>
    </row>
    <row r="3642" spans="1:5" x14ac:dyDescent="0.25">
      <c r="A3642" s="7">
        <f>IF(E3642=1,
      SUM($E$2:E3642)-1,
"")</f>
        <v>3638</v>
      </c>
      <c r="B3642" s="6" t="s">
        <v>262</v>
      </c>
      <c r="C3642" s="14">
        <v>45216</v>
      </c>
      <c r="D3642" s="15">
        <v>112.38</v>
      </c>
      <c r="E3642" s="7">
        <f t="shared" si="56"/>
        <v>1</v>
      </c>
    </row>
    <row r="3643" spans="1:5" x14ac:dyDescent="0.25">
      <c r="A3643" s="7">
        <f>IF(E3643=1,
      SUM($E$2:E3643)-1,
"")</f>
        <v>3639</v>
      </c>
      <c r="B3643" s="6" t="s">
        <v>662</v>
      </c>
      <c r="C3643" s="14">
        <v>45035</v>
      </c>
      <c r="D3643" s="15">
        <v>110.37</v>
      </c>
      <c r="E3643" s="7">
        <f t="shared" si="56"/>
        <v>1</v>
      </c>
    </row>
    <row r="3644" spans="1:5" x14ac:dyDescent="0.25">
      <c r="A3644" s="7">
        <f>IF(E3644=1,
      SUM($E$2:E3644)-1,
"")</f>
        <v>3640</v>
      </c>
      <c r="B3644" s="6" t="s">
        <v>947</v>
      </c>
      <c r="C3644" s="14">
        <v>45166</v>
      </c>
      <c r="D3644" s="15">
        <v>145.07</v>
      </c>
      <c r="E3644" s="7">
        <f t="shared" si="56"/>
        <v>1</v>
      </c>
    </row>
    <row r="3645" spans="1:5" x14ac:dyDescent="0.25">
      <c r="A3645" s="7">
        <f>IF(E3645=1,
      SUM($E$2:E3645)-1,
"")</f>
        <v>3641</v>
      </c>
      <c r="B3645" s="6" t="s">
        <v>75</v>
      </c>
      <c r="C3645" s="14">
        <v>45011</v>
      </c>
      <c r="D3645" s="15">
        <v>97.15</v>
      </c>
      <c r="E3645" s="7">
        <f t="shared" si="56"/>
        <v>1</v>
      </c>
    </row>
    <row r="3646" spans="1:5" x14ac:dyDescent="0.25">
      <c r="A3646" s="7">
        <f>IF(E3646=1,
      SUM($E$2:E3646)-1,
"")</f>
        <v>3642</v>
      </c>
      <c r="B3646" s="6" t="s">
        <v>283</v>
      </c>
      <c r="C3646" s="14">
        <v>45205</v>
      </c>
      <c r="D3646" s="15">
        <v>99.22</v>
      </c>
      <c r="E3646" s="7">
        <f t="shared" si="56"/>
        <v>1</v>
      </c>
    </row>
    <row r="3647" spans="1:5" x14ac:dyDescent="0.25">
      <c r="A3647" s="7">
        <f>IF(E3647=1,
      SUM($E$2:E3647)-1,
"")</f>
        <v>3643</v>
      </c>
      <c r="B3647" s="6" t="s">
        <v>157</v>
      </c>
      <c r="C3647" s="14">
        <v>45089</v>
      </c>
      <c r="D3647" s="15">
        <v>64.89</v>
      </c>
      <c r="E3647" s="7">
        <f t="shared" si="56"/>
        <v>1</v>
      </c>
    </row>
    <row r="3648" spans="1:5" x14ac:dyDescent="0.25">
      <c r="A3648" s="7">
        <f>IF(E3648=1,
      SUM($E$2:E3648)-1,
"")</f>
        <v>3644</v>
      </c>
      <c r="B3648" s="6" t="s">
        <v>432</v>
      </c>
      <c r="C3648" s="14">
        <v>45277</v>
      </c>
      <c r="D3648" s="15">
        <v>147.16999999999999</v>
      </c>
      <c r="E3648" s="7">
        <f t="shared" si="56"/>
        <v>1</v>
      </c>
    </row>
    <row r="3649" spans="1:5" x14ac:dyDescent="0.25">
      <c r="A3649" s="7">
        <f>IF(E3649=1,
      SUM($E$2:E3649)-1,
"")</f>
        <v>3645</v>
      </c>
      <c r="B3649" s="6" t="s">
        <v>947</v>
      </c>
      <c r="C3649" s="14">
        <v>45142</v>
      </c>
      <c r="D3649" s="15">
        <v>55.06</v>
      </c>
      <c r="E3649" s="7">
        <f t="shared" si="56"/>
        <v>1</v>
      </c>
    </row>
    <row r="3650" spans="1:5" x14ac:dyDescent="0.25">
      <c r="A3650" s="7">
        <f>IF(E3650=1,
      SUM($E$2:E3650)-1,
"")</f>
        <v>3646</v>
      </c>
      <c r="B3650" s="6" t="s">
        <v>225</v>
      </c>
      <c r="C3650" s="14">
        <v>45039</v>
      </c>
      <c r="D3650" s="15">
        <v>106.86</v>
      </c>
      <c r="E3650" s="7">
        <f t="shared" ref="E3650:E3713" si="57">IF(D3650&gt;0,1,0)</f>
        <v>1</v>
      </c>
    </row>
    <row r="3651" spans="1:5" x14ac:dyDescent="0.25">
      <c r="A3651" s="7">
        <f>IF(E3651=1,
      SUM($E$2:E3651)-1,
"")</f>
        <v>3647</v>
      </c>
      <c r="B3651" s="6" t="s">
        <v>88</v>
      </c>
      <c r="C3651" s="14">
        <v>45105</v>
      </c>
      <c r="D3651" s="15">
        <v>81.56</v>
      </c>
      <c r="E3651" s="7">
        <f t="shared" si="57"/>
        <v>1</v>
      </c>
    </row>
    <row r="3652" spans="1:5" x14ac:dyDescent="0.25">
      <c r="A3652" s="7">
        <f>IF(E3652=1,
      SUM($E$2:E3652)-1,
"")</f>
        <v>3648</v>
      </c>
      <c r="B3652" s="6" t="s">
        <v>917</v>
      </c>
      <c r="C3652" s="14">
        <v>44964</v>
      </c>
      <c r="D3652" s="15">
        <v>101.87</v>
      </c>
      <c r="E3652" s="7">
        <f t="shared" si="57"/>
        <v>1</v>
      </c>
    </row>
    <row r="3653" spans="1:5" x14ac:dyDescent="0.25">
      <c r="A3653" s="7">
        <f>IF(E3653=1,
      SUM($E$2:E3653)-1,
"")</f>
        <v>3649</v>
      </c>
      <c r="B3653" s="6" t="s">
        <v>250</v>
      </c>
      <c r="C3653" s="14">
        <v>45261</v>
      </c>
      <c r="D3653" s="15">
        <v>60.76</v>
      </c>
      <c r="E3653" s="7">
        <f t="shared" si="57"/>
        <v>1</v>
      </c>
    </row>
    <row r="3654" spans="1:5" x14ac:dyDescent="0.25">
      <c r="A3654" s="7">
        <f>IF(E3654=1,
      SUM($E$2:E3654)-1,
"")</f>
        <v>3650</v>
      </c>
      <c r="B3654" s="6" t="s">
        <v>897</v>
      </c>
      <c r="C3654" s="14">
        <v>45022</v>
      </c>
      <c r="D3654" s="15">
        <v>126.75</v>
      </c>
      <c r="E3654" s="7">
        <f t="shared" si="57"/>
        <v>1</v>
      </c>
    </row>
    <row r="3655" spans="1:5" x14ac:dyDescent="0.25">
      <c r="A3655" s="7">
        <f>IF(E3655=1,
      SUM($E$2:E3655)-1,
"")</f>
        <v>3651</v>
      </c>
      <c r="B3655" s="6" t="s">
        <v>839</v>
      </c>
      <c r="C3655" s="14">
        <v>45288</v>
      </c>
      <c r="D3655" s="15">
        <v>71.34</v>
      </c>
      <c r="E3655" s="7">
        <f t="shared" si="57"/>
        <v>1</v>
      </c>
    </row>
    <row r="3656" spans="1:5" x14ac:dyDescent="0.25">
      <c r="A3656" s="7">
        <f>IF(E3656=1,
      SUM($E$2:E3656)-1,
"")</f>
        <v>3652</v>
      </c>
      <c r="B3656" s="6" t="s">
        <v>1034</v>
      </c>
      <c r="C3656" s="14">
        <v>44963</v>
      </c>
      <c r="D3656" s="15">
        <v>134.99</v>
      </c>
      <c r="E3656" s="7">
        <f t="shared" si="57"/>
        <v>1</v>
      </c>
    </row>
    <row r="3657" spans="1:5" x14ac:dyDescent="0.25">
      <c r="A3657" s="7">
        <f>IF(E3657=1,
      SUM($E$2:E3657)-1,
"")</f>
        <v>3653</v>
      </c>
      <c r="B3657" s="6" t="s">
        <v>80</v>
      </c>
      <c r="C3657" s="14">
        <v>44985</v>
      </c>
      <c r="D3657" s="15">
        <v>72.17</v>
      </c>
      <c r="E3657" s="7">
        <f t="shared" si="57"/>
        <v>1</v>
      </c>
    </row>
    <row r="3658" spans="1:5" x14ac:dyDescent="0.25">
      <c r="A3658" s="7">
        <f>IF(E3658=1,
      SUM($E$2:E3658)-1,
"")</f>
        <v>3654</v>
      </c>
      <c r="B3658" s="6" t="s">
        <v>954</v>
      </c>
      <c r="C3658" s="14">
        <v>44960</v>
      </c>
      <c r="D3658" s="15">
        <v>129.26</v>
      </c>
      <c r="E3658" s="7">
        <f t="shared" si="57"/>
        <v>1</v>
      </c>
    </row>
    <row r="3659" spans="1:5" x14ac:dyDescent="0.25">
      <c r="A3659" s="7">
        <f>IF(E3659=1,
      SUM($E$2:E3659)-1,
"")</f>
        <v>3655</v>
      </c>
      <c r="B3659" s="6" t="s">
        <v>740</v>
      </c>
      <c r="C3659" s="14">
        <v>45124</v>
      </c>
      <c r="D3659" s="15">
        <v>75.069999999999993</v>
      </c>
      <c r="E3659" s="7">
        <f t="shared" si="57"/>
        <v>1</v>
      </c>
    </row>
    <row r="3660" spans="1:5" x14ac:dyDescent="0.25">
      <c r="A3660" s="7">
        <f>IF(E3660=1,
      SUM($E$2:E3660)-1,
"")</f>
        <v>3656</v>
      </c>
      <c r="B3660" s="6" t="s">
        <v>981</v>
      </c>
      <c r="C3660" s="14">
        <v>45112</v>
      </c>
      <c r="D3660" s="15">
        <v>81.56</v>
      </c>
      <c r="E3660" s="7">
        <f t="shared" si="57"/>
        <v>1</v>
      </c>
    </row>
    <row r="3661" spans="1:5" x14ac:dyDescent="0.25">
      <c r="A3661" s="7">
        <f>IF(E3661=1,
      SUM($E$2:E3661)-1,
"")</f>
        <v>3657</v>
      </c>
      <c r="B3661" s="6" t="s">
        <v>165</v>
      </c>
      <c r="C3661" s="14">
        <v>45115</v>
      </c>
      <c r="D3661" s="15">
        <v>99.94</v>
      </c>
      <c r="E3661" s="7">
        <f t="shared" si="57"/>
        <v>1</v>
      </c>
    </row>
    <row r="3662" spans="1:5" x14ac:dyDescent="0.25">
      <c r="A3662" s="7">
        <f>IF(E3662=1,
      SUM($E$2:E3662)-1,
"")</f>
        <v>3658</v>
      </c>
      <c r="B3662" s="6" t="s">
        <v>864</v>
      </c>
      <c r="C3662" s="14">
        <v>45150</v>
      </c>
      <c r="D3662" s="15">
        <v>74.56</v>
      </c>
      <c r="E3662" s="7">
        <f t="shared" si="57"/>
        <v>1</v>
      </c>
    </row>
    <row r="3663" spans="1:5" x14ac:dyDescent="0.25">
      <c r="A3663" s="7">
        <f>IF(E3663=1,
      SUM($E$2:E3663)-1,
"")</f>
        <v>3659</v>
      </c>
      <c r="B3663" s="6" t="s">
        <v>597</v>
      </c>
      <c r="C3663" s="14">
        <v>44931</v>
      </c>
      <c r="D3663" s="15">
        <v>73.680000000000007</v>
      </c>
      <c r="E3663" s="7">
        <f t="shared" si="57"/>
        <v>1</v>
      </c>
    </row>
    <row r="3664" spans="1:5" x14ac:dyDescent="0.25">
      <c r="A3664" s="7">
        <f>IF(E3664=1,
      SUM($E$2:E3664)-1,
"")</f>
        <v>3660</v>
      </c>
      <c r="B3664" s="6" t="s">
        <v>544</v>
      </c>
      <c r="C3664" s="14">
        <v>45045</v>
      </c>
      <c r="D3664" s="15">
        <v>74.91</v>
      </c>
      <c r="E3664" s="7">
        <f t="shared" si="57"/>
        <v>1</v>
      </c>
    </row>
    <row r="3665" spans="1:5" x14ac:dyDescent="0.25">
      <c r="A3665" s="7">
        <f>IF(E3665=1,
      SUM($E$2:E3665)-1,
"")</f>
        <v>3661</v>
      </c>
      <c r="B3665" s="6" t="s">
        <v>578</v>
      </c>
      <c r="C3665" s="14">
        <v>45166</v>
      </c>
      <c r="D3665" s="15">
        <v>109.57</v>
      </c>
      <c r="E3665" s="7">
        <f t="shared" si="57"/>
        <v>1</v>
      </c>
    </row>
    <row r="3666" spans="1:5" x14ac:dyDescent="0.25">
      <c r="A3666" s="7">
        <f>IF(E3666=1,
      SUM($E$2:E3666)-1,
"")</f>
        <v>3662</v>
      </c>
      <c r="B3666" s="6" t="s">
        <v>1035</v>
      </c>
      <c r="C3666" s="14">
        <v>45030</v>
      </c>
      <c r="D3666" s="15">
        <v>99.99</v>
      </c>
      <c r="E3666" s="7">
        <f t="shared" si="57"/>
        <v>1</v>
      </c>
    </row>
    <row r="3667" spans="1:5" x14ac:dyDescent="0.25">
      <c r="A3667" s="7">
        <f>IF(E3667=1,
      SUM($E$2:E3667)-1,
"")</f>
        <v>3663</v>
      </c>
      <c r="B3667" s="6" t="s">
        <v>309</v>
      </c>
      <c r="C3667" s="14">
        <v>45253</v>
      </c>
      <c r="D3667" s="15">
        <v>101.58</v>
      </c>
      <c r="E3667" s="7">
        <f t="shared" si="57"/>
        <v>1</v>
      </c>
    </row>
    <row r="3668" spans="1:5" x14ac:dyDescent="0.25">
      <c r="A3668" s="7">
        <f>IF(E3668=1,
      SUM($E$2:E3668)-1,
"")</f>
        <v>3664</v>
      </c>
      <c r="B3668" s="6" t="s">
        <v>913</v>
      </c>
      <c r="C3668" s="14">
        <v>44938</v>
      </c>
      <c r="D3668" s="15">
        <v>90.26</v>
      </c>
      <c r="E3668" s="7">
        <f t="shared" si="57"/>
        <v>1</v>
      </c>
    </row>
    <row r="3669" spans="1:5" x14ac:dyDescent="0.25">
      <c r="A3669" s="7">
        <f>IF(E3669=1,
      SUM($E$2:E3669)-1,
"")</f>
        <v>3665</v>
      </c>
      <c r="B3669" s="6" t="s">
        <v>147</v>
      </c>
      <c r="C3669" s="14">
        <v>45038</v>
      </c>
      <c r="D3669" s="15">
        <v>116.46</v>
      </c>
      <c r="E3669" s="7">
        <f t="shared" si="57"/>
        <v>1</v>
      </c>
    </row>
    <row r="3670" spans="1:5" x14ac:dyDescent="0.25">
      <c r="A3670" s="7">
        <f>IF(E3670=1,
      SUM($E$2:E3670)-1,
"")</f>
        <v>3666</v>
      </c>
      <c r="B3670" s="6" t="s">
        <v>741</v>
      </c>
      <c r="C3670" s="14">
        <v>45150</v>
      </c>
      <c r="D3670" s="15">
        <v>131.5</v>
      </c>
      <c r="E3670" s="7">
        <f t="shared" si="57"/>
        <v>1</v>
      </c>
    </row>
    <row r="3671" spans="1:5" x14ac:dyDescent="0.25">
      <c r="A3671" s="7">
        <f>IF(E3671=1,
      SUM($E$2:E3671)-1,
"")</f>
        <v>3667</v>
      </c>
      <c r="B3671" s="6" t="s">
        <v>441</v>
      </c>
      <c r="C3671" s="14">
        <v>45053</v>
      </c>
      <c r="D3671" s="15">
        <v>117.27</v>
      </c>
      <c r="E3671" s="7">
        <f t="shared" si="57"/>
        <v>1</v>
      </c>
    </row>
    <row r="3672" spans="1:5" x14ac:dyDescent="0.25">
      <c r="A3672" s="7">
        <f>IF(E3672=1,
      SUM($E$2:E3672)-1,
"")</f>
        <v>3668</v>
      </c>
      <c r="B3672" s="6" t="s">
        <v>663</v>
      </c>
      <c r="C3672" s="14">
        <v>45065</v>
      </c>
      <c r="D3672" s="15">
        <v>93.73</v>
      </c>
      <c r="E3672" s="7">
        <f t="shared" si="57"/>
        <v>1</v>
      </c>
    </row>
    <row r="3673" spans="1:5" x14ac:dyDescent="0.25">
      <c r="A3673" s="7">
        <f>IF(E3673=1,
      SUM($E$2:E3673)-1,
"")</f>
        <v>3669</v>
      </c>
      <c r="B3673" s="6" t="s">
        <v>735</v>
      </c>
      <c r="C3673" s="14">
        <v>44952</v>
      </c>
      <c r="D3673" s="15">
        <v>63.38</v>
      </c>
      <c r="E3673" s="7">
        <f t="shared" si="57"/>
        <v>1</v>
      </c>
    </row>
    <row r="3674" spans="1:5" x14ac:dyDescent="0.25">
      <c r="A3674" s="7">
        <f>IF(E3674=1,
      SUM($E$2:E3674)-1,
"")</f>
        <v>3670</v>
      </c>
      <c r="B3674" s="6" t="s">
        <v>1036</v>
      </c>
      <c r="C3674" s="14">
        <v>45095</v>
      </c>
      <c r="D3674" s="15">
        <v>40.69</v>
      </c>
      <c r="E3674" s="7">
        <f t="shared" si="57"/>
        <v>1</v>
      </c>
    </row>
    <row r="3675" spans="1:5" x14ac:dyDescent="0.25">
      <c r="A3675" s="7">
        <f>IF(E3675=1,
      SUM($E$2:E3675)-1,
"")</f>
        <v>3671</v>
      </c>
      <c r="B3675" s="6" t="s">
        <v>1008</v>
      </c>
      <c r="C3675" s="14">
        <v>45228</v>
      </c>
      <c r="D3675" s="15">
        <v>98.05</v>
      </c>
      <c r="E3675" s="7">
        <f t="shared" si="57"/>
        <v>1</v>
      </c>
    </row>
    <row r="3676" spans="1:5" x14ac:dyDescent="0.25">
      <c r="A3676" s="7">
        <f>IF(E3676=1,
      SUM($E$2:E3676)-1,
"")</f>
        <v>3672</v>
      </c>
      <c r="B3676" s="6" t="s">
        <v>615</v>
      </c>
      <c r="C3676" s="14">
        <v>45282</v>
      </c>
      <c r="D3676" s="15">
        <v>40.200000000000003</v>
      </c>
      <c r="E3676" s="7">
        <f t="shared" si="57"/>
        <v>1</v>
      </c>
    </row>
    <row r="3677" spans="1:5" x14ac:dyDescent="0.25">
      <c r="A3677" s="7">
        <f>IF(E3677=1,
      SUM($E$2:E3677)-1,
"")</f>
        <v>3673</v>
      </c>
      <c r="B3677" s="6" t="s">
        <v>498</v>
      </c>
      <c r="C3677" s="14">
        <v>45185</v>
      </c>
      <c r="D3677" s="15">
        <v>94.02</v>
      </c>
      <c r="E3677" s="7">
        <f t="shared" si="57"/>
        <v>1</v>
      </c>
    </row>
    <row r="3678" spans="1:5" x14ac:dyDescent="0.25">
      <c r="A3678" s="7">
        <f>IF(E3678=1,
      SUM($E$2:E3678)-1,
"")</f>
        <v>3674</v>
      </c>
      <c r="B3678" s="6" t="s">
        <v>940</v>
      </c>
      <c r="C3678" s="14">
        <v>45267</v>
      </c>
      <c r="D3678" s="15">
        <v>142.08000000000001</v>
      </c>
      <c r="E3678" s="7">
        <f t="shared" si="57"/>
        <v>1</v>
      </c>
    </row>
    <row r="3679" spans="1:5" x14ac:dyDescent="0.25">
      <c r="A3679" s="7">
        <f>IF(E3679=1,
      SUM($E$2:E3679)-1,
"")</f>
        <v>3675</v>
      </c>
      <c r="B3679" s="6" t="s">
        <v>201</v>
      </c>
      <c r="C3679" s="14">
        <v>45142</v>
      </c>
      <c r="D3679" s="15">
        <v>65.400000000000006</v>
      </c>
      <c r="E3679" s="7">
        <f t="shared" si="57"/>
        <v>1</v>
      </c>
    </row>
    <row r="3680" spans="1:5" x14ac:dyDescent="0.25">
      <c r="A3680" s="7">
        <f>IF(E3680=1,
      SUM($E$2:E3680)-1,
"")</f>
        <v>3676</v>
      </c>
      <c r="B3680" s="6" t="s">
        <v>125</v>
      </c>
      <c r="C3680" s="14">
        <v>45072</v>
      </c>
      <c r="D3680" s="15">
        <v>61.42</v>
      </c>
      <c r="E3680" s="7">
        <f t="shared" si="57"/>
        <v>1</v>
      </c>
    </row>
    <row r="3681" spans="1:5" x14ac:dyDescent="0.25">
      <c r="A3681" s="7">
        <f>IF(E3681=1,
      SUM($E$2:E3681)-1,
"")</f>
        <v>3677</v>
      </c>
      <c r="B3681" s="6" t="s">
        <v>803</v>
      </c>
      <c r="C3681" s="14">
        <v>44952</v>
      </c>
      <c r="D3681" s="15">
        <v>119.11</v>
      </c>
      <c r="E3681" s="7">
        <f t="shared" si="57"/>
        <v>1</v>
      </c>
    </row>
    <row r="3682" spans="1:5" x14ac:dyDescent="0.25">
      <c r="A3682" s="7">
        <f>IF(E3682=1,
      SUM($E$2:E3682)-1,
"")</f>
        <v>3678</v>
      </c>
      <c r="B3682" s="6" t="s">
        <v>981</v>
      </c>
      <c r="C3682" s="14">
        <v>45056</v>
      </c>
      <c r="D3682" s="15">
        <v>15.83</v>
      </c>
      <c r="E3682" s="7">
        <f t="shared" si="57"/>
        <v>1</v>
      </c>
    </row>
    <row r="3683" spans="1:5" x14ac:dyDescent="0.25">
      <c r="A3683" s="7">
        <f>IF(E3683=1,
      SUM($E$2:E3683)-1,
"")</f>
        <v>3679</v>
      </c>
      <c r="B3683" s="6" t="s">
        <v>707</v>
      </c>
      <c r="C3683" s="14">
        <v>45056</v>
      </c>
      <c r="D3683" s="15">
        <v>111.45</v>
      </c>
      <c r="E3683" s="7">
        <f t="shared" si="57"/>
        <v>1</v>
      </c>
    </row>
    <row r="3684" spans="1:5" x14ac:dyDescent="0.25">
      <c r="A3684" s="7">
        <f>IF(E3684=1,
      SUM($E$2:E3684)-1,
"")</f>
        <v>3680</v>
      </c>
      <c r="B3684" s="6" t="s">
        <v>258</v>
      </c>
      <c r="C3684" s="14">
        <v>45074</v>
      </c>
      <c r="D3684" s="15">
        <v>144.06</v>
      </c>
      <c r="E3684" s="7">
        <f t="shared" si="57"/>
        <v>1</v>
      </c>
    </row>
    <row r="3685" spans="1:5" x14ac:dyDescent="0.25">
      <c r="A3685" s="7">
        <f>IF(E3685=1,
      SUM($E$2:E3685)-1,
"")</f>
        <v>3681</v>
      </c>
      <c r="B3685" s="6" t="s">
        <v>389</v>
      </c>
      <c r="C3685" s="14">
        <v>45142</v>
      </c>
      <c r="D3685" s="15">
        <v>73.83</v>
      </c>
      <c r="E3685" s="7">
        <f t="shared" si="57"/>
        <v>1</v>
      </c>
    </row>
    <row r="3686" spans="1:5" x14ac:dyDescent="0.25">
      <c r="A3686" s="7">
        <f>IF(E3686=1,
      SUM($E$2:E3686)-1,
"")</f>
        <v>3682</v>
      </c>
      <c r="B3686" s="6" t="s">
        <v>1010</v>
      </c>
      <c r="C3686" s="14">
        <v>45170</v>
      </c>
      <c r="D3686" s="15">
        <v>68.67</v>
      </c>
      <c r="E3686" s="7">
        <f t="shared" si="57"/>
        <v>1</v>
      </c>
    </row>
    <row r="3687" spans="1:5" x14ac:dyDescent="0.25">
      <c r="A3687" s="7">
        <f>IF(E3687=1,
      SUM($E$2:E3687)-1,
"")</f>
        <v>3683</v>
      </c>
      <c r="B3687" s="6" t="s">
        <v>691</v>
      </c>
      <c r="C3687" s="14">
        <v>45149</v>
      </c>
      <c r="D3687" s="15">
        <v>117.7</v>
      </c>
      <c r="E3687" s="7">
        <f t="shared" si="57"/>
        <v>1</v>
      </c>
    </row>
    <row r="3688" spans="1:5" x14ac:dyDescent="0.25">
      <c r="A3688" s="7">
        <f>IF(E3688=1,
      SUM($E$2:E3688)-1,
"")</f>
        <v>3684</v>
      </c>
      <c r="B3688" s="6" t="s">
        <v>128</v>
      </c>
      <c r="C3688" s="14">
        <v>45104</v>
      </c>
      <c r="D3688" s="15">
        <v>64.88</v>
      </c>
      <c r="E3688" s="7">
        <f t="shared" si="57"/>
        <v>1</v>
      </c>
    </row>
    <row r="3689" spans="1:5" x14ac:dyDescent="0.25">
      <c r="A3689" s="7">
        <f>IF(E3689=1,
      SUM($E$2:E3689)-1,
"")</f>
        <v>3685</v>
      </c>
      <c r="B3689" s="6" t="s">
        <v>901</v>
      </c>
      <c r="C3689" s="14">
        <v>45038</v>
      </c>
      <c r="D3689" s="15">
        <v>124.32</v>
      </c>
      <c r="E3689" s="7">
        <f t="shared" si="57"/>
        <v>1</v>
      </c>
    </row>
    <row r="3690" spans="1:5" x14ac:dyDescent="0.25">
      <c r="A3690" s="7">
        <f>IF(E3690=1,
      SUM($E$2:E3690)-1,
"")</f>
        <v>3686</v>
      </c>
      <c r="B3690" s="6" t="s">
        <v>915</v>
      </c>
      <c r="C3690" s="14">
        <v>45225</v>
      </c>
      <c r="D3690" s="15">
        <v>67.319999999999993</v>
      </c>
      <c r="E3690" s="7">
        <f t="shared" si="57"/>
        <v>1</v>
      </c>
    </row>
    <row r="3691" spans="1:5" x14ac:dyDescent="0.25">
      <c r="A3691" s="7">
        <f>IF(E3691=1,
      SUM($E$2:E3691)-1,
"")</f>
        <v>3687</v>
      </c>
      <c r="B3691" s="6" t="s">
        <v>881</v>
      </c>
      <c r="C3691" s="14">
        <v>45189</v>
      </c>
      <c r="D3691" s="15">
        <v>153.05000000000001</v>
      </c>
      <c r="E3691" s="7">
        <f t="shared" si="57"/>
        <v>1</v>
      </c>
    </row>
    <row r="3692" spans="1:5" x14ac:dyDescent="0.25">
      <c r="A3692" s="7">
        <f>IF(E3692=1,
      SUM($E$2:E3692)-1,
"")</f>
        <v>3688</v>
      </c>
      <c r="B3692" s="6" t="s">
        <v>279</v>
      </c>
      <c r="C3692" s="14">
        <v>44957</v>
      </c>
      <c r="D3692" s="15">
        <v>119.87</v>
      </c>
      <c r="E3692" s="7">
        <f t="shared" si="57"/>
        <v>1</v>
      </c>
    </row>
    <row r="3693" spans="1:5" x14ac:dyDescent="0.25">
      <c r="A3693" s="7">
        <f>IF(E3693=1,
      SUM($E$2:E3693)-1,
"")</f>
        <v>3689</v>
      </c>
      <c r="B3693" s="6" t="s">
        <v>687</v>
      </c>
      <c r="C3693" s="14">
        <v>45134</v>
      </c>
      <c r="D3693" s="15">
        <v>101.14</v>
      </c>
      <c r="E3693" s="7">
        <f t="shared" si="57"/>
        <v>1</v>
      </c>
    </row>
    <row r="3694" spans="1:5" x14ac:dyDescent="0.25">
      <c r="A3694" s="7">
        <f>IF(E3694=1,
      SUM($E$2:E3694)-1,
"")</f>
        <v>3690</v>
      </c>
      <c r="B3694" s="6" t="s">
        <v>696</v>
      </c>
      <c r="C3694" s="14">
        <v>44984</v>
      </c>
      <c r="D3694" s="15">
        <v>151.32</v>
      </c>
      <c r="E3694" s="7">
        <f t="shared" si="57"/>
        <v>1</v>
      </c>
    </row>
    <row r="3695" spans="1:5" x14ac:dyDescent="0.25">
      <c r="A3695" s="7">
        <f>IF(E3695=1,
      SUM($E$2:E3695)-1,
"")</f>
        <v>3691</v>
      </c>
      <c r="B3695" s="6" t="s">
        <v>395</v>
      </c>
      <c r="C3695" s="14">
        <v>44931</v>
      </c>
      <c r="D3695" s="15">
        <v>130.94999999999999</v>
      </c>
      <c r="E3695" s="7">
        <f t="shared" si="57"/>
        <v>1</v>
      </c>
    </row>
    <row r="3696" spans="1:5" x14ac:dyDescent="0.25">
      <c r="A3696" s="7">
        <f>IF(E3696=1,
      SUM($E$2:E3696)-1,
"")</f>
        <v>3692</v>
      </c>
      <c r="B3696" s="6" t="s">
        <v>430</v>
      </c>
      <c r="C3696" s="14">
        <v>44993</v>
      </c>
      <c r="D3696" s="15">
        <v>111.06</v>
      </c>
      <c r="E3696" s="7">
        <f t="shared" si="57"/>
        <v>1</v>
      </c>
    </row>
    <row r="3697" spans="1:5" x14ac:dyDescent="0.25">
      <c r="A3697" s="7">
        <f>IF(E3697=1,
      SUM($E$2:E3697)-1,
"")</f>
        <v>3693</v>
      </c>
      <c r="B3697" s="6" t="s">
        <v>215</v>
      </c>
      <c r="C3697" s="14">
        <v>45203</v>
      </c>
      <c r="D3697" s="15">
        <v>44.1</v>
      </c>
      <c r="E3697" s="7">
        <f t="shared" si="57"/>
        <v>1</v>
      </c>
    </row>
    <row r="3698" spans="1:5" x14ac:dyDescent="0.25">
      <c r="A3698" s="7">
        <f>IF(E3698=1,
      SUM($E$2:E3698)-1,
"")</f>
        <v>3694</v>
      </c>
      <c r="B3698" s="6" t="s">
        <v>903</v>
      </c>
      <c r="C3698" s="14">
        <v>44936</v>
      </c>
      <c r="D3698" s="15">
        <v>78.959999999999994</v>
      </c>
      <c r="E3698" s="7">
        <f t="shared" si="57"/>
        <v>1</v>
      </c>
    </row>
    <row r="3699" spans="1:5" x14ac:dyDescent="0.25">
      <c r="A3699" s="7">
        <f>IF(E3699=1,
      SUM($E$2:E3699)-1,
"")</f>
        <v>3695</v>
      </c>
      <c r="B3699" s="6" t="s">
        <v>677</v>
      </c>
      <c r="C3699" s="14">
        <v>45037</v>
      </c>
      <c r="D3699" s="15">
        <v>132.56</v>
      </c>
      <c r="E3699" s="7">
        <f t="shared" si="57"/>
        <v>1</v>
      </c>
    </row>
    <row r="3700" spans="1:5" x14ac:dyDescent="0.25">
      <c r="A3700" s="7">
        <f>IF(E3700=1,
      SUM($E$2:E3700)-1,
"")</f>
        <v>3696</v>
      </c>
      <c r="B3700" s="6" t="s">
        <v>993</v>
      </c>
      <c r="C3700" s="14">
        <v>44940</v>
      </c>
      <c r="D3700" s="15">
        <v>61</v>
      </c>
      <c r="E3700" s="7">
        <f t="shared" si="57"/>
        <v>1</v>
      </c>
    </row>
    <row r="3701" spans="1:5" x14ac:dyDescent="0.25">
      <c r="A3701" s="7">
        <f>IF(E3701=1,
      SUM($E$2:E3701)-1,
"")</f>
        <v>3697</v>
      </c>
      <c r="B3701" s="6" t="s">
        <v>854</v>
      </c>
      <c r="C3701" s="14">
        <v>45073</v>
      </c>
      <c r="D3701" s="15">
        <v>77.03</v>
      </c>
      <c r="E3701" s="7">
        <f t="shared" si="57"/>
        <v>1</v>
      </c>
    </row>
    <row r="3702" spans="1:5" x14ac:dyDescent="0.25">
      <c r="A3702" s="7">
        <f>IF(E3702=1,
      SUM($E$2:E3702)-1,
"")</f>
        <v>3698</v>
      </c>
      <c r="B3702" s="6" t="s">
        <v>392</v>
      </c>
      <c r="C3702" s="14">
        <v>45284</v>
      </c>
      <c r="D3702" s="15">
        <v>69.34</v>
      </c>
      <c r="E3702" s="7">
        <f t="shared" si="57"/>
        <v>1</v>
      </c>
    </row>
    <row r="3703" spans="1:5" x14ac:dyDescent="0.25">
      <c r="A3703" s="7">
        <f>IF(E3703=1,
      SUM($E$2:E3703)-1,
"")</f>
        <v>3699</v>
      </c>
      <c r="B3703" s="6" t="s">
        <v>805</v>
      </c>
      <c r="C3703" s="14">
        <v>45281</v>
      </c>
      <c r="D3703" s="15">
        <v>112.07</v>
      </c>
      <c r="E3703" s="7">
        <f t="shared" si="57"/>
        <v>1</v>
      </c>
    </row>
    <row r="3704" spans="1:5" x14ac:dyDescent="0.25">
      <c r="A3704" s="7">
        <f>IF(E3704=1,
      SUM($E$2:E3704)-1,
"")</f>
        <v>3700</v>
      </c>
      <c r="B3704" s="6" t="s">
        <v>245</v>
      </c>
      <c r="C3704" s="14">
        <v>44968</v>
      </c>
      <c r="D3704" s="15">
        <v>128.91</v>
      </c>
      <c r="E3704" s="7">
        <f t="shared" si="57"/>
        <v>1</v>
      </c>
    </row>
    <row r="3705" spans="1:5" x14ac:dyDescent="0.25">
      <c r="A3705" s="7">
        <f>IF(E3705=1,
      SUM($E$2:E3705)-1,
"")</f>
        <v>3701</v>
      </c>
      <c r="B3705" s="6" t="s">
        <v>637</v>
      </c>
      <c r="C3705" s="14">
        <v>45049</v>
      </c>
      <c r="D3705" s="15">
        <v>128.94</v>
      </c>
      <c r="E3705" s="7">
        <f t="shared" si="57"/>
        <v>1</v>
      </c>
    </row>
    <row r="3706" spans="1:5" x14ac:dyDescent="0.25">
      <c r="A3706" s="7">
        <f>IF(E3706=1,
      SUM($E$2:E3706)-1,
"")</f>
        <v>3702</v>
      </c>
      <c r="B3706" s="6" t="s">
        <v>156</v>
      </c>
      <c r="C3706" s="14">
        <v>45111</v>
      </c>
      <c r="D3706" s="15">
        <v>74.42</v>
      </c>
      <c r="E3706" s="7">
        <f t="shared" si="57"/>
        <v>1</v>
      </c>
    </row>
    <row r="3707" spans="1:5" x14ac:dyDescent="0.25">
      <c r="A3707" s="7">
        <f>IF(E3707=1,
      SUM($E$2:E3707)-1,
"")</f>
        <v>3703</v>
      </c>
      <c r="B3707" s="6" t="s">
        <v>827</v>
      </c>
      <c r="C3707" s="14">
        <v>45009</v>
      </c>
      <c r="D3707" s="15">
        <v>111.66</v>
      </c>
      <c r="E3707" s="7">
        <f t="shared" si="57"/>
        <v>1</v>
      </c>
    </row>
    <row r="3708" spans="1:5" x14ac:dyDescent="0.25">
      <c r="A3708" s="7">
        <f>IF(E3708=1,
      SUM($E$2:E3708)-1,
"")</f>
        <v>3704</v>
      </c>
      <c r="B3708" s="6" t="s">
        <v>295</v>
      </c>
      <c r="C3708" s="14">
        <v>44981</v>
      </c>
      <c r="D3708" s="15">
        <v>73</v>
      </c>
      <c r="E3708" s="7">
        <f t="shared" si="57"/>
        <v>1</v>
      </c>
    </row>
    <row r="3709" spans="1:5" x14ac:dyDescent="0.25">
      <c r="A3709" s="7">
        <f>IF(E3709=1,
      SUM($E$2:E3709)-1,
"")</f>
        <v>3705</v>
      </c>
      <c r="B3709" s="6" t="s">
        <v>571</v>
      </c>
      <c r="C3709" s="14">
        <v>45194</v>
      </c>
      <c r="D3709" s="15">
        <v>93.68</v>
      </c>
      <c r="E3709" s="7">
        <f t="shared" si="57"/>
        <v>1</v>
      </c>
    </row>
    <row r="3710" spans="1:5" x14ac:dyDescent="0.25">
      <c r="A3710" s="7">
        <f>IF(E3710=1,
      SUM($E$2:E3710)-1,
"")</f>
        <v>3706</v>
      </c>
      <c r="B3710" s="6" t="s">
        <v>107</v>
      </c>
      <c r="C3710" s="14">
        <v>45096</v>
      </c>
      <c r="D3710" s="15">
        <v>115.61</v>
      </c>
      <c r="E3710" s="7">
        <f t="shared" si="57"/>
        <v>1</v>
      </c>
    </row>
    <row r="3711" spans="1:5" x14ac:dyDescent="0.25">
      <c r="A3711" s="7">
        <f>IF(E3711=1,
      SUM($E$2:E3711)-1,
"")</f>
        <v>3707</v>
      </c>
      <c r="B3711" s="6" t="s">
        <v>160</v>
      </c>
      <c r="C3711" s="14">
        <v>45067</v>
      </c>
      <c r="D3711" s="15">
        <v>131.84</v>
      </c>
      <c r="E3711" s="7">
        <f t="shared" si="57"/>
        <v>1</v>
      </c>
    </row>
    <row r="3712" spans="1:5" x14ac:dyDescent="0.25">
      <c r="A3712" s="7">
        <f>IF(E3712=1,
      SUM($E$2:E3712)-1,
"")</f>
        <v>3708</v>
      </c>
      <c r="B3712" s="6" t="s">
        <v>565</v>
      </c>
      <c r="C3712" s="14">
        <v>44960</v>
      </c>
      <c r="D3712" s="15">
        <v>35.520000000000003</v>
      </c>
      <c r="E3712" s="7">
        <f t="shared" si="57"/>
        <v>1</v>
      </c>
    </row>
    <row r="3713" spans="1:5" x14ac:dyDescent="0.25">
      <c r="A3713" s="7">
        <f>IF(E3713=1,
      SUM($E$2:E3713)-1,
"")</f>
        <v>3709</v>
      </c>
      <c r="B3713" s="6" t="s">
        <v>895</v>
      </c>
      <c r="C3713" s="14">
        <v>45190</v>
      </c>
      <c r="D3713" s="15">
        <v>102.96</v>
      </c>
      <c r="E3713" s="7">
        <f t="shared" si="57"/>
        <v>1</v>
      </c>
    </row>
    <row r="3714" spans="1:5" x14ac:dyDescent="0.25">
      <c r="A3714" s="7">
        <f>IF(E3714=1,
      SUM($E$2:E3714)-1,
"")</f>
        <v>3710</v>
      </c>
      <c r="B3714" s="6" t="s">
        <v>535</v>
      </c>
      <c r="C3714" s="14">
        <v>45187</v>
      </c>
      <c r="D3714" s="15">
        <v>142.22</v>
      </c>
      <c r="E3714" s="7">
        <f t="shared" ref="E3714:E3777" si="58">IF(D3714&gt;0,1,0)</f>
        <v>1</v>
      </c>
    </row>
    <row r="3715" spans="1:5" x14ac:dyDescent="0.25">
      <c r="A3715" s="7">
        <f>IF(E3715=1,
      SUM($E$2:E3715)-1,
"")</f>
        <v>3711</v>
      </c>
      <c r="B3715" s="6" t="s">
        <v>139</v>
      </c>
      <c r="C3715" s="14">
        <v>44928</v>
      </c>
      <c r="D3715" s="15">
        <v>106.97</v>
      </c>
      <c r="E3715" s="7">
        <f t="shared" si="58"/>
        <v>1</v>
      </c>
    </row>
    <row r="3716" spans="1:5" x14ac:dyDescent="0.25">
      <c r="A3716" s="7">
        <f>IF(E3716=1,
      SUM($E$2:E3716)-1,
"")</f>
        <v>3712</v>
      </c>
      <c r="B3716" s="6" t="s">
        <v>284</v>
      </c>
      <c r="C3716" s="14">
        <v>45235</v>
      </c>
      <c r="D3716" s="15">
        <v>102.48</v>
      </c>
      <c r="E3716" s="7">
        <f t="shared" si="58"/>
        <v>1</v>
      </c>
    </row>
    <row r="3717" spans="1:5" x14ac:dyDescent="0.25">
      <c r="A3717" s="7">
        <f>IF(E3717=1,
      SUM($E$2:E3717)-1,
"")</f>
        <v>3713</v>
      </c>
      <c r="B3717" s="6" t="s">
        <v>572</v>
      </c>
      <c r="C3717" s="14">
        <v>45215</v>
      </c>
      <c r="D3717" s="15">
        <v>83.11</v>
      </c>
      <c r="E3717" s="7">
        <f t="shared" si="58"/>
        <v>1</v>
      </c>
    </row>
    <row r="3718" spans="1:5" x14ac:dyDescent="0.25">
      <c r="A3718" s="7">
        <f>IF(E3718=1,
      SUM($E$2:E3718)-1,
"")</f>
        <v>3714</v>
      </c>
      <c r="B3718" s="6" t="s">
        <v>700</v>
      </c>
      <c r="C3718" s="14">
        <v>45218</v>
      </c>
      <c r="D3718" s="15">
        <v>141.41999999999999</v>
      </c>
      <c r="E3718" s="7">
        <f t="shared" si="58"/>
        <v>1</v>
      </c>
    </row>
    <row r="3719" spans="1:5" x14ac:dyDescent="0.25">
      <c r="A3719" s="7">
        <f>IF(E3719=1,
      SUM($E$2:E3719)-1,
"")</f>
        <v>3715</v>
      </c>
      <c r="B3719" s="6" t="s">
        <v>282</v>
      </c>
      <c r="C3719" s="14">
        <v>45251</v>
      </c>
      <c r="D3719" s="15">
        <v>84.5</v>
      </c>
      <c r="E3719" s="7">
        <f t="shared" si="58"/>
        <v>1</v>
      </c>
    </row>
    <row r="3720" spans="1:5" x14ac:dyDescent="0.25">
      <c r="A3720" s="7">
        <f>IF(E3720=1,
      SUM($E$2:E3720)-1,
"")</f>
        <v>3716</v>
      </c>
      <c r="B3720" s="6" t="s">
        <v>470</v>
      </c>
      <c r="C3720" s="14">
        <v>44969</v>
      </c>
      <c r="D3720" s="15">
        <v>97</v>
      </c>
      <c r="E3720" s="7">
        <f t="shared" si="58"/>
        <v>1</v>
      </c>
    </row>
    <row r="3721" spans="1:5" x14ac:dyDescent="0.25">
      <c r="A3721" s="7">
        <f>IF(E3721=1,
      SUM($E$2:E3721)-1,
"")</f>
        <v>3717</v>
      </c>
      <c r="B3721" s="6" t="s">
        <v>385</v>
      </c>
      <c r="C3721" s="14">
        <v>45112</v>
      </c>
      <c r="D3721" s="15">
        <v>85.89</v>
      </c>
      <c r="E3721" s="7">
        <f t="shared" si="58"/>
        <v>1</v>
      </c>
    </row>
    <row r="3722" spans="1:5" x14ac:dyDescent="0.25">
      <c r="A3722" s="7">
        <f>IF(E3722=1,
      SUM($E$2:E3722)-1,
"")</f>
        <v>3718</v>
      </c>
      <c r="B3722" s="6" t="s">
        <v>539</v>
      </c>
      <c r="C3722" s="14">
        <v>45260</v>
      </c>
      <c r="D3722" s="15">
        <v>103.25</v>
      </c>
      <c r="E3722" s="7">
        <f t="shared" si="58"/>
        <v>1</v>
      </c>
    </row>
    <row r="3723" spans="1:5" x14ac:dyDescent="0.25">
      <c r="A3723" s="7">
        <f>IF(E3723=1,
      SUM($E$2:E3723)-1,
"")</f>
        <v>3719</v>
      </c>
      <c r="B3723" s="6" t="s">
        <v>833</v>
      </c>
      <c r="C3723" s="14">
        <v>45222</v>
      </c>
      <c r="D3723" s="15">
        <v>142.77000000000001</v>
      </c>
      <c r="E3723" s="7">
        <f t="shared" si="58"/>
        <v>1</v>
      </c>
    </row>
    <row r="3724" spans="1:5" x14ac:dyDescent="0.25">
      <c r="A3724" s="7">
        <f>IF(E3724=1,
      SUM($E$2:E3724)-1,
"")</f>
        <v>3720</v>
      </c>
      <c r="B3724" s="6" t="s">
        <v>444</v>
      </c>
      <c r="C3724" s="14">
        <v>45237</v>
      </c>
      <c r="D3724" s="15">
        <v>72.819999999999993</v>
      </c>
      <c r="E3724" s="7">
        <f t="shared" si="58"/>
        <v>1</v>
      </c>
    </row>
    <row r="3725" spans="1:5" x14ac:dyDescent="0.25">
      <c r="A3725" s="7">
        <f>IF(E3725=1,
      SUM($E$2:E3725)-1,
"")</f>
        <v>3721</v>
      </c>
      <c r="B3725" s="6" t="s">
        <v>642</v>
      </c>
      <c r="C3725" s="14">
        <v>45188</v>
      </c>
      <c r="D3725" s="15">
        <v>103.38</v>
      </c>
      <c r="E3725" s="7">
        <f t="shared" si="58"/>
        <v>1</v>
      </c>
    </row>
    <row r="3726" spans="1:5" x14ac:dyDescent="0.25">
      <c r="A3726" s="7">
        <f>IF(E3726=1,
      SUM($E$2:E3726)-1,
"")</f>
        <v>3722</v>
      </c>
      <c r="B3726" s="6" t="s">
        <v>655</v>
      </c>
      <c r="C3726" s="14">
        <v>45093</v>
      </c>
      <c r="D3726" s="15">
        <v>111.73</v>
      </c>
      <c r="E3726" s="7">
        <f t="shared" si="58"/>
        <v>1</v>
      </c>
    </row>
    <row r="3727" spans="1:5" x14ac:dyDescent="0.25">
      <c r="A3727" s="7">
        <f>IF(E3727=1,
      SUM($E$2:E3727)-1,
"")</f>
        <v>3723</v>
      </c>
      <c r="B3727" s="6" t="s">
        <v>1031</v>
      </c>
      <c r="C3727" s="14">
        <v>45192</v>
      </c>
      <c r="D3727" s="15">
        <v>75.63</v>
      </c>
      <c r="E3727" s="7">
        <f t="shared" si="58"/>
        <v>1</v>
      </c>
    </row>
    <row r="3728" spans="1:5" x14ac:dyDescent="0.25">
      <c r="A3728" s="7">
        <f>IF(E3728=1,
      SUM($E$2:E3728)-1,
"")</f>
        <v>3724</v>
      </c>
      <c r="B3728" s="6" t="s">
        <v>1017</v>
      </c>
      <c r="C3728" s="14">
        <v>45037</v>
      </c>
      <c r="D3728" s="15">
        <v>98.23</v>
      </c>
      <c r="E3728" s="7">
        <f t="shared" si="58"/>
        <v>1</v>
      </c>
    </row>
    <row r="3729" spans="1:5" x14ac:dyDescent="0.25">
      <c r="A3729" s="7">
        <f>IF(E3729=1,
      SUM($E$2:E3729)-1,
"")</f>
        <v>3725</v>
      </c>
      <c r="B3729" s="6" t="s">
        <v>483</v>
      </c>
      <c r="C3729" s="14">
        <v>44986</v>
      </c>
      <c r="D3729" s="15">
        <v>155.54</v>
      </c>
      <c r="E3729" s="7">
        <f t="shared" si="58"/>
        <v>1</v>
      </c>
    </row>
    <row r="3730" spans="1:5" x14ac:dyDescent="0.25">
      <c r="A3730" s="7">
        <f>IF(E3730=1,
      SUM($E$2:E3730)-1,
"")</f>
        <v>3726</v>
      </c>
      <c r="B3730" s="6" t="s">
        <v>640</v>
      </c>
      <c r="C3730" s="14">
        <v>45219</v>
      </c>
      <c r="D3730" s="15">
        <v>46.95</v>
      </c>
      <c r="E3730" s="7">
        <f t="shared" si="58"/>
        <v>1</v>
      </c>
    </row>
    <row r="3731" spans="1:5" x14ac:dyDescent="0.25">
      <c r="A3731" s="7">
        <f>IF(E3731=1,
      SUM($E$2:E3731)-1,
"")</f>
        <v>3727</v>
      </c>
      <c r="B3731" s="6" t="s">
        <v>765</v>
      </c>
      <c r="C3731" s="14">
        <v>45122</v>
      </c>
      <c r="D3731" s="15">
        <v>87.36</v>
      </c>
      <c r="E3731" s="7">
        <f t="shared" si="58"/>
        <v>1</v>
      </c>
    </row>
    <row r="3732" spans="1:5" x14ac:dyDescent="0.25">
      <c r="A3732" s="7">
        <f>IF(E3732=1,
      SUM($E$2:E3732)-1,
"")</f>
        <v>3728</v>
      </c>
      <c r="B3732" s="6" t="s">
        <v>885</v>
      </c>
      <c r="C3732" s="14">
        <v>45150</v>
      </c>
      <c r="D3732" s="15">
        <v>107.52</v>
      </c>
      <c r="E3732" s="7">
        <f t="shared" si="58"/>
        <v>1</v>
      </c>
    </row>
    <row r="3733" spans="1:5" x14ac:dyDescent="0.25">
      <c r="A3733" s="7">
        <f>IF(E3733=1,
      SUM($E$2:E3733)-1,
"")</f>
        <v>3729</v>
      </c>
      <c r="B3733" s="6" t="s">
        <v>640</v>
      </c>
      <c r="C3733" s="14">
        <v>45127</v>
      </c>
      <c r="D3733" s="15">
        <v>88.72</v>
      </c>
      <c r="E3733" s="7">
        <f t="shared" si="58"/>
        <v>1</v>
      </c>
    </row>
    <row r="3734" spans="1:5" x14ac:dyDescent="0.25">
      <c r="A3734" s="7">
        <f>IF(E3734=1,
      SUM($E$2:E3734)-1,
"")</f>
        <v>3730</v>
      </c>
      <c r="B3734" s="6" t="s">
        <v>470</v>
      </c>
      <c r="C3734" s="14">
        <v>45032</v>
      </c>
      <c r="D3734" s="15">
        <v>186.59</v>
      </c>
      <c r="E3734" s="7">
        <f t="shared" si="58"/>
        <v>1</v>
      </c>
    </row>
    <row r="3735" spans="1:5" x14ac:dyDescent="0.25">
      <c r="A3735" s="7">
        <f>IF(E3735=1,
      SUM($E$2:E3735)-1,
"")</f>
        <v>3731</v>
      </c>
      <c r="B3735" s="6" t="s">
        <v>550</v>
      </c>
      <c r="C3735" s="14">
        <v>45072</v>
      </c>
      <c r="D3735" s="15">
        <v>116.46</v>
      </c>
      <c r="E3735" s="7">
        <f t="shared" si="58"/>
        <v>1</v>
      </c>
    </row>
    <row r="3736" spans="1:5" x14ac:dyDescent="0.25">
      <c r="A3736" s="7">
        <f>IF(E3736=1,
      SUM($E$2:E3736)-1,
"")</f>
        <v>3732</v>
      </c>
      <c r="B3736" s="6" t="s">
        <v>973</v>
      </c>
      <c r="C3736" s="14">
        <v>45210</v>
      </c>
      <c r="D3736" s="15">
        <v>68.67</v>
      </c>
      <c r="E3736" s="7">
        <f t="shared" si="58"/>
        <v>1</v>
      </c>
    </row>
    <row r="3737" spans="1:5" x14ac:dyDescent="0.25">
      <c r="A3737" s="7">
        <f>IF(E3737=1,
      SUM($E$2:E3737)-1,
"")</f>
        <v>3733</v>
      </c>
      <c r="B3737" s="6" t="s">
        <v>391</v>
      </c>
      <c r="C3737" s="14">
        <v>45111</v>
      </c>
      <c r="D3737" s="15">
        <v>29.9</v>
      </c>
      <c r="E3737" s="7">
        <f t="shared" si="58"/>
        <v>1</v>
      </c>
    </row>
    <row r="3738" spans="1:5" x14ac:dyDescent="0.25">
      <c r="A3738" s="7">
        <f>IF(E3738=1,
      SUM($E$2:E3738)-1,
"")</f>
        <v>3734</v>
      </c>
      <c r="B3738" s="6" t="s">
        <v>531</v>
      </c>
      <c r="C3738" s="14">
        <v>44986</v>
      </c>
      <c r="D3738" s="15">
        <v>110.21</v>
      </c>
      <c r="E3738" s="7">
        <f t="shared" si="58"/>
        <v>1</v>
      </c>
    </row>
    <row r="3739" spans="1:5" x14ac:dyDescent="0.25">
      <c r="A3739" s="7">
        <f>IF(E3739=1,
      SUM($E$2:E3739)-1,
"")</f>
        <v>3735</v>
      </c>
      <c r="B3739" s="6" t="s">
        <v>228</v>
      </c>
      <c r="C3739" s="14">
        <v>45283</v>
      </c>
      <c r="D3739" s="15">
        <v>77.33</v>
      </c>
      <c r="E3739" s="7">
        <f t="shared" si="58"/>
        <v>1</v>
      </c>
    </row>
    <row r="3740" spans="1:5" x14ac:dyDescent="0.25">
      <c r="A3740" s="7">
        <f>IF(E3740=1,
      SUM($E$2:E3740)-1,
"")</f>
        <v>3736</v>
      </c>
      <c r="B3740" s="6" t="s">
        <v>1026</v>
      </c>
      <c r="C3740" s="14">
        <v>45289</v>
      </c>
      <c r="D3740" s="15">
        <v>138.66999999999999</v>
      </c>
      <c r="E3740" s="7">
        <f t="shared" si="58"/>
        <v>1</v>
      </c>
    </row>
    <row r="3741" spans="1:5" x14ac:dyDescent="0.25">
      <c r="A3741" s="7">
        <f>IF(E3741=1,
      SUM($E$2:E3741)-1,
"")</f>
        <v>3737</v>
      </c>
      <c r="B3741" s="6" t="s">
        <v>609</v>
      </c>
      <c r="C3741" s="14">
        <v>44942</v>
      </c>
      <c r="D3741" s="15">
        <v>91.75</v>
      </c>
      <c r="E3741" s="7">
        <f t="shared" si="58"/>
        <v>1</v>
      </c>
    </row>
    <row r="3742" spans="1:5" x14ac:dyDescent="0.25">
      <c r="A3742" s="7">
        <f>IF(E3742=1,
      SUM($E$2:E3742)-1,
"")</f>
        <v>3738</v>
      </c>
      <c r="B3742" s="6" t="s">
        <v>163</v>
      </c>
      <c r="C3742" s="14">
        <v>44957</v>
      </c>
      <c r="D3742" s="15">
        <v>82.95</v>
      </c>
      <c r="E3742" s="7">
        <f t="shared" si="58"/>
        <v>1</v>
      </c>
    </row>
    <row r="3743" spans="1:5" x14ac:dyDescent="0.25">
      <c r="A3743" s="7">
        <f>IF(E3743=1,
      SUM($E$2:E3743)-1,
"")</f>
        <v>3739</v>
      </c>
      <c r="B3743" s="6" t="s">
        <v>1037</v>
      </c>
      <c r="C3743" s="14">
        <v>45001</v>
      </c>
      <c r="D3743" s="15">
        <v>82.44</v>
      </c>
      <c r="E3743" s="7">
        <f t="shared" si="58"/>
        <v>1</v>
      </c>
    </row>
    <row r="3744" spans="1:5" x14ac:dyDescent="0.25">
      <c r="A3744" s="7">
        <f>IF(E3744=1,
      SUM($E$2:E3744)-1,
"")</f>
        <v>3740</v>
      </c>
      <c r="B3744" s="6" t="s">
        <v>243</v>
      </c>
      <c r="C3744" s="14">
        <v>45012</v>
      </c>
      <c r="D3744" s="15">
        <v>129.6</v>
      </c>
      <c r="E3744" s="7">
        <f t="shared" si="58"/>
        <v>1</v>
      </c>
    </row>
    <row r="3745" spans="1:5" x14ac:dyDescent="0.25">
      <c r="A3745" s="7">
        <f>IF(E3745=1,
      SUM($E$2:E3745)-1,
"")</f>
        <v>3741</v>
      </c>
      <c r="B3745" s="6" t="s">
        <v>696</v>
      </c>
      <c r="C3745" s="14">
        <v>45078</v>
      </c>
      <c r="D3745" s="15">
        <v>112.47</v>
      </c>
      <c r="E3745" s="7">
        <f t="shared" si="58"/>
        <v>1</v>
      </c>
    </row>
    <row r="3746" spans="1:5" x14ac:dyDescent="0.25">
      <c r="A3746" s="7">
        <f>IF(E3746=1,
      SUM($E$2:E3746)-1,
"")</f>
        <v>3742</v>
      </c>
      <c r="B3746" s="6" t="s">
        <v>170</v>
      </c>
      <c r="C3746" s="14">
        <v>45195</v>
      </c>
      <c r="D3746" s="15">
        <v>152.68</v>
      </c>
      <c r="E3746" s="7">
        <f t="shared" si="58"/>
        <v>1</v>
      </c>
    </row>
    <row r="3747" spans="1:5" x14ac:dyDescent="0.25">
      <c r="A3747" s="7">
        <f>IF(E3747=1,
      SUM($E$2:E3747)-1,
"")</f>
        <v>3743</v>
      </c>
      <c r="B3747" s="6" t="s">
        <v>412</v>
      </c>
      <c r="C3747" s="14">
        <v>45192</v>
      </c>
      <c r="D3747" s="15">
        <v>93.55</v>
      </c>
      <c r="E3747" s="7">
        <f t="shared" si="58"/>
        <v>1</v>
      </c>
    </row>
    <row r="3748" spans="1:5" x14ac:dyDescent="0.25">
      <c r="A3748" s="7">
        <f>IF(E3748=1,
      SUM($E$2:E3748)-1,
"")</f>
        <v>3744</v>
      </c>
      <c r="B3748" s="6" t="s">
        <v>1002</v>
      </c>
      <c r="C3748" s="14">
        <v>45284</v>
      </c>
      <c r="D3748" s="15">
        <v>125.87</v>
      </c>
      <c r="E3748" s="7">
        <f t="shared" si="58"/>
        <v>1</v>
      </c>
    </row>
    <row r="3749" spans="1:5" x14ac:dyDescent="0.25">
      <c r="A3749" s="7">
        <f>IF(E3749=1,
      SUM($E$2:E3749)-1,
"")</f>
        <v>3745</v>
      </c>
      <c r="B3749" s="6" t="s">
        <v>162</v>
      </c>
      <c r="C3749" s="14">
        <v>45232</v>
      </c>
      <c r="D3749" s="15">
        <v>126.38</v>
      </c>
      <c r="E3749" s="7">
        <f t="shared" si="58"/>
        <v>1</v>
      </c>
    </row>
    <row r="3750" spans="1:5" x14ac:dyDescent="0.25">
      <c r="A3750" s="7">
        <f>IF(E3750=1,
      SUM($E$2:E3750)-1,
"")</f>
        <v>3746</v>
      </c>
      <c r="B3750" s="6" t="s">
        <v>191</v>
      </c>
      <c r="C3750" s="14">
        <v>44984</v>
      </c>
      <c r="D3750" s="15">
        <v>120.21</v>
      </c>
      <c r="E3750" s="7">
        <f t="shared" si="58"/>
        <v>1</v>
      </c>
    </row>
    <row r="3751" spans="1:5" x14ac:dyDescent="0.25">
      <c r="A3751" s="7">
        <f>IF(E3751=1,
      SUM($E$2:E3751)-1,
"")</f>
        <v>3747</v>
      </c>
      <c r="B3751" s="6" t="s">
        <v>1038</v>
      </c>
      <c r="C3751" s="14">
        <v>45147</v>
      </c>
      <c r="D3751" s="15">
        <v>84.7</v>
      </c>
      <c r="E3751" s="7">
        <f t="shared" si="58"/>
        <v>1</v>
      </c>
    </row>
    <row r="3752" spans="1:5" x14ac:dyDescent="0.25">
      <c r="A3752" s="7">
        <f>IF(E3752=1,
      SUM($E$2:E3752)-1,
"")</f>
        <v>3748</v>
      </c>
      <c r="B3752" s="6" t="s">
        <v>1039</v>
      </c>
      <c r="C3752" s="14">
        <v>45230</v>
      </c>
      <c r="D3752" s="15">
        <v>114.2</v>
      </c>
      <c r="E3752" s="7">
        <f t="shared" si="58"/>
        <v>1</v>
      </c>
    </row>
    <row r="3753" spans="1:5" x14ac:dyDescent="0.25">
      <c r="A3753" s="7">
        <f>IF(E3753=1,
      SUM($E$2:E3753)-1,
"")</f>
        <v>3749</v>
      </c>
      <c r="B3753" s="6" t="s">
        <v>470</v>
      </c>
      <c r="C3753" s="14">
        <v>45172</v>
      </c>
      <c r="D3753" s="15">
        <v>97.08</v>
      </c>
      <c r="E3753" s="7">
        <f t="shared" si="58"/>
        <v>1</v>
      </c>
    </row>
    <row r="3754" spans="1:5" x14ac:dyDescent="0.25">
      <c r="A3754" s="7">
        <f>IF(E3754=1,
      SUM($E$2:E3754)-1,
"")</f>
        <v>3750</v>
      </c>
      <c r="B3754" s="6" t="s">
        <v>593</v>
      </c>
      <c r="C3754" s="14">
        <v>45067</v>
      </c>
      <c r="D3754" s="15">
        <v>96.29</v>
      </c>
      <c r="E3754" s="7">
        <f t="shared" si="58"/>
        <v>1</v>
      </c>
    </row>
    <row r="3755" spans="1:5" x14ac:dyDescent="0.25">
      <c r="A3755" s="7">
        <f>IF(E3755=1,
      SUM($E$2:E3755)-1,
"")</f>
        <v>3751</v>
      </c>
      <c r="B3755" s="6" t="s">
        <v>689</v>
      </c>
      <c r="C3755" s="14">
        <v>45188</v>
      </c>
      <c r="D3755" s="15">
        <v>75.83</v>
      </c>
      <c r="E3755" s="7">
        <f t="shared" si="58"/>
        <v>1</v>
      </c>
    </row>
    <row r="3756" spans="1:5" x14ac:dyDescent="0.25">
      <c r="A3756" s="7">
        <f>IF(E3756=1,
      SUM($E$2:E3756)-1,
"")</f>
        <v>3752</v>
      </c>
      <c r="B3756" s="6" t="s">
        <v>1007</v>
      </c>
      <c r="C3756" s="14">
        <v>45033</v>
      </c>
      <c r="D3756" s="15">
        <v>36.39</v>
      </c>
      <c r="E3756" s="7">
        <f t="shared" si="58"/>
        <v>1</v>
      </c>
    </row>
    <row r="3757" spans="1:5" x14ac:dyDescent="0.25">
      <c r="A3757" s="7">
        <f>IF(E3757=1,
      SUM($E$2:E3757)-1,
"")</f>
        <v>3753</v>
      </c>
      <c r="B3757" s="6" t="s">
        <v>422</v>
      </c>
      <c r="C3757" s="14">
        <v>44944</v>
      </c>
      <c r="D3757" s="15">
        <v>137.44999999999999</v>
      </c>
      <c r="E3757" s="7">
        <f t="shared" si="58"/>
        <v>1</v>
      </c>
    </row>
    <row r="3758" spans="1:5" x14ac:dyDescent="0.25">
      <c r="A3758" s="7">
        <f>IF(E3758=1,
      SUM($E$2:E3758)-1,
"")</f>
        <v>3754</v>
      </c>
      <c r="B3758" s="6" t="s">
        <v>1003</v>
      </c>
      <c r="C3758" s="14">
        <v>45038</v>
      </c>
      <c r="D3758" s="15">
        <v>112.95</v>
      </c>
      <c r="E3758" s="7">
        <f t="shared" si="58"/>
        <v>1</v>
      </c>
    </row>
    <row r="3759" spans="1:5" x14ac:dyDescent="0.25">
      <c r="A3759" s="7">
        <f>IF(E3759=1,
      SUM($E$2:E3759)-1,
"")</f>
        <v>3755</v>
      </c>
      <c r="B3759" s="6" t="s">
        <v>666</v>
      </c>
      <c r="C3759" s="14">
        <v>45086</v>
      </c>
      <c r="D3759" s="15">
        <v>59.7</v>
      </c>
      <c r="E3759" s="7">
        <f t="shared" si="58"/>
        <v>1</v>
      </c>
    </row>
    <row r="3760" spans="1:5" x14ac:dyDescent="0.25">
      <c r="A3760" s="7">
        <f>IF(E3760=1,
      SUM($E$2:E3760)-1,
"")</f>
        <v>3756</v>
      </c>
      <c r="B3760" s="6" t="s">
        <v>981</v>
      </c>
      <c r="C3760" s="14">
        <v>45265</v>
      </c>
      <c r="D3760" s="15">
        <v>121.53</v>
      </c>
      <c r="E3760" s="7">
        <f t="shared" si="58"/>
        <v>1</v>
      </c>
    </row>
    <row r="3761" spans="1:5" x14ac:dyDescent="0.25">
      <c r="A3761" s="7">
        <f>IF(E3761=1,
      SUM($E$2:E3761)-1,
"")</f>
        <v>3757</v>
      </c>
      <c r="B3761" s="6" t="s">
        <v>227</v>
      </c>
      <c r="C3761" s="14">
        <v>45123</v>
      </c>
      <c r="D3761" s="15">
        <v>138.04</v>
      </c>
      <c r="E3761" s="7">
        <f t="shared" si="58"/>
        <v>1</v>
      </c>
    </row>
    <row r="3762" spans="1:5" x14ac:dyDescent="0.25">
      <c r="A3762" s="7">
        <f>IF(E3762=1,
      SUM($E$2:E3762)-1,
"")</f>
        <v>3758</v>
      </c>
      <c r="B3762" s="6" t="s">
        <v>508</v>
      </c>
      <c r="C3762" s="14">
        <v>44957</v>
      </c>
      <c r="D3762" s="15">
        <v>123.33</v>
      </c>
      <c r="E3762" s="7">
        <f t="shared" si="58"/>
        <v>1</v>
      </c>
    </row>
    <row r="3763" spans="1:5" x14ac:dyDescent="0.25">
      <c r="A3763" s="7">
        <f>IF(E3763=1,
      SUM($E$2:E3763)-1,
"")</f>
        <v>3759</v>
      </c>
      <c r="B3763" s="6" t="s">
        <v>553</v>
      </c>
      <c r="C3763" s="14">
        <v>45217</v>
      </c>
      <c r="D3763" s="15">
        <v>73.25</v>
      </c>
      <c r="E3763" s="7">
        <f t="shared" si="58"/>
        <v>1</v>
      </c>
    </row>
    <row r="3764" spans="1:5" x14ac:dyDescent="0.25">
      <c r="A3764" s="7">
        <f>IF(E3764=1,
      SUM($E$2:E3764)-1,
"")</f>
        <v>3760</v>
      </c>
      <c r="B3764" s="6" t="s">
        <v>483</v>
      </c>
      <c r="C3764" s="14">
        <v>45177</v>
      </c>
      <c r="D3764" s="15">
        <v>78.040000000000006</v>
      </c>
      <c r="E3764" s="7">
        <f t="shared" si="58"/>
        <v>1</v>
      </c>
    </row>
    <row r="3765" spans="1:5" x14ac:dyDescent="0.25">
      <c r="A3765" s="7">
        <f>IF(E3765=1,
      SUM($E$2:E3765)-1,
"")</f>
        <v>3761</v>
      </c>
      <c r="B3765" s="6" t="s">
        <v>876</v>
      </c>
      <c r="C3765" s="14">
        <v>45224</v>
      </c>
      <c r="D3765" s="15">
        <v>83.56</v>
      </c>
      <c r="E3765" s="7">
        <f t="shared" si="58"/>
        <v>1</v>
      </c>
    </row>
    <row r="3766" spans="1:5" x14ac:dyDescent="0.25">
      <c r="A3766" s="7">
        <f>IF(E3766=1,
      SUM($E$2:E3766)-1,
"")</f>
        <v>3762</v>
      </c>
      <c r="B3766" s="6" t="s">
        <v>637</v>
      </c>
      <c r="C3766" s="14">
        <v>44939</v>
      </c>
      <c r="D3766" s="15">
        <v>125.83</v>
      </c>
      <c r="E3766" s="7">
        <f t="shared" si="58"/>
        <v>1</v>
      </c>
    </row>
    <row r="3767" spans="1:5" x14ac:dyDescent="0.25">
      <c r="A3767" s="7">
        <f>IF(E3767=1,
      SUM($E$2:E3767)-1,
"")</f>
        <v>3763</v>
      </c>
      <c r="B3767" s="6" t="s">
        <v>258</v>
      </c>
      <c r="C3767" s="14">
        <v>45059</v>
      </c>
      <c r="D3767" s="15">
        <v>114.37</v>
      </c>
      <c r="E3767" s="7">
        <f t="shared" si="58"/>
        <v>1</v>
      </c>
    </row>
    <row r="3768" spans="1:5" x14ac:dyDescent="0.25">
      <c r="A3768" s="7">
        <f>IF(E3768=1,
      SUM($E$2:E3768)-1,
"")</f>
        <v>3764</v>
      </c>
      <c r="B3768" s="6" t="s">
        <v>841</v>
      </c>
      <c r="C3768" s="14">
        <v>45292</v>
      </c>
      <c r="D3768" s="15">
        <v>183.71</v>
      </c>
      <c r="E3768" s="7">
        <f t="shared" si="58"/>
        <v>1</v>
      </c>
    </row>
    <row r="3769" spans="1:5" x14ac:dyDescent="0.25">
      <c r="A3769" s="7">
        <f>IF(E3769=1,
      SUM($E$2:E3769)-1,
"")</f>
        <v>3765</v>
      </c>
      <c r="B3769" s="6" t="s">
        <v>1040</v>
      </c>
      <c r="C3769" s="14">
        <v>45126</v>
      </c>
      <c r="D3769" s="15">
        <v>50.77</v>
      </c>
      <c r="E3769" s="7">
        <f t="shared" si="58"/>
        <v>1</v>
      </c>
    </row>
    <row r="3770" spans="1:5" x14ac:dyDescent="0.25">
      <c r="A3770" s="7">
        <f>IF(E3770=1,
      SUM($E$2:E3770)-1,
"")</f>
        <v>3766</v>
      </c>
      <c r="B3770" s="6" t="s">
        <v>973</v>
      </c>
      <c r="C3770" s="14">
        <v>44941</v>
      </c>
      <c r="D3770" s="15">
        <v>98.42</v>
      </c>
      <c r="E3770" s="7">
        <f t="shared" si="58"/>
        <v>1</v>
      </c>
    </row>
    <row r="3771" spans="1:5" x14ac:dyDescent="0.25">
      <c r="A3771" s="7">
        <f>IF(E3771=1,
      SUM($E$2:E3771)-1,
"")</f>
        <v>3767</v>
      </c>
      <c r="B3771" s="6" t="s">
        <v>169</v>
      </c>
      <c r="C3771" s="14">
        <v>45075</v>
      </c>
      <c r="D3771" s="15">
        <v>42.17</v>
      </c>
      <c r="E3771" s="7">
        <f t="shared" si="58"/>
        <v>1</v>
      </c>
    </row>
    <row r="3772" spans="1:5" x14ac:dyDescent="0.25">
      <c r="A3772" s="7">
        <f>IF(E3772=1,
      SUM($E$2:E3772)-1,
"")</f>
        <v>3768</v>
      </c>
      <c r="B3772" s="6" t="s">
        <v>411</v>
      </c>
      <c r="C3772" s="14">
        <v>45020</v>
      </c>
      <c r="D3772" s="15">
        <v>117.9</v>
      </c>
      <c r="E3772" s="7">
        <f t="shared" si="58"/>
        <v>1</v>
      </c>
    </row>
    <row r="3773" spans="1:5" x14ac:dyDescent="0.25">
      <c r="A3773" s="7">
        <f>IF(E3773=1,
      SUM($E$2:E3773)-1,
"")</f>
        <v>3769</v>
      </c>
      <c r="B3773" s="6" t="s">
        <v>684</v>
      </c>
      <c r="C3773" s="14">
        <v>45042</v>
      </c>
      <c r="D3773" s="15">
        <v>132.01</v>
      </c>
      <c r="E3773" s="7">
        <f t="shared" si="58"/>
        <v>1</v>
      </c>
    </row>
    <row r="3774" spans="1:5" x14ac:dyDescent="0.25">
      <c r="A3774" s="7">
        <f>IF(E3774=1,
      SUM($E$2:E3774)-1,
"")</f>
        <v>3770</v>
      </c>
      <c r="B3774" s="6" t="s">
        <v>601</v>
      </c>
      <c r="C3774" s="14">
        <v>44946</v>
      </c>
      <c r="D3774" s="15">
        <v>143.26</v>
      </c>
      <c r="E3774" s="7">
        <f t="shared" si="58"/>
        <v>1</v>
      </c>
    </row>
    <row r="3775" spans="1:5" x14ac:dyDescent="0.25">
      <c r="A3775" s="7">
        <f>IF(E3775=1,
      SUM($E$2:E3775)-1,
"")</f>
        <v>3771</v>
      </c>
      <c r="B3775" s="6" t="s">
        <v>829</v>
      </c>
      <c r="C3775" s="14">
        <v>44949</v>
      </c>
      <c r="D3775" s="15">
        <v>105.66</v>
      </c>
      <c r="E3775" s="7">
        <f t="shared" si="58"/>
        <v>1</v>
      </c>
    </row>
    <row r="3776" spans="1:5" x14ac:dyDescent="0.25">
      <c r="A3776" s="7">
        <f>IF(E3776=1,
      SUM($E$2:E3776)-1,
"")</f>
        <v>3772</v>
      </c>
      <c r="B3776" s="6" t="s">
        <v>191</v>
      </c>
      <c r="C3776" s="14">
        <v>45119</v>
      </c>
      <c r="D3776" s="15">
        <v>42.6</v>
      </c>
      <c r="E3776" s="7">
        <f t="shared" si="58"/>
        <v>1</v>
      </c>
    </row>
    <row r="3777" spans="1:5" x14ac:dyDescent="0.25">
      <c r="A3777" s="7">
        <f>IF(E3777=1,
      SUM($E$2:E3777)-1,
"")</f>
        <v>3773</v>
      </c>
      <c r="B3777" s="6" t="s">
        <v>970</v>
      </c>
      <c r="C3777" s="14">
        <v>45123</v>
      </c>
      <c r="D3777" s="15">
        <v>98.5</v>
      </c>
      <c r="E3777" s="7">
        <f t="shared" si="58"/>
        <v>1</v>
      </c>
    </row>
    <row r="3778" spans="1:5" x14ac:dyDescent="0.25">
      <c r="A3778" s="7">
        <f>IF(E3778=1,
      SUM($E$2:E3778)-1,
"")</f>
        <v>3774</v>
      </c>
      <c r="B3778" s="6" t="s">
        <v>601</v>
      </c>
      <c r="C3778" s="14">
        <v>45047</v>
      </c>
      <c r="D3778" s="15">
        <v>113.1</v>
      </c>
      <c r="E3778" s="7">
        <f t="shared" ref="E3778:E3841" si="59">IF(D3778&gt;0,1,0)</f>
        <v>1</v>
      </c>
    </row>
    <row r="3779" spans="1:5" x14ac:dyDescent="0.25">
      <c r="A3779" s="7">
        <f>IF(E3779=1,
      SUM($E$2:E3779)-1,
"")</f>
        <v>3775</v>
      </c>
      <c r="B3779" s="6" t="s">
        <v>809</v>
      </c>
      <c r="C3779" s="14">
        <v>45203</v>
      </c>
      <c r="D3779" s="15">
        <v>69.849999999999994</v>
      </c>
      <c r="E3779" s="7">
        <f t="shared" si="59"/>
        <v>1</v>
      </c>
    </row>
    <row r="3780" spans="1:5" x14ac:dyDescent="0.25">
      <c r="A3780" s="7">
        <f>IF(E3780=1,
      SUM($E$2:E3780)-1,
"")</f>
        <v>3776</v>
      </c>
      <c r="B3780" s="6" t="s">
        <v>806</v>
      </c>
      <c r="C3780" s="14">
        <v>45244</v>
      </c>
      <c r="D3780" s="15">
        <v>92.05</v>
      </c>
      <c r="E3780" s="7">
        <f t="shared" si="59"/>
        <v>1</v>
      </c>
    </row>
    <row r="3781" spans="1:5" x14ac:dyDescent="0.25">
      <c r="A3781" s="7">
        <f>IF(E3781=1,
      SUM($E$2:E3781)-1,
"")</f>
        <v>3777</v>
      </c>
      <c r="B3781" s="6" t="s">
        <v>396</v>
      </c>
      <c r="C3781" s="14">
        <v>44999</v>
      </c>
      <c r="D3781" s="15">
        <v>61.69</v>
      </c>
      <c r="E3781" s="7">
        <f t="shared" si="59"/>
        <v>1</v>
      </c>
    </row>
    <row r="3782" spans="1:5" x14ac:dyDescent="0.25">
      <c r="A3782" s="7">
        <f>IF(E3782=1,
      SUM($E$2:E3782)-1,
"")</f>
        <v>3778</v>
      </c>
      <c r="B3782" s="6" t="s">
        <v>1031</v>
      </c>
      <c r="C3782" s="14">
        <v>45143</v>
      </c>
      <c r="D3782" s="15">
        <v>81.62</v>
      </c>
      <c r="E3782" s="7">
        <f t="shared" si="59"/>
        <v>1</v>
      </c>
    </row>
    <row r="3783" spans="1:5" x14ac:dyDescent="0.25">
      <c r="A3783" s="7">
        <f>IF(E3783=1,
      SUM($E$2:E3783)-1,
"")</f>
        <v>3779</v>
      </c>
      <c r="B3783" s="6" t="s">
        <v>908</v>
      </c>
      <c r="C3783" s="14">
        <v>45161</v>
      </c>
      <c r="D3783" s="15">
        <v>127.37</v>
      </c>
      <c r="E3783" s="7">
        <f t="shared" si="59"/>
        <v>1</v>
      </c>
    </row>
    <row r="3784" spans="1:5" x14ac:dyDescent="0.25">
      <c r="A3784" s="7">
        <f>IF(E3784=1,
      SUM($E$2:E3784)-1,
"")</f>
        <v>3780</v>
      </c>
      <c r="B3784" s="6" t="s">
        <v>92</v>
      </c>
      <c r="C3784" s="14">
        <v>45234</v>
      </c>
      <c r="D3784" s="15">
        <v>120.4</v>
      </c>
      <c r="E3784" s="7">
        <f t="shared" si="59"/>
        <v>1</v>
      </c>
    </row>
    <row r="3785" spans="1:5" x14ac:dyDescent="0.25">
      <c r="A3785" s="7">
        <f>IF(E3785=1,
      SUM($E$2:E3785)-1,
"")</f>
        <v>3781</v>
      </c>
      <c r="B3785" s="6" t="s">
        <v>612</v>
      </c>
      <c r="C3785" s="14">
        <v>44969</v>
      </c>
      <c r="D3785" s="15">
        <v>58.14</v>
      </c>
      <c r="E3785" s="7">
        <f t="shared" si="59"/>
        <v>1</v>
      </c>
    </row>
    <row r="3786" spans="1:5" x14ac:dyDescent="0.25">
      <c r="A3786" s="7">
        <f>IF(E3786=1,
      SUM($E$2:E3786)-1,
"")</f>
        <v>3782</v>
      </c>
      <c r="B3786" s="6" t="s">
        <v>530</v>
      </c>
      <c r="C3786" s="14">
        <v>45094</v>
      </c>
      <c r="D3786" s="15">
        <v>78.849999999999994</v>
      </c>
      <c r="E3786" s="7">
        <f t="shared" si="59"/>
        <v>1</v>
      </c>
    </row>
    <row r="3787" spans="1:5" x14ac:dyDescent="0.25">
      <c r="A3787" s="7">
        <f>IF(E3787=1,
      SUM($E$2:E3787)-1,
"")</f>
        <v>3783</v>
      </c>
      <c r="B3787" s="6" t="s">
        <v>729</v>
      </c>
      <c r="C3787" s="14">
        <v>45078</v>
      </c>
      <c r="D3787" s="15">
        <v>101.71</v>
      </c>
      <c r="E3787" s="7">
        <f t="shared" si="59"/>
        <v>1</v>
      </c>
    </row>
    <row r="3788" spans="1:5" x14ac:dyDescent="0.25">
      <c r="A3788" s="7">
        <f>IF(E3788=1,
      SUM($E$2:E3788)-1,
"")</f>
        <v>3784</v>
      </c>
      <c r="B3788" s="6" t="s">
        <v>107</v>
      </c>
      <c r="C3788" s="14">
        <v>45244</v>
      </c>
      <c r="D3788" s="15">
        <v>106.8</v>
      </c>
      <c r="E3788" s="7">
        <f t="shared" si="59"/>
        <v>1</v>
      </c>
    </row>
    <row r="3789" spans="1:5" x14ac:dyDescent="0.25">
      <c r="A3789" s="7">
        <f>IF(E3789=1,
      SUM($E$2:E3789)-1,
"")</f>
        <v>3785</v>
      </c>
      <c r="B3789" s="6" t="s">
        <v>791</v>
      </c>
      <c r="C3789" s="14">
        <v>45061</v>
      </c>
      <c r="D3789" s="15">
        <v>80.11</v>
      </c>
      <c r="E3789" s="7">
        <f t="shared" si="59"/>
        <v>1</v>
      </c>
    </row>
    <row r="3790" spans="1:5" x14ac:dyDescent="0.25">
      <c r="A3790" s="7">
        <f>IF(E3790=1,
      SUM($E$2:E3790)-1,
"")</f>
        <v>3786</v>
      </c>
      <c r="B3790" s="6" t="s">
        <v>510</v>
      </c>
      <c r="C3790" s="14">
        <v>45046</v>
      </c>
      <c r="D3790" s="15">
        <v>114.29</v>
      </c>
      <c r="E3790" s="7">
        <f t="shared" si="59"/>
        <v>1</v>
      </c>
    </row>
    <row r="3791" spans="1:5" x14ac:dyDescent="0.25">
      <c r="A3791" s="7">
        <f>IF(E3791=1,
      SUM($E$2:E3791)-1,
"")</f>
        <v>3787</v>
      </c>
      <c r="B3791" s="6" t="s">
        <v>958</v>
      </c>
      <c r="C3791" s="14">
        <v>45054</v>
      </c>
      <c r="D3791" s="15">
        <v>98.94</v>
      </c>
      <c r="E3791" s="7">
        <f t="shared" si="59"/>
        <v>1</v>
      </c>
    </row>
    <row r="3792" spans="1:5" x14ac:dyDescent="0.25">
      <c r="A3792" s="7">
        <f>IF(E3792=1,
      SUM($E$2:E3792)-1,
"")</f>
        <v>3788</v>
      </c>
      <c r="B3792" s="6" t="s">
        <v>800</v>
      </c>
      <c r="C3792" s="14">
        <v>45125</v>
      </c>
      <c r="D3792" s="15">
        <v>22.7</v>
      </c>
      <c r="E3792" s="7">
        <f t="shared" si="59"/>
        <v>1</v>
      </c>
    </row>
    <row r="3793" spans="1:5" x14ac:dyDescent="0.25">
      <c r="A3793" s="7">
        <f>IF(E3793=1,
      SUM($E$2:E3793)-1,
"")</f>
        <v>3789</v>
      </c>
      <c r="B3793" s="6" t="s">
        <v>526</v>
      </c>
      <c r="C3793" s="14">
        <v>45245</v>
      </c>
      <c r="D3793" s="15">
        <v>82.85</v>
      </c>
      <c r="E3793" s="7">
        <f t="shared" si="59"/>
        <v>1</v>
      </c>
    </row>
    <row r="3794" spans="1:5" x14ac:dyDescent="0.25">
      <c r="A3794" s="7">
        <f>IF(E3794=1,
      SUM($E$2:E3794)-1,
"")</f>
        <v>3790</v>
      </c>
      <c r="B3794" s="6" t="s">
        <v>597</v>
      </c>
      <c r="C3794" s="14">
        <v>45242</v>
      </c>
      <c r="D3794" s="15">
        <v>81.99</v>
      </c>
      <c r="E3794" s="7">
        <f t="shared" si="59"/>
        <v>1</v>
      </c>
    </row>
    <row r="3795" spans="1:5" x14ac:dyDescent="0.25">
      <c r="A3795" s="7">
        <f>IF(E3795=1,
      SUM($E$2:E3795)-1,
"")</f>
        <v>3791</v>
      </c>
      <c r="B3795" s="6" t="s">
        <v>540</v>
      </c>
      <c r="C3795" s="14">
        <v>44994</v>
      </c>
      <c r="D3795" s="15">
        <v>120.35</v>
      </c>
      <c r="E3795" s="7">
        <f t="shared" si="59"/>
        <v>1</v>
      </c>
    </row>
    <row r="3796" spans="1:5" x14ac:dyDescent="0.25">
      <c r="A3796" s="7">
        <f>IF(E3796=1,
      SUM($E$2:E3796)-1,
"")</f>
        <v>3792</v>
      </c>
      <c r="B3796" s="6" t="s">
        <v>469</v>
      </c>
      <c r="C3796" s="14">
        <v>45195</v>
      </c>
      <c r="D3796" s="15">
        <v>120.88</v>
      </c>
      <c r="E3796" s="7">
        <f t="shared" si="59"/>
        <v>1</v>
      </c>
    </row>
    <row r="3797" spans="1:5" x14ac:dyDescent="0.25">
      <c r="A3797" s="7">
        <f>IF(E3797=1,
      SUM($E$2:E3797)-1,
"")</f>
        <v>3793</v>
      </c>
      <c r="B3797" s="6" t="s">
        <v>676</v>
      </c>
      <c r="C3797" s="14">
        <v>45077</v>
      </c>
      <c r="D3797" s="15">
        <v>49.84</v>
      </c>
      <c r="E3797" s="7">
        <f t="shared" si="59"/>
        <v>1</v>
      </c>
    </row>
    <row r="3798" spans="1:5" x14ac:dyDescent="0.25">
      <c r="A3798" s="7">
        <f>IF(E3798=1,
      SUM($E$2:E3798)-1,
"")</f>
        <v>3794</v>
      </c>
      <c r="B3798" s="6" t="s">
        <v>495</v>
      </c>
      <c r="C3798" s="14">
        <v>45116</v>
      </c>
      <c r="D3798" s="15">
        <v>113.15</v>
      </c>
      <c r="E3798" s="7">
        <f t="shared" si="59"/>
        <v>1</v>
      </c>
    </row>
    <row r="3799" spans="1:5" x14ac:dyDescent="0.25">
      <c r="A3799" s="7">
        <f>IF(E3799=1,
      SUM($E$2:E3799)-1,
"")</f>
        <v>3795</v>
      </c>
      <c r="B3799" s="6" t="s">
        <v>736</v>
      </c>
      <c r="C3799" s="14">
        <v>45213</v>
      </c>
      <c r="D3799" s="15">
        <v>97.78</v>
      </c>
      <c r="E3799" s="7">
        <f t="shared" si="59"/>
        <v>1</v>
      </c>
    </row>
    <row r="3800" spans="1:5" x14ac:dyDescent="0.25">
      <c r="A3800" s="7">
        <f>IF(E3800=1,
      SUM($E$2:E3800)-1,
"")</f>
        <v>3796</v>
      </c>
      <c r="B3800" s="6" t="s">
        <v>303</v>
      </c>
      <c r="C3800" s="14">
        <v>45108</v>
      </c>
      <c r="D3800" s="15">
        <v>103.79</v>
      </c>
      <c r="E3800" s="7">
        <f t="shared" si="59"/>
        <v>1</v>
      </c>
    </row>
    <row r="3801" spans="1:5" x14ac:dyDescent="0.25">
      <c r="A3801" s="7">
        <f>IF(E3801=1,
      SUM($E$2:E3801)-1,
"")</f>
        <v>3797</v>
      </c>
      <c r="B3801" s="6" t="s">
        <v>736</v>
      </c>
      <c r="C3801" s="14">
        <v>45266</v>
      </c>
      <c r="D3801" s="15">
        <v>81.59</v>
      </c>
      <c r="E3801" s="7">
        <f t="shared" si="59"/>
        <v>1</v>
      </c>
    </row>
    <row r="3802" spans="1:5" x14ac:dyDescent="0.25">
      <c r="A3802" s="7">
        <f>IF(E3802=1,
      SUM($E$2:E3802)-1,
"")</f>
        <v>3798</v>
      </c>
      <c r="B3802" s="6" t="s">
        <v>420</v>
      </c>
      <c r="C3802" s="14">
        <v>45098</v>
      </c>
      <c r="D3802" s="15">
        <v>98.15</v>
      </c>
      <c r="E3802" s="7">
        <f t="shared" si="59"/>
        <v>1</v>
      </c>
    </row>
    <row r="3803" spans="1:5" x14ac:dyDescent="0.25">
      <c r="A3803" s="7">
        <f>IF(E3803=1,
      SUM($E$2:E3803)-1,
"")</f>
        <v>3799</v>
      </c>
      <c r="B3803" s="6" t="s">
        <v>690</v>
      </c>
      <c r="C3803" s="14">
        <v>45079</v>
      </c>
      <c r="D3803" s="15">
        <v>134.51</v>
      </c>
      <c r="E3803" s="7">
        <f t="shared" si="59"/>
        <v>1</v>
      </c>
    </row>
    <row r="3804" spans="1:5" x14ac:dyDescent="0.25">
      <c r="A3804" s="7">
        <f>IF(E3804=1,
      SUM($E$2:E3804)-1,
"")</f>
        <v>3800</v>
      </c>
      <c r="B3804" s="6" t="s">
        <v>503</v>
      </c>
      <c r="C3804" s="14">
        <v>44951</v>
      </c>
      <c r="D3804" s="15">
        <v>103.37</v>
      </c>
      <c r="E3804" s="7">
        <f t="shared" si="59"/>
        <v>1</v>
      </c>
    </row>
    <row r="3805" spans="1:5" x14ac:dyDescent="0.25">
      <c r="A3805" s="7">
        <f>IF(E3805=1,
      SUM($E$2:E3805)-1,
"")</f>
        <v>3801</v>
      </c>
      <c r="B3805" s="6" t="s">
        <v>285</v>
      </c>
      <c r="C3805" s="14">
        <v>45179</v>
      </c>
      <c r="D3805" s="15">
        <v>98.73</v>
      </c>
      <c r="E3805" s="7">
        <f t="shared" si="59"/>
        <v>1</v>
      </c>
    </row>
    <row r="3806" spans="1:5" x14ac:dyDescent="0.25">
      <c r="A3806" s="7">
        <f>IF(E3806=1,
      SUM($E$2:E3806)-1,
"")</f>
        <v>3802</v>
      </c>
      <c r="B3806" s="6" t="s">
        <v>303</v>
      </c>
      <c r="C3806" s="14">
        <v>45051</v>
      </c>
      <c r="D3806" s="15">
        <v>85.62</v>
      </c>
      <c r="E3806" s="7">
        <f t="shared" si="59"/>
        <v>1</v>
      </c>
    </row>
    <row r="3807" spans="1:5" x14ac:dyDescent="0.25">
      <c r="A3807" s="7">
        <f>IF(E3807=1,
      SUM($E$2:E3807)-1,
"")</f>
        <v>3803</v>
      </c>
      <c r="B3807" s="6" t="s">
        <v>715</v>
      </c>
      <c r="C3807" s="14">
        <v>45169</v>
      </c>
      <c r="D3807" s="15">
        <v>131.57</v>
      </c>
      <c r="E3807" s="7">
        <f t="shared" si="59"/>
        <v>1</v>
      </c>
    </row>
    <row r="3808" spans="1:5" x14ac:dyDescent="0.25">
      <c r="A3808" s="7">
        <f>IF(E3808=1,
      SUM($E$2:E3808)-1,
"")</f>
        <v>3804</v>
      </c>
      <c r="B3808" s="6" t="s">
        <v>117</v>
      </c>
      <c r="C3808" s="14">
        <v>44988</v>
      </c>
      <c r="D3808" s="15">
        <v>61.58</v>
      </c>
      <c r="E3808" s="7">
        <f t="shared" si="59"/>
        <v>1</v>
      </c>
    </row>
    <row r="3809" spans="1:5" x14ac:dyDescent="0.25">
      <c r="A3809" s="7">
        <f>IF(E3809=1,
      SUM($E$2:E3809)-1,
"")</f>
        <v>3805</v>
      </c>
      <c r="B3809" s="6" t="s">
        <v>715</v>
      </c>
      <c r="C3809" s="14">
        <v>45217</v>
      </c>
      <c r="D3809" s="15">
        <v>75.94</v>
      </c>
      <c r="E3809" s="7">
        <f t="shared" si="59"/>
        <v>1</v>
      </c>
    </row>
    <row r="3810" spans="1:5" x14ac:dyDescent="0.25">
      <c r="A3810" s="7">
        <f>IF(E3810=1,
      SUM($E$2:E3810)-1,
"")</f>
        <v>3806</v>
      </c>
      <c r="B3810" s="6" t="s">
        <v>716</v>
      </c>
      <c r="C3810" s="14">
        <v>44982</v>
      </c>
      <c r="D3810" s="15">
        <v>59.85</v>
      </c>
      <c r="E3810" s="7">
        <f t="shared" si="59"/>
        <v>1</v>
      </c>
    </row>
    <row r="3811" spans="1:5" x14ac:dyDescent="0.25">
      <c r="A3811" s="7">
        <f>IF(E3811=1,
      SUM($E$2:E3811)-1,
"")</f>
        <v>3807</v>
      </c>
      <c r="B3811" s="6" t="s">
        <v>667</v>
      </c>
      <c r="C3811" s="14">
        <v>44981</v>
      </c>
      <c r="D3811" s="15">
        <v>106.02</v>
      </c>
      <c r="E3811" s="7">
        <f t="shared" si="59"/>
        <v>1</v>
      </c>
    </row>
    <row r="3812" spans="1:5" x14ac:dyDescent="0.25">
      <c r="A3812" s="7">
        <f>IF(E3812=1,
      SUM($E$2:E3812)-1,
"")</f>
        <v>3808</v>
      </c>
      <c r="B3812" s="6" t="s">
        <v>468</v>
      </c>
      <c r="C3812" s="14">
        <v>45097</v>
      </c>
      <c r="D3812" s="15">
        <v>135.38999999999999</v>
      </c>
      <c r="E3812" s="7">
        <f t="shared" si="59"/>
        <v>1</v>
      </c>
    </row>
    <row r="3813" spans="1:5" x14ac:dyDescent="0.25">
      <c r="A3813" s="7">
        <f>IF(E3813=1,
      SUM($E$2:E3813)-1,
"")</f>
        <v>3809</v>
      </c>
      <c r="B3813" s="6" t="s">
        <v>518</v>
      </c>
      <c r="C3813" s="14">
        <v>44942</v>
      </c>
      <c r="D3813" s="15">
        <v>90.14</v>
      </c>
      <c r="E3813" s="7">
        <f t="shared" si="59"/>
        <v>1</v>
      </c>
    </row>
    <row r="3814" spans="1:5" x14ac:dyDescent="0.25">
      <c r="A3814" s="7">
        <f>IF(E3814=1,
      SUM($E$2:E3814)-1,
"")</f>
        <v>3810</v>
      </c>
      <c r="B3814" s="6" t="s">
        <v>197</v>
      </c>
      <c r="C3814" s="14">
        <v>45249</v>
      </c>
      <c r="D3814" s="15">
        <v>67.92</v>
      </c>
      <c r="E3814" s="7">
        <f t="shared" si="59"/>
        <v>1</v>
      </c>
    </row>
    <row r="3815" spans="1:5" x14ac:dyDescent="0.25">
      <c r="A3815" s="7">
        <f>IF(E3815=1,
      SUM($E$2:E3815)-1,
"")</f>
        <v>3811</v>
      </c>
      <c r="B3815" s="6" t="s">
        <v>105</v>
      </c>
      <c r="C3815" s="14">
        <v>45107</v>
      </c>
      <c r="D3815" s="15">
        <v>149.09</v>
      </c>
      <c r="E3815" s="7">
        <f t="shared" si="59"/>
        <v>1</v>
      </c>
    </row>
    <row r="3816" spans="1:5" x14ac:dyDescent="0.25">
      <c r="A3816" s="7">
        <f>IF(E3816=1,
      SUM($E$2:E3816)-1,
"")</f>
        <v>3812</v>
      </c>
      <c r="B3816" s="6" t="s">
        <v>328</v>
      </c>
      <c r="C3816" s="14">
        <v>44950</v>
      </c>
      <c r="D3816" s="15">
        <v>113.54</v>
      </c>
      <c r="E3816" s="7">
        <f t="shared" si="59"/>
        <v>1</v>
      </c>
    </row>
    <row r="3817" spans="1:5" x14ac:dyDescent="0.25">
      <c r="A3817" s="7">
        <f>IF(E3817=1,
      SUM($E$2:E3817)-1,
"")</f>
        <v>3813</v>
      </c>
      <c r="B3817" s="6" t="s">
        <v>334</v>
      </c>
      <c r="C3817" s="14">
        <v>45047</v>
      </c>
      <c r="D3817" s="15">
        <v>108.33</v>
      </c>
      <c r="E3817" s="7">
        <f t="shared" si="59"/>
        <v>1</v>
      </c>
    </row>
    <row r="3818" spans="1:5" x14ac:dyDescent="0.25">
      <c r="A3818" s="7">
        <f>IF(E3818=1,
      SUM($E$2:E3818)-1,
"")</f>
        <v>3814</v>
      </c>
      <c r="B3818" s="6" t="s">
        <v>1025</v>
      </c>
      <c r="C3818" s="14">
        <v>45209</v>
      </c>
      <c r="D3818" s="15">
        <v>94.29</v>
      </c>
      <c r="E3818" s="7">
        <f t="shared" si="59"/>
        <v>1</v>
      </c>
    </row>
    <row r="3819" spans="1:5" x14ac:dyDescent="0.25">
      <c r="A3819" s="7">
        <f>IF(E3819=1,
      SUM($E$2:E3819)-1,
"")</f>
        <v>3815</v>
      </c>
      <c r="B3819" s="6" t="s">
        <v>346</v>
      </c>
      <c r="C3819" s="14">
        <v>45086</v>
      </c>
      <c r="D3819" s="15">
        <v>120.07</v>
      </c>
      <c r="E3819" s="7">
        <f t="shared" si="59"/>
        <v>1</v>
      </c>
    </row>
    <row r="3820" spans="1:5" x14ac:dyDescent="0.25">
      <c r="A3820" s="7">
        <f>IF(E3820=1,
      SUM($E$2:E3820)-1,
"")</f>
        <v>3816</v>
      </c>
      <c r="B3820" s="6" t="s">
        <v>337</v>
      </c>
      <c r="C3820" s="14">
        <v>45142</v>
      </c>
      <c r="D3820" s="15">
        <v>107.86</v>
      </c>
      <c r="E3820" s="7">
        <f t="shared" si="59"/>
        <v>1</v>
      </c>
    </row>
    <row r="3821" spans="1:5" x14ac:dyDescent="0.25">
      <c r="A3821" s="7">
        <f>IF(E3821=1,
      SUM($E$2:E3821)-1,
"")</f>
        <v>3817</v>
      </c>
      <c r="B3821" s="6" t="s">
        <v>496</v>
      </c>
      <c r="C3821" s="14">
        <v>45137</v>
      </c>
      <c r="D3821" s="15">
        <v>85.56</v>
      </c>
      <c r="E3821" s="7">
        <f t="shared" si="59"/>
        <v>1</v>
      </c>
    </row>
    <row r="3822" spans="1:5" x14ac:dyDescent="0.25">
      <c r="A3822" s="7">
        <f>IF(E3822=1,
      SUM($E$2:E3822)-1,
"")</f>
        <v>3818</v>
      </c>
      <c r="B3822" s="6" t="s">
        <v>232</v>
      </c>
      <c r="C3822" s="14">
        <v>45277</v>
      </c>
      <c r="D3822" s="15">
        <v>90.59</v>
      </c>
      <c r="E3822" s="7">
        <f t="shared" si="59"/>
        <v>1</v>
      </c>
    </row>
    <row r="3823" spans="1:5" x14ac:dyDescent="0.25">
      <c r="A3823" s="7">
        <f>IF(E3823=1,
      SUM($E$2:E3823)-1,
"")</f>
        <v>3819</v>
      </c>
      <c r="B3823" s="6" t="s">
        <v>937</v>
      </c>
      <c r="C3823" s="14">
        <v>45128</v>
      </c>
      <c r="D3823" s="15">
        <v>69.400000000000006</v>
      </c>
      <c r="E3823" s="7">
        <f t="shared" si="59"/>
        <v>1</v>
      </c>
    </row>
    <row r="3824" spans="1:5" x14ac:dyDescent="0.25">
      <c r="A3824" s="7">
        <f>IF(E3824=1,
      SUM($E$2:E3824)-1,
"")</f>
        <v>3820</v>
      </c>
      <c r="B3824" s="6" t="s">
        <v>290</v>
      </c>
      <c r="C3824" s="14">
        <v>45148</v>
      </c>
      <c r="D3824" s="15">
        <v>65.66</v>
      </c>
      <c r="E3824" s="7">
        <f t="shared" si="59"/>
        <v>1</v>
      </c>
    </row>
    <row r="3825" spans="1:5" x14ac:dyDescent="0.25">
      <c r="A3825" s="7">
        <f>IF(E3825=1,
      SUM($E$2:E3825)-1,
"")</f>
        <v>3821</v>
      </c>
      <c r="B3825" s="6" t="s">
        <v>797</v>
      </c>
      <c r="C3825" s="14">
        <v>45256</v>
      </c>
      <c r="D3825" s="15">
        <v>91.1</v>
      </c>
      <c r="E3825" s="7">
        <f t="shared" si="59"/>
        <v>1</v>
      </c>
    </row>
    <row r="3826" spans="1:5" x14ac:dyDescent="0.25">
      <c r="A3826" s="7">
        <f>IF(E3826=1,
      SUM($E$2:E3826)-1,
"")</f>
        <v>3822</v>
      </c>
      <c r="B3826" s="6" t="s">
        <v>704</v>
      </c>
      <c r="C3826" s="14">
        <v>44960</v>
      </c>
      <c r="D3826" s="15">
        <v>134.63</v>
      </c>
      <c r="E3826" s="7">
        <f t="shared" si="59"/>
        <v>1</v>
      </c>
    </row>
    <row r="3827" spans="1:5" x14ac:dyDescent="0.25">
      <c r="A3827" s="7">
        <f>IF(E3827=1,
      SUM($E$2:E3827)-1,
"")</f>
        <v>3823</v>
      </c>
      <c r="B3827" s="6" t="s">
        <v>340</v>
      </c>
      <c r="C3827" s="14">
        <v>45248</v>
      </c>
      <c r="D3827" s="15">
        <v>68.98</v>
      </c>
      <c r="E3827" s="7">
        <f t="shared" si="59"/>
        <v>1</v>
      </c>
    </row>
    <row r="3828" spans="1:5" x14ac:dyDescent="0.25">
      <c r="A3828" s="7">
        <f>IF(E3828=1,
      SUM($E$2:E3828)-1,
"")</f>
        <v>3824</v>
      </c>
      <c r="B3828" s="6" t="s">
        <v>577</v>
      </c>
      <c r="C3828" s="14">
        <v>45087</v>
      </c>
      <c r="D3828" s="15">
        <v>125.09</v>
      </c>
      <c r="E3828" s="7">
        <f t="shared" si="59"/>
        <v>1</v>
      </c>
    </row>
    <row r="3829" spans="1:5" x14ac:dyDescent="0.25">
      <c r="A3829" s="7">
        <f>IF(E3829=1,
      SUM($E$2:E3829)-1,
"")</f>
        <v>3825</v>
      </c>
      <c r="B3829" s="6" t="s">
        <v>243</v>
      </c>
      <c r="C3829" s="14">
        <v>45231</v>
      </c>
      <c r="D3829" s="15">
        <v>76.03</v>
      </c>
      <c r="E3829" s="7">
        <f t="shared" si="59"/>
        <v>1</v>
      </c>
    </row>
    <row r="3830" spans="1:5" x14ac:dyDescent="0.25">
      <c r="A3830" s="7">
        <f>IF(E3830=1,
      SUM($E$2:E3830)-1,
"")</f>
        <v>3826</v>
      </c>
      <c r="B3830" s="6" t="s">
        <v>781</v>
      </c>
      <c r="C3830" s="14">
        <v>44937</v>
      </c>
      <c r="D3830" s="15">
        <v>46.4</v>
      </c>
      <c r="E3830" s="7">
        <f t="shared" si="59"/>
        <v>1</v>
      </c>
    </row>
    <row r="3831" spans="1:5" x14ac:dyDescent="0.25">
      <c r="A3831" s="7">
        <f>IF(E3831=1,
      SUM($E$2:E3831)-1,
"")</f>
        <v>3827</v>
      </c>
      <c r="B3831" s="6" t="s">
        <v>571</v>
      </c>
      <c r="C3831" s="14">
        <v>44985</v>
      </c>
      <c r="D3831" s="15">
        <v>116.4</v>
      </c>
      <c r="E3831" s="7">
        <f t="shared" si="59"/>
        <v>1</v>
      </c>
    </row>
    <row r="3832" spans="1:5" x14ac:dyDescent="0.25">
      <c r="A3832" s="7">
        <f>IF(E3832=1,
      SUM($E$2:E3832)-1,
"")</f>
        <v>3828</v>
      </c>
      <c r="B3832" s="6" t="s">
        <v>472</v>
      </c>
      <c r="C3832" s="14">
        <v>45274</v>
      </c>
      <c r="D3832" s="15">
        <v>148.86000000000001</v>
      </c>
      <c r="E3832" s="7">
        <f t="shared" si="59"/>
        <v>1</v>
      </c>
    </row>
    <row r="3833" spans="1:5" x14ac:dyDescent="0.25">
      <c r="A3833" s="7">
        <f>IF(E3833=1,
      SUM($E$2:E3833)-1,
"")</f>
        <v>3829</v>
      </c>
      <c r="B3833" s="6" t="s">
        <v>331</v>
      </c>
      <c r="C3833" s="14">
        <v>44928</v>
      </c>
      <c r="D3833" s="15">
        <v>74.33</v>
      </c>
      <c r="E3833" s="7">
        <f t="shared" si="59"/>
        <v>1</v>
      </c>
    </row>
    <row r="3834" spans="1:5" x14ac:dyDescent="0.25">
      <c r="A3834" s="7">
        <f>IF(E3834=1,
      SUM($E$2:E3834)-1,
"")</f>
        <v>3830</v>
      </c>
      <c r="B3834" s="6" t="s">
        <v>129</v>
      </c>
      <c r="C3834" s="14">
        <v>44993</v>
      </c>
      <c r="D3834" s="15">
        <v>52.9</v>
      </c>
      <c r="E3834" s="7">
        <f t="shared" si="59"/>
        <v>1</v>
      </c>
    </row>
    <row r="3835" spans="1:5" x14ac:dyDescent="0.25">
      <c r="A3835" s="7">
        <f>IF(E3835=1,
      SUM($E$2:E3835)-1,
"")</f>
        <v>3831</v>
      </c>
      <c r="B3835" s="6" t="s">
        <v>637</v>
      </c>
      <c r="C3835" s="14">
        <v>45286</v>
      </c>
      <c r="D3835" s="15">
        <v>113.65</v>
      </c>
      <c r="E3835" s="7">
        <f t="shared" si="59"/>
        <v>1</v>
      </c>
    </row>
    <row r="3836" spans="1:5" x14ac:dyDescent="0.25">
      <c r="A3836" s="7">
        <f>IF(E3836=1,
      SUM($E$2:E3836)-1,
"")</f>
        <v>3832</v>
      </c>
      <c r="B3836" s="6" t="s">
        <v>755</v>
      </c>
      <c r="C3836" s="14">
        <v>45044</v>
      </c>
      <c r="D3836" s="15">
        <v>72.3</v>
      </c>
      <c r="E3836" s="7">
        <f t="shared" si="59"/>
        <v>1</v>
      </c>
    </row>
    <row r="3837" spans="1:5" x14ac:dyDescent="0.25">
      <c r="A3837" s="7">
        <f>IF(E3837=1,
      SUM($E$2:E3837)-1,
"")</f>
        <v>3833</v>
      </c>
      <c r="B3837" s="6" t="s">
        <v>731</v>
      </c>
      <c r="C3837" s="14">
        <v>45176</v>
      </c>
      <c r="D3837" s="15">
        <v>116.1</v>
      </c>
      <c r="E3837" s="7">
        <f t="shared" si="59"/>
        <v>1</v>
      </c>
    </row>
    <row r="3838" spans="1:5" x14ac:dyDescent="0.25">
      <c r="A3838" s="7">
        <f>IF(E3838=1,
      SUM($E$2:E3838)-1,
"")</f>
        <v>3834</v>
      </c>
      <c r="B3838" s="6" t="s">
        <v>1009</v>
      </c>
      <c r="C3838" s="14">
        <v>45225</v>
      </c>
      <c r="D3838" s="15">
        <v>134.54</v>
      </c>
      <c r="E3838" s="7">
        <f t="shared" si="59"/>
        <v>1</v>
      </c>
    </row>
    <row r="3839" spans="1:5" x14ac:dyDescent="0.25">
      <c r="A3839" s="7">
        <f>IF(E3839=1,
      SUM($E$2:E3839)-1,
"")</f>
        <v>3835</v>
      </c>
      <c r="B3839" s="6" t="s">
        <v>345</v>
      </c>
      <c r="C3839" s="14">
        <v>45259</v>
      </c>
      <c r="D3839" s="15">
        <v>109.92</v>
      </c>
      <c r="E3839" s="7">
        <f t="shared" si="59"/>
        <v>1</v>
      </c>
    </row>
    <row r="3840" spans="1:5" x14ac:dyDescent="0.25">
      <c r="A3840" s="7">
        <f>IF(E3840=1,
      SUM($E$2:E3840)-1,
"")</f>
        <v>3836</v>
      </c>
      <c r="B3840" s="6" t="s">
        <v>286</v>
      </c>
      <c r="C3840" s="14">
        <v>45099</v>
      </c>
      <c r="D3840" s="15">
        <v>124.29</v>
      </c>
      <c r="E3840" s="7">
        <f t="shared" si="59"/>
        <v>1</v>
      </c>
    </row>
    <row r="3841" spans="1:5" x14ac:dyDescent="0.25">
      <c r="A3841" s="7">
        <f>IF(E3841=1,
      SUM($E$2:E3841)-1,
"")</f>
        <v>3837</v>
      </c>
      <c r="B3841" s="6" t="s">
        <v>1005</v>
      </c>
      <c r="C3841" s="14">
        <v>44968</v>
      </c>
      <c r="D3841" s="15">
        <v>124.5</v>
      </c>
      <c r="E3841" s="7">
        <f t="shared" si="59"/>
        <v>1</v>
      </c>
    </row>
    <row r="3842" spans="1:5" x14ac:dyDescent="0.25">
      <c r="A3842" s="7">
        <f>IF(E3842=1,
      SUM($E$2:E3842)-1,
"")</f>
        <v>3838</v>
      </c>
      <c r="B3842" s="6" t="s">
        <v>311</v>
      </c>
      <c r="C3842" s="14">
        <v>45238</v>
      </c>
      <c r="D3842" s="15">
        <v>129.69999999999999</v>
      </c>
      <c r="E3842" s="7">
        <f t="shared" ref="E3842:E3905" si="60">IF(D3842&gt;0,1,0)</f>
        <v>1</v>
      </c>
    </row>
    <row r="3843" spans="1:5" x14ac:dyDescent="0.25">
      <c r="A3843" s="7">
        <f>IF(E3843=1,
      SUM($E$2:E3843)-1,
"")</f>
        <v>3839</v>
      </c>
      <c r="B3843" s="6" t="s">
        <v>988</v>
      </c>
      <c r="C3843" s="14">
        <v>45027</v>
      </c>
      <c r="D3843" s="15">
        <v>101.36</v>
      </c>
      <c r="E3843" s="7">
        <f t="shared" si="60"/>
        <v>1</v>
      </c>
    </row>
    <row r="3844" spans="1:5" x14ac:dyDescent="0.25">
      <c r="A3844" s="7">
        <f>IF(E3844=1,
      SUM($E$2:E3844)-1,
"")</f>
        <v>3840</v>
      </c>
      <c r="B3844" s="6" t="s">
        <v>372</v>
      </c>
      <c r="C3844" s="14">
        <v>45251</v>
      </c>
      <c r="D3844" s="15">
        <v>123.37</v>
      </c>
      <c r="E3844" s="7">
        <f t="shared" si="60"/>
        <v>1</v>
      </c>
    </row>
    <row r="3845" spans="1:5" x14ac:dyDescent="0.25">
      <c r="A3845" s="7">
        <f>IF(E3845=1,
      SUM($E$2:E3845)-1,
"")</f>
        <v>3841</v>
      </c>
      <c r="B3845" s="6" t="s">
        <v>864</v>
      </c>
      <c r="C3845" s="14">
        <v>44996</v>
      </c>
      <c r="D3845" s="15">
        <v>104.93</v>
      </c>
      <c r="E3845" s="7">
        <f t="shared" si="60"/>
        <v>1</v>
      </c>
    </row>
    <row r="3846" spans="1:5" x14ac:dyDescent="0.25">
      <c r="A3846" s="7">
        <f>IF(E3846=1,
      SUM($E$2:E3846)-1,
"")</f>
        <v>3842</v>
      </c>
      <c r="B3846" s="6" t="s">
        <v>290</v>
      </c>
      <c r="C3846" s="14">
        <v>45062</v>
      </c>
      <c r="D3846" s="15">
        <v>111.74</v>
      </c>
      <c r="E3846" s="7">
        <f t="shared" si="60"/>
        <v>1</v>
      </c>
    </row>
    <row r="3847" spans="1:5" x14ac:dyDescent="0.25">
      <c r="A3847" s="7">
        <f>IF(E3847=1,
      SUM($E$2:E3847)-1,
"")</f>
        <v>3843</v>
      </c>
      <c r="B3847" s="6" t="s">
        <v>567</v>
      </c>
      <c r="C3847" s="14">
        <v>45283</v>
      </c>
      <c r="D3847" s="15">
        <v>191.55</v>
      </c>
      <c r="E3847" s="7">
        <f t="shared" si="60"/>
        <v>1</v>
      </c>
    </row>
    <row r="3848" spans="1:5" x14ac:dyDescent="0.25">
      <c r="A3848" s="7">
        <f>IF(E3848=1,
      SUM($E$2:E3848)-1,
"")</f>
        <v>3844</v>
      </c>
      <c r="B3848" s="6" t="s">
        <v>493</v>
      </c>
      <c r="C3848" s="14">
        <v>44935</v>
      </c>
      <c r="D3848" s="15">
        <v>107.25</v>
      </c>
      <c r="E3848" s="7">
        <f t="shared" si="60"/>
        <v>1</v>
      </c>
    </row>
    <row r="3849" spans="1:5" x14ac:dyDescent="0.25">
      <c r="A3849" s="7">
        <f>IF(E3849=1,
      SUM($E$2:E3849)-1,
"")</f>
        <v>3845</v>
      </c>
      <c r="B3849" s="6" t="s">
        <v>124</v>
      </c>
      <c r="C3849" s="14">
        <v>45165</v>
      </c>
      <c r="D3849" s="15">
        <v>55.07</v>
      </c>
      <c r="E3849" s="7">
        <f t="shared" si="60"/>
        <v>1</v>
      </c>
    </row>
    <row r="3850" spans="1:5" x14ac:dyDescent="0.25">
      <c r="A3850" s="7">
        <f>IF(E3850=1,
      SUM($E$2:E3850)-1,
"")</f>
        <v>3846</v>
      </c>
      <c r="B3850" s="6" t="s">
        <v>997</v>
      </c>
      <c r="C3850" s="14">
        <v>45114</v>
      </c>
      <c r="D3850" s="15">
        <v>94.08</v>
      </c>
      <c r="E3850" s="7">
        <f t="shared" si="60"/>
        <v>1</v>
      </c>
    </row>
    <row r="3851" spans="1:5" x14ac:dyDescent="0.25">
      <c r="A3851" s="7">
        <f>IF(E3851=1,
      SUM($E$2:E3851)-1,
"")</f>
        <v>3847</v>
      </c>
      <c r="B3851" s="6" t="s">
        <v>601</v>
      </c>
      <c r="C3851" s="14">
        <v>45100</v>
      </c>
      <c r="D3851" s="15">
        <v>90.68</v>
      </c>
      <c r="E3851" s="7">
        <f t="shared" si="60"/>
        <v>1</v>
      </c>
    </row>
    <row r="3852" spans="1:5" x14ac:dyDescent="0.25">
      <c r="A3852" s="7">
        <f>IF(E3852=1,
      SUM($E$2:E3852)-1,
"")</f>
        <v>3848</v>
      </c>
      <c r="B3852" s="6" t="s">
        <v>926</v>
      </c>
      <c r="C3852" s="14">
        <v>45201</v>
      </c>
      <c r="D3852" s="15">
        <v>92.06</v>
      </c>
      <c r="E3852" s="7">
        <f t="shared" si="60"/>
        <v>1</v>
      </c>
    </row>
    <row r="3853" spans="1:5" x14ac:dyDescent="0.25">
      <c r="A3853" s="7">
        <f>IF(E3853=1,
      SUM($E$2:E3853)-1,
"")</f>
        <v>3849</v>
      </c>
      <c r="B3853" s="6" t="s">
        <v>233</v>
      </c>
      <c r="C3853" s="14">
        <v>45062</v>
      </c>
      <c r="D3853" s="15">
        <v>128.6</v>
      </c>
      <c r="E3853" s="7">
        <f t="shared" si="60"/>
        <v>1</v>
      </c>
    </row>
    <row r="3854" spans="1:5" x14ac:dyDescent="0.25">
      <c r="A3854" s="7">
        <f>IF(E3854=1,
      SUM($E$2:E3854)-1,
"")</f>
        <v>3850</v>
      </c>
      <c r="B3854" s="6" t="s">
        <v>430</v>
      </c>
      <c r="C3854" s="14">
        <v>45215</v>
      </c>
      <c r="D3854" s="15">
        <v>133.91999999999999</v>
      </c>
      <c r="E3854" s="7">
        <f t="shared" si="60"/>
        <v>1</v>
      </c>
    </row>
    <row r="3855" spans="1:5" x14ac:dyDescent="0.25">
      <c r="A3855" s="7">
        <f>IF(E3855=1,
      SUM($E$2:E3855)-1,
"")</f>
        <v>3851</v>
      </c>
      <c r="B3855" s="6" t="s">
        <v>188</v>
      </c>
      <c r="C3855" s="14">
        <v>45208</v>
      </c>
      <c r="D3855" s="15">
        <v>96.83</v>
      </c>
      <c r="E3855" s="7">
        <f t="shared" si="60"/>
        <v>1</v>
      </c>
    </row>
    <row r="3856" spans="1:5" x14ac:dyDescent="0.25">
      <c r="A3856" s="7">
        <f>IF(E3856=1,
      SUM($E$2:E3856)-1,
"")</f>
        <v>3852</v>
      </c>
      <c r="B3856" s="6" t="s">
        <v>528</v>
      </c>
      <c r="C3856" s="14">
        <v>45263</v>
      </c>
      <c r="D3856" s="15">
        <v>58.24</v>
      </c>
      <c r="E3856" s="7">
        <f t="shared" si="60"/>
        <v>1</v>
      </c>
    </row>
    <row r="3857" spans="1:5" x14ac:dyDescent="0.25">
      <c r="A3857" s="7">
        <f>IF(E3857=1,
      SUM($E$2:E3857)-1,
"")</f>
        <v>3853</v>
      </c>
      <c r="B3857" s="6" t="s">
        <v>344</v>
      </c>
      <c r="C3857" s="14">
        <v>45080</v>
      </c>
      <c r="D3857" s="15">
        <v>102.97</v>
      </c>
      <c r="E3857" s="7">
        <f t="shared" si="60"/>
        <v>1</v>
      </c>
    </row>
    <row r="3858" spans="1:5" x14ac:dyDescent="0.25">
      <c r="A3858" s="7">
        <f>IF(E3858=1,
      SUM($E$2:E3858)-1,
"")</f>
        <v>3854</v>
      </c>
      <c r="B3858" s="6" t="s">
        <v>128</v>
      </c>
      <c r="C3858" s="14">
        <v>45244</v>
      </c>
      <c r="D3858" s="15">
        <v>83.7</v>
      </c>
      <c r="E3858" s="7">
        <f t="shared" si="60"/>
        <v>1</v>
      </c>
    </row>
    <row r="3859" spans="1:5" x14ac:dyDescent="0.25">
      <c r="A3859" s="7">
        <f>IF(E3859=1,
      SUM($E$2:E3859)-1,
"")</f>
        <v>3855</v>
      </c>
      <c r="B3859" s="6" t="s">
        <v>996</v>
      </c>
      <c r="C3859" s="14">
        <v>45028</v>
      </c>
      <c r="D3859" s="15">
        <v>106.31</v>
      </c>
      <c r="E3859" s="7">
        <f t="shared" si="60"/>
        <v>1</v>
      </c>
    </row>
    <row r="3860" spans="1:5" x14ac:dyDescent="0.25">
      <c r="A3860" s="7">
        <f>IF(E3860=1,
      SUM($E$2:E3860)-1,
"")</f>
        <v>3856</v>
      </c>
      <c r="B3860" s="6" t="s">
        <v>995</v>
      </c>
      <c r="C3860" s="14">
        <v>45148</v>
      </c>
      <c r="D3860" s="15">
        <v>96.37</v>
      </c>
      <c r="E3860" s="7">
        <f t="shared" si="60"/>
        <v>1</v>
      </c>
    </row>
    <row r="3861" spans="1:5" x14ac:dyDescent="0.25">
      <c r="A3861" s="7">
        <f>IF(E3861=1,
      SUM($E$2:E3861)-1,
"")</f>
        <v>3857</v>
      </c>
      <c r="B3861" s="6" t="s">
        <v>423</v>
      </c>
      <c r="C3861" s="14">
        <v>45224</v>
      </c>
      <c r="D3861" s="15">
        <v>136.49</v>
      </c>
      <c r="E3861" s="7">
        <f t="shared" si="60"/>
        <v>1</v>
      </c>
    </row>
    <row r="3862" spans="1:5" x14ac:dyDescent="0.25">
      <c r="A3862" s="7">
        <f>IF(E3862=1,
      SUM($E$2:E3862)-1,
"")</f>
        <v>3858</v>
      </c>
      <c r="B3862" s="6" t="s">
        <v>1001</v>
      </c>
      <c r="C3862" s="14">
        <v>45235</v>
      </c>
      <c r="D3862" s="15">
        <v>108.24</v>
      </c>
      <c r="E3862" s="7">
        <f t="shared" si="60"/>
        <v>1</v>
      </c>
    </row>
    <row r="3863" spans="1:5" x14ac:dyDescent="0.25">
      <c r="A3863" s="7">
        <f>IF(E3863=1,
      SUM($E$2:E3863)-1,
"")</f>
        <v>3859</v>
      </c>
      <c r="B3863" s="6" t="s">
        <v>623</v>
      </c>
      <c r="C3863" s="14">
        <v>45108</v>
      </c>
      <c r="D3863" s="15">
        <v>83.79</v>
      </c>
      <c r="E3863" s="7">
        <f t="shared" si="60"/>
        <v>1</v>
      </c>
    </row>
    <row r="3864" spans="1:5" x14ac:dyDescent="0.25">
      <c r="A3864" s="7">
        <f>IF(E3864=1,
      SUM($E$2:E3864)-1,
"")</f>
        <v>3860</v>
      </c>
      <c r="B3864" s="6" t="s">
        <v>526</v>
      </c>
      <c r="C3864" s="14">
        <v>45231</v>
      </c>
      <c r="D3864" s="15">
        <v>58.43</v>
      </c>
      <c r="E3864" s="7">
        <f t="shared" si="60"/>
        <v>1</v>
      </c>
    </row>
    <row r="3865" spans="1:5" x14ac:dyDescent="0.25">
      <c r="A3865" s="7">
        <f>IF(E3865=1,
      SUM($E$2:E3865)-1,
"")</f>
        <v>3861</v>
      </c>
      <c r="B3865" s="6" t="s">
        <v>803</v>
      </c>
      <c r="C3865" s="14">
        <v>44985</v>
      </c>
      <c r="D3865" s="15">
        <v>98.56</v>
      </c>
      <c r="E3865" s="7">
        <f t="shared" si="60"/>
        <v>1</v>
      </c>
    </row>
    <row r="3866" spans="1:5" x14ac:dyDescent="0.25">
      <c r="A3866" s="7">
        <f>IF(E3866=1,
      SUM($E$2:E3866)-1,
"")</f>
        <v>3862</v>
      </c>
      <c r="B3866" s="6" t="s">
        <v>840</v>
      </c>
      <c r="C3866" s="14">
        <v>44997</v>
      </c>
      <c r="D3866" s="15">
        <v>98.67</v>
      </c>
      <c r="E3866" s="7">
        <f t="shared" si="60"/>
        <v>1</v>
      </c>
    </row>
    <row r="3867" spans="1:5" x14ac:dyDescent="0.25">
      <c r="A3867" s="7">
        <f>IF(E3867=1,
      SUM($E$2:E3867)-1,
"")</f>
        <v>3863</v>
      </c>
      <c r="B3867" s="6" t="s">
        <v>780</v>
      </c>
      <c r="C3867" s="14">
        <v>45127</v>
      </c>
      <c r="D3867" s="15">
        <v>92.13</v>
      </c>
      <c r="E3867" s="7">
        <f t="shared" si="60"/>
        <v>1</v>
      </c>
    </row>
    <row r="3868" spans="1:5" x14ac:dyDescent="0.25">
      <c r="A3868" s="7">
        <f>IF(E3868=1,
      SUM($E$2:E3868)-1,
"")</f>
        <v>3864</v>
      </c>
      <c r="B3868" s="6" t="s">
        <v>571</v>
      </c>
      <c r="C3868" s="14">
        <v>45122</v>
      </c>
      <c r="D3868" s="15">
        <v>123.26</v>
      </c>
      <c r="E3868" s="7">
        <f t="shared" si="60"/>
        <v>1</v>
      </c>
    </row>
    <row r="3869" spans="1:5" x14ac:dyDescent="0.25">
      <c r="A3869" s="7">
        <f>IF(E3869=1,
      SUM($E$2:E3869)-1,
"")</f>
        <v>3865</v>
      </c>
      <c r="B3869" s="6" t="s">
        <v>1025</v>
      </c>
      <c r="C3869" s="14">
        <v>45230</v>
      </c>
      <c r="D3869" s="15">
        <v>58.52</v>
      </c>
      <c r="E3869" s="7">
        <f t="shared" si="60"/>
        <v>1</v>
      </c>
    </row>
    <row r="3870" spans="1:5" x14ac:dyDescent="0.25">
      <c r="A3870" s="7">
        <f>IF(E3870=1,
      SUM($E$2:E3870)-1,
"")</f>
        <v>3866</v>
      </c>
      <c r="B3870" s="6" t="s">
        <v>319</v>
      </c>
      <c r="C3870" s="14">
        <v>45146</v>
      </c>
      <c r="D3870" s="15">
        <v>77.12</v>
      </c>
      <c r="E3870" s="7">
        <f t="shared" si="60"/>
        <v>1</v>
      </c>
    </row>
    <row r="3871" spans="1:5" x14ac:dyDescent="0.25">
      <c r="A3871" s="7">
        <f>IF(E3871=1,
      SUM($E$2:E3871)-1,
"")</f>
        <v>3867</v>
      </c>
      <c r="B3871" s="6" t="s">
        <v>254</v>
      </c>
      <c r="C3871" s="14">
        <v>44987</v>
      </c>
      <c r="D3871" s="15">
        <v>101.59</v>
      </c>
      <c r="E3871" s="7">
        <f t="shared" si="60"/>
        <v>1</v>
      </c>
    </row>
    <row r="3872" spans="1:5" x14ac:dyDescent="0.25">
      <c r="A3872" s="7">
        <f>IF(E3872=1,
      SUM($E$2:E3872)-1,
"")</f>
        <v>3868</v>
      </c>
      <c r="B3872" s="6" t="s">
        <v>815</v>
      </c>
      <c r="C3872" s="14">
        <v>45132</v>
      </c>
      <c r="D3872" s="15">
        <v>83.21</v>
      </c>
      <c r="E3872" s="7">
        <f t="shared" si="60"/>
        <v>1</v>
      </c>
    </row>
    <row r="3873" spans="1:5" x14ac:dyDescent="0.25">
      <c r="A3873" s="7">
        <f>IF(E3873=1,
      SUM($E$2:E3873)-1,
"")</f>
        <v>3869</v>
      </c>
      <c r="B3873" s="6" t="s">
        <v>1018</v>
      </c>
      <c r="C3873" s="14">
        <v>45152</v>
      </c>
      <c r="D3873" s="15">
        <v>89.3</v>
      </c>
      <c r="E3873" s="7">
        <f t="shared" si="60"/>
        <v>1</v>
      </c>
    </row>
    <row r="3874" spans="1:5" x14ac:dyDescent="0.25">
      <c r="A3874" s="7">
        <f>IF(E3874=1,
      SUM($E$2:E3874)-1,
"")</f>
        <v>3870</v>
      </c>
      <c r="B3874" s="6" t="s">
        <v>357</v>
      </c>
      <c r="C3874" s="14">
        <v>44959</v>
      </c>
      <c r="D3874" s="15">
        <v>98.19</v>
      </c>
      <c r="E3874" s="7">
        <f t="shared" si="60"/>
        <v>1</v>
      </c>
    </row>
    <row r="3875" spans="1:5" x14ac:dyDescent="0.25">
      <c r="A3875" s="7">
        <f>IF(E3875=1,
      SUM($E$2:E3875)-1,
"")</f>
        <v>3871</v>
      </c>
      <c r="B3875" s="6" t="s">
        <v>187</v>
      </c>
      <c r="C3875" s="14">
        <v>45196</v>
      </c>
      <c r="D3875" s="15">
        <v>120.58</v>
      </c>
      <c r="E3875" s="7">
        <f t="shared" si="60"/>
        <v>1</v>
      </c>
    </row>
    <row r="3876" spans="1:5" x14ac:dyDescent="0.25">
      <c r="A3876" s="7">
        <f>IF(E3876=1,
      SUM($E$2:E3876)-1,
"")</f>
        <v>3872</v>
      </c>
      <c r="B3876" s="6" t="s">
        <v>853</v>
      </c>
      <c r="C3876" s="14">
        <v>45072</v>
      </c>
      <c r="D3876" s="15">
        <v>96.98</v>
      </c>
      <c r="E3876" s="7">
        <f t="shared" si="60"/>
        <v>1</v>
      </c>
    </row>
    <row r="3877" spans="1:5" x14ac:dyDescent="0.25">
      <c r="A3877" s="7">
        <f>IF(E3877=1,
      SUM($E$2:E3877)-1,
"")</f>
        <v>3873</v>
      </c>
      <c r="B3877" s="6" t="s">
        <v>542</v>
      </c>
      <c r="C3877" s="14">
        <v>45250</v>
      </c>
      <c r="D3877" s="15">
        <v>40.909999999999997</v>
      </c>
      <c r="E3877" s="7">
        <f t="shared" si="60"/>
        <v>1</v>
      </c>
    </row>
    <row r="3878" spans="1:5" x14ac:dyDescent="0.25">
      <c r="A3878" s="7">
        <f>IF(E3878=1,
      SUM($E$2:E3878)-1,
"")</f>
        <v>3874</v>
      </c>
      <c r="B3878" s="6" t="s">
        <v>488</v>
      </c>
      <c r="C3878" s="14">
        <v>45001</v>
      </c>
      <c r="D3878" s="15">
        <v>81.92</v>
      </c>
      <c r="E3878" s="7">
        <f t="shared" si="60"/>
        <v>1</v>
      </c>
    </row>
    <row r="3879" spans="1:5" x14ac:dyDescent="0.25">
      <c r="A3879" s="7">
        <f>IF(E3879=1,
      SUM($E$2:E3879)-1,
"")</f>
        <v>3875</v>
      </c>
      <c r="B3879" s="6" t="s">
        <v>982</v>
      </c>
      <c r="C3879" s="14">
        <v>45185</v>
      </c>
      <c r="D3879" s="15">
        <v>114.87</v>
      </c>
      <c r="E3879" s="7">
        <f t="shared" si="60"/>
        <v>1</v>
      </c>
    </row>
    <row r="3880" spans="1:5" x14ac:dyDescent="0.25">
      <c r="A3880" s="7">
        <f>IF(E3880=1,
      SUM($E$2:E3880)-1,
"")</f>
        <v>3876</v>
      </c>
      <c r="B3880" s="6" t="s">
        <v>643</v>
      </c>
      <c r="C3880" s="14">
        <v>45027</v>
      </c>
      <c r="D3880" s="15">
        <v>122.88</v>
      </c>
      <c r="E3880" s="7">
        <f t="shared" si="60"/>
        <v>1</v>
      </c>
    </row>
    <row r="3881" spans="1:5" x14ac:dyDescent="0.25">
      <c r="A3881" s="7">
        <f>IF(E3881=1,
      SUM($E$2:E3881)-1,
"")</f>
        <v>3877</v>
      </c>
      <c r="B3881" s="6" t="s">
        <v>446</v>
      </c>
      <c r="C3881" s="14">
        <v>45198</v>
      </c>
      <c r="D3881" s="15">
        <v>124.54</v>
      </c>
      <c r="E3881" s="7">
        <f t="shared" si="60"/>
        <v>1</v>
      </c>
    </row>
    <row r="3882" spans="1:5" x14ac:dyDescent="0.25">
      <c r="A3882" s="7">
        <f>IF(E3882=1,
      SUM($E$2:E3882)-1,
"")</f>
        <v>3878</v>
      </c>
      <c r="B3882" s="6" t="s">
        <v>466</v>
      </c>
      <c r="C3882" s="14">
        <v>45031</v>
      </c>
      <c r="D3882" s="15">
        <v>133.04</v>
      </c>
      <c r="E3882" s="7">
        <f t="shared" si="60"/>
        <v>1</v>
      </c>
    </row>
    <row r="3883" spans="1:5" x14ac:dyDescent="0.25">
      <c r="A3883" s="7">
        <f>IF(E3883=1,
      SUM($E$2:E3883)-1,
"")</f>
        <v>3879</v>
      </c>
      <c r="B3883" s="6" t="s">
        <v>892</v>
      </c>
      <c r="C3883" s="14">
        <v>44980</v>
      </c>
      <c r="D3883" s="15">
        <v>103.55</v>
      </c>
      <c r="E3883" s="7">
        <f t="shared" si="60"/>
        <v>1</v>
      </c>
    </row>
    <row r="3884" spans="1:5" x14ac:dyDescent="0.25">
      <c r="A3884" s="7">
        <f>IF(E3884=1,
      SUM($E$2:E3884)-1,
"")</f>
        <v>3880</v>
      </c>
      <c r="B3884" s="6" t="s">
        <v>191</v>
      </c>
      <c r="C3884" s="14">
        <v>45222</v>
      </c>
      <c r="D3884" s="15">
        <v>107.89</v>
      </c>
      <c r="E3884" s="7">
        <f t="shared" si="60"/>
        <v>1</v>
      </c>
    </row>
    <row r="3885" spans="1:5" x14ac:dyDescent="0.25">
      <c r="A3885" s="7">
        <f>IF(E3885=1,
      SUM($E$2:E3885)-1,
"")</f>
        <v>3881</v>
      </c>
      <c r="B3885" s="6" t="s">
        <v>611</v>
      </c>
      <c r="C3885" s="14">
        <v>45074</v>
      </c>
      <c r="D3885" s="15">
        <v>69.58</v>
      </c>
      <c r="E3885" s="7">
        <f t="shared" si="60"/>
        <v>1</v>
      </c>
    </row>
    <row r="3886" spans="1:5" x14ac:dyDescent="0.25">
      <c r="A3886" s="7">
        <f>IF(E3886=1,
      SUM($E$2:E3886)-1,
"")</f>
        <v>3882</v>
      </c>
      <c r="B3886" s="6" t="s">
        <v>783</v>
      </c>
      <c r="C3886" s="14">
        <v>45272</v>
      </c>
      <c r="D3886" s="15">
        <v>34.76</v>
      </c>
      <c r="E3886" s="7">
        <f t="shared" si="60"/>
        <v>1</v>
      </c>
    </row>
    <row r="3887" spans="1:5" x14ac:dyDescent="0.25">
      <c r="A3887" s="7">
        <f>IF(E3887=1,
      SUM($E$2:E3887)-1,
"")</f>
        <v>3883</v>
      </c>
      <c r="B3887" s="6" t="s">
        <v>595</v>
      </c>
      <c r="C3887" s="14">
        <v>45201</v>
      </c>
      <c r="D3887" s="15">
        <v>57.47</v>
      </c>
      <c r="E3887" s="7">
        <f t="shared" si="60"/>
        <v>1</v>
      </c>
    </row>
    <row r="3888" spans="1:5" x14ac:dyDescent="0.25">
      <c r="A3888" s="7">
        <f>IF(E3888=1,
      SUM($E$2:E3888)-1,
"")</f>
        <v>3884</v>
      </c>
      <c r="B3888" s="6" t="s">
        <v>92</v>
      </c>
      <c r="C3888" s="14">
        <v>45166</v>
      </c>
      <c r="D3888" s="15">
        <v>78.94</v>
      </c>
      <c r="E3888" s="7">
        <f t="shared" si="60"/>
        <v>1</v>
      </c>
    </row>
    <row r="3889" spans="1:5" x14ac:dyDescent="0.25">
      <c r="A3889" s="7">
        <f>IF(E3889=1,
      SUM($E$2:E3889)-1,
"")</f>
        <v>3885</v>
      </c>
      <c r="B3889" s="6" t="s">
        <v>767</v>
      </c>
      <c r="C3889" s="14">
        <v>45213</v>
      </c>
      <c r="D3889" s="15">
        <v>59.21</v>
      </c>
      <c r="E3889" s="7">
        <f t="shared" si="60"/>
        <v>1</v>
      </c>
    </row>
    <row r="3890" spans="1:5" x14ac:dyDescent="0.25">
      <c r="A3890" s="7">
        <f>IF(E3890=1,
      SUM($E$2:E3890)-1,
"")</f>
        <v>3886</v>
      </c>
      <c r="B3890" s="6" t="s">
        <v>587</v>
      </c>
      <c r="C3890" s="14">
        <v>44981</v>
      </c>
      <c r="D3890" s="15">
        <v>91.21</v>
      </c>
      <c r="E3890" s="7">
        <f t="shared" si="60"/>
        <v>1</v>
      </c>
    </row>
    <row r="3891" spans="1:5" x14ac:dyDescent="0.25">
      <c r="A3891" s="7">
        <f>IF(E3891=1,
      SUM($E$2:E3891)-1,
"")</f>
        <v>3887</v>
      </c>
      <c r="B3891" s="6" t="s">
        <v>181</v>
      </c>
      <c r="C3891" s="14">
        <v>45055</v>
      </c>
      <c r="D3891" s="15">
        <v>86.14</v>
      </c>
      <c r="E3891" s="7">
        <f t="shared" si="60"/>
        <v>1</v>
      </c>
    </row>
    <row r="3892" spans="1:5" x14ac:dyDescent="0.25">
      <c r="A3892" s="7">
        <f>IF(E3892=1,
      SUM($E$2:E3892)-1,
"")</f>
        <v>3888</v>
      </c>
      <c r="B3892" s="6" t="s">
        <v>932</v>
      </c>
      <c r="C3892" s="14">
        <v>45111</v>
      </c>
      <c r="D3892" s="15">
        <v>128.13</v>
      </c>
      <c r="E3892" s="7">
        <f t="shared" si="60"/>
        <v>1</v>
      </c>
    </row>
    <row r="3893" spans="1:5" x14ac:dyDescent="0.25">
      <c r="A3893" s="7">
        <f>IF(E3893=1,
      SUM($E$2:E3893)-1,
"")</f>
        <v>3889</v>
      </c>
      <c r="B3893" s="6" t="s">
        <v>465</v>
      </c>
      <c r="C3893" s="14">
        <v>45268</v>
      </c>
      <c r="D3893" s="15">
        <v>70.930000000000007</v>
      </c>
      <c r="E3893" s="7">
        <f t="shared" si="60"/>
        <v>1</v>
      </c>
    </row>
    <row r="3894" spans="1:5" x14ac:dyDescent="0.25">
      <c r="A3894" s="7">
        <f>IF(E3894=1,
      SUM($E$2:E3894)-1,
"")</f>
        <v>3890</v>
      </c>
      <c r="B3894" s="6" t="s">
        <v>125</v>
      </c>
      <c r="C3894" s="14">
        <v>45137</v>
      </c>
      <c r="D3894" s="15">
        <v>104.22</v>
      </c>
      <c r="E3894" s="7">
        <f t="shared" si="60"/>
        <v>1</v>
      </c>
    </row>
    <row r="3895" spans="1:5" x14ac:dyDescent="0.25">
      <c r="A3895" s="7">
        <f>IF(E3895=1,
      SUM($E$2:E3895)-1,
"")</f>
        <v>3891</v>
      </c>
      <c r="B3895" s="6" t="s">
        <v>1015</v>
      </c>
      <c r="C3895" s="14">
        <v>45288</v>
      </c>
      <c r="D3895" s="15">
        <v>87.41</v>
      </c>
      <c r="E3895" s="7">
        <f t="shared" si="60"/>
        <v>1</v>
      </c>
    </row>
    <row r="3896" spans="1:5" x14ac:dyDescent="0.25">
      <c r="A3896" s="7">
        <f>IF(E3896=1,
      SUM($E$2:E3896)-1,
"")</f>
        <v>3892</v>
      </c>
      <c r="B3896" s="6" t="s">
        <v>99</v>
      </c>
      <c r="C3896" s="14">
        <v>45173</v>
      </c>
      <c r="D3896" s="15">
        <v>69.8</v>
      </c>
      <c r="E3896" s="7">
        <f t="shared" si="60"/>
        <v>1</v>
      </c>
    </row>
    <row r="3897" spans="1:5" x14ac:dyDescent="0.25">
      <c r="A3897" s="7">
        <f>IF(E3897=1,
      SUM($E$2:E3897)-1,
"")</f>
        <v>3893</v>
      </c>
      <c r="B3897" s="6" t="s">
        <v>486</v>
      </c>
      <c r="C3897" s="14">
        <v>45016</v>
      </c>
      <c r="D3897" s="15">
        <v>78.17</v>
      </c>
      <c r="E3897" s="7">
        <f t="shared" si="60"/>
        <v>1</v>
      </c>
    </row>
    <row r="3898" spans="1:5" x14ac:dyDescent="0.25">
      <c r="A3898" s="7">
        <f>IF(E3898=1,
      SUM($E$2:E3898)-1,
"")</f>
        <v>3894</v>
      </c>
      <c r="B3898" s="6" t="s">
        <v>314</v>
      </c>
      <c r="C3898" s="14">
        <v>45275</v>
      </c>
      <c r="D3898" s="15">
        <v>38.46</v>
      </c>
      <c r="E3898" s="7">
        <f t="shared" si="60"/>
        <v>1</v>
      </c>
    </row>
    <row r="3899" spans="1:5" x14ac:dyDescent="0.25">
      <c r="A3899" s="7">
        <f>IF(E3899=1,
      SUM($E$2:E3899)-1,
"")</f>
        <v>3895</v>
      </c>
      <c r="B3899" s="6" t="s">
        <v>467</v>
      </c>
      <c r="C3899" s="14">
        <v>45095</v>
      </c>
      <c r="D3899" s="15">
        <v>122.45</v>
      </c>
      <c r="E3899" s="7">
        <f t="shared" si="60"/>
        <v>1</v>
      </c>
    </row>
    <row r="3900" spans="1:5" x14ac:dyDescent="0.25">
      <c r="A3900" s="7">
        <f>IF(E3900=1,
      SUM($E$2:E3900)-1,
"")</f>
        <v>3896</v>
      </c>
      <c r="B3900" s="6" t="s">
        <v>398</v>
      </c>
      <c r="C3900" s="14">
        <v>45236</v>
      </c>
      <c r="D3900" s="15">
        <v>142.07</v>
      </c>
      <c r="E3900" s="7">
        <f t="shared" si="60"/>
        <v>1</v>
      </c>
    </row>
    <row r="3901" spans="1:5" x14ac:dyDescent="0.25">
      <c r="A3901" s="7">
        <f>IF(E3901=1,
      SUM($E$2:E3901)-1,
"")</f>
        <v>3897</v>
      </c>
      <c r="B3901" s="6" t="s">
        <v>507</v>
      </c>
      <c r="C3901" s="14">
        <v>45200</v>
      </c>
      <c r="D3901" s="15">
        <v>91.98</v>
      </c>
      <c r="E3901" s="7">
        <f t="shared" si="60"/>
        <v>1</v>
      </c>
    </row>
    <row r="3902" spans="1:5" x14ac:dyDescent="0.25">
      <c r="A3902" s="7">
        <f>IF(E3902=1,
      SUM($E$2:E3902)-1,
"")</f>
        <v>3898</v>
      </c>
      <c r="B3902" s="6" t="s">
        <v>314</v>
      </c>
      <c r="C3902" s="14">
        <v>45274</v>
      </c>
      <c r="D3902" s="15">
        <v>100.87</v>
      </c>
      <c r="E3902" s="7">
        <f t="shared" si="60"/>
        <v>1</v>
      </c>
    </row>
    <row r="3903" spans="1:5" x14ac:dyDescent="0.25">
      <c r="A3903" s="7">
        <f>IF(E3903=1,
      SUM($E$2:E3903)-1,
"")</f>
        <v>3899</v>
      </c>
      <c r="B3903" s="6" t="s">
        <v>172</v>
      </c>
      <c r="C3903" s="14">
        <v>44940</v>
      </c>
      <c r="D3903" s="15">
        <v>91.12</v>
      </c>
      <c r="E3903" s="7">
        <f t="shared" si="60"/>
        <v>1</v>
      </c>
    </row>
    <row r="3904" spans="1:5" x14ac:dyDescent="0.25">
      <c r="A3904" s="7">
        <f>IF(E3904=1,
      SUM($E$2:E3904)-1,
"")</f>
        <v>3900</v>
      </c>
      <c r="B3904" s="6" t="s">
        <v>893</v>
      </c>
      <c r="C3904" s="14">
        <v>45100</v>
      </c>
      <c r="D3904" s="15">
        <v>75.400000000000006</v>
      </c>
      <c r="E3904" s="7">
        <f t="shared" si="60"/>
        <v>1</v>
      </c>
    </row>
    <row r="3905" spans="1:5" x14ac:dyDescent="0.25">
      <c r="A3905" s="7">
        <f>IF(E3905=1,
      SUM($E$2:E3905)-1,
"")</f>
        <v>3901</v>
      </c>
      <c r="B3905" s="6" t="s">
        <v>550</v>
      </c>
      <c r="C3905" s="14">
        <v>45056</v>
      </c>
      <c r="D3905" s="15">
        <v>121.15</v>
      </c>
      <c r="E3905" s="7">
        <f t="shared" si="60"/>
        <v>1</v>
      </c>
    </row>
    <row r="3906" spans="1:5" x14ac:dyDescent="0.25">
      <c r="A3906" s="7">
        <f>IF(E3906=1,
      SUM($E$2:E3906)-1,
"")</f>
        <v>3902</v>
      </c>
      <c r="B3906" s="6" t="s">
        <v>737</v>
      </c>
      <c r="C3906" s="14">
        <v>45016</v>
      </c>
      <c r="D3906" s="15">
        <v>109.57</v>
      </c>
      <c r="E3906" s="7">
        <f t="shared" ref="E3906:E3969" si="61">IF(D3906&gt;0,1,0)</f>
        <v>1</v>
      </c>
    </row>
    <row r="3907" spans="1:5" x14ac:dyDescent="0.25">
      <c r="A3907" s="7">
        <f>IF(E3907=1,
      SUM($E$2:E3907)-1,
"")</f>
        <v>3903</v>
      </c>
      <c r="B3907" s="6" t="s">
        <v>472</v>
      </c>
      <c r="C3907" s="14">
        <v>45066</v>
      </c>
      <c r="D3907" s="15">
        <v>12.64</v>
      </c>
      <c r="E3907" s="7">
        <f t="shared" si="61"/>
        <v>1</v>
      </c>
    </row>
    <row r="3908" spans="1:5" x14ac:dyDescent="0.25">
      <c r="A3908" s="7">
        <f>IF(E3908=1,
      SUM($E$2:E3908)-1,
"")</f>
        <v>3904</v>
      </c>
      <c r="B3908" s="6" t="s">
        <v>643</v>
      </c>
      <c r="C3908" s="14">
        <v>45060</v>
      </c>
      <c r="D3908" s="15">
        <v>68.959999999999994</v>
      </c>
      <c r="E3908" s="7">
        <f t="shared" si="61"/>
        <v>1</v>
      </c>
    </row>
    <row r="3909" spans="1:5" x14ac:dyDescent="0.25">
      <c r="A3909" s="7">
        <f>IF(E3909=1,
      SUM($E$2:E3909)-1,
"")</f>
        <v>3905</v>
      </c>
      <c r="B3909" s="6" t="s">
        <v>919</v>
      </c>
      <c r="C3909" s="14">
        <v>45253</v>
      </c>
      <c r="D3909" s="15">
        <v>38.409999999999997</v>
      </c>
      <c r="E3909" s="7">
        <f t="shared" si="61"/>
        <v>1</v>
      </c>
    </row>
    <row r="3910" spans="1:5" x14ac:dyDescent="0.25">
      <c r="A3910" s="7">
        <f>IF(E3910=1,
      SUM($E$2:E3910)-1,
"")</f>
        <v>3906</v>
      </c>
      <c r="B3910" s="6" t="s">
        <v>1015</v>
      </c>
      <c r="C3910" s="14">
        <v>44970</v>
      </c>
      <c r="D3910" s="15">
        <v>146.66</v>
      </c>
      <c r="E3910" s="7">
        <f t="shared" si="61"/>
        <v>1</v>
      </c>
    </row>
    <row r="3911" spans="1:5" x14ac:dyDescent="0.25">
      <c r="A3911" s="7">
        <f>IF(E3911=1,
      SUM($E$2:E3911)-1,
"")</f>
        <v>3907</v>
      </c>
      <c r="B3911" s="6" t="s">
        <v>580</v>
      </c>
      <c r="C3911" s="14">
        <v>45140</v>
      </c>
      <c r="D3911" s="15">
        <v>94.85</v>
      </c>
      <c r="E3911" s="7">
        <f t="shared" si="61"/>
        <v>1</v>
      </c>
    </row>
    <row r="3912" spans="1:5" x14ac:dyDescent="0.25">
      <c r="A3912" s="7">
        <f>IF(E3912=1,
      SUM($E$2:E3912)-1,
"")</f>
        <v>3908</v>
      </c>
      <c r="B3912" s="6" t="s">
        <v>733</v>
      </c>
      <c r="C3912" s="14">
        <v>45166</v>
      </c>
      <c r="D3912" s="15">
        <v>107.22</v>
      </c>
      <c r="E3912" s="7">
        <f t="shared" si="61"/>
        <v>1</v>
      </c>
    </row>
    <row r="3913" spans="1:5" x14ac:dyDescent="0.25">
      <c r="A3913" s="7">
        <f>IF(E3913=1,
      SUM($E$2:E3913)-1,
"")</f>
        <v>3909</v>
      </c>
      <c r="B3913" s="6" t="s">
        <v>780</v>
      </c>
      <c r="C3913" s="14">
        <v>45056</v>
      </c>
      <c r="D3913" s="15">
        <v>89.4</v>
      </c>
      <c r="E3913" s="7">
        <f t="shared" si="61"/>
        <v>1</v>
      </c>
    </row>
    <row r="3914" spans="1:5" x14ac:dyDescent="0.25">
      <c r="A3914" s="7">
        <f>IF(E3914=1,
      SUM($E$2:E3914)-1,
"")</f>
        <v>3910</v>
      </c>
      <c r="B3914" s="6" t="s">
        <v>168</v>
      </c>
      <c r="C3914" s="14">
        <v>45238</v>
      </c>
      <c r="D3914" s="15">
        <v>133.08000000000001</v>
      </c>
      <c r="E3914" s="7">
        <f t="shared" si="61"/>
        <v>1</v>
      </c>
    </row>
    <row r="3915" spans="1:5" x14ac:dyDescent="0.25">
      <c r="A3915" s="7">
        <f>IF(E3915=1,
      SUM($E$2:E3915)-1,
"")</f>
        <v>3911</v>
      </c>
      <c r="B3915" s="6" t="s">
        <v>133</v>
      </c>
      <c r="C3915" s="14">
        <v>45121</v>
      </c>
      <c r="D3915" s="15">
        <v>125.82</v>
      </c>
      <c r="E3915" s="7">
        <f t="shared" si="61"/>
        <v>1</v>
      </c>
    </row>
    <row r="3916" spans="1:5" x14ac:dyDescent="0.25">
      <c r="A3916" s="7">
        <f>IF(E3916=1,
      SUM($E$2:E3916)-1,
"")</f>
        <v>3912</v>
      </c>
      <c r="B3916" s="6" t="s">
        <v>197</v>
      </c>
      <c r="C3916" s="14">
        <v>45184</v>
      </c>
      <c r="D3916" s="15">
        <v>93.54</v>
      </c>
      <c r="E3916" s="7">
        <f t="shared" si="61"/>
        <v>1</v>
      </c>
    </row>
    <row r="3917" spans="1:5" x14ac:dyDescent="0.25">
      <c r="A3917" s="7">
        <f>IF(E3917=1,
      SUM($E$2:E3917)-1,
"")</f>
        <v>3913</v>
      </c>
      <c r="B3917" s="6" t="s">
        <v>773</v>
      </c>
      <c r="C3917" s="14">
        <v>44939</v>
      </c>
      <c r="D3917" s="15">
        <v>151.54</v>
      </c>
      <c r="E3917" s="7">
        <f t="shared" si="61"/>
        <v>1</v>
      </c>
    </row>
    <row r="3918" spans="1:5" x14ac:dyDescent="0.25">
      <c r="A3918" s="7">
        <f>IF(E3918=1,
      SUM($E$2:E3918)-1,
"")</f>
        <v>3914</v>
      </c>
      <c r="B3918" s="6" t="s">
        <v>740</v>
      </c>
      <c r="C3918" s="14">
        <v>45109</v>
      </c>
      <c r="D3918" s="15">
        <v>105.56</v>
      </c>
      <c r="E3918" s="7">
        <f t="shared" si="61"/>
        <v>1</v>
      </c>
    </row>
    <row r="3919" spans="1:5" x14ac:dyDescent="0.25">
      <c r="A3919" s="7">
        <f>IF(E3919=1,
      SUM($E$2:E3919)-1,
"")</f>
        <v>3915</v>
      </c>
      <c r="B3919" s="6" t="s">
        <v>1005</v>
      </c>
      <c r="C3919" s="14">
        <v>45095</v>
      </c>
      <c r="D3919" s="15">
        <v>56.2</v>
      </c>
      <c r="E3919" s="7">
        <f t="shared" si="61"/>
        <v>1</v>
      </c>
    </row>
    <row r="3920" spans="1:5" x14ac:dyDescent="0.25">
      <c r="A3920" s="7">
        <f>IF(E3920=1,
      SUM($E$2:E3920)-1,
"")</f>
        <v>3916</v>
      </c>
      <c r="B3920" s="6" t="s">
        <v>595</v>
      </c>
      <c r="C3920" s="14">
        <v>45206</v>
      </c>
      <c r="D3920" s="15">
        <v>103</v>
      </c>
      <c r="E3920" s="7">
        <f t="shared" si="61"/>
        <v>1</v>
      </c>
    </row>
    <row r="3921" spans="1:5" x14ac:dyDescent="0.25">
      <c r="A3921" s="7">
        <f>IF(E3921=1,
      SUM($E$2:E3921)-1,
"")</f>
        <v>3917</v>
      </c>
      <c r="B3921" s="6" t="s">
        <v>721</v>
      </c>
      <c r="C3921" s="14">
        <v>45092</v>
      </c>
      <c r="D3921" s="15">
        <v>115.52</v>
      </c>
      <c r="E3921" s="7">
        <f t="shared" si="61"/>
        <v>1</v>
      </c>
    </row>
    <row r="3922" spans="1:5" x14ac:dyDescent="0.25">
      <c r="A3922" s="7">
        <f>IF(E3922=1,
      SUM($E$2:E3922)-1,
"")</f>
        <v>3918</v>
      </c>
      <c r="B3922" s="6" t="s">
        <v>710</v>
      </c>
      <c r="C3922" s="14">
        <v>44956</v>
      </c>
      <c r="D3922" s="15">
        <v>96</v>
      </c>
      <c r="E3922" s="7">
        <f t="shared" si="61"/>
        <v>1</v>
      </c>
    </row>
    <row r="3923" spans="1:5" x14ac:dyDescent="0.25">
      <c r="A3923" s="7">
        <f>IF(E3923=1,
      SUM($E$2:E3923)-1,
"")</f>
        <v>3919</v>
      </c>
      <c r="B3923" s="6" t="s">
        <v>1041</v>
      </c>
      <c r="C3923" s="14">
        <v>44971</v>
      </c>
      <c r="D3923" s="15">
        <v>87.66</v>
      </c>
      <c r="E3923" s="7">
        <f t="shared" si="61"/>
        <v>1</v>
      </c>
    </row>
    <row r="3924" spans="1:5" x14ac:dyDescent="0.25">
      <c r="A3924" s="7">
        <f>IF(E3924=1,
      SUM($E$2:E3924)-1,
"")</f>
        <v>3920</v>
      </c>
      <c r="B3924" s="6" t="s">
        <v>665</v>
      </c>
      <c r="C3924" s="14">
        <v>45018</v>
      </c>
      <c r="D3924" s="15">
        <v>152.93</v>
      </c>
      <c r="E3924" s="7">
        <f t="shared" si="61"/>
        <v>1</v>
      </c>
    </row>
    <row r="3925" spans="1:5" x14ac:dyDescent="0.25">
      <c r="A3925" s="7">
        <f>IF(E3925=1,
      SUM($E$2:E3925)-1,
"")</f>
        <v>3921</v>
      </c>
      <c r="B3925" s="6" t="s">
        <v>1042</v>
      </c>
      <c r="C3925" s="14">
        <v>45082</v>
      </c>
      <c r="D3925" s="15">
        <v>64.42</v>
      </c>
      <c r="E3925" s="7">
        <f t="shared" si="61"/>
        <v>1</v>
      </c>
    </row>
    <row r="3926" spans="1:5" x14ac:dyDescent="0.25">
      <c r="A3926" s="7">
        <f>IF(E3926=1,
      SUM($E$2:E3926)-1,
"")</f>
        <v>3922</v>
      </c>
      <c r="B3926" s="6" t="s">
        <v>491</v>
      </c>
      <c r="C3926" s="14">
        <v>45175</v>
      </c>
      <c r="D3926" s="15">
        <v>17.09</v>
      </c>
      <c r="E3926" s="7">
        <f t="shared" si="61"/>
        <v>1</v>
      </c>
    </row>
    <row r="3927" spans="1:5" x14ac:dyDescent="0.25">
      <c r="A3927" s="7">
        <f>IF(E3927=1,
      SUM($E$2:E3927)-1,
"")</f>
        <v>3923</v>
      </c>
      <c r="B3927" s="6" t="s">
        <v>555</v>
      </c>
      <c r="C3927" s="14">
        <v>45102</v>
      </c>
      <c r="D3927" s="15">
        <v>148.57</v>
      </c>
      <c r="E3927" s="7">
        <f t="shared" si="61"/>
        <v>1</v>
      </c>
    </row>
    <row r="3928" spans="1:5" x14ac:dyDescent="0.25">
      <c r="A3928" s="7">
        <f>IF(E3928=1,
      SUM($E$2:E3928)-1,
"")</f>
        <v>3924</v>
      </c>
      <c r="B3928" s="6" t="s">
        <v>354</v>
      </c>
      <c r="C3928" s="14">
        <v>45251</v>
      </c>
      <c r="D3928" s="15">
        <v>63.22</v>
      </c>
      <c r="E3928" s="7">
        <f t="shared" si="61"/>
        <v>1</v>
      </c>
    </row>
    <row r="3929" spans="1:5" x14ac:dyDescent="0.25">
      <c r="A3929" s="7">
        <f>IF(E3929=1,
      SUM($E$2:E3929)-1,
"")</f>
        <v>3925</v>
      </c>
      <c r="B3929" s="6" t="s">
        <v>232</v>
      </c>
      <c r="C3929" s="14">
        <v>45251</v>
      </c>
      <c r="D3929" s="15">
        <v>91.4</v>
      </c>
      <c r="E3929" s="7">
        <f t="shared" si="61"/>
        <v>1</v>
      </c>
    </row>
    <row r="3930" spans="1:5" x14ac:dyDescent="0.25">
      <c r="A3930" s="7">
        <f>IF(E3930=1,
      SUM($E$2:E3930)-1,
"")</f>
        <v>3926</v>
      </c>
      <c r="B3930" s="6" t="s">
        <v>626</v>
      </c>
      <c r="C3930" s="14">
        <v>44978</v>
      </c>
      <c r="D3930" s="15">
        <v>88.68</v>
      </c>
      <c r="E3930" s="7">
        <f t="shared" si="61"/>
        <v>1</v>
      </c>
    </row>
    <row r="3931" spans="1:5" x14ac:dyDescent="0.25">
      <c r="A3931" s="7">
        <f>IF(E3931=1,
      SUM($E$2:E3931)-1,
"")</f>
        <v>3927</v>
      </c>
      <c r="B3931" s="6" t="s">
        <v>642</v>
      </c>
      <c r="C3931" s="14">
        <v>45017</v>
      </c>
      <c r="D3931" s="15">
        <v>136.94999999999999</v>
      </c>
      <c r="E3931" s="7">
        <f t="shared" si="61"/>
        <v>1</v>
      </c>
    </row>
    <row r="3932" spans="1:5" x14ac:dyDescent="0.25">
      <c r="A3932" s="7">
        <f>IF(E3932=1,
      SUM($E$2:E3932)-1,
"")</f>
        <v>3928</v>
      </c>
      <c r="B3932" s="6" t="s">
        <v>452</v>
      </c>
      <c r="C3932" s="14">
        <v>44964</v>
      </c>
      <c r="D3932" s="15">
        <v>143.05000000000001</v>
      </c>
      <c r="E3932" s="7">
        <f t="shared" si="61"/>
        <v>1</v>
      </c>
    </row>
    <row r="3933" spans="1:5" x14ac:dyDescent="0.25">
      <c r="A3933" s="7">
        <f>IF(E3933=1,
      SUM($E$2:E3933)-1,
"")</f>
        <v>3929</v>
      </c>
      <c r="B3933" s="6" t="s">
        <v>937</v>
      </c>
      <c r="C3933" s="14">
        <v>45276</v>
      </c>
      <c r="D3933" s="15">
        <v>61.23</v>
      </c>
      <c r="E3933" s="7">
        <f t="shared" si="61"/>
        <v>1</v>
      </c>
    </row>
    <row r="3934" spans="1:5" x14ac:dyDescent="0.25">
      <c r="A3934" s="7">
        <f>IF(E3934=1,
      SUM($E$2:E3934)-1,
"")</f>
        <v>3930</v>
      </c>
      <c r="B3934" s="6" t="s">
        <v>588</v>
      </c>
      <c r="C3934" s="14">
        <v>45010</v>
      </c>
      <c r="D3934" s="15">
        <v>140.71</v>
      </c>
      <c r="E3934" s="7">
        <f t="shared" si="61"/>
        <v>1</v>
      </c>
    </row>
    <row r="3935" spans="1:5" x14ac:dyDescent="0.25">
      <c r="A3935" s="7">
        <f>IF(E3935=1,
      SUM($E$2:E3935)-1,
"")</f>
        <v>3931</v>
      </c>
      <c r="B3935" s="6" t="s">
        <v>299</v>
      </c>
      <c r="C3935" s="14">
        <v>45035</v>
      </c>
      <c r="D3935" s="15">
        <v>140.15</v>
      </c>
      <c r="E3935" s="7">
        <f t="shared" si="61"/>
        <v>1</v>
      </c>
    </row>
    <row r="3936" spans="1:5" x14ac:dyDescent="0.25">
      <c r="A3936" s="7">
        <f>IF(E3936=1,
      SUM($E$2:E3936)-1,
"")</f>
        <v>3932</v>
      </c>
      <c r="B3936" s="6" t="s">
        <v>1043</v>
      </c>
      <c r="C3936" s="14">
        <v>45230</v>
      </c>
      <c r="D3936" s="15">
        <v>100.58</v>
      </c>
      <c r="E3936" s="7">
        <f t="shared" si="61"/>
        <v>1</v>
      </c>
    </row>
    <row r="3937" spans="1:5" x14ac:dyDescent="0.25">
      <c r="A3937" s="7">
        <f>IF(E3937=1,
      SUM($E$2:E3937)-1,
"")</f>
        <v>3933</v>
      </c>
      <c r="B3937" s="6" t="s">
        <v>325</v>
      </c>
      <c r="C3937" s="14">
        <v>45231</v>
      </c>
      <c r="D3937" s="15">
        <v>127.98</v>
      </c>
      <c r="E3937" s="7">
        <f t="shared" si="61"/>
        <v>1</v>
      </c>
    </row>
    <row r="3938" spans="1:5" x14ac:dyDescent="0.25">
      <c r="A3938" s="7">
        <f>IF(E3938=1,
      SUM($E$2:E3938)-1,
"")</f>
        <v>3934</v>
      </c>
      <c r="B3938" s="6" t="s">
        <v>350</v>
      </c>
      <c r="C3938" s="14">
        <v>45193</v>
      </c>
      <c r="D3938" s="15">
        <v>130.97999999999999</v>
      </c>
      <c r="E3938" s="7">
        <f t="shared" si="61"/>
        <v>1</v>
      </c>
    </row>
    <row r="3939" spans="1:5" x14ac:dyDescent="0.25">
      <c r="A3939" s="7">
        <f>IF(E3939=1,
      SUM($E$2:E3939)-1,
"")</f>
        <v>3935</v>
      </c>
      <c r="B3939" s="6" t="s">
        <v>203</v>
      </c>
      <c r="C3939" s="14">
        <v>45274</v>
      </c>
      <c r="D3939" s="15">
        <v>92.43</v>
      </c>
      <c r="E3939" s="7">
        <f t="shared" si="61"/>
        <v>1</v>
      </c>
    </row>
    <row r="3940" spans="1:5" x14ac:dyDescent="0.25">
      <c r="A3940" s="7">
        <f>IF(E3940=1,
      SUM($E$2:E3940)-1,
"")</f>
        <v>3936</v>
      </c>
      <c r="B3940" s="6" t="s">
        <v>260</v>
      </c>
      <c r="C3940" s="14">
        <v>45276</v>
      </c>
      <c r="D3940" s="15">
        <v>95.27</v>
      </c>
      <c r="E3940" s="7">
        <f t="shared" si="61"/>
        <v>1</v>
      </c>
    </row>
    <row r="3941" spans="1:5" x14ac:dyDescent="0.25">
      <c r="A3941" s="7">
        <f>IF(E3941=1,
      SUM($E$2:E3941)-1,
"")</f>
        <v>3937</v>
      </c>
      <c r="B3941" s="6" t="s">
        <v>883</v>
      </c>
      <c r="C3941" s="14">
        <v>44968</v>
      </c>
      <c r="D3941" s="15">
        <v>117.68</v>
      </c>
      <c r="E3941" s="7">
        <f t="shared" si="61"/>
        <v>1</v>
      </c>
    </row>
    <row r="3942" spans="1:5" x14ac:dyDescent="0.25">
      <c r="A3942" s="7">
        <f>IF(E3942=1,
      SUM($E$2:E3942)-1,
"")</f>
        <v>3938</v>
      </c>
      <c r="B3942" s="6" t="s">
        <v>972</v>
      </c>
      <c r="C3942" s="14">
        <v>45047</v>
      </c>
      <c r="D3942" s="15">
        <v>51.14</v>
      </c>
      <c r="E3942" s="7">
        <f t="shared" si="61"/>
        <v>1</v>
      </c>
    </row>
    <row r="3943" spans="1:5" x14ac:dyDescent="0.25">
      <c r="A3943" s="7">
        <f>IF(E3943=1,
      SUM($E$2:E3943)-1,
"")</f>
        <v>3939</v>
      </c>
      <c r="B3943" s="6" t="s">
        <v>1001</v>
      </c>
      <c r="C3943" s="14">
        <v>45042</v>
      </c>
      <c r="D3943" s="15">
        <v>89.39</v>
      </c>
      <c r="E3943" s="7">
        <f t="shared" si="61"/>
        <v>1</v>
      </c>
    </row>
    <row r="3944" spans="1:5" x14ac:dyDescent="0.25">
      <c r="A3944" s="7">
        <f>IF(E3944=1,
      SUM($E$2:E3944)-1,
"")</f>
        <v>3940</v>
      </c>
      <c r="B3944" s="6" t="s">
        <v>926</v>
      </c>
      <c r="C3944" s="14">
        <v>45212</v>
      </c>
      <c r="D3944" s="15">
        <v>63.99</v>
      </c>
      <c r="E3944" s="7">
        <f t="shared" si="61"/>
        <v>1</v>
      </c>
    </row>
    <row r="3945" spans="1:5" x14ac:dyDescent="0.25">
      <c r="A3945" s="7">
        <f>IF(E3945=1,
      SUM($E$2:E3945)-1,
"")</f>
        <v>3941</v>
      </c>
      <c r="B3945" s="6" t="s">
        <v>761</v>
      </c>
      <c r="C3945" s="14">
        <v>45254</v>
      </c>
      <c r="D3945" s="15">
        <v>142.71</v>
      </c>
      <c r="E3945" s="7">
        <f t="shared" si="61"/>
        <v>1</v>
      </c>
    </row>
    <row r="3946" spans="1:5" x14ac:dyDescent="0.25">
      <c r="A3946" s="7">
        <f>IF(E3946=1,
      SUM($E$2:E3946)-1,
"")</f>
        <v>3942</v>
      </c>
      <c r="B3946" s="6" t="s">
        <v>98</v>
      </c>
      <c r="C3946" s="14">
        <v>45257</v>
      </c>
      <c r="D3946" s="15">
        <v>89.03</v>
      </c>
      <c r="E3946" s="7">
        <f t="shared" si="61"/>
        <v>1</v>
      </c>
    </row>
    <row r="3947" spans="1:5" x14ac:dyDescent="0.25">
      <c r="A3947" s="7">
        <f>IF(E3947=1,
      SUM($E$2:E3947)-1,
"")</f>
        <v>3943</v>
      </c>
      <c r="B3947" s="6" t="s">
        <v>841</v>
      </c>
      <c r="C3947" s="14">
        <v>45096</v>
      </c>
      <c r="D3947" s="15">
        <v>108.29</v>
      </c>
      <c r="E3947" s="7">
        <f t="shared" si="61"/>
        <v>1</v>
      </c>
    </row>
    <row r="3948" spans="1:5" x14ac:dyDescent="0.25">
      <c r="A3948" s="7">
        <f>IF(E3948=1,
      SUM($E$2:E3948)-1,
"")</f>
        <v>3944</v>
      </c>
      <c r="B3948" s="6" t="s">
        <v>395</v>
      </c>
      <c r="C3948" s="14">
        <v>45135</v>
      </c>
      <c r="D3948" s="15">
        <v>93.45</v>
      </c>
      <c r="E3948" s="7">
        <f t="shared" si="61"/>
        <v>1</v>
      </c>
    </row>
    <row r="3949" spans="1:5" x14ac:dyDescent="0.25">
      <c r="A3949" s="7">
        <f>IF(E3949=1,
      SUM($E$2:E3949)-1,
"")</f>
        <v>3945</v>
      </c>
      <c r="B3949" s="6" t="s">
        <v>933</v>
      </c>
      <c r="C3949" s="14">
        <v>45089</v>
      </c>
      <c r="D3949" s="15">
        <v>91.5</v>
      </c>
      <c r="E3949" s="7">
        <f t="shared" si="61"/>
        <v>1</v>
      </c>
    </row>
    <row r="3950" spans="1:5" x14ac:dyDescent="0.25">
      <c r="A3950" s="7">
        <f>IF(E3950=1,
      SUM($E$2:E3950)-1,
"")</f>
        <v>3946</v>
      </c>
      <c r="B3950" s="6" t="s">
        <v>853</v>
      </c>
      <c r="C3950" s="14">
        <v>45097</v>
      </c>
      <c r="D3950" s="15">
        <v>106.33</v>
      </c>
      <c r="E3950" s="7">
        <f t="shared" si="61"/>
        <v>1</v>
      </c>
    </row>
    <row r="3951" spans="1:5" x14ac:dyDescent="0.25">
      <c r="A3951" s="7">
        <f>IF(E3951=1,
      SUM($E$2:E3951)-1,
"")</f>
        <v>3947</v>
      </c>
      <c r="B3951" s="6" t="s">
        <v>633</v>
      </c>
      <c r="C3951" s="14">
        <v>45077</v>
      </c>
      <c r="D3951" s="15">
        <v>78.08</v>
      </c>
      <c r="E3951" s="7">
        <f t="shared" si="61"/>
        <v>1</v>
      </c>
    </row>
    <row r="3952" spans="1:5" x14ac:dyDescent="0.25">
      <c r="A3952" s="7">
        <f>IF(E3952=1,
      SUM($E$2:E3952)-1,
"")</f>
        <v>3948</v>
      </c>
      <c r="B3952" s="6" t="s">
        <v>107</v>
      </c>
      <c r="C3952" s="14">
        <v>45008</v>
      </c>
      <c r="D3952" s="15">
        <v>94.05</v>
      </c>
      <c r="E3952" s="7">
        <f t="shared" si="61"/>
        <v>1</v>
      </c>
    </row>
    <row r="3953" spans="1:5" x14ac:dyDescent="0.25">
      <c r="A3953" s="7">
        <f>IF(E3953=1,
      SUM($E$2:E3953)-1,
"")</f>
        <v>3949</v>
      </c>
      <c r="B3953" s="6" t="s">
        <v>81</v>
      </c>
      <c r="C3953" s="14">
        <v>45097</v>
      </c>
      <c r="D3953" s="15">
        <v>93.82</v>
      </c>
      <c r="E3953" s="7">
        <f t="shared" si="61"/>
        <v>1</v>
      </c>
    </row>
    <row r="3954" spans="1:5" x14ac:dyDescent="0.25">
      <c r="A3954" s="7">
        <f>IF(E3954=1,
      SUM($E$2:E3954)-1,
"")</f>
        <v>3950</v>
      </c>
      <c r="B3954" s="6" t="s">
        <v>886</v>
      </c>
      <c r="C3954" s="14">
        <v>44986</v>
      </c>
      <c r="D3954" s="15">
        <v>87.3</v>
      </c>
      <c r="E3954" s="7">
        <f t="shared" si="61"/>
        <v>1</v>
      </c>
    </row>
    <row r="3955" spans="1:5" x14ac:dyDescent="0.25">
      <c r="A3955" s="7">
        <f>IF(E3955=1,
      SUM($E$2:E3955)-1,
"")</f>
        <v>3951</v>
      </c>
      <c r="B3955" s="6" t="s">
        <v>528</v>
      </c>
      <c r="C3955" s="14">
        <v>45141</v>
      </c>
      <c r="D3955" s="15">
        <v>111.73</v>
      </c>
      <c r="E3955" s="7">
        <f t="shared" si="61"/>
        <v>1</v>
      </c>
    </row>
    <row r="3956" spans="1:5" x14ac:dyDescent="0.25">
      <c r="A3956" s="7">
        <f>IF(E3956=1,
      SUM($E$2:E3956)-1,
"")</f>
        <v>3952</v>
      </c>
      <c r="B3956" s="6" t="s">
        <v>93</v>
      </c>
      <c r="C3956" s="14">
        <v>45279</v>
      </c>
      <c r="D3956" s="15">
        <v>86.59</v>
      </c>
      <c r="E3956" s="7">
        <f t="shared" si="61"/>
        <v>1</v>
      </c>
    </row>
    <row r="3957" spans="1:5" x14ac:dyDescent="0.25">
      <c r="A3957" s="7">
        <f>IF(E3957=1,
      SUM($E$2:E3957)-1,
"")</f>
        <v>3953</v>
      </c>
      <c r="B3957" s="6" t="s">
        <v>899</v>
      </c>
      <c r="C3957" s="14">
        <v>44968</v>
      </c>
      <c r="D3957" s="15">
        <v>148.33000000000001</v>
      </c>
      <c r="E3957" s="7">
        <f t="shared" si="61"/>
        <v>1</v>
      </c>
    </row>
    <row r="3958" spans="1:5" x14ac:dyDescent="0.25">
      <c r="A3958" s="7">
        <f>IF(E3958=1,
      SUM($E$2:E3958)-1,
"")</f>
        <v>3954</v>
      </c>
      <c r="B3958" s="6" t="s">
        <v>167</v>
      </c>
      <c r="C3958" s="14">
        <v>45147</v>
      </c>
      <c r="D3958" s="15">
        <v>118.87</v>
      </c>
      <c r="E3958" s="7">
        <f t="shared" si="61"/>
        <v>1</v>
      </c>
    </row>
    <row r="3959" spans="1:5" x14ac:dyDescent="0.25">
      <c r="A3959" s="7">
        <f>IF(E3959=1,
      SUM($E$2:E3959)-1,
"")</f>
        <v>3955</v>
      </c>
      <c r="B3959" s="6" t="s">
        <v>996</v>
      </c>
      <c r="C3959" s="14">
        <v>45236</v>
      </c>
      <c r="D3959" s="15">
        <v>59.52</v>
      </c>
      <c r="E3959" s="7">
        <f t="shared" si="61"/>
        <v>1</v>
      </c>
    </row>
    <row r="3960" spans="1:5" x14ac:dyDescent="0.25">
      <c r="A3960" s="7">
        <f>IF(E3960=1,
      SUM($E$2:E3960)-1,
"")</f>
        <v>3956</v>
      </c>
      <c r="B3960" s="6" t="s">
        <v>728</v>
      </c>
      <c r="C3960" s="14">
        <v>45082</v>
      </c>
      <c r="D3960" s="15">
        <v>116.53</v>
      </c>
      <c r="E3960" s="7">
        <f t="shared" si="61"/>
        <v>1</v>
      </c>
    </row>
    <row r="3961" spans="1:5" x14ac:dyDescent="0.25">
      <c r="A3961" s="7">
        <f>IF(E3961=1,
      SUM($E$2:E3961)-1,
"")</f>
        <v>3957</v>
      </c>
      <c r="B3961" s="6" t="s">
        <v>487</v>
      </c>
      <c r="C3961" s="14">
        <v>45025</v>
      </c>
      <c r="D3961" s="15">
        <v>79.319999999999993</v>
      </c>
      <c r="E3961" s="7">
        <f t="shared" si="61"/>
        <v>1</v>
      </c>
    </row>
    <row r="3962" spans="1:5" x14ac:dyDescent="0.25">
      <c r="A3962" s="7">
        <f>IF(E3962=1,
      SUM($E$2:E3962)-1,
"")</f>
        <v>3958</v>
      </c>
      <c r="B3962" s="6" t="s">
        <v>601</v>
      </c>
      <c r="C3962" s="14">
        <v>45083</v>
      </c>
      <c r="D3962" s="15">
        <v>104.07</v>
      </c>
      <c r="E3962" s="7">
        <f t="shared" si="61"/>
        <v>1</v>
      </c>
    </row>
    <row r="3963" spans="1:5" x14ac:dyDescent="0.25">
      <c r="A3963" s="7">
        <f>IF(E3963=1,
      SUM($E$2:E3963)-1,
"")</f>
        <v>3959</v>
      </c>
      <c r="B3963" s="6" t="s">
        <v>849</v>
      </c>
      <c r="C3963" s="14">
        <v>45276</v>
      </c>
      <c r="D3963" s="15">
        <v>78.06</v>
      </c>
      <c r="E3963" s="7">
        <f t="shared" si="61"/>
        <v>1</v>
      </c>
    </row>
    <row r="3964" spans="1:5" x14ac:dyDescent="0.25">
      <c r="A3964" s="7">
        <f>IF(E3964=1,
      SUM($E$2:E3964)-1,
"")</f>
        <v>3960</v>
      </c>
      <c r="B3964" s="6" t="s">
        <v>111</v>
      </c>
      <c r="C3964" s="14">
        <v>45007</v>
      </c>
      <c r="D3964" s="15">
        <v>34.17</v>
      </c>
      <c r="E3964" s="7">
        <f t="shared" si="61"/>
        <v>1</v>
      </c>
    </row>
    <row r="3965" spans="1:5" x14ac:dyDescent="0.25">
      <c r="A3965" s="7">
        <f>IF(E3965=1,
      SUM($E$2:E3965)-1,
"")</f>
        <v>3961</v>
      </c>
      <c r="B3965" s="6" t="s">
        <v>693</v>
      </c>
      <c r="C3965" s="14">
        <v>44949</v>
      </c>
      <c r="D3965" s="15">
        <v>99.35</v>
      </c>
      <c r="E3965" s="7">
        <f t="shared" si="61"/>
        <v>1</v>
      </c>
    </row>
    <row r="3966" spans="1:5" x14ac:dyDescent="0.25">
      <c r="A3966" s="7">
        <f>IF(E3966=1,
      SUM($E$2:E3966)-1,
"")</f>
        <v>3962</v>
      </c>
      <c r="B3966" s="6" t="s">
        <v>604</v>
      </c>
      <c r="C3966" s="14">
        <v>45090</v>
      </c>
      <c r="D3966" s="15">
        <v>56.97</v>
      </c>
      <c r="E3966" s="7">
        <f t="shared" si="61"/>
        <v>1</v>
      </c>
    </row>
    <row r="3967" spans="1:5" x14ac:dyDescent="0.25">
      <c r="A3967" s="7">
        <f>IF(E3967=1,
      SUM($E$2:E3967)-1,
"")</f>
        <v>3963</v>
      </c>
      <c r="B3967" s="6" t="s">
        <v>513</v>
      </c>
      <c r="C3967" s="14">
        <v>45194</v>
      </c>
      <c r="D3967" s="15">
        <v>112.59</v>
      </c>
      <c r="E3967" s="7">
        <f t="shared" si="61"/>
        <v>1</v>
      </c>
    </row>
    <row r="3968" spans="1:5" x14ac:dyDescent="0.25">
      <c r="A3968" s="7">
        <f>IF(E3968=1,
      SUM($E$2:E3968)-1,
"")</f>
        <v>3964</v>
      </c>
      <c r="B3968" s="6" t="s">
        <v>600</v>
      </c>
      <c r="C3968" s="14">
        <v>45014</v>
      </c>
      <c r="D3968" s="15">
        <v>105.24</v>
      </c>
      <c r="E3968" s="7">
        <f t="shared" si="61"/>
        <v>1</v>
      </c>
    </row>
    <row r="3969" spans="1:5" x14ac:dyDescent="0.25">
      <c r="A3969" s="7">
        <f>IF(E3969=1,
      SUM($E$2:E3969)-1,
"")</f>
        <v>3965</v>
      </c>
      <c r="B3969" s="6" t="s">
        <v>775</v>
      </c>
      <c r="C3969" s="14">
        <v>45084</v>
      </c>
      <c r="D3969" s="15">
        <v>81.88</v>
      </c>
      <c r="E3969" s="7">
        <f t="shared" si="61"/>
        <v>1</v>
      </c>
    </row>
    <row r="3970" spans="1:5" x14ac:dyDescent="0.25">
      <c r="A3970" s="7">
        <f>IF(E3970=1,
      SUM($E$2:E3970)-1,
"")</f>
        <v>3966</v>
      </c>
      <c r="B3970" s="6" t="s">
        <v>105</v>
      </c>
      <c r="C3970" s="14">
        <v>45164</v>
      </c>
      <c r="D3970" s="15">
        <v>154.77000000000001</v>
      </c>
      <c r="E3970" s="7">
        <f t="shared" ref="E3970:E4033" si="62">IF(D3970&gt;0,1,0)</f>
        <v>1</v>
      </c>
    </row>
    <row r="3971" spans="1:5" x14ac:dyDescent="0.25">
      <c r="A3971" s="7">
        <f>IF(E3971=1,
      SUM($E$2:E3971)-1,
"")</f>
        <v>3967</v>
      </c>
      <c r="B3971" s="6" t="s">
        <v>673</v>
      </c>
      <c r="C3971" s="14">
        <v>44958</v>
      </c>
      <c r="D3971" s="15">
        <v>62.82</v>
      </c>
      <c r="E3971" s="7">
        <f t="shared" si="62"/>
        <v>1</v>
      </c>
    </row>
    <row r="3972" spans="1:5" x14ac:dyDescent="0.25">
      <c r="A3972" s="7">
        <f>IF(E3972=1,
      SUM($E$2:E3972)-1,
"")</f>
        <v>3968</v>
      </c>
      <c r="B3972" s="6" t="s">
        <v>900</v>
      </c>
      <c r="C3972" s="14">
        <v>45005</v>
      </c>
      <c r="D3972" s="15">
        <v>81.27</v>
      </c>
      <c r="E3972" s="7">
        <f t="shared" si="62"/>
        <v>1</v>
      </c>
    </row>
    <row r="3973" spans="1:5" x14ac:dyDescent="0.25">
      <c r="A3973" s="7">
        <f>IF(E3973=1,
      SUM($E$2:E3973)-1,
"")</f>
        <v>3969</v>
      </c>
      <c r="B3973" s="6" t="s">
        <v>1014</v>
      </c>
      <c r="C3973" s="14">
        <v>45041</v>
      </c>
      <c r="D3973" s="15">
        <v>66.38</v>
      </c>
      <c r="E3973" s="7">
        <f t="shared" si="62"/>
        <v>1</v>
      </c>
    </row>
    <row r="3974" spans="1:5" x14ac:dyDescent="0.25">
      <c r="A3974" s="7">
        <f>IF(E3974=1,
      SUM($E$2:E3974)-1,
"")</f>
        <v>3970</v>
      </c>
      <c r="B3974" s="6" t="s">
        <v>650</v>
      </c>
      <c r="C3974" s="14">
        <v>45028</v>
      </c>
      <c r="D3974" s="15">
        <v>161.24</v>
      </c>
      <c r="E3974" s="7">
        <f t="shared" si="62"/>
        <v>1</v>
      </c>
    </row>
    <row r="3975" spans="1:5" x14ac:dyDescent="0.25">
      <c r="A3975" s="7">
        <f>IF(E3975=1,
      SUM($E$2:E3975)-1,
"")</f>
        <v>3971</v>
      </c>
      <c r="B3975" s="6" t="s">
        <v>214</v>
      </c>
      <c r="C3975" s="14">
        <v>45022</v>
      </c>
      <c r="D3975" s="15">
        <v>140.57</v>
      </c>
      <c r="E3975" s="7">
        <f t="shared" si="62"/>
        <v>1</v>
      </c>
    </row>
    <row r="3976" spans="1:5" x14ac:dyDescent="0.25">
      <c r="A3976" s="7">
        <f>IF(E3976=1,
      SUM($E$2:E3976)-1,
"")</f>
        <v>3972</v>
      </c>
      <c r="B3976" s="6" t="s">
        <v>638</v>
      </c>
      <c r="C3976" s="14">
        <v>45105</v>
      </c>
      <c r="D3976" s="15">
        <v>57.34</v>
      </c>
      <c r="E3976" s="7">
        <f t="shared" si="62"/>
        <v>1</v>
      </c>
    </row>
    <row r="3977" spans="1:5" x14ac:dyDescent="0.25">
      <c r="A3977" s="7">
        <f>IF(E3977=1,
      SUM($E$2:E3977)-1,
"")</f>
        <v>3973</v>
      </c>
      <c r="B3977" s="6" t="s">
        <v>827</v>
      </c>
      <c r="C3977" s="14">
        <v>45079</v>
      </c>
      <c r="D3977" s="15">
        <v>75.23</v>
      </c>
      <c r="E3977" s="7">
        <f t="shared" si="62"/>
        <v>1</v>
      </c>
    </row>
    <row r="3978" spans="1:5" x14ac:dyDescent="0.25">
      <c r="A3978" s="7">
        <f>IF(E3978=1,
      SUM($E$2:E3978)-1,
"")</f>
        <v>3974</v>
      </c>
      <c r="B3978" s="6" t="s">
        <v>211</v>
      </c>
      <c r="C3978" s="14">
        <v>45010</v>
      </c>
      <c r="D3978" s="15">
        <v>76.25</v>
      </c>
      <c r="E3978" s="7">
        <f t="shared" si="62"/>
        <v>1</v>
      </c>
    </row>
    <row r="3979" spans="1:5" x14ac:dyDescent="0.25">
      <c r="A3979" s="7">
        <f>IF(E3979=1,
      SUM($E$2:E3979)-1,
"")</f>
        <v>3975</v>
      </c>
      <c r="B3979" s="6" t="s">
        <v>207</v>
      </c>
      <c r="C3979" s="14">
        <v>45082</v>
      </c>
      <c r="D3979" s="15">
        <v>83.48</v>
      </c>
      <c r="E3979" s="7">
        <f t="shared" si="62"/>
        <v>1</v>
      </c>
    </row>
    <row r="3980" spans="1:5" x14ac:dyDescent="0.25">
      <c r="A3980" s="7">
        <f>IF(E3980=1,
      SUM($E$2:E3980)-1,
"")</f>
        <v>3976</v>
      </c>
      <c r="B3980" s="6" t="s">
        <v>92</v>
      </c>
      <c r="C3980" s="14">
        <v>44928</v>
      </c>
      <c r="D3980" s="15">
        <v>68.72</v>
      </c>
      <c r="E3980" s="7">
        <f t="shared" si="62"/>
        <v>1</v>
      </c>
    </row>
    <row r="3981" spans="1:5" x14ac:dyDescent="0.25">
      <c r="A3981" s="7">
        <f>IF(E3981=1,
      SUM($E$2:E3981)-1,
"")</f>
        <v>3977</v>
      </c>
      <c r="B3981" s="6" t="s">
        <v>755</v>
      </c>
      <c r="C3981" s="14">
        <v>45217</v>
      </c>
      <c r="D3981" s="15">
        <v>81.83</v>
      </c>
      <c r="E3981" s="7">
        <f t="shared" si="62"/>
        <v>1</v>
      </c>
    </row>
    <row r="3982" spans="1:5" x14ac:dyDescent="0.25">
      <c r="A3982" s="7">
        <f>IF(E3982=1,
      SUM($E$2:E3982)-1,
"")</f>
        <v>3978</v>
      </c>
      <c r="B3982" s="6" t="s">
        <v>755</v>
      </c>
      <c r="C3982" s="14">
        <v>45145</v>
      </c>
      <c r="D3982" s="15">
        <v>130.15</v>
      </c>
      <c r="E3982" s="7">
        <f t="shared" si="62"/>
        <v>1</v>
      </c>
    </row>
    <row r="3983" spans="1:5" x14ac:dyDescent="0.25">
      <c r="A3983" s="7">
        <f>IF(E3983=1,
      SUM($E$2:E3983)-1,
"")</f>
        <v>3979</v>
      </c>
      <c r="B3983" s="6" t="s">
        <v>477</v>
      </c>
      <c r="C3983" s="14">
        <v>44972</v>
      </c>
      <c r="D3983" s="15">
        <v>158.41</v>
      </c>
      <c r="E3983" s="7">
        <f t="shared" si="62"/>
        <v>1</v>
      </c>
    </row>
    <row r="3984" spans="1:5" x14ac:dyDescent="0.25">
      <c r="A3984" s="7">
        <f>IF(E3984=1,
      SUM($E$2:E3984)-1,
"")</f>
        <v>3980</v>
      </c>
      <c r="B3984" s="6" t="s">
        <v>216</v>
      </c>
      <c r="C3984" s="14">
        <v>45080</v>
      </c>
      <c r="D3984" s="15">
        <v>53.67</v>
      </c>
      <c r="E3984" s="7">
        <f t="shared" si="62"/>
        <v>1</v>
      </c>
    </row>
    <row r="3985" spans="1:5" x14ac:dyDescent="0.25">
      <c r="A3985" s="7">
        <f>IF(E3985=1,
      SUM($E$2:E3985)-1,
"")</f>
        <v>3981</v>
      </c>
      <c r="B3985" s="6" t="s">
        <v>624</v>
      </c>
      <c r="C3985" s="14">
        <v>45184</v>
      </c>
      <c r="D3985" s="15">
        <v>68.77</v>
      </c>
      <c r="E3985" s="7">
        <f t="shared" si="62"/>
        <v>1</v>
      </c>
    </row>
    <row r="3986" spans="1:5" x14ac:dyDescent="0.25">
      <c r="A3986" s="7">
        <f>IF(E3986=1,
      SUM($E$2:E3986)-1,
"")</f>
        <v>3982</v>
      </c>
      <c r="B3986" s="6" t="s">
        <v>563</v>
      </c>
      <c r="C3986" s="14">
        <v>45164</v>
      </c>
      <c r="D3986" s="15">
        <v>106.41</v>
      </c>
      <c r="E3986" s="7">
        <f t="shared" si="62"/>
        <v>1</v>
      </c>
    </row>
    <row r="3987" spans="1:5" x14ac:dyDescent="0.25">
      <c r="A3987" s="7">
        <f>IF(E3987=1,
      SUM($E$2:E3987)-1,
"")</f>
        <v>3983</v>
      </c>
      <c r="B3987" s="6" t="s">
        <v>400</v>
      </c>
      <c r="C3987" s="14">
        <v>45283</v>
      </c>
      <c r="D3987" s="15">
        <v>52.59</v>
      </c>
      <c r="E3987" s="7">
        <f t="shared" si="62"/>
        <v>1</v>
      </c>
    </row>
    <row r="3988" spans="1:5" x14ac:dyDescent="0.25">
      <c r="A3988" s="7">
        <f>IF(E3988=1,
      SUM($E$2:E3988)-1,
"")</f>
        <v>3984</v>
      </c>
      <c r="B3988" s="6" t="s">
        <v>1027</v>
      </c>
      <c r="C3988" s="14">
        <v>45246</v>
      </c>
      <c r="D3988" s="15">
        <v>107.18</v>
      </c>
      <c r="E3988" s="7">
        <f t="shared" si="62"/>
        <v>1</v>
      </c>
    </row>
    <row r="3989" spans="1:5" x14ac:dyDescent="0.25">
      <c r="A3989" s="7">
        <f>IF(E3989=1,
      SUM($E$2:E3989)-1,
"")</f>
        <v>3985</v>
      </c>
      <c r="B3989" s="6" t="s">
        <v>827</v>
      </c>
      <c r="C3989" s="14">
        <v>44978</v>
      </c>
      <c r="D3989" s="15">
        <v>116.2</v>
      </c>
      <c r="E3989" s="7">
        <f t="shared" si="62"/>
        <v>1</v>
      </c>
    </row>
    <row r="3990" spans="1:5" x14ac:dyDescent="0.25">
      <c r="A3990" s="7">
        <f>IF(E3990=1,
      SUM($E$2:E3990)-1,
"")</f>
        <v>3986</v>
      </c>
      <c r="B3990" s="6" t="s">
        <v>598</v>
      </c>
      <c r="C3990" s="14">
        <v>45197</v>
      </c>
      <c r="D3990" s="15">
        <v>121.02</v>
      </c>
      <c r="E3990" s="7">
        <f t="shared" si="62"/>
        <v>1</v>
      </c>
    </row>
    <row r="3991" spans="1:5" x14ac:dyDescent="0.25">
      <c r="A3991" s="7">
        <f>IF(E3991=1,
      SUM($E$2:E3991)-1,
"")</f>
        <v>3987</v>
      </c>
      <c r="B3991" s="6" t="s">
        <v>857</v>
      </c>
      <c r="C3991" s="14">
        <v>45190</v>
      </c>
      <c r="D3991" s="15">
        <v>115.36</v>
      </c>
      <c r="E3991" s="7">
        <f t="shared" si="62"/>
        <v>1</v>
      </c>
    </row>
    <row r="3992" spans="1:5" x14ac:dyDescent="0.25">
      <c r="A3992" s="7">
        <f>IF(E3992=1,
      SUM($E$2:E3992)-1,
"")</f>
        <v>3988</v>
      </c>
      <c r="B3992" s="6" t="s">
        <v>333</v>
      </c>
      <c r="C3992" s="14">
        <v>44951</v>
      </c>
      <c r="D3992" s="15">
        <v>83.94</v>
      </c>
      <c r="E3992" s="7">
        <f t="shared" si="62"/>
        <v>1</v>
      </c>
    </row>
    <row r="3993" spans="1:5" x14ac:dyDescent="0.25">
      <c r="A3993" s="7">
        <f>IF(E3993=1,
      SUM($E$2:E3993)-1,
"")</f>
        <v>3989</v>
      </c>
      <c r="B3993" s="6" t="s">
        <v>779</v>
      </c>
      <c r="C3993" s="14">
        <v>45147</v>
      </c>
      <c r="D3993" s="15">
        <v>94.55</v>
      </c>
      <c r="E3993" s="7">
        <f t="shared" si="62"/>
        <v>1</v>
      </c>
    </row>
    <row r="3994" spans="1:5" x14ac:dyDescent="0.25">
      <c r="A3994" s="7">
        <f>IF(E3994=1,
      SUM($E$2:E3994)-1,
"")</f>
        <v>3990</v>
      </c>
      <c r="B3994" s="6" t="s">
        <v>898</v>
      </c>
      <c r="C3994" s="14">
        <v>45266</v>
      </c>
      <c r="D3994" s="15">
        <v>64.61</v>
      </c>
      <c r="E3994" s="7">
        <f t="shared" si="62"/>
        <v>1</v>
      </c>
    </row>
    <row r="3995" spans="1:5" x14ac:dyDescent="0.25">
      <c r="A3995" s="7">
        <f>IF(E3995=1,
      SUM($E$2:E3995)-1,
"")</f>
        <v>3991</v>
      </c>
      <c r="B3995" s="6" t="s">
        <v>334</v>
      </c>
      <c r="C3995" s="14">
        <v>45073</v>
      </c>
      <c r="D3995" s="15">
        <v>113.93</v>
      </c>
      <c r="E3995" s="7">
        <f t="shared" si="62"/>
        <v>1</v>
      </c>
    </row>
    <row r="3996" spans="1:5" x14ac:dyDescent="0.25">
      <c r="A3996" s="7">
        <f>IF(E3996=1,
      SUM($E$2:E3996)-1,
"")</f>
        <v>3992</v>
      </c>
      <c r="B3996" s="6" t="s">
        <v>333</v>
      </c>
      <c r="C3996" s="14">
        <v>45275</v>
      </c>
      <c r="D3996" s="15">
        <v>148.1</v>
      </c>
      <c r="E3996" s="7">
        <f t="shared" si="62"/>
        <v>1</v>
      </c>
    </row>
    <row r="3997" spans="1:5" x14ac:dyDescent="0.25">
      <c r="A3997" s="7">
        <f>IF(E3997=1,
      SUM($E$2:E3997)-1,
"")</f>
        <v>3993</v>
      </c>
      <c r="B3997" s="6" t="s">
        <v>559</v>
      </c>
      <c r="C3997" s="14">
        <v>45126</v>
      </c>
      <c r="D3997" s="15">
        <v>113.87</v>
      </c>
      <c r="E3997" s="7">
        <f t="shared" si="62"/>
        <v>1</v>
      </c>
    </row>
    <row r="3998" spans="1:5" x14ac:dyDescent="0.25">
      <c r="A3998" s="7">
        <f>IF(E3998=1,
      SUM($E$2:E3998)-1,
"")</f>
        <v>3994</v>
      </c>
      <c r="B3998" s="6" t="s">
        <v>562</v>
      </c>
      <c r="C3998" s="14">
        <v>45211</v>
      </c>
      <c r="D3998" s="15">
        <v>79.150000000000006</v>
      </c>
      <c r="E3998" s="7">
        <f t="shared" si="62"/>
        <v>1</v>
      </c>
    </row>
    <row r="3999" spans="1:5" x14ac:dyDescent="0.25">
      <c r="A3999" s="7">
        <f>IF(E3999=1,
      SUM($E$2:E3999)-1,
"")</f>
        <v>3995</v>
      </c>
      <c r="B3999" s="6" t="s">
        <v>693</v>
      </c>
      <c r="C3999" s="14">
        <v>45221</v>
      </c>
      <c r="D3999" s="15">
        <v>129.84</v>
      </c>
      <c r="E3999" s="7">
        <f t="shared" si="62"/>
        <v>1</v>
      </c>
    </row>
    <row r="4000" spans="1:5" x14ac:dyDescent="0.25">
      <c r="A4000" s="7">
        <f>IF(E4000=1,
      SUM($E$2:E4000)-1,
"")</f>
        <v>3996</v>
      </c>
      <c r="B4000" s="6" t="s">
        <v>631</v>
      </c>
      <c r="C4000" s="14">
        <v>44983</v>
      </c>
      <c r="D4000" s="15">
        <v>170.97</v>
      </c>
      <c r="E4000" s="7">
        <f t="shared" si="62"/>
        <v>1</v>
      </c>
    </row>
    <row r="4001" spans="1:5" x14ac:dyDescent="0.25">
      <c r="A4001" s="7">
        <f>IF(E4001=1,
      SUM($E$2:E4001)-1,
"")</f>
        <v>3997</v>
      </c>
      <c r="B4001" s="6" t="s">
        <v>887</v>
      </c>
      <c r="C4001" s="14">
        <v>45039</v>
      </c>
      <c r="D4001" s="15">
        <v>107.29</v>
      </c>
      <c r="E4001" s="7">
        <f t="shared" si="62"/>
        <v>1</v>
      </c>
    </row>
    <row r="4002" spans="1:5" x14ac:dyDescent="0.25">
      <c r="A4002" s="7">
        <f>IF(E4002=1,
      SUM($E$2:E4002)-1,
"")</f>
        <v>3998</v>
      </c>
      <c r="B4002" s="6" t="s">
        <v>108</v>
      </c>
      <c r="C4002" s="14">
        <v>45131</v>
      </c>
      <c r="D4002" s="15">
        <v>116.63</v>
      </c>
      <c r="E4002" s="7">
        <f t="shared" si="62"/>
        <v>1</v>
      </c>
    </row>
    <row r="4003" spans="1:5" x14ac:dyDescent="0.25">
      <c r="A4003" s="7">
        <f>IF(E4003=1,
      SUM($E$2:E4003)-1,
"")</f>
        <v>3999</v>
      </c>
      <c r="B4003" s="6" t="s">
        <v>392</v>
      </c>
      <c r="C4003" s="14">
        <v>44966</v>
      </c>
      <c r="D4003" s="15">
        <v>120.33</v>
      </c>
      <c r="E4003" s="7">
        <f t="shared" si="62"/>
        <v>1</v>
      </c>
    </row>
    <row r="4004" spans="1:5" x14ac:dyDescent="0.25">
      <c r="A4004" s="7">
        <f>IF(E4004=1,
      SUM($E$2:E4004)-1,
"")</f>
        <v>4000</v>
      </c>
      <c r="B4004" s="6" t="s">
        <v>1038</v>
      </c>
      <c r="C4004" s="14">
        <v>45255</v>
      </c>
      <c r="D4004" s="15">
        <v>51.87</v>
      </c>
      <c r="E4004" s="7">
        <f t="shared" si="62"/>
        <v>1</v>
      </c>
    </row>
    <row r="4005" spans="1:5" x14ac:dyDescent="0.25">
      <c r="A4005" s="7">
        <f>IF(E4005=1,
      SUM($E$2:E4005)-1,
"")</f>
        <v>4001</v>
      </c>
      <c r="B4005" s="6" t="s">
        <v>993</v>
      </c>
      <c r="C4005" s="14">
        <v>45092</v>
      </c>
      <c r="D4005" s="15">
        <v>87.67</v>
      </c>
      <c r="E4005" s="7">
        <f t="shared" si="62"/>
        <v>1</v>
      </c>
    </row>
    <row r="4006" spans="1:5" x14ac:dyDescent="0.25">
      <c r="A4006" s="7">
        <f>IF(E4006=1,
      SUM($E$2:E4006)-1,
"")</f>
        <v>4002</v>
      </c>
      <c r="B4006" s="6" t="s">
        <v>562</v>
      </c>
      <c r="C4006" s="14">
        <v>45093</v>
      </c>
      <c r="D4006" s="15">
        <v>84.58</v>
      </c>
      <c r="E4006" s="7">
        <f t="shared" si="62"/>
        <v>1</v>
      </c>
    </row>
    <row r="4007" spans="1:5" x14ac:dyDescent="0.25">
      <c r="A4007" s="7">
        <f>IF(E4007=1,
      SUM($E$2:E4007)-1,
"")</f>
        <v>4003</v>
      </c>
      <c r="B4007" s="6" t="s">
        <v>720</v>
      </c>
      <c r="C4007" s="14">
        <v>45038</v>
      </c>
      <c r="D4007" s="15">
        <v>125.05</v>
      </c>
      <c r="E4007" s="7">
        <f t="shared" si="62"/>
        <v>1</v>
      </c>
    </row>
    <row r="4008" spans="1:5" x14ac:dyDescent="0.25">
      <c r="A4008" s="7">
        <f>IF(E4008=1,
      SUM($E$2:E4008)-1,
"")</f>
        <v>4004</v>
      </c>
      <c r="B4008" s="6" t="s">
        <v>338</v>
      </c>
      <c r="C4008" s="14">
        <v>45114</v>
      </c>
      <c r="D4008" s="15">
        <v>121.55</v>
      </c>
      <c r="E4008" s="7">
        <f t="shared" si="62"/>
        <v>1</v>
      </c>
    </row>
    <row r="4009" spans="1:5" x14ac:dyDescent="0.25">
      <c r="A4009" s="7">
        <f>IF(E4009=1,
      SUM($E$2:E4009)-1,
"")</f>
        <v>4005</v>
      </c>
      <c r="B4009" s="6" t="s">
        <v>596</v>
      </c>
      <c r="C4009" s="14">
        <v>45258</v>
      </c>
      <c r="D4009" s="15">
        <v>96.38</v>
      </c>
      <c r="E4009" s="7">
        <f t="shared" si="62"/>
        <v>1</v>
      </c>
    </row>
    <row r="4010" spans="1:5" x14ac:dyDescent="0.25">
      <c r="A4010" s="7">
        <f>IF(E4010=1,
      SUM($E$2:E4010)-1,
"")</f>
        <v>4006</v>
      </c>
      <c r="B4010" s="6" t="s">
        <v>532</v>
      </c>
      <c r="C4010" s="14">
        <v>45211</v>
      </c>
      <c r="D4010" s="15">
        <v>82.78</v>
      </c>
      <c r="E4010" s="7">
        <f t="shared" si="62"/>
        <v>1</v>
      </c>
    </row>
    <row r="4011" spans="1:5" x14ac:dyDescent="0.25">
      <c r="A4011" s="7">
        <f>IF(E4011=1,
      SUM($E$2:E4011)-1,
"")</f>
        <v>4007</v>
      </c>
      <c r="B4011" s="6" t="s">
        <v>817</v>
      </c>
      <c r="C4011" s="14">
        <v>45073</v>
      </c>
      <c r="D4011" s="15">
        <v>49.4</v>
      </c>
      <c r="E4011" s="7">
        <f t="shared" si="62"/>
        <v>1</v>
      </c>
    </row>
    <row r="4012" spans="1:5" x14ac:dyDescent="0.25">
      <c r="A4012" s="7">
        <f>IF(E4012=1,
      SUM($E$2:E4012)-1,
"")</f>
        <v>4008</v>
      </c>
      <c r="B4012" s="6" t="s">
        <v>1044</v>
      </c>
      <c r="C4012" s="14">
        <v>45135</v>
      </c>
      <c r="D4012" s="15">
        <v>99.54</v>
      </c>
      <c r="E4012" s="7">
        <f t="shared" si="62"/>
        <v>1</v>
      </c>
    </row>
    <row r="4013" spans="1:5" x14ac:dyDescent="0.25">
      <c r="A4013" s="7">
        <f>IF(E4013=1,
      SUM($E$2:E4013)-1,
"")</f>
        <v>4009</v>
      </c>
      <c r="B4013" s="6" t="s">
        <v>268</v>
      </c>
      <c r="C4013" s="14">
        <v>45289</v>
      </c>
      <c r="D4013" s="15">
        <v>71.36</v>
      </c>
      <c r="E4013" s="7">
        <f t="shared" si="62"/>
        <v>1</v>
      </c>
    </row>
    <row r="4014" spans="1:5" x14ac:dyDescent="0.25">
      <c r="A4014" s="7">
        <f>IF(E4014=1,
      SUM($E$2:E4014)-1,
"")</f>
        <v>4010</v>
      </c>
      <c r="B4014" s="6" t="s">
        <v>622</v>
      </c>
      <c r="C4014" s="14">
        <v>45126</v>
      </c>
      <c r="D4014" s="15">
        <v>67.64</v>
      </c>
      <c r="E4014" s="7">
        <f t="shared" si="62"/>
        <v>1</v>
      </c>
    </row>
    <row r="4015" spans="1:5" x14ac:dyDescent="0.25">
      <c r="A4015" s="7">
        <f>IF(E4015=1,
      SUM($E$2:E4015)-1,
"")</f>
        <v>4011</v>
      </c>
      <c r="B4015" s="6" t="s">
        <v>97</v>
      </c>
      <c r="C4015" s="14">
        <v>45089</v>
      </c>
      <c r="D4015" s="15">
        <v>127.79</v>
      </c>
      <c r="E4015" s="7">
        <f t="shared" si="62"/>
        <v>1</v>
      </c>
    </row>
    <row r="4016" spans="1:5" x14ac:dyDescent="0.25">
      <c r="A4016" s="7">
        <f>IF(E4016=1,
      SUM($E$2:E4016)-1,
"")</f>
        <v>4012</v>
      </c>
      <c r="B4016" s="6" t="s">
        <v>355</v>
      </c>
      <c r="C4016" s="14">
        <v>45099</v>
      </c>
      <c r="D4016" s="15">
        <v>124.66</v>
      </c>
      <c r="E4016" s="7">
        <f t="shared" si="62"/>
        <v>1</v>
      </c>
    </row>
    <row r="4017" spans="1:5" x14ac:dyDescent="0.25">
      <c r="A4017" s="7">
        <f>IF(E4017=1,
      SUM($E$2:E4017)-1,
"")</f>
        <v>4013</v>
      </c>
      <c r="B4017" s="6" t="s">
        <v>329</v>
      </c>
      <c r="C4017" s="14">
        <v>45058</v>
      </c>
      <c r="D4017" s="15">
        <v>85.34</v>
      </c>
      <c r="E4017" s="7">
        <f t="shared" si="62"/>
        <v>1</v>
      </c>
    </row>
    <row r="4018" spans="1:5" x14ac:dyDescent="0.25">
      <c r="A4018" s="7">
        <f>IF(E4018=1,
      SUM($E$2:E4018)-1,
"")</f>
        <v>4014</v>
      </c>
      <c r="B4018" s="6" t="s">
        <v>103</v>
      </c>
      <c r="C4018" s="14">
        <v>45087</v>
      </c>
      <c r="D4018" s="15">
        <v>52.93</v>
      </c>
      <c r="E4018" s="7">
        <f t="shared" si="62"/>
        <v>1</v>
      </c>
    </row>
    <row r="4019" spans="1:5" x14ac:dyDescent="0.25">
      <c r="A4019" s="7">
        <f>IF(E4019=1,
      SUM($E$2:E4019)-1,
"")</f>
        <v>4015</v>
      </c>
      <c r="B4019" s="6" t="s">
        <v>921</v>
      </c>
      <c r="C4019" s="14">
        <v>45143</v>
      </c>
      <c r="D4019" s="15">
        <v>75.23</v>
      </c>
      <c r="E4019" s="7">
        <f t="shared" si="62"/>
        <v>1</v>
      </c>
    </row>
    <row r="4020" spans="1:5" x14ac:dyDescent="0.25">
      <c r="A4020" s="7">
        <f>IF(E4020=1,
      SUM($E$2:E4020)-1,
"")</f>
        <v>4016</v>
      </c>
      <c r="B4020" s="6" t="s">
        <v>804</v>
      </c>
      <c r="C4020" s="14">
        <v>45134</v>
      </c>
      <c r="D4020" s="15">
        <v>129.80000000000001</v>
      </c>
      <c r="E4020" s="7">
        <f t="shared" si="62"/>
        <v>1</v>
      </c>
    </row>
    <row r="4021" spans="1:5" x14ac:dyDescent="0.25">
      <c r="A4021" s="7">
        <f>IF(E4021=1,
      SUM($E$2:E4021)-1,
"")</f>
        <v>4017</v>
      </c>
      <c r="B4021" s="6" t="s">
        <v>365</v>
      </c>
      <c r="C4021" s="14">
        <v>45014</v>
      </c>
      <c r="D4021" s="15">
        <v>114.03</v>
      </c>
      <c r="E4021" s="7">
        <f t="shared" si="62"/>
        <v>1</v>
      </c>
    </row>
    <row r="4022" spans="1:5" x14ac:dyDescent="0.25">
      <c r="A4022" s="7">
        <f>IF(E4022=1,
      SUM($E$2:E4022)-1,
"")</f>
        <v>4018</v>
      </c>
      <c r="B4022" s="6" t="s">
        <v>526</v>
      </c>
      <c r="C4022" s="14">
        <v>44989</v>
      </c>
      <c r="D4022" s="15">
        <v>85.85</v>
      </c>
      <c r="E4022" s="7">
        <f t="shared" si="62"/>
        <v>1</v>
      </c>
    </row>
    <row r="4023" spans="1:5" x14ac:dyDescent="0.25">
      <c r="A4023" s="7">
        <f>IF(E4023=1,
      SUM($E$2:E4023)-1,
"")</f>
        <v>4019</v>
      </c>
      <c r="B4023" s="6" t="s">
        <v>267</v>
      </c>
      <c r="C4023" s="14">
        <v>45127</v>
      </c>
      <c r="D4023" s="15">
        <v>101.76</v>
      </c>
      <c r="E4023" s="7">
        <f t="shared" si="62"/>
        <v>1</v>
      </c>
    </row>
    <row r="4024" spans="1:5" x14ac:dyDescent="0.25">
      <c r="A4024" s="7">
        <f>IF(E4024=1,
      SUM($E$2:E4024)-1,
"")</f>
        <v>4020</v>
      </c>
      <c r="B4024" s="6" t="s">
        <v>503</v>
      </c>
      <c r="C4024" s="14">
        <v>44982</v>
      </c>
      <c r="D4024" s="15">
        <v>37.76</v>
      </c>
      <c r="E4024" s="7">
        <f t="shared" si="62"/>
        <v>1</v>
      </c>
    </row>
    <row r="4025" spans="1:5" x14ac:dyDescent="0.25">
      <c r="A4025" s="7">
        <f>IF(E4025=1,
      SUM($E$2:E4025)-1,
"")</f>
        <v>4021</v>
      </c>
      <c r="B4025" s="6" t="s">
        <v>112</v>
      </c>
      <c r="C4025" s="14">
        <v>45225</v>
      </c>
      <c r="D4025" s="15">
        <v>35.479999999999997</v>
      </c>
      <c r="E4025" s="7">
        <f t="shared" si="62"/>
        <v>1</v>
      </c>
    </row>
    <row r="4026" spans="1:5" x14ac:dyDescent="0.25">
      <c r="A4026" s="7">
        <f>IF(E4026=1,
      SUM($E$2:E4026)-1,
"")</f>
        <v>4022</v>
      </c>
      <c r="B4026" s="6" t="s">
        <v>419</v>
      </c>
      <c r="C4026" s="14">
        <v>45205</v>
      </c>
      <c r="D4026" s="15">
        <v>159.31</v>
      </c>
      <c r="E4026" s="7">
        <f t="shared" si="62"/>
        <v>1</v>
      </c>
    </row>
    <row r="4027" spans="1:5" x14ac:dyDescent="0.25">
      <c r="A4027" s="7">
        <f>IF(E4027=1,
      SUM($E$2:E4027)-1,
"")</f>
        <v>4023</v>
      </c>
      <c r="B4027" s="6" t="s">
        <v>866</v>
      </c>
      <c r="C4027" s="14">
        <v>45076</v>
      </c>
      <c r="D4027" s="15">
        <v>115.2</v>
      </c>
      <c r="E4027" s="7">
        <f t="shared" si="62"/>
        <v>1</v>
      </c>
    </row>
    <row r="4028" spans="1:5" x14ac:dyDescent="0.25">
      <c r="A4028" s="7">
        <f>IF(E4028=1,
      SUM($E$2:E4028)-1,
"")</f>
        <v>4024</v>
      </c>
      <c r="B4028" s="6" t="s">
        <v>821</v>
      </c>
      <c r="C4028" s="14">
        <v>45292</v>
      </c>
      <c r="D4028" s="15">
        <v>100.05</v>
      </c>
      <c r="E4028" s="7">
        <f t="shared" si="62"/>
        <v>1</v>
      </c>
    </row>
    <row r="4029" spans="1:5" x14ac:dyDescent="0.25">
      <c r="A4029" s="7">
        <f>IF(E4029=1,
      SUM($E$2:E4029)-1,
"")</f>
        <v>4025</v>
      </c>
      <c r="B4029" s="6" t="s">
        <v>104</v>
      </c>
      <c r="C4029" s="14">
        <v>45158</v>
      </c>
      <c r="D4029" s="15">
        <v>88.09</v>
      </c>
      <c r="E4029" s="7">
        <f t="shared" si="62"/>
        <v>1</v>
      </c>
    </row>
    <row r="4030" spans="1:5" x14ac:dyDescent="0.25">
      <c r="A4030" s="7">
        <f>IF(E4030=1,
      SUM($E$2:E4030)-1,
"")</f>
        <v>4026</v>
      </c>
      <c r="B4030" s="6" t="s">
        <v>664</v>
      </c>
      <c r="C4030" s="14">
        <v>45108</v>
      </c>
      <c r="D4030" s="15">
        <v>47.14</v>
      </c>
      <c r="E4030" s="7">
        <f t="shared" si="62"/>
        <v>1</v>
      </c>
    </row>
    <row r="4031" spans="1:5" x14ac:dyDescent="0.25">
      <c r="A4031" s="7">
        <f>IF(E4031=1,
      SUM($E$2:E4031)-1,
"")</f>
        <v>4027</v>
      </c>
      <c r="B4031" s="6" t="s">
        <v>531</v>
      </c>
      <c r="C4031" s="14">
        <v>44942</v>
      </c>
      <c r="D4031" s="15">
        <v>129.80000000000001</v>
      </c>
      <c r="E4031" s="7">
        <f t="shared" si="62"/>
        <v>1</v>
      </c>
    </row>
    <row r="4032" spans="1:5" x14ac:dyDescent="0.25">
      <c r="A4032" s="7">
        <f>IF(E4032=1,
      SUM($E$2:E4032)-1,
"")</f>
        <v>4028</v>
      </c>
      <c r="B4032" s="6" t="s">
        <v>980</v>
      </c>
      <c r="C4032" s="14">
        <v>45153</v>
      </c>
      <c r="D4032" s="15">
        <v>65.89</v>
      </c>
      <c r="E4032" s="7">
        <f t="shared" si="62"/>
        <v>1</v>
      </c>
    </row>
    <row r="4033" spans="1:5" x14ac:dyDescent="0.25">
      <c r="A4033" s="7">
        <f>IF(E4033=1,
      SUM($E$2:E4033)-1,
"")</f>
        <v>4029</v>
      </c>
      <c r="B4033" s="6" t="s">
        <v>1045</v>
      </c>
      <c r="C4033" s="14">
        <v>45187</v>
      </c>
      <c r="D4033" s="15">
        <v>121.13</v>
      </c>
      <c r="E4033" s="7">
        <f t="shared" si="62"/>
        <v>1</v>
      </c>
    </row>
    <row r="4034" spans="1:5" x14ac:dyDescent="0.25">
      <c r="A4034" s="7">
        <f>IF(E4034=1,
      SUM($E$2:E4034)-1,
"")</f>
        <v>4030</v>
      </c>
      <c r="B4034" s="6" t="s">
        <v>396</v>
      </c>
      <c r="C4034" s="14">
        <v>45160</v>
      </c>
      <c r="D4034" s="15">
        <v>103.96</v>
      </c>
      <c r="E4034" s="7">
        <f t="shared" ref="E4034:E4097" si="63">IF(D4034&gt;0,1,0)</f>
        <v>1</v>
      </c>
    </row>
    <row r="4035" spans="1:5" x14ac:dyDescent="0.25">
      <c r="A4035" s="7">
        <f>IF(E4035=1,
      SUM($E$2:E4035)-1,
"")</f>
        <v>4031</v>
      </c>
      <c r="B4035" s="6" t="s">
        <v>332</v>
      </c>
      <c r="C4035" s="14">
        <v>45185</v>
      </c>
      <c r="D4035" s="15">
        <v>98.44</v>
      </c>
      <c r="E4035" s="7">
        <f t="shared" si="63"/>
        <v>1</v>
      </c>
    </row>
    <row r="4036" spans="1:5" x14ac:dyDescent="0.25">
      <c r="A4036" s="7">
        <f>IF(E4036=1,
      SUM($E$2:E4036)-1,
"")</f>
        <v>4032</v>
      </c>
      <c r="B4036" s="6" t="s">
        <v>753</v>
      </c>
      <c r="C4036" s="14">
        <v>45115</v>
      </c>
      <c r="D4036" s="15">
        <v>60.93</v>
      </c>
      <c r="E4036" s="7">
        <f t="shared" si="63"/>
        <v>1</v>
      </c>
    </row>
    <row r="4037" spans="1:5" x14ac:dyDescent="0.25">
      <c r="A4037" s="7">
        <f>IF(E4037=1,
      SUM($E$2:E4037)-1,
"")</f>
        <v>4033</v>
      </c>
      <c r="B4037" s="6" t="s">
        <v>260</v>
      </c>
      <c r="C4037" s="14">
        <v>44995</v>
      </c>
      <c r="D4037" s="15">
        <v>61.33</v>
      </c>
      <c r="E4037" s="7">
        <f t="shared" si="63"/>
        <v>1</v>
      </c>
    </row>
    <row r="4038" spans="1:5" x14ac:dyDescent="0.25">
      <c r="A4038" s="7">
        <f>IF(E4038=1,
      SUM($E$2:E4038)-1,
"")</f>
        <v>4034</v>
      </c>
      <c r="B4038" s="6" t="s">
        <v>579</v>
      </c>
      <c r="C4038" s="14">
        <v>44935</v>
      </c>
      <c r="D4038" s="15">
        <v>111.7</v>
      </c>
      <c r="E4038" s="7">
        <f t="shared" si="63"/>
        <v>1</v>
      </c>
    </row>
    <row r="4039" spans="1:5" x14ac:dyDescent="0.25">
      <c r="A4039" s="7">
        <f>IF(E4039=1,
      SUM($E$2:E4039)-1,
"")</f>
        <v>4035</v>
      </c>
      <c r="B4039" s="6" t="s">
        <v>906</v>
      </c>
      <c r="C4039" s="14">
        <v>44934</v>
      </c>
      <c r="D4039" s="15">
        <v>102.38</v>
      </c>
      <c r="E4039" s="7">
        <f t="shared" si="63"/>
        <v>1</v>
      </c>
    </row>
    <row r="4040" spans="1:5" x14ac:dyDescent="0.25">
      <c r="A4040" s="7">
        <f>IF(E4040=1,
      SUM($E$2:E4040)-1,
"")</f>
        <v>4036</v>
      </c>
      <c r="B4040" s="6" t="s">
        <v>662</v>
      </c>
      <c r="C4040" s="14">
        <v>45147</v>
      </c>
      <c r="D4040" s="15">
        <v>101.42</v>
      </c>
      <c r="E4040" s="7">
        <f t="shared" si="63"/>
        <v>1</v>
      </c>
    </row>
    <row r="4041" spans="1:5" x14ac:dyDescent="0.25">
      <c r="A4041" s="7">
        <f>IF(E4041=1,
      SUM($E$2:E4041)-1,
"")</f>
        <v>4037</v>
      </c>
      <c r="B4041" s="6" t="s">
        <v>964</v>
      </c>
      <c r="C4041" s="14">
        <v>45219</v>
      </c>
      <c r="D4041" s="15">
        <v>108.58</v>
      </c>
      <c r="E4041" s="7">
        <f t="shared" si="63"/>
        <v>1</v>
      </c>
    </row>
    <row r="4042" spans="1:5" x14ac:dyDescent="0.25">
      <c r="A4042" s="7">
        <f>IF(E4042=1,
      SUM($E$2:E4042)-1,
"")</f>
        <v>4038</v>
      </c>
      <c r="B4042" s="6" t="s">
        <v>231</v>
      </c>
      <c r="C4042" s="14">
        <v>45185</v>
      </c>
      <c r="D4042" s="15">
        <v>41.9</v>
      </c>
      <c r="E4042" s="7">
        <f t="shared" si="63"/>
        <v>1</v>
      </c>
    </row>
    <row r="4043" spans="1:5" x14ac:dyDescent="0.25">
      <c r="A4043" s="7">
        <f>IF(E4043=1,
      SUM($E$2:E4043)-1,
"")</f>
        <v>4039</v>
      </c>
      <c r="B4043" s="6" t="s">
        <v>285</v>
      </c>
      <c r="C4043" s="14">
        <v>45171</v>
      </c>
      <c r="D4043" s="15">
        <v>130.44999999999999</v>
      </c>
      <c r="E4043" s="7">
        <f t="shared" si="63"/>
        <v>1</v>
      </c>
    </row>
    <row r="4044" spans="1:5" x14ac:dyDescent="0.25">
      <c r="A4044" s="7">
        <f>IF(E4044=1,
      SUM($E$2:E4044)-1,
"")</f>
        <v>4040</v>
      </c>
      <c r="B4044" s="6" t="s">
        <v>505</v>
      </c>
      <c r="C4044" s="14">
        <v>45276</v>
      </c>
      <c r="D4044" s="15">
        <v>89.32</v>
      </c>
      <c r="E4044" s="7">
        <f t="shared" si="63"/>
        <v>1</v>
      </c>
    </row>
    <row r="4045" spans="1:5" x14ac:dyDescent="0.25">
      <c r="A4045" s="7">
        <f>IF(E4045=1,
      SUM($E$2:E4045)-1,
"")</f>
        <v>4041</v>
      </c>
      <c r="B4045" s="6" t="s">
        <v>922</v>
      </c>
      <c r="C4045" s="14">
        <v>45097</v>
      </c>
      <c r="D4045" s="15">
        <v>135.09</v>
      </c>
      <c r="E4045" s="7">
        <f t="shared" si="63"/>
        <v>1</v>
      </c>
    </row>
    <row r="4046" spans="1:5" x14ac:dyDescent="0.25">
      <c r="A4046" s="7">
        <f>IF(E4046=1,
      SUM($E$2:E4046)-1,
"")</f>
        <v>4042</v>
      </c>
      <c r="B4046" s="6" t="s">
        <v>677</v>
      </c>
      <c r="C4046" s="14">
        <v>44966</v>
      </c>
      <c r="D4046" s="15">
        <v>39.75</v>
      </c>
      <c r="E4046" s="7">
        <f t="shared" si="63"/>
        <v>1</v>
      </c>
    </row>
    <row r="4047" spans="1:5" x14ac:dyDescent="0.25">
      <c r="A4047" s="7">
        <f>IF(E4047=1,
      SUM($E$2:E4047)-1,
"")</f>
        <v>4043</v>
      </c>
      <c r="B4047" s="6" t="s">
        <v>885</v>
      </c>
      <c r="C4047" s="14">
        <v>44975</v>
      </c>
      <c r="D4047" s="15">
        <v>117.07</v>
      </c>
      <c r="E4047" s="7">
        <f t="shared" si="63"/>
        <v>1</v>
      </c>
    </row>
    <row r="4048" spans="1:5" x14ac:dyDescent="0.25">
      <c r="A4048" s="7">
        <f>IF(E4048=1,
      SUM($E$2:E4048)-1,
"")</f>
        <v>4044</v>
      </c>
      <c r="B4048" s="6" t="s">
        <v>1046</v>
      </c>
      <c r="C4048" s="14">
        <v>44996</v>
      </c>
      <c r="D4048" s="15">
        <v>116.79</v>
      </c>
      <c r="E4048" s="7">
        <f t="shared" si="63"/>
        <v>1</v>
      </c>
    </row>
    <row r="4049" spans="1:5" x14ac:dyDescent="0.25">
      <c r="A4049" s="7">
        <f>IF(E4049=1,
      SUM($E$2:E4049)-1,
"")</f>
        <v>4045</v>
      </c>
      <c r="B4049" s="6" t="s">
        <v>506</v>
      </c>
      <c r="C4049" s="14">
        <v>45041</v>
      </c>
      <c r="D4049" s="15">
        <v>55.42</v>
      </c>
      <c r="E4049" s="7">
        <f t="shared" si="63"/>
        <v>1</v>
      </c>
    </row>
    <row r="4050" spans="1:5" x14ac:dyDescent="0.25">
      <c r="A4050" s="7">
        <f>IF(E4050=1,
      SUM($E$2:E4050)-1,
"")</f>
        <v>4046</v>
      </c>
      <c r="B4050" s="6" t="s">
        <v>269</v>
      </c>
      <c r="C4050" s="14">
        <v>45174</v>
      </c>
      <c r="D4050" s="15">
        <v>80.819999999999993</v>
      </c>
      <c r="E4050" s="7">
        <f t="shared" si="63"/>
        <v>1</v>
      </c>
    </row>
    <row r="4051" spans="1:5" x14ac:dyDescent="0.25">
      <c r="A4051" s="7">
        <f>IF(E4051=1,
      SUM($E$2:E4051)-1,
"")</f>
        <v>4047</v>
      </c>
      <c r="B4051" s="6" t="s">
        <v>757</v>
      </c>
      <c r="C4051" s="14">
        <v>45131</v>
      </c>
      <c r="D4051" s="15">
        <v>68.209999999999994</v>
      </c>
      <c r="E4051" s="7">
        <f t="shared" si="63"/>
        <v>1</v>
      </c>
    </row>
    <row r="4052" spans="1:5" x14ac:dyDescent="0.25">
      <c r="A4052" s="7">
        <f>IF(E4052=1,
      SUM($E$2:E4052)-1,
"")</f>
        <v>4048</v>
      </c>
      <c r="B4052" s="6" t="s">
        <v>369</v>
      </c>
      <c r="C4052" s="14">
        <v>45095</v>
      </c>
      <c r="D4052" s="15">
        <v>125.9</v>
      </c>
      <c r="E4052" s="7">
        <f t="shared" si="63"/>
        <v>1</v>
      </c>
    </row>
    <row r="4053" spans="1:5" x14ac:dyDescent="0.25">
      <c r="A4053" s="7">
        <f>IF(E4053=1,
      SUM($E$2:E4053)-1,
"")</f>
        <v>4049</v>
      </c>
      <c r="B4053" s="6" t="s">
        <v>527</v>
      </c>
      <c r="C4053" s="14">
        <v>45248</v>
      </c>
      <c r="D4053" s="15">
        <v>109.27</v>
      </c>
      <c r="E4053" s="7">
        <f t="shared" si="63"/>
        <v>1</v>
      </c>
    </row>
    <row r="4054" spans="1:5" x14ac:dyDescent="0.25">
      <c r="A4054" s="7">
        <f>IF(E4054=1,
      SUM($E$2:E4054)-1,
"")</f>
        <v>4050</v>
      </c>
      <c r="B4054" s="6" t="s">
        <v>993</v>
      </c>
      <c r="C4054" s="14">
        <v>44979</v>
      </c>
      <c r="D4054" s="15">
        <v>147.97</v>
      </c>
      <c r="E4054" s="7">
        <f t="shared" si="63"/>
        <v>1</v>
      </c>
    </row>
    <row r="4055" spans="1:5" x14ac:dyDescent="0.25">
      <c r="A4055" s="7">
        <f>IF(E4055=1,
      SUM($E$2:E4055)-1,
"")</f>
        <v>4051</v>
      </c>
      <c r="B4055" s="6" t="s">
        <v>464</v>
      </c>
      <c r="C4055" s="14">
        <v>45114</v>
      </c>
      <c r="D4055" s="15">
        <v>106.09</v>
      </c>
      <c r="E4055" s="7">
        <f t="shared" si="63"/>
        <v>1</v>
      </c>
    </row>
    <row r="4056" spans="1:5" x14ac:dyDescent="0.25">
      <c r="A4056" s="7">
        <f>IF(E4056=1,
      SUM($E$2:E4056)-1,
"")</f>
        <v>4052</v>
      </c>
      <c r="B4056" s="6" t="s">
        <v>1043</v>
      </c>
      <c r="C4056" s="14">
        <v>45249</v>
      </c>
      <c r="D4056" s="15">
        <v>121.97</v>
      </c>
      <c r="E4056" s="7">
        <f t="shared" si="63"/>
        <v>1</v>
      </c>
    </row>
    <row r="4057" spans="1:5" x14ac:dyDescent="0.25">
      <c r="A4057" s="7">
        <f>IF(E4057=1,
      SUM($E$2:E4057)-1,
"")</f>
        <v>4053</v>
      </c>
      <c r="B4057" s="6" t="s">
        <v>372</v>
      </c>
      <c r="C4057" s="14">
        <v>45022</v>
      </c>
      <c r="D4057" s="15">
        <v>135.16</v>
      </c>
      <c r="E4057" s="7">
        <f t="shared" si="63"/>
        <v>1</v>
      </c>
    </row>
    <row r="4058" spans="1:5" x14ac:dyDescent="0.25">
      <c r="A4058" s="7">
        <f>IF(E4058=1,
      SUM($E$2:E4058)-1,
"")</f>
        <v>4054</v>
      </c>
      <c r="B4058" s="6" t="s">
        <v>782</v>
      </c>
      <c r="C4058" s="14">
        <v>45215</v>
      </c>
      <c r="D4058" s="15">
        <v>116.63</v>
      </c>
      <c r="E4058" s="7">
        <f t="shared" si="63"/>
        <v>1</v>
      </c>
    </row>
    <row r="4059" spans="1:5" x14ac:dyDescent="0.25">
      <c r="A4059" s="7">
        <f>IF(E4059=1,
      SUM($E$2:E4059)-1,
"")</f>
        <v>4055</v>
      </c>
      <c r="B4059" s="6" t="s">
        <v>386</v>
      </c>
      <c r="C4059" s="14">
        <v>44967</v>
      </c>
      <c r="D4059" s="15">
        <v>88.47</v>
      </c>
      <c r="E4059" s="7">
        <f t="shared" si="63"/>
        <v>1</v>
      </c>
    </row>
    <row r="4060" spans="1:5" x14ac:dyDescent="0.25">
      <c r="A4060" s="7">
        <f>IF(E4060=1,
      SUM($E$2:E4060)-1,
"")</f>
        <v>4056</v>
      </c>
      <c r="B4060" s="6" t="s">
        <v>917</v>
      </c>
      <c r="C4060" s="14">
        <v>45115</v>
      </c>
      <c r="D4060" s="15">
        <v>82.89</v>
      </c>
      <c r="E4060" s="7">
        <f t="shared" si="63"/>
        <v>1</v>
      </c>
    </row>
    <row r="4061" spans="1:5" x14ac:dyDescent="0.25">
      <c r="A4061" s="7">
        <f>IF(E4061=1,
      SUM($E$2:E4061)-1,
"")</f>
        <v>4057</v>
      </c>
      <c r="B4061" s="6" t="s">
        <v>826</v>
      </c>
      <c r="C4061" s="14">
        <v>44936</v>
      </c>
      <c r="D4061" s="15">
        <v>97.61</v>
      </c>
      <c r="E4061" s="7">
        <f t="shared" si="63"/>
        <v>1</v>
      </c>
    </row>
    <row r="4062" spans="1:5" x14ac:dyDescent="0.25">
      <c r="A4062" s="7">
        <f>IF(E4062=1,
      SUM($E$2:E4062)-1,
"")</f>
        <v>4058</v>
      </c>
      <c r="B4062" s="6" t="s">
        <v>248</v>
      </c>
      <c r="C4062" s="14">
        <v>45290</v>
      </c>
      <c r="D4062" s="15">
        <v>123.9</v>
      </c>
      <c r="E4062" s="7">
        <f t="shared" si="63"/>
        <v>1</v>
      </c>
    </row>
    <row r="4063" spans="1:5" x14ac:dyDescent="0.25">
      <c r="A4063" s="7">
        <f>IF(E4063=1,
      SUM($E$2:E4063)-1,
"")</f>
        <v>4059</v>
      </c>
      <c r="B4063" s="6" t="s">
        <v>391</v>
      </c>
      <c r="C4063" s="14">
        <v>45079</v>
      </c>
      <c r="D4063" s="15">
        <v>77.02</v>
      </c>
      <c r="E4063" s="7">
        <f t="shared" si="63"/>
        <v>1</v>
      </c>
    </row>
    <row r="4064" spans="1:5" x14ac:dyDescent="0.25">
      <c r="A4064" s="7">
        <f>IF(E4064=1,
      SUM($E$2:E4064)-1,
"")</f>
        <v>4060</v>
      </c>
      <c r="B4064" s="6" t="s">
        <v>492</v>
      </c>
      <c r="C4064" s="14">
        <v>44951</v>
      </c>
      <c r="D4064" s="15">
        <v>119.56</v>
      </c>
      <c r="E4064" s="7">
        <f t="shared" si="63"/>
        <v>1</v>
      </c>
    </row>
    <row r="4065" spans="1:5" x14ac:dyDescent="0.25">
      <c r="A4065" s="7">
        <f>IF(E4065=1,
      SUM($E$2:E4065)-1,
"")</f>
        <v>4061</v>
      </c>
      <c r="B4065" s="6" t="s">
        <v>1044</v>
      </c>
      <c r="C4065" s="14">
        <v>45219</v>
      </c>
      <c r="D4065" s="15">
        <v>109.68</v>
      </c>
      <c r="E4065" s="7">
        <f t="shared" si="63"/>
        <v>1</v>
      </c>
    </row>
    <row r="4066" spans="1:5" x14ac:dyDescent="0.25">
      <c r="A4066" s="7">
        <f>IF(E4066=1,
      SUM($E$2:E4066)-1,
"")</f>
        <v>4062</v>
      </c>
      <c r="B4066" s="6" t="s">
        <v>75</v>
      </c>
      <c r="C4066" s="14">
        <v>45242</v>
      </c>
      <c r="D4066" s="15">
        <v>62.4</v>
      </c>
      <c r="E4066" s="7">
        <f t="shared" si="63"/>
        <v>1</v>
      </c>
    </row>
    <row r="4067" spans="1:5" x14ac:dyDescent="0.25">
      <c r="A4067" s="7">
        <f>IF(E4067=1,
      SUM($E$2:E4067)-1,
"")</f>
        <v>4063</v>
      </c>
      <c r="B4067" s="6" t="s">
        <v>511</v>
      </c>
      <c r="C4067" s="14">
        <v>45226</v>
      </c>
      <c r="D4067" s="15">
        <v>118.11</v>
      </c>
      <c r="E4067" s="7">
        <f t="shared" si="63"/>
        <v>1</v>
      </c>
    </row>
    <row r="4068" spans="1:5" x14ac:dyDescent="0.25">
      <c r="A4068" s="7">
        <f>IF(E4068=1,
      SUM($E$2:E4068)-1,
"")</f>
        <v>4064</v>
      </c>
      <c r="B4068" s="6" t="s">
        <v>137</v>
      </c>
      <c r="C4068" s="14">
        <v>44961</v>
      </c>
      <c r="D4068" s="15">
        <v>104.26</v>
      </c>
      <c r="E4068" s="7">
        <f t="shared" si="63"/>
        <v>1</v>
      </c>
    </row>
    <row r="4069" spans="1:5" x14ac:dyDescent="0.25">
      <c r="A4069" s="7">
        <f>IF(E4069=1,
      SUM($E$2:E4069)-1,
"")</f>
        <v>4065</v>
      </c>
      <c r="B4069" s="6" t="s">
        <v>212</v>
      </c>
      <c r="C4069" s="14">
        <v>45200</v>
      </c>
      <c r="D4069" s="15">
        <v>83.48</v>
      </c>
      <c r="E4069" s="7">
        <f t="shared" si="63"/>
        <v>1</v>
      </c>
    </row>
    <row r="4070" spans="1:5" x14ac:dyDescent="0.25">
      <c r="A4070" s="7">
        <f>IF(E4070=1,
      SUM($E$2:E4070)-1,
"")</f>
        <v>4066</v>
      </c>
      <c r="B4070" s="6" t="s">
        <v>673</v>
      </c>
      <c r="C4070" s="14">
        <v>45117</v>
      </c>
      <c r="D4070" s="15">
        <v>103.82</v>
      </c>
      <c r="E4070" s="7">
        <f t="shared" si="63"/>
        <v>1</v>
      </c>
    </row>
    <row r="4071" spans="1:5" x14ac:dyDescent="0.25">
      <c r="A4071" s="7">
        <f>IF(E4071=1,
      SUM($E$2:E4071)-1,
"")</f>
        <v>4067</v>
      </c>
      <c r="B4071" s="6" t="s">
        <v>557</v>
      </c>
      <c r="C4071" s="14">
        <v>45148</v>
      </c>
      <c r="D4071" s="15">
        <v>84.65</v>
      </c>
      <c r="E4071" s="7">
        <f t="shared" si="63"/>
        <v>1</v>
      </c>
    </row>
    <row r="4072" spans="1:5" x14ac:dyDescent="0.25">
      <c r="A4072" s="7">
        <f>IF(E4072=1,
      SUM($E$2:E4072)-1,
"")</f>
        <v>4068</v>
      </c>
      <c r="B4072" s="6" t="s">
        <v>601</v>
      </c>
      <c r="C4072" s="14">
        <v>45286</v>
      </c>
      <c r="D4072" s="15">
        <v>107.43</v>
      </c>
      <c r="E4072" s="7">
        <f t="shared" si="63"/>
        <v>1</v>
      </c>
    </row>
    <row r="4073" spans="1:5" x14ac:dyDescent="0.25">
      <c r="A4073" s="7">
        <f>IF(E4073=1,
      SUM($E$2:E4073)-1,
"")</f>
        <v>4069</v>
      </c>
      <c r="B4073" s="6" t="s">
        <v>685</v>
      </c>
      <c r="C4073" s="14">
        <v>45024</v>
      </c>
      <c r="D4073" s="15">
        <v>94.96</v>
      </c>
      <c r="E4073" s="7">
        <f t="shared" si="63"/>
        <v>1</v>
      </c>
    </row>
    <row r="4074" spans="1:5" x14ac:dyDescent="0.25">
      <c r="A4074" s="7">
        <f>IF(E4074=1,
      SUM($E$2:E4074)-1,
"")</f>
        <v>4070</v>
      </c>
      <c r="B4074" s="6" t="s">
        <v>984</v>
      </c>
      <c r="C4074" s="14">
        <v>44971</v>
      </c>
      <c r="D4074" s="15">
        <v>54.1</v>
      </c>
      <c r="E4074" s="7">
        <f t="shared" si="63"/>
        <v>1</v>
      </c>
    </row>
    <row r="4075" spans="1:5" x14ac:dyDescent="0.25">
      <c r="A4075" s="7">
        <f>IF(E4075=1,
      SUM($E$2:E4075)-1,
"")</f>
        <v>4071</v>
      </c>
      <c r="B4075" s="6" t="s">
        <v>358</v>
      </c>
      <c r="C4075" s="14">
        <v>45289</v>
      </c>
      <c r="D4075" s="15">
        <v>95.86</v>
      </c>
      <c r="E4075" s="7">
        <f t="shared" si="63"/>
        <v>1</v>
      </c>
    </row>
    <row r="4076" spans="1:5" x14ac:dyDescent="0.25">
      <c r="A4076" s="7">
        <f>IF(E4076=1,
      SUM($E$2:E4076)-1,
"")</f>
        <v>4072</v>
      </c>
      <c r="B4076" s="6" t="s">
        <v>404</v>
      </c>
      <c r="C4076" s="14">
        <v>45155</v>
      </c>
      <c r="D4076" s="15">
        <v>86.72</v>
      </c>
      <c r="E4076" s="7">
        <f t="shared" si="63"/>
        <v>1</v>
      </c>
    </row>
    <row r="4077" spans="1:5" x14ac:dyDescent="0.25">
      <c r="A4077" s="7">
        <f>IF(E4077=1,
      SUM($E$2:E4077)-1,
"")</f>
        <v>4073</v>
      </c>
      <c r="B4077" s="6" t="s">
        <v>307</v>
      </c>
      <c r="C4077" s="14">
        <v>45062</v>
      </c>
      <c r="D4077" s="15">
        <v>119.07</v>
      </c>
      <c r="E4077" s="7">
        <f t="shared" si="63"/>
        <v>1</v>
      </c>
    </row>
    <row r="4078" spans="1:5" x14ac:dyDescent="0.25">
      <c r="A4078" s="7">
        <f>IF(E4078=1,
      SUM($E$2:E4078)-1,
"")</f>
        <v>4074</v>
      </c>
      <c r="B4078" s="6" t="s">
        <v>961</v>
      </c>
      <c r="C4078" s="14">
        <v>45205</v>
      </c>
      <c r="D4078" s="15">
        <v>126.39</v>
      </c>
      <c r="E4078" s="7">
        <f t="shared" si="63"/>
        <v>1</v>
      </c>
    </row>
    <row r="4079" spans="1:5" x14ac:dyDescent="0.25">
      <c r="A4079" s="7">
        <f>IF(E4079=1,
      SUM($E$2:E4079)-1,
"")</f>
        <v>4075</v>
      </c>
      <c r="B4079" s="6" t="s">
        <v>672</v>
      </c>
      <c r="C4079" s="14">
        <v>45276</v>
      </c>
      <c r="D4079" s="15">
        <v>84.73</v>
      </c>
      <c r="E4079" s="7">
        <f t="shared" si="63"/>
        <v>1</v>
      </c>
    </row>
    <row r="4080" spans="1:5" x14ac:dyDescent="0.25">
      <c r="A4080" s="7">
        <f>IF(E4080=1,
      SUM($E$2:E4080)-1,
"")</f>
        <v>4076</v>
      </c>
      <c r="B4080" s="6" t="s">
        <v>384</v>
      </c>
      <c r="C4080" s="14">
        <v>45241</v>
      </c>
      <c r="D4080" s="15">
        <v>76.319999999999993</v>
      </c>
      <c r="E4080" s="7">
        <f t="shared" si="63"/>
        <v>1</v>
      </c>
    </row>
    <row r="4081" spans="1:5" x14ac:dyDescent="0.25">
      <c r="A4081" s="7">
        <f>IF(E4081=1,
      SUM($E$2:E4081)-1,
"")</f>
        <v>4077</v>
      </c>
      <c r="B4081" s="6" t="s">
        <v>653</v>
      </c>
      <c r="C4081" s="14">
        <v>45159</v>
      </c>
      <c r="D4081" s="15">
        <v>49.6</v>
      </c>
      <c r="E4081" s="7">
        <f t="shared" si="63"/>
        <v>1</v>
      </c>
    </row>
    <row r="4082" spans="1:5" x14ac:dyDescent="0.25">
      <c r="A4082" s="7">
        <f>IF(E4082=1,
      SUM($E$2:E4082)-1,
"")</f>
        <v>4078</v>
      </c>
      <c r="B4082" s="6" t="s">
        <v>117</v>
      </c>
      <c r="C4082" s="14">
        <v>45082</v>
      </c>
      <c r="D4082" s="15">
        <v>75.58</v>
      </c>
      <c r="E4082" s="7">
        <f t="shared" si="63"/>
        <v>1</v>
      </c>
    </row>
    <row r="4083" spans="1:5" x14ac:dyDescent="0.25">
      <c r="A4083" s="7">
        <f>IF(E4083=1,
      SUM($E$2:E4083)-1,
"")</f>
        <v>4079</v>
      </c>
      <c r="B4083" s="6" t="s">
        <v>845</v>
      </c>
      <c r="C4083" s="14">
        <v>44968</v>
      </c>
      <c r="D4083" s="15">
        <v>90.3</v>
      </c>
      <c r="E4083" s="7">
        <f t="shared" si="63"/>
        <v>1</v>
      </c>
    </row>
    <row r="4084" spans="1:5" x14ac:dyDescent="0.25">
      <c r="A4084" s="7">
        <f>IF(E4084=1,
      SUM($E$2:E4084)-1,
"")</f>
        <v>4080</v>
      </c>
      <c r="B4084" s="6" t="s">
        <v>1021</v>
      </c>
      <c r="C4084" s="14">
        <v>45074</v>
      </c>
      <c r="D4084" s="15">
        <v>59.82</v>
      </c>
      <c r="E4084" s="7">
        <f t="shared" si="63"/>
        <v>1</v>
      </c>
    </row>
    <row r="4085" spans="1:5" x14ac:dyDescent="0.25">
      <c r="A4085" s="7">
        <f>IF(E4085=1,
      SUM($E$2:E4085)-1,
"")</f>
        <v>4081</v>
      </c>
      <c r="B4085" s="6" t="s">
        <v>130</v>
      </c>
      <c r="C4085" s="14">
        <v>45088</v>
      </c>
      <c r="D4085" s="15">
        <v>126.79</v>
      </c>
      <c r="E4085" s="7">
        <f t="shared" si="63"/>
        <v>1</v>
      </c>
    </row>
    <row r="4086" spans="1:5" x14ac:dyDescent="0.25">
      <c r="A4086" s="7">
        <f>IF(E4086=1,
      SUM($E$2:E4086)-1,
"")</f>
        <v>4082</v>
      </c>
      <c r="B4086" s="6" t="s">
        <v>1012</v>
      </c>
      <c r="C4086" s="14">
        <v>45082</v>
      </c>
      <c r="D4086" s="15">
        <v>107.86</v>
      </c>
      <c r="E4086" s="7">
        <f t="shared" si="63"/>
        <v>1</v>
      </c>
    </row>
    <row r="4087" spans="1:5" x14ac:dyDescent="0.25">
      <c r="A4087" s="7">
        <f>IF(E4087=1,
      SUM($E$2:E4087)-1,
"")</f>
        <v>4083</v>
      </c>
      <c r="B4087" s="6" t="s">
        <v>79</v>
      </c>
      <c r="C4087" s="14">
        <v>45016</v>
      </c>
      <c r="D4087" s="15">
        <v>96.39</v>
      </c>
      <c r="E4087" s="7">
        <f t="shared" si="63"/>
        <v>1</v>
      </c>
    </row>
    <row r="4088" spans="1:5" x14ac:dyDescent="0.25">
      <c r="A4088" s="7">
        <f>IF(E4088=1,
      SUM($E$2:E4088)-1,
"")</f>
        <v>4084</v>
      </c>
      <c r="B4088" s="6" t="s">
        <v>126</v>
      </c>
      <c r="C4088" s="14">
        <v>45269</v>
      </c>
      <c r="D4088" s="15">
        <v>99.5</v>
      </c>
      <c r="E4088" s="7">
        <f t="shared" si="63"/>
        <v>1</v>
      </c>
    </row>
    <row r="4089" spans="1:5" x14ac:dyDescent="0.25">
      <c r="A4089" s="7">
        <f>IF(E4089=1,
      SUM($E$2:E4089)-1,
"")</f>
        <v>4085</v>
      </c>
      <c r="B4089" s="6" t="s">
        <v>844</v>
      </c>
      <c r="C4089" s="14">
        <v>45289</v>
      </c>
      <c r="D4089" s="15">
        <v>109.18</v>
      </c>
      <c r="E4089" s="7">
        <f t="shared" si="63"/>
        <v>1</v>
      </c>
    </row>
    <row r="4090" spans="1:5" x14ac:dyDescent="0.25">
      <c r="A4090" s="7">
        <f>IF(E4090=1,
      SUM($E$2:E4090)-1,
"")</f>
        <v>4086</v>
      </c>
      <c r="B4090" s="6" t="s">
        <v>797</v>
      </c>
      <c r="C4090" s="14">
        <v>45141</v>
      </c>
      <c r="D4090" s="15">
        <v>118.99</v>
      </c>
      <c r="E4090" s="7">
        <f t="shared" si="63"/>
        <v>1</v>
      </c>
    </row>
    <row r="4091" spans="1:5" x14ac:dyDescent="0.25">
      <c r="A4091" s="7">
        <f>IF(E4091=1,
      SUM($E$2:E4091)-1,
"")</f>
        <v>4087</v>
      </c>
      <c r="B4091" s="6" t="s">
        <v>808</v>
      </c>
      <c r="C4091" s="14">
        <v>45034</v>
      </c>
      <c r="D4091" s="15">
        <v>124.27</v>
      </c>
      <c r="E4091" s="7">
        <f t="shared" si="63"/>
        <v>1</v>
      </c>
    </row>
    <row r="4092" spans="1:5" x14ac:dyDescent="0.25">
      <c r="A4092" s="7">
        <f>IF(E4092=1,
      SUM($E$2:E4092)-1,
"")</f>
        <v>4088</v>
      </c>
      <c r="B4092" s="6" t="s">
        <v>883</v>
      </c>
      <c r="C4092" s="14">
        <v>44969</v>
      </c>
      <c r="D4092" s="15">
        <v>90.73</v>
      </c>
      <c r="E4092" s="7">
        <f t="shared" si="63"/>
        <v>1</v>
      </c>
    </row>
    <row r="4093" spans="1:5" x14ac:dyDescent="0.25">
      <c r="A4093" s="7">
        <f>IF(E4093=1,
      SUM($E$2:E4093)-1,
"")</f>
        <v>4089</v>
      </c>
      <c r="B4093" s="6" t="s">
        <v>1023</v>
      </c>
      <c r="C4093" s="14">
        <v>44936</v>
      </c>
      <c r="D4093" s="15">
        <v>95.74</v>
      </c>
      <c r="E4093" s="7">
        <f t="shared" si="63"/>
        <v>1</v>
      </c>
    </row>
    <row r="4094" spans="1:5" x14ac:dyDescent="0.25">
      <c r="A4094" s="7">
        <f>IF(E4094=1,
      SUM($E$2:E4094)-1,
"")</f>
        <v>4090</v>
      </c>
      <c r="B4094" s="6" t="s">
        <v>389</v>
      </c>
      <c r="C4094" s="14">
        <v>45125</v>
      </c>
      <c r="D4094" s="15">
        <v>105.19</v>
      </c>
      <c r="E4094" s="7">
        <f t="shared" si="63"/>
        <v>1</v>
      </c>
    </row>
    <row r="4095" spans="1:5" x14ac:dyDescent="0.25">
      <c r="A4095" s="7">
        <f>IF(E4095=1,
      SUM($E$2:E4095)-1,
"")</f>
        <v>4091</v>
      </c>
      <c r="B4095" s="6" t="s">
        <v>838</v>
      </c>
      <c r="C4095" s="14">
        <v>45117</v>
      </c>
      <c r="D4095" s="15">
        <v>94.52</v>
      </c>
      <c r="E4095" s="7">
        <f t="shared" si="63"/>
        <v>1</v>
      </c>
    </row>
    <row r="4096" spans="1:5" x14ac:dyDescent="0.25">
      <c r="A4096" s="7">
        <f>IF(E4096=1,
      SUM($E$2:E4096)-1,
"")</f>
        <v>4092</v>
      </c>
      <c r="B4096" s="6" t="s">
        <v>248</v>
      </c>
      <c r="C4096" s="14">
        <v>44983</v>
      </c>
      <c r="D4096" s="15">
        <v>126.17</v>
      </c>
      <c r="E4096" s="7">
        <f t="shared" si="63"/>
        <v>1</v>
      </c>
    </row>
    <row r="4097" spans="1:5" x14ac:dyDescent="0.25">
      <c r="A4097" s="7">
        <f>IF(E4097=1,
      SUM($E$2:E4097)-1,
"")</f>
        <v>4093</v>
      </c>
      <c r="B4097" s="6" t="s">
        <v>466</v>
      </c>
      <c r="C4097" s="14">
        <v>45002</v>
      </c>
      <c r="D4097" s="15">
        <v>136.82</v>
      </c>
      <c r="E4097" s="7">
        <f t="shared" si="63"/>
        <v>1</v>
      </c>
    </row>
    <row r="4098" spans="1:5" x14ac:dyDescent="0.25">
      <c r="A4098" s="7">
        <f>IF(E4098=1,
      SUM($E$2:E4098)-1,
"")</f>
        <v>4094</v>
      </c>
      <c r="B4098" s="6" t="s">
        <v>787</v>
      </c>
      <c r="C4098" s="14">
        <v>45237</v>
      </c>
      <c r="D4098" s="15">
        <v>110.32</v>
      </c>
      <c r="E4098" s="7">
        <f t="shared" ref="E4098:E4161" si="64">IF(D4098&gt;0,1,0)</f>
        <v>1</v>
      </c>
    </row>
    <row r="4099" spans="1:5" x14ac:dyDescent="0.25">
      <c r="A4099" s="7">
        <f>IF(E4099=1,
      SUM($E$2:E4099)-1,
"")</f>
        <v>4095</v>
      </c>
      <c r="B4099" s="6" t="s">
        <v>950</v>
      </c>
      <c r="C4099" s="14">
        <v>45185</v>
      </c>
      <c r="D4099" s="15">
        <v>72.75</v>
      </c>
      <c r="E4099" s="7">
        <f t="shared" si="64"/>
        <v>1</v>
      </c>
    </row>
    <row r="4100" spans="1:5" x14ac:dyDescent="0.25">
      <c r="A4100" s="7">
        <f>IF(E4100=1,
      SUM($E$2:E4100)-1,
"")</f>
        <v>4096</v>
      </c>
      <c r="B4100" s="6" t="s">
        <v>307</v>
      </c>
      <c r="C4100" s="14">
        <v>44997</v>
      </c>
      <c r="D4100" s="15">
        <v>115.25</v>
      </c>
      <c r="E4100" s="7">
        <f t="shared" si="64"/>
        <v>1</v>
      </c>
    </row>
    <row r="4101" spans="1:5" x14ac:dyDescent="0.25">
      <c r="A4101" s="7">
        <f>IF(E4101=1,
      SUM($E$2:E4101)-1,
"")</f>
        <v>4097</v>
      </c>
      <c r="B4101" s="6" t="s">
        <v>101</v>
      </c>
      <c r="C4101" s="14">
        <v>44969</v>
      </c>
      <c r="D4101" s="15">
        <v>111.51</v>
      </c>
      <c r="E4101" s="7">
        <f t="shared" si="64"/>
        <v>1</v>
      </c>
    </row>
    <row r="4102" spans="1:5" x14ac:dyDescent="0.25">
      <c r="A4102" s="7">
        <f>IF(E4102=1,
      SUM($E$2:E4102)-1,
"")</f>
        <v>4098</v>
      </c>
      <c r="B4102" s="6" t="s">
        <v>884</v>
      </c>
      <c r="C4102" s="14">
        <v>44991</v>
      </c>
      <c r="D4102" s="15">
        <v>70.239999999999995</v>
      </c>
      <c r="E4102" s="7">
        <f t="shared" si="64"/>
        <v>1</v>
      </c>
    </row>
    <row r="4103" spans="1:5" x14ac:dyDescent="0.25">
      <c r="A4103" s="7">
        <f>IF(E4103=1,
      SUM($E$2:E4103)-1,
"")</f>
        <v>4099</v>
      </c>
      <c r="B4103" s="6" t="s">
        <v>737</v>
      </c>
      <c r="C4103" s="14">
        <v>44959</v>
      </c>
      <c r="D4103" s="15">
        <v>111.48</v>
      </c>
      <c r="E4103" s="7">
        <f t="shared" si="64"/>
        <v>1</v>
      </c>
    </row>
    <row r="4104" spans="1:5" x14ac:dyDescent="0.25">
      <c r="A4104" s="7">
        <f>IF(E4104=1,
      SUM($E$2:E4104)-1,
"")</f>
        <v>4100</v>
      </c>
      <c r="B4104" s="6" t="s">
        <v>310</v>
      </c>
      <c r="C4104" s="14">
        <v>45152</v>
      </c>
      <c r="D4104" s="15">
        <v>83.67</v>
      </c>
      <c r="E4104" s="7">
        <f t="shared" si="64"/>
        <v>1</v>
      </c>
    </row>
    <row r="4105" spans="1:5" x14ac:dyDescent="0.25">
      <c r="A4105" s="7">
        <f>IF(E4105=1,
      SUM($E$2:E4105)-1,
"")</f>
        <v>4101</v>
      </c>
      <c r="B4105" s="6" t="s">
        <v>493</v>
      </c>
      <c r="C4105" s="14">
        <v>45138</v>
      </c>
      <c r="D4105" s="15">
        <v>122.38</v>
      </c>
      <c r="E4105" s="7">
        <f t="shared" si="64"/>
        <v>1</v>
      </c>
    </row>
    <row r="4106" spans="1:5" x14ac:dyDescent="0.25">
      <c r="A4106" s="7">
        <f>IF(E4106=1,
      SUM($E$2:E4106)-1,
"")</f>
        <v>4102</v>
      </c>
      <c r="B4106" s="6" t="s">
        <v>288</v>
      </c>
      <c r="C4106" s="14">
        <v>45031</v>
      </c>
      <c r="D4106" s="15">
        <v>115.01</v>
      </c>
      <c r="E4106" s="7">
        <f t="shared" si="64"/>
        <v>1</v>
      </c>
    </row>
    <row r="4107" spans="1:5" x14ac:dyDescent="0.25">
      <c r="A4107" s="7">
        <f>IF(E4107=1,
      SUM($E$2:E4107)-1,
"")</f>
        <v>4103</v>
      </c>
      <c r="B4107" s="6" t="s">
        <v>283</v>
      </c>
      <c r="C4107" s="14">
        <v>45020</v>
      </c>
      <c r="D4107" s="15">
        <v>106.69</v>
      </c>
      <c r="E4107" s="7">
        <f t="shared" si="64"/>
        <v>1</v>
      </c>
    </row>
    <row r="4108" spans="1:5" x14ac:dyDescent="0.25">
      <c r="A4108" s="7">
        <f>IF(E4108=1,
      SUM($E$2:E4108)-1,
"")</f>
        <v>4104</v>
      </c>
      <c r="B4108" s="6" t="s">
        <v>447</v>
      </c>
      <c r="C4108" s="14">
        <v>45061</v>
      </c>
      <c r="D4108" s="15">
        <v>101.16</v>
      </c>
      <c r="E4108" s="7">
        <f t="shared" si="64"/>
        <v>1</v>
      </c>
    </row>
    <row r="4109" spans="1:5" x14ac:dyDescent="0.25">
      <c r="A4109" s="7">
        <f>IF(E4109=1,
      SUM($E$2:E4109)-1,
"")</f>
        <v>4105</v>
      </c>
      <c r="B4109" s="6" t="s">
        <v>1041</v>
      </c>
      <c r="C4109" s="14">
        <v>45052</v>
      </c>
      <c r="D4109" s="15">
        <v>36</v>
      </c>
      <c r="E4109" s="7">
        <f t="shared" si="64"/>
        <v>1</v>
      </c>
    </row>
    <row r="4110" spans="1:5" x14ac:dyDescent="0.25">
      <c r="A4110" s="7">
        <f>IF(E4110=1,
      SUM($E$2:E4110)-1,
"")</f>
        <v>4106</v>
      </c>
      <c r="B4110" s="6" t="s">
        <v>784</v>
      </c>
      <c r="C4110" s="14">
        <v>44938</v>
      </c>
      <c r="D4110" s="15">
        <v>63.57</v>
      </c>
      <c r="E4110" s="7">
        <f t="shared" si="64"/>
        <v>1</v>
      </c>
    </row>
    <row r="4111" spans="1:5" x14ac:dyDescent="0.25">
      <c r="A4111" s="7">
        <f>IF(E4111=1,
      SUM($E$2:E4111)-1,
"")</f>
        <v>4107</v>
      </c>
      <c r="B4111" s="6" t="s">
        <v>1047</v>
      </c>
      <c r="C4111" s="14">
        <v>44956</v>
      </c>
      <c r="D4111" s="15">
        <v>96.08</v>
      </c>
      <c r="E4111" s="7">
        <f t="shared" si="64"/>
        <v>1</v>
      </c>
    </row>
    <row r="4112" spans="1:5" x14ac:dyDescent="0.25">
      <c r="A4112" s="7">
        <f>IF(E4112=1,
      SUM($E$2:E4112)-1,
"")</f>
        <v>4108</v>
      </c>
      <c r="B4112" s="6" t="s">
        <v>354</v>
      </c>
      <c r="C4112" s="14">
        <v>45035</v>
      </c>
      <c r="D4112" s="15">
        <v>145.58000000000001</v>
      </c>
      <c r="E4112" s="7">
        <f t="shared" si="64"/>
        <v>1</v>
      </c>
    </row>
    <row r="4113" spans="1:5" x14ac:dyDescent="0.25">
      <c r="A4113" s="7">
        <f>IF(E4113=1,
      SUM($E$2:E4113)-1,
"")</f>
        <v>4109</v>
      </c>
      <c r="B4113" s="6" t="s">
        <v>314</v>
      </c>
      <c r="C4113" s="14">
        <v>45044</v>
      </c>
      <c r="D4113" s="15">
        <v>116.94</v>
      </c>
      <c r="E4113" s="7">
        <f t="shared" si="64"/>
        <v>1</v>
      </c>
    </row>
    <row r="4114" spans="1:5" x14ac:dyDescent="0.25">
      <c r="A4114" s="7">
        <f>IF(E4114=1,
      SUM($E$2:E4114)-1,
"")</f>
        <v>4110</v>
      </c>
      <c r="B4114" s="6" t="s">
        <v>201</v>
      </c>
      <c r="C4114" s="14">
        <v>45216</v>
      </c>
      <c r="D4114" s="15">
        <v>154.41999999999999</v>
      </c>
      <c r="E4114" s="7">
        <f t="shared" si="64"/>
        <v>1</v>
      </c>
    </row>
    <row r="4115" spans="1:5" x14ac:dyDescent="0.25">
      <c r="A4115" s="7">
        <f>IF(E4115=1,
      SUM($E$2:E4115)-1,
"")</f>
        <v>4111</v>
      </c>
      <c r="B4115" s="6" t="s">
        <v>738</v>
      </c>
      <c r="C4115" s="14">
        <v>45113</v>
      </c>
      <c r="D4115" s="15">
        <v>102.49</v>
      </c>
      <c r="E4115" s="7">
        <f t="shared" si="64"/>
        <v>1</v>
      </c>
    </row>
    <row r="4116" spans="1:5" x14ac:dyDescent="0.25">
      <c r="A4116" s="7">
        <f>IF(E4116=1,
      SUM($E$2:E4116)-1,
"")</f>
        <v>4112</v>
      </c>
      <c r="B4116" s="6" t="s">
        <v>236</v>
      </c>
      <c r="C4116" s="14">
        <v>45227</v>
      </c>
      <c r="D4116" s="15">
        <v>99.07</v>
      </c>
      <c r="E4116" s="7">
        <f t="shared" si="64"/>
        <v>1</v>
      </c>
    </row>
    <row r="4117" spans="1:5" x14ac:dyDescent="0.25">
      <c r="A4117" s="7">
        <f>IF(E4117=1,
      SUM($E$2:E4117)-1,
"")</f>
        <v>4113</v>
      </c>
      <c r="B4117" s="6" t="s">
        <v>437</v>
      </c>
      <c r="C4117" s="14">
        <v>44985</v>
      </c>
      <c r="D4117" s="15">
        <v>142.75</v>
      </c>
      <c r="E4117" s="7">
        <f t="shared" si="64"/>
        <v>1</v>
      </c>
    </row>
    <row r="4118" spans="1:5" x14ac:dyDescent="0.25">
      <c r="A4118" s="7">
        <f>IF(E4118=1,
      SUM($E$2:E4118)-1,
"")</f>
        <v>4114</v>
      </c>
      <c r="B4118" s="6" t="s">
        <v>249</v>
      </c>
      <c r="C4118" s="14">
        <v>44945</v>
      </c>
      <c r="D4118" s="15">
        <v>95.22</v>
      </c>
      <c r="E4118" s="7">
        <f t="shared" si="64"/>
        <v>1</v>
      </c>
    </row>
    <row r="4119" spans="1:5" x14ac:dyDescent="0.25">
      <c r="A4119" s="7">
        <f>IF(E4119=1,
      SUM($E$2:E4119)-1,
"")</f>
        <v>4115</v>
      </c>
      <c r="B4119" s="6" t="s">
        <v>406</v>
      </c>
      <c r="C4119" s="14">
        <v>45122</v>
      </c>
      <c r="D4119" s="15">
        <v>70.41</v>
      </c>
      <c r="E4119" s="7">
        <f t="shared" si="64"/>
        <v>1</v>
      </c>
    </row>
    <row r="4120" spans="1:5" x14ac:dyDescent="0.25">
      <c r="A4120" s="7">
        <f>IF(E4120=1,
      SUM($E$2:E4120)-1,
"")</f>
        <v>4116</v>
      </c>
      <c r="B4120" s="6" t="s">
        <v>1005</v>
      </c>
      <c r="C4120" s="14">
        <v>45271</v>
      </c>
      <c r="D4120" s="15">
        <v>109.5</v>
      </c>
      <c r="E4120" s="7">
        <f t="shared" si="64"/>
        <v>1</v>
      </c>
    </row>
    <row r="4121" spans="1:5" x14ac:dyDescent="0.25">
      <c r="A4121" s="7">
        <f>IF(E4121=1,
      SUM($E$2:E4121)-1,
"")</f>
        <v>4117</v>
      </c>
      <c r="B4121" s="6" t="s">
        <v>236</v>
      </c>
      <c r="C4121" s="14">
        <v>45186</v>
      </c>
      <c r="D4121" s="15">
        <v>133.68</v>
      </c>
      <c r="E4121" s="7">
        <f t="shared" si="64"/>
        <v>1</v>
      </c>
    </row>
    <row r="4122" spans="1:5" x14ac:dyDescent="0.25">
      <c r="A4122" s="7">
        <f>IF(E4122=1,
      SUM($E$2:E4122)-1,
"")</f>
        <v>4118</v>
      </c>
      <c r="B4122" s="6" t="s">
        <v>1025</v>
      </c>
      <c r="C4122" s="14">
        <v>44970</v>
      </c>
      <c r="D4122" s="15">
        <v>75.22</v>
      </c>
      <c r="E4122" s="7">
        <f t="shared" si="64"/>
        <v>1</v>
      </c>
    </row>
    <row r="4123" spans="1:5" x14ac:dyDescent="0.25">
      <c r="A4123" s="7">
        <f>IF(E4123=1,
      SUM($E$2:E4123)-1,
"")</f>
        <v>4119</v>
      </c>
      <c r="B4123" s="6" t="s">
        <v>363</v>
      </c>
      <c r="C4123" s="14">
        <v>45066</v>
      </c>
      <c r="D4123" s="15">
        <v>117.67</v>
      </c>
      <c r="E4123" s="7">
        <f t="shared" si="64"/>
        <v>1</v>
      </c>
    </row>
    <row r="4124" spans="1:5" x14ac:dyDescent="0.25">
      <c r="A4124" s="7">
        <f>IF(E4124=1,
      SUM($E$2:E4124)-1,
"")</f>
        <v>4120</v>
      </c>
      <c r="B4124" s="6" t="s">
        <v>779</v>
      </c>
      <c r="C4124" s="14">
        <v>45077</v>
      </c>
      <c r="D4124" s="15">
        <v>97.2</v>
      </c>
      <c r="E4124" s="7">
        <f t="shared" si="64"/>
        <v>1</v>
      </c>
    </row>
    <row r="4125" spans="1:5" x14ac:dyDescent="0.25">
      <c r="A4125" s="7">
        <f>IF(E4125=1,
      SUM($E$2:E4125)-1,
"")</f>
        <v>4121</v>
      </c>
      <c r="B4125" s="6" t="s">
        <v>941</v>
      </c>
      <c r="C4125" s="14">
        <v>45224</v>
      </c>
      <c r="D4125" s="15">
        <v>113.54</v>
      </c>
      <c r="E4125" s="7">
        <f t="shared" si="64"/>
        <v>1</v>
      </c>
    </row>
    <row r="4126" spans="1:5" x14ac:dyDescent="0.25">
      <c r="A4126" s="7">
        <f>IF(E4126=1,
      SUM($E$2:E4126)-1,
"")</f>
        <v>4122</v>
      </c>
      <c r="B4126" s="6" t="s">
        <v>547</v>
      </c>
      <c r="C4126" s="14">
        <v>45209</v>
      </c>
      <c r="D4126" s="15">
        <v>109.41</v>
      </c>
      <c r="E4126" s="7">
        <f t="shared" si="64"/>
        <v>1</v>
      </c>
    </row>
    <row r="4127" spans="1:5" x14ac:dyDescent="0.25">
      <c r="A4127" s="7">
        <f>IF(E4127=1,
      SUM($E$2:E4127)-1,
"")</f>
        <v>4123</v>
      </c>
      <c r="B4127" s="6" t="s">
        <v>504</v>
      </c>
      <c r="C4127" s="14">
        <v>45190</v>
      </c>
      <c r="D4127" s="15">
        <v>87.57</v>
      </c>
      <c r="E4127" s="7">
        <f t="shared" si="64"/>
        <v>1</v>
      </c>
    </row>
    <row r="4128" spans="1:5" x14ac:dyDescent="0.25">
      <c r="A4128" s="7">
        <f>IF(E4128=1,
      SUM($E$2:E4128)-1,
"")</f>
        <v>4124</v>
      </c>
      <c r="B4128" s="6" t="s">
        <v>976</v>
      </c>
      <c r="C4128" s="14">
        <v>45254</v>
      </c>
      <c r="D4128" s="15">
        <v>96.81</v>
      </c>
      <c r="E4128" s="7">
        <f t="shared" si="64"/>
        <v>1</v>
      </c>
    </row>
    <row r="4129" spans="1:5" x14ac:dyDescent="0.25">
      <c r="A4129" s="7">
        <f>IF(E4129=1,
      SUM($E$2:E4129)-1,
"")</f>
        <v>4125</v>
      </c>
      <c r="B4129" s="6" t="s">
        <v>292</v>
      </c>
      <c r="C4129" s="14">
        <v>45280</v>
      </c>
      <c r="D4129" s="15">
        <v>89.4</v>
      </c>
      <c r="E4129" s="7">
        <f t="shared" si="64"/>
        <v>1</v>
      </c>
    </row>
    <row r="4130" spans="1:5" x14ac:dyDescent="0.25">
      <c r="A4130" s="7">
        <f>IF(E4130=1,
      SUM($E$2:E4130)-1,
"")</f>
        <v>4126</v>
      </c>
      <c r="B4130" s="6" t="s">
        <v>748</v>
      </c>
      <c r="C4130" s="14">
        <v>44996</v>
      </c>
      <c r="D4130" s="15">
        <v>103.56</v>
      </c>
      <c r="E4130" s="7">
        <f t="shared" si="64"/>
        <v>1</v>
      </c>
    </row>
    <row r="4131" spans="1:5" x14ac:dyDescent="0.25">
      <c r="A4131" s="7">
        <f>IF(E4131=1,
      SUM($E$2:E4131)-1,
"")</f>
        <v>4127</v>
      </c>
      <c r="B4131" s="6" t="s">
        <v>336</v>
      </c>
      <c r="C4131" s="14">
        <v>44980</v>
      </c>
      <c r="D4131" s="15">
        <v>74.62</v>
      </c>
      <c r="E4131" s="7">
        <f t="shared" si="64"/>
        <v>1</v>
      </c>
    </row>
    <row r="4132" spans="1:5" x14ac:dyDescent="0.25">
      <c r="A4132" s="7">
        <f>IF(E4132=1,
      SUM($E$2:E4132)-1,
"")</f>
        <v>4128</v>
      </c>
      <c r="B4132" s="6" t="s">
        <v>846</v>
      </c>
      <c r="C4132" s="14">
        <v>45112</v>
      </c>
      <c r="D4132" s="15">
        <v>81.790000000000006</v>
      </c>
      <c r="E4132" s="7">
        <f t="shared" si="64"/>
        <v>1</v>
      </c>
    </row>
    <row r="4133" spans="1:5" x14ac:dyDescent="0.25">
      <c r="A4133" s="7">
        <f>IF(E4133=1,
      SUM($E$2:E4133)-1,
"")</f>
        <v>4129</v>
      </c>
      <c r="B4133" s="6" t="s">
        <v>966</v>
      </c>
      <c r="C4133" s="14">
        <v>45025</v>
      </c>
      <c r="D4133" s="15">
        <v>87.58</v>
      </c>
      <c r="E4133" s="7">
        <f t="shared" si="64"/>
        <v>1</v>
      </c>
    </row>
    <row r="4134" spans="1:5" x14ac:dyDescent="0.25">
      <c r="A4134" s="7">
        <f>IF(E4134=1,
      SUM($E$2:E4134)-1,
"")</f>
        <v>4130</v>
      </c>
      <c r="B4134" s="6" t="s">
        <v>552</v>
      </c>
      <c r="C4134" s="14">
        <v>45280</v>
      </c>
      <c r="D4134" s="15">
        <v>111.75</v>
      </c>
      <c r="E4134" s="7">
        <f t="shared" si="64"/>
        <v>1</v>
      </c>
    </row>
    <row r="4135" spans="1:5" x14ac:dyDescent="0.25">
      <c r="A4135" s="7">
        <f>IF(E4135=1,
      SUM($E$2:E4135)-1,
"")</f>
        <v>4131</v>
      </c>
      <c r="B4135" s="6" t="s">
        <v>201</v>
      </c>
      <c r="C4135" s="14">
        <v>45173</v>
      </c>
      <c r="D4135" s="15">
        <v>57.53</v>
      </c>
      <c r="E4135" s="7">
        <f t="shared" si="64"/>
        <v>1</v>
      </c>
    </row>
    <row r="4136" spans="1:5" x14ac:dyDescent="0.25">
      <c r="A4136" s="7">
        <f>IF(E4136=1,
      SUM($E$2:E4136)-1,
"")</f>
        <v>4132</v>
      </c>
      <c r="B4136" s="6" t="s">
        <v>252</v>
      </c>
      <c r="C4136" s="14">
        <v>44940</v>
      </c>
      <c r="D4136" s="15">
        <v>96.79</v>
      </c>
      <c r="E4136" s="7">
        <f t="shared" si="64"/>
        <v>1</v>
      </c>
    </row>
    <row r="4137" spans="1:5" x14ac:dyDescent="0.25">
      <c r="A4137" s="7">
        <f>IF(E4137=1,
      SUM($E$2:E4137)-1,
"")</f>
        <v>4133</v>
      </c>
      <c r="B4137" s="6" t="s">
        <v>612</v>
      </c>
      <c r="C4137" s="14">
        <v>45236</v>
      </c>
      <c r="D4137" s="15">
        <v>78.75</v>
      </c>
      <c r="E4137" s="7">
        <f t="shared" si="64"/>
        <v>1</v>
      </c>
    </row>
    <row r="4138" spans="1:5" x14ac:dyDescent="0.25">
      <c r="A4138" s="7">
        <f>IF(E4138=1,
      SUM($E$2:E4138)-1,
"")</f>
        <v>4134</v>
      </c>
      <c r="B4138" s="6" t="s">
        <v>966</v>
      </c>
      <c r="C4138" s="14">
        <v>45253</v>
      </c>
      <c r="D4138" s="15">
        <v>87.66</v>
      </c>
      <c r="E4138" s="7">
        <f t="shared" si="64"/>
        <v>1</v>
      </c>
    </row>
    <row r="4139" spans="1:5" x14ac:dyDescent="0.25">
      <c r="A4139" s="7">
        <f>IF(E4139=1,
      SUM($E$2:E4139)-1,
"")</f>
        <v>4135</v>
      </c>
      <c r="B4139" s="6" t="s">
        <v>1042</v>
      </c>
      <c r="C4139" s="14">
        <v>44957</v>
      </c>
      <c r="D4139" s="15">
        <v>80.19</v>
      </c>
      <c r="E4139" s="7">
        <f t="shared" si="64"/>
        <v>1</v>
      </c>
    </row>
    <row r="4140" spans="1:5" x14ac:dyDescent="0.25">
      <c r="A4140" s="7">
        <f>IF(E4140=1,
      SUM($E$2:E4140)-1,
"")</f>
        <v>4136</v>
      </c>
      <c r="B4140" s="6" t="s">
        <v>411</v>
      </c>
      <c r="C4140" s="14">
        <v>45165</v>
      </c>
      <c r="D4140" s="15">
        <v>105.84</v>
      </c>
      <c r="E4140" s="7">
        <f t="shared" si="64"/>
        <v>1</v>
      </c>
    </row>
    <row r="4141" spans="1:5" x14ac:dyDescent="0.25">
      <c r="A4141" s="7">
        <f>IF(E4141=1,
      SUM($E$2:E4141)-1,
"")</f>
        <v>4137</v>
      </c>
      <c r="B4141" s="6" t="s">
        <v>499</v>
      </c>
      <c r="C4141" s="14">
        <v>45120</v>
      </c>
      <c r="D4141" s="15">
        <v>95.29</v>
      </c>
      <c r="E4141" s="7">
        <f t="shared" si="64"/>
        <v>1</v>
      </c>
    </row>
    <row r="4142" spans="1:5" x14ac:dyDescent="0.25">
      <c r="A4142" s="7">
        <f>IF(E4142=1,
      SUM($E$2:E4142)-1,
"")</f>
        <v>4138</v>
      </c>
      <c r="B4142" s="6" t="s">
        <v>169</v>
      </c>
      <c r="C4142" s="14">
        <v>45258</v>
      </c>
      <c r="D4142" s="15">
        <v>121.35</v>
      </c>
      <c r="E4142" s="7">
        <f t="shared" si="64"/>
        <v>1</v>
      </c>
    </row>
    <row r="4143" spans="1:5" x14ac:dyDescent="0.25">
      <c r="A4143" s="7">
        <f>IF(E4143=1,
      SUM($E$2:E4143)-1,
"")</f>
        <v>4139</v>
      </c>
      <c r="B4143" s="6" t="s">
        <v>1025</v>
      </c>
      <c r="C4143" s="14">
        <v>45034</v>
      </c>
      <c r="D4143" s="15">
        <v>112.05</v>
      </c>
      <c r="E4143" s="7">
        <f t="shared" si="64"/>
        <v>1</v>
      </c>
    </row>
    <row r="4144" spans="1:5" x14ac:dyDescent="0.25">
      <c r="A4144" s="7">
        <f>IF(E4144=1,
      SUM($E$2:E4144)-1,
"")</f>
        <v>4140</v>
      </c>
      <c r="B4144" s="6" t="s">
        <v>987</v>
      </c>
      <c r="C4144" s="14">
        <v>45288</v>
      </c>
      <c r="D4144" s="15">
        <v>53.89</v>
      </c>
      <c r="E4144" s="7">
        <f t="shared" si="64"/>
        <v>1</v>
      </c>
    </row>
    <row r="4145" spans="1:5" x14ac:dyDescent="0.25">
      <c r="A4145" s="7">
        <f>IF(E4145=1,
      SUM($E$2:E4145)-1,
"")</f>
        <v>4141</v>
      </c>
      <c r="B4145" s="6" t="s">
        <v>914</v>
      </c>
      <c r="C4145" s="14">
        <v>45075</v>
      </c>
      <c r="D4145" s="15">
        <v>71.2</v>
      </c>
      <c r="E4145" s="7">
        <f t="shared" si="64"/>
        <v>1</v>
      </c>
    </row>
    <row r="4146" spans="1:5" x14ac:dyDescent="0.25">
      <c r="A4146" s="7">
        <f>IF(E4146=1,
      SUM($E$2:E4146)-1,
"")</f>
        <v>4142</v>
      </c>
      <c r="B4146" s="6" t="s">
        <v>277</v>
      </c>
      <c r="C4146" s="14">
        <v>45282</v>
      </c>
      <c r="D4146" s="15">
        <v>94.81</v>
      </c>
      <c r="E4146" s="7">
        <f t="shared" si="64"/>
        <v>1</v>
      </c>
    </row>
    <row r="4147" spans="1:5" x14ac:dyDescent="0.25">
      <c r="A4147" s="7">
        <f>IF(E4147=1,
      SUM($E$2:E4147)-1,
"")</f>
        <v>4143</v>
      </c>
      <c r="B4147" s="6" t="s">
        <v>444</v>
      </c>
      <c r="C4147" s="14">
        <v>44966</v>
      </c>
      <c r="D4147" s="15">
        <v>98.71</v>
      </c>
      <c r="E4147" s="7">
        <f t="shared" si="64"/>
        <v>1</v>
      </c>
    </row>
    <row r="4148" spans="1:5" x14ac:dyDescent="0.25">
      <c r="A4148" s="7">
        <f>IF(E4148=1,
      SUM($E$2:E4148)-1,
"")</f>
        <v>4144</v>
      </c>
      <c r="B4148" s="6" t="s">
        <v>921</v>
      </c>
      <c r="C4148" s="14">
        <v>45176</v>
      </c>
      <c r="D4148" s="15">
        <v>73.849999999999994</v>
      </c>
      <c r="E4148" s="7">
        <f t="shared" si="64"/>
        <v>1</v>
      </c>
    </row>
    <row r="4149" spans="1:5" x14ac:dyDescent="0.25">
      <c r="A4149" s="7">
        <f>IF(E4149=1,
      SUM($E$2:E4149)-1,
"")</f>
        <v>4145</v>
      </c>
      <c r="B4149" s="6" t="s">
        <v>322</v>
      </c>
      <c r="C4149" s="14">
        <v>45109</v>
      </c>
      <c r="D4149" s="15">
        <v>139.12</v>
      </c>
      <c r="E4149" s="7">
        <f t="shared" si="64"/>
        <v>1</v>
      </c>
    </row>
    <row r="4150" spans="1:5" x14ac:dyDescent="0.25">
      <c r="A4150" s="7">
        <f>IF(E4150=1,
      SUM($E$2:E4150)-1,
"")</f>
        <v>4146</v>
      </c>
      <c r="B4150" s="6" t="s">
        <v>276</v>
      </c>
      <c r="C4150" s="14">
        <v>44931</v>
      </c>
      <c r="D4150" s="15">
        <v>125.94</v>
      </c>
      <c r="E4150" s="7">
        <f t="shared" si="64"/>
        <v>1</v>
      </c>
    </row>
    <row r="4151" spans="1:5" x14ac:dyDescent="0.25">
      <c r="A4151" s="7">
        <f>IF(E4151=1,
      SUM($E$2:E4151)-1,
"")</f>
        <v>4147</v>
      </c>
      <c r="B4151" s="6" t="s">
        <v>244</v>
      </c>
      <c r="C4151" s="14">
        <v>45177</v>
      </c>
      <c r="D4151" s="15">
        <v>50.66</v>
      </c>
      <c r="E4151" s="7">
        <f t="shared" si="64"/>
        <v>1</v>
      </c>
    </row>
    <row r="4152" spans="1:5" x14ac:dyDescent="0.25">
      <c r="A4152" s="7">
        <f>IF(E4152=1,
      SUM($E$2:E4152)-1,
"")</f>
        <v>4148</v>
      </c>
      <c r="B4152" s="6" t="s">
        <v>331</v>
      </c>
      <c r="C4152" s="14">
        <v>45131</v>
      </c>
      <c r="D4152" s="15">
        <v>110.36</v>
      </c>
      <c r="E4152" s="7">
        <f t="shared" si="64"/>
        <v>1</v>
      </c>
    </row>
    <row r="4153" spans="1:5" x14ac:dyDescent="0.25">
      <c r="A4153" s="7">
        <f>IF(E4153=1,
      SUM($E$2:E4153)-1,
"")</f>
        <v>4149</v>
      </c>
      <c r="B4153" s="6" t="s">
        <v>770</v>
      </c>
      <c r="C4153" s="14">
        <v>45226</v>
      </c>
      <c r="D4153" s="15">
        <v>98.63</v>
      </c>
      <c r="E4153" s="7">
        <f t="shared" si="64"/>
        <v>1</v>
      </c>
    </row>
    <row r="4154" spans="1:5" x14ac:dyDescent="0.25">
      <c r="A4154" s="7">
        <f>IF(E4154=1,
      SUM($E$2:E4154)-1,
"")</f>
        <v>4150</v>
      </c>
      <c r="B4154" s="6" t="s">
        <v>93</v>
      </c>
      <c r="C4154" s="14">
        <v>45093</v>
      </c>
      <c r="D4154" s="15">
        <v>137.32</v>
      </c>
      <c r="E4154" s="7">
        <f t="shared" si="64"/>
        <v>1</v>
      </c>
    </row>
    <row r="4155" spans="1:5" x14ac:dyDescent="0.25">
      <c r="A4155" s="7">
        <f>IF(E4155=1,
      SUM($E$2:E4155)-1,
"")</f>
        <v>4151</v>
      </c>
      <c r="B4155" s="6" t="s">
        <v>954</v>
      </c>
      <c r="C4155" s="14">
        <v>45262</v>
      </c>
      <c r="D4155" s="15">
        <v>52.9</v>
      </c>
      <c r="E4155" s="7">
        <f t="shared" si="64"/>
        <v>1</v>
      </c>
    </row>
    <row r="4156" spans="1:5" x14ac:dyDescent="0.25">
      <c r="A4156" s="7">
        <f>IF(E4156=1,
      SUM($E$2:E4156)-1,
"")</f>
        <v>4152</v>
      </c>
      <c r="B4156" s="6" t="s">
        <v>491</v>
      </c>
      <c r="C4156" s="14">
        <v>45218</v>
      </c>
      <c r="D4156" s="15">
        <v>161.80000000000001</v>
      </c>
      <c r="E4156" s="7">
        <f t="shared" si="64"/>
        <v>1</v>
      </c>
    </row>
    <row r="4157" spans="1:5" x14ac:dyDescent="0.25">
      <c r="A4157" s="7">
        <f>IF(E4157=1,
      SUM($E$2:E4157)-1,
"")</f>
        <v>4153</v>
      </c>
      <c r="B4157" s="6" t="s">
        <v>443</v>
      </c>
      <c r="C4157" s="14">
        <v>45056</v>
      </c>
      <c r="D4157" s="15">
        <v>74.709999999999994</v>
      </c>
      <c r="E4157" s="7">
        <f t="shared" si="64"/>
        <v>1</v>
      </c>
    </row>
    <row r="4158" spans="1:5" x14ac:dyDescent="0.25">
      <c r="A4158" s="7">
        <f>IF(E4158=1,
      SUM($E$2:E4158)-1,
"")</f>
        <v>4154</v>
      </c>
      <c r="B4158" s="6" t="s">
        <v>403</v>
      </c>
      <c r="C4158" s="14">
        <v>44966</v>
      </c>
      <c r="D4158" s="15">
        <v>111.36</v>
      </c>
      <c r="E4158" s="7">
        <f t="shared" si="64"/>
        <v>1</v>
      </c>
    </row>
    <row r="4159" spans="1:5" x14ac:dyDescent="0.25">
      <c r="A4159" s="7">
        <f>IF(E4159=1,
      SUM($E$2:E4159)-1,
"")</f>
        <v>4155</v>
      </c>
      <c r="B4159" s="6" t="s">
        <v>221</v>
      </c>
      <c r="C4159" s="14">
        <v>45227</v>
      </c>
      <c r="D4159" s="15">
        <v>81.81</v>
      </c>
      <c r="E4159" s="7">
        <f t="shared" si="64"/>
        <v>1</v>
      </c>
    </row>
    <row r="4160" spans="1:5" x14ac:dyDescent="0.25">
      <c r="A4160" s="7">
        <f>IF(E4160=1,
      SUM($E$2:E4160)-1,
"")</f>
        <v>4156</v>
      </c>
      <c r="B4160" s="6" t="s">
        <v>761</v>
      </c>
      <c r="C4160" s="14">
        <v>45223</v>
      </c>
      <c r="D4160" s="15">
        <v>88.72</v>
      </c>
      <c r="E4160" s="7">
        <f t="shared" si="64"/>
        <v>1</v>
      </c>
    </row>
    <row r="4161" spans="1:5" x14ac:dyDescent="0.25">
      <c r="A4161" s="7">
        <f>IF(E4161=1,
      SUM($E$2:E4161)-1,
"")</f>
        <v>4157</v>
      </c>
      <c r="B4161" s="6" t="s">
        <v>968</v>
      </c>
      <c r="C4161" s="14">
        <v>44996</v>
      </c>
      <c r="D4161" s="15">
        <v>49.32</v>
      </c>
      <c r="E4161" s="7">
        <f t="shared" si="64"/>
        <v>1</v>
      </c>
    </row>
    <row r="4162" spans="1:5" x14ac:dyDescent="0.25">
      <c r="A4162" s="7">
        <f>IF(E4162=1,
      SUM($E$2:E4162)-1,
"")</f>
        <v>4158</v>
      </c>
      <c r="B4162" s="6" t="s">
        <v>698</v>
      </c>
      <c r="C4162" s="14">
        <v>45273</v>
      </c>
      <c r="D4162" s="15">
        <v>135.91</v>
      </c>
      <c r="E4162" s="7">
        <f t="shared" ref="E4162:E4225" si="65">IF(D4162&gt;0,1,0)</f>
        <v>1</v>
      </c>
    </row>
    <row r="4163" spans="1:5" x14ac:dyDescent="0.25">
      <c r="A4163" s="7">
        <f>IF(E4163=1,
      SUM($E$2:E4163)-1,
"")</f>
        <v>4159</v>
      </c>
      <c r="B4163" s="6" t="s">
        <v>391</v>
      </c>
      <c r="C4163" s="14">
        <v>45067</v>
      </c>
      <c r="D4163" s="15">
        <v>91.91</v>
      </c>
      <c r="E4163" s="7">
        <f t="shared" si="65"/>
        <v>1</v>
      </c>
    </row>
    <row r="4164" spans="1:5" x14ac:dyDescent="0.25">
      <c r="A4164" s="7">
        <f>IF(E4164=1,
      SUM($E$2:E4164)-1,
"")</f>
        <v>4160</v>
      </c>
      <c r="B4164" s="6" t="s">
        <v>80</v>
      </c>
      <c r="C4164" s="14">
        <v>45094</v>
      </c>
      <c r="D4164" s="15">
        <v>93.95</v>
      </c>
      <c r="E4164" s="7">
        <f t="shared" si="65"/>
        <v>1</v>
      </c>
    </row>
    <row r="4165" spans="1:5" x14ac:dyDescent="0.25">
      <c r="A4165" s="7">
        <f>IF(E4165=1,
      SUM($E$2:E4165)-1,
"")</f>
        <v>4161</v>
      </c>
      <c r="B4165" s="6" t="s">
        <v>117</v>
      </c>
      <c r="C4165" s="14">
        <v>45254</v>
      </c>
      <c r="D4165" s="15">
        <v>169.37</v>
      </c>
      <c r="E4165" s="7">
        <f t="shared" si="65"/>
        <v>1</v>
      </c>
    </row>
    <row r="4166" spans="1:5" x14ac:dyDescent="0.25">
      <c r="A4166" s="7">
        <f>IF(E4166=1,
      SUM($E$2:E4166)-1,
"")</f>
        <v>4162</v>
      </c>
      <c r="B4166" s="6" t="s">
        <v>164</v>
      </c>
      <c r="C4166" s="14">
        <v>45148</v>
      </c>
      <c r="D4166" s="15">
        <v>128.78</v>
      </c>
      <c r="E4166" s="7">
        <f t="shared" si="65"/>
        <v>1</v>
      </c>
    </row>
    <row r="4167" spans="1:5" x14ac:dyDescent="0.25">
      <c r="A4167" s="7">
        <f>IF(E4167=1,
      SUM($E$2:E4167)-1,
"")</f>
        <v>4163</v>
      </c>
      <c r="B4167" s="6" t="s">
        <v>602</v>
      </c>
      <c r="C4167" s="14">
        <v>45248</v>
      </c>
      <c r="D4167" s="15">
        <v>79.95</v>
      </c>
      <c r="E4167" s="7">
        <f t="shared" si="65"/>
        <v>1</v>
      </c>
    </row>
    <row r="4168" spans="1:5" x14ac:dyDescent="0.25">
      <c r="A4168" s="7">
        <f>IF(E4168=1,
      SUM($E$2:E4168)-1,
"")</f>
        <v>4164</v>
      </c>
      <c r="B4168" s="6" t="s">
        <v>923</v>
      </c>
      <c r="C4168" s="14">
        <v>44967</v>
      </c>
      <c r="D4168" s="15">
        <v>81.69</v>
      </c>
      <c r="E4168" s="7">
        <f t="shared" si="65"/>
        <v>1</v>
      </c>
    </row>
    <row r="4169" spans="1:5" x14ac:dyDescent="0.25">
      <c r="A4169" s="7">
        <f>IF(E4169=1,
      SUM($E$2:E4169)-1,
"")</f>
        <v>4165</v>
      </c>
      <c r="B4169" s="6" t="s">
        <v>1047</v>
      </c>
      <c r="C4169" s="14">
        <v>45202</v>
      </c>
      <c r="D4169" s="15">
        <v>107.79</v>
      </c>
      <c r="E4169" s="7">
        <f t="shared" si="65"/>
        <v>1</v>
      </c>
    </row>
    <row r="4170" spans="1:5" x14ac:dyDescent="0.25">
      <c r="A4170" s="7">
        <f>IF(E4170=1,
      SUM($E$2:E4170)-1,
"")</f>
        <v>4166</v>
      </c>
      <c r="B4170" s="6" t="s">
        <v>1048</v>
      </c>
      <c r="C4170" s="14">
        <v>45055</v>
      </c>
      <c r="D4170" s="15">
        <v>123.12</v>
      </c>
      <c r="E4170" s="7">
        <f t="shared" si="65"/>
        <v>1</v>
      </c>
    </row>
    <row r="4171" spans="1:5" x14ac:dyDescent="0.25">
      <c r="A4171" s="7">
        <f>IF(E4171=1,
      SUM($E$2:E4171)-1,
"")</f>
        <v>4167</v>
      </c>
      <c r="B4171" s="6" t="s">
        <v>273</v>
      </c>
      <c r="C4171" s="14">
        <v>45223</v>
      </c>
      <c r="D4171" s="15">
        <v>152.57</v>
      </c>
      <c r="E4171" s="7">
        <f t="shared" si="65"/>
        <v>1</v>
      </c>
    </row>
    <row r="4172" spans="1:5" x14ac:dyDescent="0.25">
      <c r="A4172" s="7">
        <f>IF(E4172=1,
      SUM($E$2:E4172)-1,
"")</f>
        <v>4168</v>
      </c>
      <c r="B4172" s="6" t="s">
        <v>1031</v>
      </c>
      <c r="C4172" s="14">
        <v>45127</v>
      </c>
      <c r="D4172" s="15">
        <v>51.76</v>
      </c>
      <c r="E4172" s="7">
        <f t="shared" si="65"/>
        <v>1</v>
      </c>
    </row>
    <row r="4173" spans="1:5" x14ac:dyDescent="0.25">
      <c r="A4173" s="7">
        <f>IF(E4173=1,
      SUM($E$2:E4173)-1,
"")</f>
        <v>4169</v>
      </c>
      <c r="B4173" s="6" t="s">
        <v>368</v>
      </c>
      <c r="C4173" s="14">
        <v>45163</v>
      </c>
      <c r="D4173" s="15">
        <v>121.81</v>
      </c>
      <c r="E4173" s="7">
        <f t="shared" si="65"/>
        <v>1</v>
      </c>
    </row>
    <row r="4174" spans="1:5" x14ac:dyDescent="0.25">
      <c r="A4174" s="7">
        <f>IF(E4174=1,
      SUM($E$2:E4174)-1,
"")</f>
        <v>4170</v>
      </c>
      <c r="B4174" s="6" t="s">
        <v>891</v>
      </c>
      <c r="C4174" s="14">
        <v>45079</v>
      </c>
      <c r="D4174" s="15">
        <v>126.63</v>
      </c>
      <c r="E4174" s="7">
        <f t="shared" si="65"/>
        <v>1</v>
      </c>
    </row>
    <row r="4175" spans="1:5" x14ac:dyDescent="0.25">
      <c r="A4175" s="7">
        <f>IF(E4175=1,
      SUM($E$2:E4175)-1,
"")</f>
        <v>4171</v>
      </c>
      <c r="B4175" s="6" t="s">
        <v>282</v>
      </c>
      <c r="C4175" s="14">
        <v>44953</v>
      </c>
      <c r="D4175" s="15">
        <v>76.31</v>
      </c>
      <c r="E4175" s="7">
        <f t="shared" si="65"/>
        <v>1</v>
      </c>
    </row>
    <row r="4176" spans="1:5" x14ac:dyDescent="0.25">
      <c r="A4176" s="7">
        <f>IF(E4176=1,
      SUM($E$2:E4176)-1,
"")</f>
        <v>4172</v>
      </c>
      <c r="B4176" s="6" t="s">
        <v>948</v>
      </c>
      <c r="C4176" s="14">
        <v>45204</v>
      </c>
      <c r="D4176" s="15">
        <v>89.19</v>
      </c>
      <c r="E4176" s="7">
        <f t="shared" si="65"/>
        <v>1</v>
      </c>
    </row>
    <row r="4177" spans="1:5" x14ac:dyDescent="0.25">
      <c r="A4177" s="7">
        <f>IF(E4177=1,
      SUM($E$2:E4177)-1,
"")</f>
        <v>4173</v>
      </c>
      <c r="B4177" s="6" t="s">
        <v>686</v>
      </c>
      <c r="C4177" s="14">
        <v>44958</v>
      </c>
      <c r="D4177" s="15">
        <v>51.09</v>
      </c>
      <c r="E4177" s="7">
        <f t="shared" si="65"/>
        <v>1</v>
      </c>
    </row>
    <row r="4178" spans="1:5" x14ac:dyDescent="0.25">
      <c r="A4178" s="7">
        <f>IF(E4178=1,
      SUM($E$2:E4178)-1,
"")</f>
        <v>4174</v>
      </c>
      <c r="B4178" s="6" t="s">
        <v>152</v>
      </c>
      <c r="C4178" s="14">
        <v>45041</v>
      </c>
      <c r="D4178" s="15">
        <v>84.97</v>
      </c>
      <c r="E4178" s="7">
        <f t="shared" si="65"/>
        <v>1</v>
      </c>
    </row>
    <row r="4179" spans="1:5" x14ac:dyDescent="0.25">
      <c r="A4179" s="7">
        <f>IF(E4179=1,
      SUM($E$2:E4179)-1,
"")</f>
        <v>4175</v>
      </c>
      <c r="B4179" s="6" t="s">
        <v>892</v>
      </c>
      <c r="C4179" s="14">
        <v>44944</v>
      </c>
      <c r="D4179" s="15">
        <v>106.96</v>
      </c>
      <c r="E4179" s="7">
        <f t="shared" si="65"/>
        <v>1</v>
      </c>
    </row>
    <row r="4180" spans="1:5" x14ac:dyDescent="0.25">
      <c r="A4180" s="7">
        <f>IF(E4180=1,
      SUM($E$2:E4180)-1,
"")</f>
        <v>4176</v>
      </c>
      <c r="B4180" s="6" t="s">
        <v>125</v>
      </c>
      <c r="C4180" s="14">
        <v>45221</v>
      </c>
      <c r="D4180" s="15">
        <v>147.82</v>
      </c>
      <c r="E4180" s="7">
        <f t="shared" si="65"/>
        <v>1</v>
      </c>
    </row>
    <row r="4181" spans="1:5" x14ac:dyDescent="0.25">
      <c r="A4181" s="7">
        <f>IF(E4181=1,
      SUM($E$2:E4181)-1,
"")</f>
        <v>4177</v>
      </c>
      <c r="B4181" s="6" t="s">
        <v>585</v>
      </c>
      <c r="C4181" s="14">
        <v>45128</v>
      </c>
      <c r="D4181" s="15">
        <v>150.59</v>
      </c>
      <c r="E4181" s="7">
        <f t="shared" si="65"/>
        <v>1</v>
      </c>
    </row>
    <row r="4182" spans="1:5" x14ac:dyDescent="0.25">
      <c r="A4182" s="7">
        <f>IF(E4182=1,
      SUM($E$2:E4182)-1,
"")</f>
        <v>4178</v>
      </c>
      <c r="B4182" s="6" t="s">
        <v>181</v>
      </c>
      <c r="C4182" s="14">
        <v>45244</v>
      </c>
      <c r="D4182" s="15">
        <v>69.12</v>
      </c>
      <c r="E4182" s="7">
        <f t="shared" si="65"/>
        <v>1</v>
      </c>
    </row>
    <row r="4183" spans="1:5" x14ac:dyDescent="0.25">
      <c r="A4183" s="7">
        <f>IF(E4183=1,
      SUM($E$2:E4183)-1,
"")</f>
        <v>4179</v>
      </c>
      <c r="B4183" s="6" t="s">
        <v>227</v>
      </c>
      <c r="C4183" s="14">
        <v>45241</v>
      </c>
      <c r="D4183" s="15">
        <v>143.74</v>
      </c>
      <c r="E4183" s="7">
        <f t="shared" si="65"/>
        <v>1</v>
      </c>
    </row>
    <row r="4184" spans="1:5" x14ac:dyDescent="0.25">
      <c r="A4184" s="7">
        <f>IF(E4184=1,
      SUM($E$2:E4184)-1,
"")</f>
        <v>4180</v>
      </c>
      <c r="B4184" s="6" t="s">
        <v>417</v>
      </c>
      <c r="C4184" s="14">
        <v>45004</v>
      </c>
      <c r="D4184" s="15">
        <v>41.52</v>
      </c>
      <c r="E4184" s="7">
        <f t="shared" si="65"/>
        <v>1</v>
      </c>
    </row>
    <row r="4185" spans="1:5" x14ac:dyDescent="0.25">
      <c r="A4185" s="7">
        <f>IF(E4185=1,
      SUM($E$2:E4185)-1,
"")</f>
        <v>4181</v>
      </c>
      <c r="B4185" s="6" t="s">
        <v>335</v>
      </c>
      <c r="C4185" s="14">
        <v>45015</v>
      </c>
      <c r="D4185" s="15">
        <v>82.45</v>
      </c>
      <c r="E4185" s="7">
        <f t="shared" si="65"/>
        <v>1</v>
      </c>
    </row>
    <row r="4186" spans="1:5" x14ac:dyDescent="0.25">
      <c r="A4186" s="7">
        <f>IF(E4186=1,
      SUM($E$2:E4186)-1,
"")</f>
        <v>4182</v>
      </c>
      <c r="B4186" s="6" t="s">
        <v>93</v>
      </c>
      <c r="C4186" s="14">
        <v>45179</v>
      </c>
      <c r="D4186" s="15">
        <v>90.95</v>
      </c>
      <c r="E4186" s="7">
        <f t="shared" si="65"/>
        <v>1</v>
      </c>
    </row>
    <row r="4187" spans="1:5" x14ac:dyDescent="0.25">
      <c r="A4187" s="7">
        <f>IF(E4187=1,
      SUM($E$2:E4187)-1,
"")</f>
        <v>4183</v>
      </c>
      <c r="B4187" s="6" t="s">
        <v>622</v>
      </c>
      <c r="C4187" s="14">
        <v>45054</v>
      </c>
      <c r="D4187" s="15">
        <v>107.55</v>
      </c>
      <c r="E4187" s="7">
        <f t="shared" si="65"/>
        <v>1</v>
      </c>
    </row>
    <row r="4188" spans="1:5" x14ac:dyDescent="0.25">
      <c r="A4188" s="7">
        <f>IF(E4188=1,
      SUM($E$2:E4188)-1,
"")</f>
        <v>4184</v>
      </c>
      <c r="B4188" s="6" t="s">
        <v>117</v>
      </c>
      <c r="C4188" s="14">
        <v>45160</v>
      </c>
      <c r="D4188" s="15">
        <v>103.2</v>
      </c>
      <c r="E4188" s="7">
        <f t="shared" si="65"/>
        <v>1</v>
      </c>
    </row>
    <row r="4189" spans="1:5" x14ac:dyDescent="0.25">
      <c r="A4189" s="7">
        <f>IF(E4189=1,
      SUM($E$2:E4189)-1,
"")</f>
        <v>4185</v>
      </c>
      <c r="B4189" s="6" t="s">
        <v>275</v>
      </c>
      <c r="C4189" s="14">
        <v>45019</v>
      </c>
      <c r="D4189" s="15">
        <v>110.97</v>
      </c>
      <c r="E4189" s="7">
        <f t="shared" si="65"/>
        <v>1</v>
      </c>
    </row>
    <row r="4190" spans="1:5" x14ac:dyDescent="0.25">
      <c r="A4190" s="7">
        <f>IF(E4190=1,
      SUM($E$2:E4190)-1,
"")</f>
        <v>4186</v>
      </c>
      <c r="B4190" s="6" t="s">
        <v>454</v>
      </c>
      <c r="C4190" s="14">
        <v>45127</v>
      </c>
      <c r="D4190" s="15">
        <v>94.51</v>
      </c>
      <c r="E4190" s="7">
        <f t="shared" si="65"/>
        <v>1</v>
      </c>
    </row>
    <row r="4191" spans="1:5" x14ac:dyDescent="0.25">
      <c r="A4191" s="7">
        <f>IF(E4191=1,
      SUM($E$2:E4191)-1,
"")</f>
        <v>4187</v>
      </c>
      <c r="B4191" s="6" t="s">
        <v>104</v>
      </c>
      <c r="C4191" s="14">
        <v>45000</v>
      </c>
      <c r="D4191" s="15">
        <v>128.79</v>
      </c>
      <c r="E4191" s="7">
        <f t="shared" si="65"/>
        <v>1</v>
      </c>
    </row>
    <row r="4192" spans="1:5" x14ac:dyDescent="0.25">
      <c r="A4192" s="7">
        <f>IF(E4192=1,
      SUM($E$2:E4192)-1,
"")</f>
        <v>4188</v>
      </c>
      <c r="B4192" s="6" t="s">
        <v>861</v>
      </c>
      <c r="C4192" s="14">
        <v>45050</v>
      </c>
      <c r="D4192" s="15">
        <v>120.76</v>
      </c>
      <c r="E4192" s="7">
        <f t="shared" si="65"/>
        <v>1</v>
      </c>
    </row>
    <row r="4193" spans="1:5" x14ac:dyDescent="0.25">
      <c r="A4193" s="7">
        <f>IF(E4193=1,
      SUM($E$2:E4193)-1,
"")</f>
        <v>4189</v>
      </c>
      <c r="B4193" s="6" t="s">
        <v>1043</v>
      </c>
      <c r="C4193" s="14">
        <v>44973</v>
      </c>
      <c r="D4193" s="15">
        <v>91.31</v>
      </c>
      <c r="E4193" s="7">
        <f t="shared" si="65"/>
        <v>1</v>
      </c>
    </row>
    <row r="4194" spans="1:5" x14ac:dyDescent="0.25">
      <c r="A4194" s="7">
        <f>IF(E4194=1,
      SUM($E$2:E4194)-1,
"")</f>
        <v>4190</v>
      </c>
      <c r="B4194" s="6" t="s">
        <v>240</v>
      </c>
      <c r="C4194" s="14">
        <v>45155</v>
      </c>
      <c r="D4194" s="15">
        <v>125.27</v>
      </c>
      <c r="E4194" s="7">
        <f t="shared" si="65"/>
        <v>1</v>
      </c>
    </row>
    <row r="4195" spans="1:5" x14ac:dyDescent="0.25">
      <c r="A4195" s="7">
        <f>IF(E4195=1,
      SUM($E$2:E4195)-1,
"")</f>
        <v>4191</v>
      </c>
      <c r="B4195" s="6" t="s">
        <v>121</v>
      </c>
      <c r="C4195" s="14">
        <v>45214</v>
      </c>
      <c r="D4195" s="15">
        <v>162.05000000000001</v>
      </c>
      <c r="E4195" s="7">
        <f t="shared" si="65"/>
        <v>1</v>
      </c>
    </row>
    <row r="4196" spans="1:5" x14ac:dyDescent="0.25">
      <c r="A4196" s="7">
        <f>IF(E4196=1,
      SUM($E$2:E4196)-1,
"")</f>
        <v>4192</v>
      </c>
      <c r="B4196" s="6" t="s">
        <v>560</v>
      </c>
      <c r="C4196" s="14">
        <v>45123</v>
      </c>
      <c r="D4196" s="15">
        <v>79.8</v>
      </c>
      <c r="E4196" s="7">
        <f t="shared" si="65"/>
        <v>1</v>
      </c>
    </row>
    <row r="4197" spans="1:5" x14ac:dyDescent="0.25">
      <c r="A4197" s="7">
        <f>IF(E4197=1,
      SUM($E$2:E4197)-1,
"")</f>
        <v>4193</v>
      </c>
      <c r="B4197" s="6" t="s">
        <v>436</v>
      </c>
      <c r="C4197" s="14">
        <v>45170</v>
      </c>
      <c r="D4197" s="15">
        <v>150.26</v>
      </c>
      <c r="E4197" s="7">
        <f t="shared" si="65"/>
        <v>1</v>
      </c>
    </row>
    <row r="4198" spans="1:5" x14ac:dyDescent="0.25">
      <c r="A4198" s="7">
        <f>IF(E4198=1,
      SUM($E$2:E4198)-1,
"")</f>
        <v>4194</v>
      </c>
      <c r="B4198" s="6" t="s">
        <v>209</v>
      </c>
      <c r="C4198" s="14">
        <v>45117</v>
      </c>
      <c r="D4198" s="15">
        <v>82.5</v>
      </c>
      <c r="E4198" s="7">
        <f t="shared" si="65"/>
        <v>1</v>
      </c>
    </row>
    <row r="4199" spans="1:5" x14ac:dyDescent="0.25">
      <c r="A4199" s="7">
        <f>IF(E4199=1,
      SUM($E$2:E4199)-1,
"")</f>
        <v>4195</v>
      </c>
      <c r="B4199" s="6" t="s">
        <v>302</v>
      </c>
      <c r="C4199" s="14">
        <v>44993</v>
      </c>
      <c r="D4199" s="15">
        <v>142.31</v>
      </c>
      <c r="E4199" s="7">
        <f t="shared" si="65"/>
        <v>1</v>
      </c>
    </row>
    <row r="4200" spans="1:5" x14ac:dyDescent="0.25">
      <c r="A4200" s="7">
        <f>IF(E4200=1,
      SUM($E$2:E4200)-1,
"")</f>
        <v>4196</v>
      </c>
      <c r="B4200" s="6" t="s">
        <v>732</v>
      </c>
      <c r="C4200" s="14">
        <v>45211</v>
      </c>
      <c r="D4200" s="15">
        <v>83.62</v>
      </c>
      <c r="E4200" s="7">
        <f t="shared" si="65"/>
        <v>1</v>
      </c>
    </row>
    <row r="4201" spans="1:5" x14ac:dyDescent="0.25">
      <c r="A4201" s="7">
        <f>IF(E4201=1,
      SUM($E$2:E4201)-1,
"")</f>
        <v>4197</v>
      </c>
      <c r="B4201" s="6" t="s">
        <v>194</v>
      </c>
      <c r="C4201" s="14">
        <v>45206</v>
      </c>
      <c r="D4201" s="15">
        <v>122.97</v>
      </c>
      <c r="E4201" s="7">
        <f t="shared" si="65"/>
        <v>1</v>
      </c>
    </row>
    <row r="4202" spans="1:5" x14ac:dyDescent="0.25">
      <c r="A4202" s="7">
        <f>IF(E4202=1,
      SUM($E$2:E4202)-1,
"")</f>
        <v>4198</v>
      </c>
      <c r="B4202" s="6" t="s">
        <v>984</v>
      </c>
      <c r="C4202" s="14">
        <v>45068</v>
      </c>
      <c r="D4202" s="15">
        <v>105.39</v>
      </c>
      <c r="E4202" s="7">
        <f t="shared" si="65"/>
        <v>1</v>
      </c>
    </row>
    <row r="4203" spans="1:5" x14ac:dyDescent="0.25">
      <c r="A4203" s="7">
        <f>IF(E4203=1,
      SUM($E$2:E4203)-1,
"")</f>
        <v>4199</v>
      </c>
      <c r="B4203" s="6" t="s">
        <v>152</v>
      </c>
      <c r="C4203" s="14">
        <v>45277</v>
      </c>
      <c r="D4203" s="15">
        <v>46.44</v>
      </c>
      <c r="E4203" s="7">
        <f t="shared" si="65"/>
        <v>1</v>
      </c>
    </row>
    <row r="4204" spans="1:5" x14ac:dyDescent="0.25">
      <c r="A4204" s="7">
        <f>IF(E4204=1,
      SUM($E$2:E4204)-1,
"")</f>
        <v>4200</v>
      </c>
      <c r="B4204" s="6" t="s">
        <v>184</v>
      </c>
      <c r="C4204" s="14">
        <v>44983</v>
      </c>
      <c r="D4204" s="15">
        <v>157.47</v>
      </c>
      <c r="E4204" s="7">
        <f t="shared" si="65"/>
        <v>1</v>
      </c>
    </row>
    <row r="4205" spans="1:5" x14ac:dyDescent="0.25">
      <c r="A4205" s="7">
        <f>IF(E4205=1,
      SUM($E$2:E4205)-1,
"")</f>
        <v>4201</v>
      </c>
      <c r="B4205" s="6" t="s">
        <v>107</v>
      </c>
      <c r="C4205" s="14">
        <v>44935</v>
      </c>
      <c r="D4205" s="15">
        <v>73.14</v>
      </c>
      <c r="E4205" s="7">
        <f t="shared" si="65"/>
        <v>1</v>
      </c>
    </row>
    <row r="4206" spans="1:5" x14ac:dyDescent="0.25">
      <c r="A4206" s="7">
        <f>IF(E4206=1,
      SUM($E$2:E4206)-1,
"")</f>
        <v>4202</v>
      </c>
      <c r="B4206" s="6" t="s">
        <v>577</v>
      </c>
      <c r="C4206" s="14">
        <v>45130</v>
      </c>
      <c r="D4206" s="15">
        <v>61.91</v>
      </c>
      <c r="E4206" s="7">
        <f t="shared" si="65"/>
        <v>1</v>
      </c>
    </row>
    <row r="4207" spans="1:5" x14ac:dyDescent="0.25">
      <c r="A4207" s="7">
        <f>IF(E4207=1,
      SUM($E$2:E4207)-1,
"")</f>
        <v>4203</v>
      </c>
      <c r="B4207" s="6" t="s">
        <v>272</v>
      </c>
      <c r="C4207" s="14">
        <v>45195</v>
      </c>
      <c r="D4207" s="15">
        <v>80.819999999999993</v>
      </c>
      <c r="E4207" s="7">
        <f t="shared" si="65"/>
        <v>1</v>
      </c>
    </row>
    <row r="4208" spans="1:5" x14ac:dyDescent="0.25">
      <c r="A4208" s="7">
        <f>IF(E4208=1,
      SUM($E$2:E4208)-1,
"")</f>
        <v>4204</v>
      </c>
      <c r="B4208" s="6" t="s">
        <v>591</v>
      </c>
      <c r="C4208" s="14">
        <v>45137</v>
      </c>
      <c r="D4208" s="15">
        <v>175.94</v>
      </c>
      <c r="E4208" s="7">
        <f t="shared" si="65"/>
        <v>1</v>
      </c>
    </row>
    <row r="4209" spans="1:5" x14ac:dyDescent="0.25">
      <c r="A4209" s="7">
        <f>IF(E4209=1,
      SUM($E$2:E4209)-1,
"")</f>
        <v>4205</v>
      </c>
      <c r="B4209" s="6" t="s">
        <v>458</v>
      </c>
      <c r="C4209" s="14">
        <v>45291</v>
      </c>
      <c r="D4209" s="15">
        <v>62.39</v>
      </c>
      <c r="E4209" s="7">
        <f t="shared" si="65"/>
        <v>1</v>
      </c>
    </row>
    <row r="4210" spans="1:5" x14ac:dyDescent="0.25">
      <c r="A4210" s="7">
        <f>IF(E4210=1,
      SUM($E$2:E4210)-1,
"")</f>
        <v>4206</v>
      </c>
      <c r="B4210" s="6" t="s">
        <v>395</v>
      </c>
      <c r="C4210" s="14">
        <v>44943</v>
      </c>
      <c r="D4210" s="15">
        <v>105.35</v>
      </c>
      <c r="E4210" s="7">
        <f t="shared" si="65"/>
        <v>1</v>
      </c>
    </row>
    <row r="4211" spans="1:5" x14ac:dyDescent="0.25">
      <c r="A4211" s="7">
        <f>IF(E4211=1,
      SUM($E$2:E4211)-1,
"")</f>
        <v>4207</v>
      </c>
      <c r="B4211" s="6" t="s">
        <v>94</v>
      </c>
      <c r="C4211" s="14">
        <v>45124</v>
      </c>
      <c r="D4211" s="15">
        <v>66.31</v>
      </c>
      <c r="E4211" s="7">
        <f t="shared" si="65"/>
        <v>1</v>
      </c>
    </row>
    <row r="4212" spans="1:5" x14ac:dyDescent="0.25">
      <c r="A4212" s="7">
        <f>IF(E4212=1,
      SUM($E$2:E4212)-1,
"")</f>
        <v>4208</v>
      </c>
      <c r="B4212" s="6" t="s">
        <v>593</v>
      </c>
      <c r="C4212" s="14">
        <v>44978</v>
      </c>
      <c r="D4212" s="15">
        <v>71.45</v>
      </c>
      <c r="E4212" s="7">
        <f t="shared" si="65"/>
        <v>1</v>
      </c>
    </row>
    <row r="4213" spans="1:5" x14ac:dyDescent="0.25">
      <c r="A4213" s="7">
        <f>IF(E4213=1,
      SUM($E$2:E4213)-1,
"")</f>
        <v>4209</v>
      </c>
      <c r="B4213" s="6" t="s">
        <v>331</v>
      </c>
      <c r="C4213" s="14">
        <v>44968</v>
      </c>
      <c r="D4213" s="15">
        <v>52.02</v>
      </c>
      <c r="E4213" s="7">
        <f t="shared" si="65"/>
        <v>1</v>
      </c>
    </row>
    <row r="4214" spans="1:5" x14ac:dyDescent="0.25">
      <c r="A4214" s="7">
        <f>IF(E4214=1,
      SUM($E$2:E4214)-1,
"")</f>
        <v>4210</v>
      </c>
      <c r="B4214" s="6" t="s">
        <v>274</v>
      </c>
      <c r="C4214" s="14">
        <v>45201</v>
      </c>
      <c r="D4214" s="15">
        <v>109.46</v>
      </c>
      <c r="E4214" s="7">
        <f t="shared" si="65"/>
        <v>1</v>
      </c>
    </row>
    <row r="4215" spans="1:5" x14ac:dyDescent="0.25">
      <c r="A4215" s="7">
        <f>IF(E4215=1,
      SUM($E$2:E4215)-1,
"")</f>
        <v>4211</v>
      </c>
      <c r="B4215" s="6" t="s">
        <v>1030</v>
      </c>
      <c r="C4215" s="14">
        <v>45112</v>
      </c>
      <c r="D4215" s="15">
        <v>95.16</v>
      </c>
      <c r="E4215" s="7">
        <f t="shared" si="65"/>
        <v>1</v>
      </c>
    </row>
    <row r="4216" spans="1:5" x14ac:dyDescent="0.25">
      <c r="A4216" s="7">
        <f>IF(E4216=1,
      SUM($E$2:E4216)-1,
"")</f>
        <v>4212</v>
      </c>
      <c r="B4216" s="6" t="s">
        <v>988</v>
      </c>
      <c r="C4216" s="14">
        <v>45062</v>
      </c>
      <c r="D4216" s="15">
        <v>66.06</v>
      </c>
      <c r="E4216" s="7">
        <f t="shared" si="65"/>
        <v>1</v>
      </c>
    </row>
    <row r="4217" spans="1:5" x14ac:dyDescent="0.25">
      <c r="A4217" s="7">
        <f>IF(E4217=1,
      SUM($E$2:E4217)-1,
"")</f>
        <v>4213</v>
      </c>
      <c r="B4217" s="6" t="s">
        <v>120</v>
      </c>
      <c r="C4217" s="14">
        <v>44992</v>
      </c>
      <c r="D4217" s="15">
        <v>126.2</v>
      </c>
      <c r="E4217" s="7">
        <f t="shared" si="65"/>
        <v>1</v>
      </c>
    </row>
    <row r="4218" spans="1:5" x14ac:dyDescent="0.25">
      <c r="A4218" s="7">
        <f>IF(E4218=1,
      SUM($E$2:E4218)-1,
"")</f>
        <v>4214</v>
      </c>
      <c r="B4218" s="6" t="s">
        <v>723</v>
      </c>
      <c r="C4218" s="14">
        <v>45145</v>
      </c>
      <c r="D4218" s="15">
        <v>129.36000000000001</v>
      </c>
      <c r="E4218" s="7">
        <f t="shared" si="65"/>
        <v>1</v>
      </c>
    </row>
    <row r="4219" spans="1:5" x14ac:dyDescent="0.25">
      <c r="A4219" s="7">
        <f>IF(E4219=1,
      SUM($E$2:E4219)-1,
"")</f>
        <v>4215</v>
      </c>
      <c r="B4219" s="6" t="s">
        <v>1018</v>
      </c>
      <c r="C4219" s="14">
        <v>45013</v>
      </c>
      <c r="D4219" s="15">
        <v>112.22</v>
      </c>
      <c r="E4219" s="7">
        <f t="shared" si="65"/>
        <v>1</v>
      </c>
    </row>
    <row r="4220" spans="1:5" x14ac:dyDescent="0.25">
      <c r="A4220" s="7">
        <f>IF(E4220=1,
      SUM($E$2:E4220)-1,
"")</f>
        <v>4216</v>
      </c>
      <c r="B4220" s="6" t="s">
        <v>211</v>
      </c>
      <c r="C4220" s="14">
        <v>45104</v>
      </c>
      <c r="D4220" s="15">
        <v>135.12</v>
      </c>
      <c r="E4220" s="7">
        <f t="shared" si="65"/>
        <v>1</v>
      </c>
    </row>
    <row r="4221" spans="1:5" x14ac:dyDescent="0.25">
      <c r="A4221" s="7">
        <f>IF(E4221=1,
      SUM($E$2:E4221)-1,
"")</f>
        <v>4217</v>
      </c>
      <c r="B4221" s="6" t="s">
        <v>680</v>
      </c>
      <c r="C4221" s="14">
        <v>44946</v>
      </c>
      <c r="D4221" s="15">
        <v>89.53</v>
      </c>
      <c r="E4221" s="7">
        <f t="shared" si="65"/>
        <v>1</v>
      </c>
    </row>
    <row r="4222" spans="1:5" x14ac:dyDescent="0.25">
      <c r="A4222" s="7">
        <f>IF(E4222=1,
      SUM($E$2:E4222)-1,
"")</f>
        <v>4218</v>
      </c>
      <c r="B4222" s="6" t="s">
        <v>944</v>
      </c>
      <c r="C4222" s="14">
        <v>44943</v>
      </c>
      <c r="D4222" s="15">
        <v>109.67</v>
      </c>
      <c r="E4222" s="7">
        <f t="shared" si="65"/>
        <v>1</v>
      </c>
    </row>
    <row r="4223" spans="1:5" x14ac:dyDescent="0.25">
      <c r="A4223" s="7">
        <f>IF(E4223=1,
      SUM($E$2:E4223)-1,
"")</f>
        <v>4219</v>
      </c>
      <c r="B4223" s="6" t="s">
        <v>523</v>
      </c>
      <c r="C4223" s="14">
        <v>44979</v>
      </c>
      <c r="D4223" s="15">
        <v>89.65</v>
      </c>
      <c r="E4223" s="7">
        <f t="shared" si="65"/>
        <v>1</v>
      </c>
    </row>
    <row r="4224" spans="1:5" x14ac:dyDescent="0.25">
      <c r="A4224" s="7">
        <f>IF(E4224=1,
      SUM($E$2:E4224)-1,
"")</f>
        <v>4220</v>
      </c>
      <c r="B4224" s="6" t="s">
        <v>221</v>
      </c>
      <c r="C4224" s="14">
        <v>45165</v>
      </c>
      <c r="D4224" s="15">
        <v>54.78</v>
      </c>
      <c r="E4224" s="7">
        <f t="shared" si="65"/>
        <v>1</v>
      </c>
    </row>
    <row r="4225" spans="1:5" x14ac:dyDescent="0.25">
      <c r="A4225" s="7">
        <f>IF(E4225=1,
      SUM($E$2:E4225)-1,
"")</f>
        <v>4221</v>
      </c>
      <c r="B4225" s="6" t="s">
        <v>993</v>
      </c>
      <c r="C4225" s="14">
        <v>45286</v>
      </c>
      <c r="D4225" s="15">
        <v>106.58</v>
      </c>
      <c r="E4225" s="7">
        <f t="shared" si="65"/>
        <v>1</v>
      </c>
    </row>
    <row r="4226" spans="1:5" x14ac:dyDescent="0.25">
      <c r="A4226" s="7">
        <f>IF(E4226=1,
      SUM($E$2:E4226)-1,
"")</f>
        <v>4222</v>
      </c>
      <c r="B4226" s="6" t="s">
        <v>1010</v>
      </c>
      <c r="C4226" s="14">
        <v>45246</v>
      </c>
      <c r="D4226" s="15">
        <v>104.76</v>
      </c>
      <c r="E4226" s="7">
        <f t="shared" ref="E4226:E4289" si="66">IF(D4226&gt;0,1,0)</f>
        <v>1</v>
      </c>
    </row>
    <row r="4227" spans="1:5" x14ac:dyDescent="0.25">
      <c r="A4227" s="7">
        <f>IF(E4227=1,
      SUM($E$2:E4227)-1,
"")</f>
        <v>4223</v>
      </c>
      <c r="B4227" s="6" t="s">
        <v>355</v>
      </c>
      <c r="C4227" s="14">
        <v>45240</v>
      </c>
      <c r="D4227" s="15">
        <v>99.09</v>
      </c>
      <c r="E4227" s="7">
        <f t="shared" si="66"/>
        <v>1</v>
      </c>
    </row>
    <row r="4228" spans="1:5" x14ac:dyDescent="0.25">
      <c r="A4228" s="7">
        <f>IF(E4228=1,
      SUM($E$2:E4228)-1,
"")</f>
        <v>4224</v>
      </c>
      <c r="B4228" s="6" t="s">
        <v>1016</v>
      </c>
      <c r="C4228" s="14">
        <v>45106</v>
      </c>
      <c r="D4228" s="15">
        <v>111.22</v>
      </c>
      <c r="E4228" s="7">
        <f t="shared" si="66"/>
        <v>1</v>
      </c>
    </row>
    <row r="4229" spans="1:5" x14ac:dyDescent="0.25">
      <c r="A4229" s="7">
        <f>IF(E4229=1,
      SUM($E$2:E4229)-1,
"")</f>
        <v>4225</v>
      </c>
      <c r="B4229" s="6" t="s">
        <v>861</v>
      </c>
      <c r="C4229" s="14">
        <v>45255</v>
      </c>
      <c r="D4229" s="15">
        <v>142.36000000000001</v>
      </c>
      <c r="E4229" s="7">
        <f t="shared" si="66"/>
        <v>1</v>
      </c>
    </row>
    <row r="4230" spans="1:5" x14ac:dyDescent="0.25">
      <c r="A4230" s="7">
        <f>IF(E4230=1,
      SUM($E$2:E4230)-1,
"")</f>
        <v>4226</v>
      </c>
      <c r="B4230" s="6" t="s">
        <v>496</v>
      </c>
      <c r="C4230" s="14">
        <v>45067</v>
      </c>
      <c r="D4230" s="15">
        <v>93.87</v>
      </c>
      <c r="E4230" s="7">
        <f t="shared" si="66"/>
        <v>1</v>
      </c>
    </row>
    <row r="4231" spans="1:5" x14ac:dyDescent="0.25">
      <c r="A4231" s="7">
        <f>IF(E4231=1,
      SUM($E$2:E4231)-1,
"")</f>
        <v>4227</v>
      </c>
      <c r="B4231" s="6" t="s">
        <v>616</v>
      </c>
      <c r="C4231" s="14">
        <v>45240</v>
      </c>
      <c r="D4231" s="15">
        <v>71.28</v>
      </c>
      <c r="E4231" s="7">
        <f t="shared" si="66"/>
        <v>1</v>
      </c>
    </row>
    <row r="4232" spans="1:5" x14ac:dyDescent="0.25">
      <c r="A4232" s="7">
        <f>IF(E4232=1,
      SUM($E$2:E4232)-1,
"")</f>
        <v>4228</v>
      </c>
      <c r="B4232" s="6" t="s">
        <v>950</v>
      </c>
      <c r="C4232" s="14">
        <v>45069</v>
      </c>
      <c r="D4232" s="15">
        <v>92.57</v>
      </c>
      <c r="E4232" s="7">
        <f t="shared" si="66"/>
        <v>1</v>
      </c>
    </row>
    <row r="4233" spans="1:5" x14ac:dyDescent="0.25">
      <c r="A4233" s="7">
        <f>IF(E4233=1,
      SUM($E$2:E4233)-1,
"")</f>
        <v>4229</v>
      </c>
      <c r="B4233" s="6" t="s">
        <v>218</v>
      </c>
      <c r="C4233" s="14">
        <v>45139</v>
      </c>
      <c r="D4233" s="15">
        <v>95.89</v>
      </c>
      <c r="E4233" s="7">
        <f t="shared" si="66"/>
        <v>1</v>
      </c>
    </row>
    <row r="4234" spans="1:5" x14ac:dyDescent="0.25">
      <c r="A4234" s="7">
        <f>IF(E4234=1,
      SUM($E$2:E4234)-1,
"")</f>
        <v>4230</v>
      </c>
      <c r="B4234" s="6" t="s">
        <v>346</v>
      </c>
      <c r="C4234" s="14">
        <v>45245</v>
      </c>
      <c r="D4234" s="15">
        <v>129.51</v>
      </c>
      <c r="E4234" s="7">
        <f t="shared" si="66"/>
        <v>1</v>
      </c>
    </row>
    <row r="4235" spans="1:5" x14ac:dyDescent="0.25">
      <c r="A4235" s="7">
        <f>IF(E4235=1,
      SUM($E$2:E4235)-1,
"")</f>
        <v>4231</v>
      </c>
      <c r="B4235" s="6" t="s">
        <v>340</v>
      </c>
      <c r="C4235" s="14">
        <v>44942</v>
      </c>
      <c r="D4235" s="15">
        <v>103.2</v>
      </c>
      <c r="E4235" s="7">
        <f t="shared" si="66"/>
        <v>1</v>
      </c>
    </row>
    <row r="4236" spans="1:5" x14ac:dyDescent="0.25">
      <c r="A4236" s="7">
        <f>IF(E4236=1,
      SUM($E$2:E4236)-1,
"")</f>
        <v>4232</v>
      </c>
      <c r="B4236" s="6" t="s">
        <v>652</v>
      </c>
      <c r="C4236" s="14">
        <v>45146</v>
      </c>
      <c r="D4236" s="15">
        <v>65.55</v>
      </c>
      <c r="E4236" s="7">
        <f t="shared" si="66"/>
        <v>1</v>
      </c>
    </row>
    <row r="4237" spans="1:5" x14ac:dyDescent="0.25">
      <c r="A4237" s="7">
        <f>IF(E4237=1,
      SUM($E$2:E4237)-1,
"")</f>
        <v>4233</v>
      </c>
      <c r="B4237" s="6" t="s">
        <v>386</v>
      </c>
      <c r="C4237" s="14">
        <v>45229</v>
      </c>
      <c r="D4237" s="15">
        <v>124.16</v>
      </c>
      <c r="E4237" s="7">
        <f t="shared" si="66"/>
        <v>1</v>
      </c>
    </row>
    <row r="4238" spans="1:5" x14ac:dyDescent="0.25">
      <c r="A4238" s="7">
        <f>IF(E4238=1,
      SUM($E$2:E4238)-1,
"")</f>
        <v>4234</v>
      </c>
      <c r="B4238" s="6" t="s">
        <v>460</v>
      </c>
      <c r="C4238" s="14">
        <v>44944</v>
      </c>
      <c r="D4238" s="15">
        <v>119.35</v>
      </c>
      <c r="E4238" s="7">
        <f t="shared" si="66"/>
        <v>1</v>
      </c>
    </row>
    <row r="4239" spans="1:5" x14ac:dyDescent="0.25">
      <c r="A4239" s="7">
        <f>IF(E4239=1,
      SUM($E$2:E4239)-1,
"")</f>
        <v>4235</v>
      </c>
      <c r="B4239" s="6" t="s">
        <v>315</v>
      </c>
      <c r="C4239" s="14">
        <v>45111</v>
      </c>
      <c r="D4239" s="15">
        <v>103.21</v>
      </c>
      <c r="E4239" s="7">
        <f t="shared" si="66"/>
        <v>1</v>
      </c>
    </row>
    <row r="4240" spans="1:5" x14ac:dyDescent="0.25">
      <c r="A4240" s="7">
        <f>IF(E4240=1,
      SUM($E$2:E4240)-1,
"")</f>
        <v>4236</v>
      </c>
      <c r="B4240" s="6" t="s">
        <v>276</v>
      </c>
      <c r="C4240" s="14">
        <v>45168</v>
      </c>
      <c r="D4240" s="15">
        <v>128.44999999999999</v>
      </c>
      <c r="E4240" s="7">
        <f t="shared" si="66"/>
        <v>1</v>
      </c>
    </row>
    <row r="4241" spans="1:5" x14ac:dyDescent="0.25">
      <c r="A4241" s="7">
        <f>IF(E4241=1,
      SUM($E$2:E4241)-1,
"")</f>
        <v>4237</v>
      </c>
      <c r="B4241" s="6" t="s">
        <v>435</v>
      </c>
      <c r="C4241" s="14">
        <v>45114</v>
      </c>
      <c r="D4241" s="15">
        <v>133.47</v>
      </c>
      <c r="E4241" s="7">
        <f t="shared" si="66"/>
        <v>1</v>
      </c>
    </row>
    <row r="4242" spans="1:5" x14ac:dyDescent="0.25">
      <c r="A4242" s="7">
        <f>IF(E4242=1,
      SUM($E$2:E4242)-1,
"")</f>
        <v>4238</v>
      </c>
      <c r="B4242" s="6" t="s">
        <v>820</v>
      </c>
      <c r="C4242" s="14">
        <v>45254</v>
      </c>
      <c r="D4242" s="15">
        <v>88.68</v>
      </c>
      <c r="E4242" s="7">
        <f t="shared" si="66"/>
        <v>1</v>
      </c>
    </row>
    <row r="4243" spans="1:5" x14ac:dyDescent="0.25">
      <c r="A4243" s="7">
        <f>IF(E4243=1,
      SUM($E$2:E4243)-1,
"")</f>
        <v>4239</v>
      </c>
      <c r="B4243" s="6" t="s">
        <v>422</v>
      </c>
      <c r="C4243" s="14">
        <v>45033</v>
      </c>
      <c r="D4243" s="15">
        <v>73</v>
      </c>
      <c r="E4243" s="7">
        <f t="shared" si="66"/>
        <v>1</v>
      </c>
    </row>
    <row r="4244" spans="1:5" x14ac:dyDescent="0.25">
      <c r="A4244" s="7">
        <f>IF(E4244=1,
      SUM($E$2:E4244)-1,
"")</f>
        <v>4240</v>
      </c>
      <c r="B4244" s="6" t="s">
        <v>306</v>
      </c>
      <c r="C4244" s="14">
        <v>45290</v>
      </c>
      <c r="D4244" s="15">
        <v>99.64</v>
      </c>
      <c r="E4244" s="7">
        <f t="shared" si="66"/>
        <v>1</v>
      </c>
    </row>
    <row r="4245" spans="1:5" x14ac:dyDescent="0.25">
      <c r="A4245" s="7">
        <f>IF(E4245=1,
      SUM($E$2:E4245)-1,
"")</f>
        <v>4241</v>
      </c>
      <c r="B4245" s="6" t="s">
        <v>464</v>
      </c>
      <c r="C4245" s="14">
        <v>45229</v>
      </c>
      <c r="D4245" s="15">
        <v>116.1</v>
      </c>
      <c r="E4245" s="7">
        <f t="shared" si="66"/>
        <v>1</v>
      </c>
    </row>
    <row r="4246" spans="1:5" x14ac:dyDescent="0.25">
      <c r="A4246" s="7">
        <f>IF(E4246=1,
      SUM($E$2:E4246)-1,
"")</f>
        <v>4242</v>
      </c>
      <c r="B4246" s="6" t="s">
        <v>658</v>
      </c>
      <c r="C4246" s="14">
        <v>45264</v>
      </c>
      <c r="D4246" s="15">
        <v>96.84</v>
      </c>
      <c r="E4246" s="7">
        <f t="shared" si="66"/>
        <v>1</v>
      </c>
    </row>
    <row r="4247" spans="1:5" x14ac:dyDescent="0.25">
      <c r="A4247" s="7">
        <f>IF(E4247=1,
      SUM($E$2:E4247)-1,
"")</f>
        <v>4243</v>
      </c>
      <c r="B4247" s="6" t="s">
        <v>100</v>
      </c>
      <c r="C4247" s="14">
        <v>45282</v>
      </c>
      <c r="D4247" s="15">
        <v>70.349999999999994</v>
      </c>
      <c r="E4247" s="7">
        <f t="shared" si="66"/>
        <v>1</v>
      </c>
    </row>
    <row r="4248" spans="1:5" x14ac:dyDescent="0.25">
      <c r="A4248" s="7">
        <f>IF(E4248=1,
      SUM($E$2:E4248)-1,
"")</f>
        <v>4244</v>
      </c>
      <c r="B4248" s="6" t="s">
        <v>476</v>
      </c>
      <c r="C4248" s="14">
        <v>45196</v>
      </c>
      <c r="D4248" s="15">
        <v>104.88</v>
      </c>
      <c r="E4248" s="7">
        <f t="shared" si="66"/>
        <v>1</v>
      </c>
    </row>
    <row r="4249" spans="1:5" x14ac:dyDescent="0.25">
      <c r="A4249" s="7">
        <f>IF(E4249=1,
      SUM($E$2:E4249)-1,
"")</f>
        <v>4245</v>
      </c>
      <c r="B4249" s="6" t="s">
        <v>435</v>
      </c>
      <c r="C4249" s="14">
        <v>44935</v>
      </c>
      <c r="D4249" s="15">
        <v>38.99</v>
      </c>
      <c r="E4249" s="7">
        <f t="shared" si="66"/>
        <v>1</v>
      </c>
    </row>
    <row r="4250" spans="1:5" x14ac:dyDescent="0.25">
      <c r="A4250" s="7">
        <f>IF(E4250=1,
      SUM($E$2:E4250)-1,
"")</f>
        <v>4246</v>
      </c>
      <c r="B4250" s="6" t="s">
        <v>1042</v>
      </c>
      <c r="C4250" s="14">
        <v>45090</v>
      </c>
      <c r="D4250" s="15">
        <v>90.27</v>
      </c>
      <c r="E4250" s="7">
        <f t="shared" si="66"/>
        <v>1</v>
      </c>
    </row>
    <row r="4251" spans="1:5" x14ac:dyDescent="0.25">
      <c r="A4251" s="7">
        <f>IF(E4251=1,
      SUM($E$2:E4251)-1,
"")</f>
        <v>4247</v>
      </c>
      <c r="B4251" s="6" t="s">
        <v>391</v>
      </c>
      <c r="C4251" s="14">
        <v>45272</v>
      </c>
      <c r="D4251" s="15">
        <v>125.53</v>
      </c>
      <c r="E4251" s="7">
        <f t="shared" si="66"/>
        <v>1</v>
      </c>
    </row>
    <row r="4252" spans="1:5" x14ac:dyDescent="0.25">
      <c r="A4252" s="7">
        <f>IF(E4252=1,
      SUM($E$2:E4252)-1,
"")</f>
        <v>4248</v>
      </c>
      <c r="B4252" s="6" t="s">
        <v>853</v>
      </c>
      <c r="C4252" s="14">
        <v>45254</v>
      </c>
      <c r="D4252" s="15">
        <v>127.16</v>
      </c>
      <c r="E4252" s="7">
        <f t="shared" si="66"/>
        <v>1</v>
      </c>
    </row>
    <row r="4253" spans="1:5" x14ac:dyDescent="0.25">
      <c r="A4253" s="7" t="str">
        <f>IF(E4253=1,
      SUM($E$2:E4253)-1,
"")</f>
        <v/>
      </c>
      <c r="B4253" s="6" t="s">
        <v>900</v>
      </c>
      <c r="C4253" s="14">
        <v>45070</v>
      </c>
      <c r="D4253" s="15">
        <v>-12.79</v>
      </c>
      <c r="E4253" s="7">
        <f t="shared" si="66"/>
        <v>0</v>
      </c>
    </row>
    <row r="4254" spans="1:5" x14ac:dyDescent="0.25">
      <c r="A4254" s="7">
        <f>IF(E4254=1,
      SUM($E$2:E4254)-1,
"")</f>
        <v>4249</v>
      </c>
      <c r="B4254" s="6" t="s">
        <v>935</v>
      </c>
      <c r="C4254" s="14">
        <v>45191</v>
      </c>
      <c r="D4254" s="15">
        <v>94.22</v>
      </c>
      <c r="E4254" s="7">
        <f t="shared" si="66"/>
        <v>1</v>
      </c>
    </row>
    <row r="4255" spans="1:5" x14ac:dyDescent="0.25">
      <c r="A4255" s="7">
        <f>IF(E4255=1,
      SUM($E$2:E4255)-1,
"")</f>
        <v>4250</v>
      </c>
      <c r="B4255" s="6" t="s">
        <v>430</v>
      </c>
      <c r="C4255" s="14">
        <v>45247</v>
      </c>
      <c r="D4255" s="15">
        <v>117.98</v>
      </c>
      <c r="E4255" s="7">
        <f t="shared" si="66"/>
        <v>1</v>
      </c>
    </row>
    <row r="4256" spans="1:5" x14ac:dyDescent="0.25">
      <c r="A4256" s="7">
        <f>IF(E4256=1,
      SUM($E$2:E4256)-1,
"")</f>
        <v>4251</v>
      </c>
      <c r="B4256" s="6" t="s">
        <v>473</v>
      </c>
      <c r="C4256" s="14">
        <v>45227</v>
      </c>
      <c r="D4256" s="15">
        <v>64.72</v>
      </c>
      <c r="E4256" s="7">
        <f t="shared" si="66"/>
        <v>1</v>
      </c>
    </row>
    <row r="4257" spans="1:5" x14ac:dyDescent="0.25">
      <c r="A4257" s="7">
        <f>IF(E4257=1,
      SUM($E$2:E4257)-1,
"")</f>
        <v>4252</v>
      </c>
      <c r="B4257" s="6" t="s">
        <v>171</v>
      </c>
      <c r="C4257" s="14">
        <v>45202</v>
      </c>
      <c r="D4257" s="15">
        <v>88.84</v>
      </c>
      <c r="E4257" s="7">
        <f t="shared" si="66"/>
        <v>1</v>
      </c>
    </row>
    <row r="4258" spans="1:5" x14ac:dyDescent="0.25">
      <c r="A4258" s="7">
        <f>IF(E4258=1,
      SUM($E$2:E4258)-1,
"")</f>
        <v>4253</v>
      </c>
      <c r="B4258" s="6" t="s">
        <v>106</v>
      </c>
      <c r="C4258" s="14">
        <v>45129</v>
      </c>
      <c r="D4258" s="15">
        <v>136.22999999999999</v>
      </c>
      <c r="E4258" s="7">
        <f t="shared" si="66"/>
        <v>1</v>
      </c>
    </row>
    <row r="4259" spans="1:5" x14ac:dyDescent="0.25">
      <c r="A4259" s="7">
        <f>IF(E4259=1,
      SUM($E$2:E4259)-1,
"")</f>
        <v>4254</v>
      </c>
      <c r="B4259" s="6" t="s">
        <v>328</v>
      </c>
      <c r="C4259" s="14">
        <v>45182</v>
      </c>
      <c r="D4259" s="15">
        <v>85.48</v>
      </c>
      <c r="E4259" s="7">
        <f t="shared" si="66"/>
        <v>1</v>
      </c>
    </row>
    <row r="4260" spans="1:5" x14ac:dyDescent="0.25">
      <c r="A4260" s="7">
        <f>IF(E4260=1,
      SUM($E$2:E4260)-1,
"")</f>
        <v>4255</v>
      </c>
      <c r="B4260" s="6" t="s">
        <v>356</v>
      </c>
      <c r="C4260" s="14">
        <v>44955</v>
      </c>
      <c r="D4260" s="15">
        <v>147.96</v>
      </c>
      <c r="E4260" s="7">
        <f t="shared" si="66"/>
        <v>1</v>
      </c>
    </row>
    <row r="4261" spans="1:5" x14ac:dyDescent="0.25">
      <c r="A4261" s="7">
        <f>IF(E4261=1,
      SUM($E$2:E4261)-1,
"")</f>
        <v>4256</v>
      </c>
      <c r="B4261" s="6" t="s">
        <v>245</v>
      </c>
      <c r="C4261" s="14">
        <v>45170</v>
      </c>
      <c r="D4261" s="15">
        <v>77.760000000000005</v>
      </c>
      <c r="E4261" s="7">
        <f t="shared" si="66"/>
        <v>1</v>
      </c>
    </row>
    <row r="4262" spans="1:5" x14ac:dyDescent="0.25">
      <c r="A4262" s="7">
        <f>IF(E4262=1,
      SUM($E$2:E4262)-1,
"")</f>
        <v>4257</v>
      </c>
      <c r="B4262" s="6" t="s">
        <v>462</v>
      </c>
      <c r="C4262" s="14">
        <v>45100</v>
      </c>
      <c r="D4262" s="15">
        <v>142.30000000000001</v>
      </c>
      <c r="E4262" s="7">
        <f t="shared" si="66"/>
        <v>1</v>
      </c>
    </row>
    <row r="4263" spans="1:5" x14ac:dyDescent="0.25">
      <c r="A4263" s="7">
        <f>IF(E4263=1,
      SUM($E$2:E4263)-1,
"")</f>
        <v>4258</v>
      </c>
      <c r="B4263" s="6" t="s">
        <v>190</v>
      </c>
      <c r="C4263" s="14">
        <v>45194</v>
      </c>
      <c r="D4263" s="15">
        <v>101.01</v>
      </c>
      <c r="E4263" s="7">
        <f t="shared" si="66"/>
        <v>1</v>
      </c>
    </row>
    <row r="4264" spans="1:5" x14ac:dyDescent="0.25">
      <c r="A4264" s="7">
        <f>IF(E4264=1,
      SUM($E$2:E4264)-1,
"")</f>
        <v>4259</v>
      </c>
      <c r="B4264" s="6" t="s">
        <v>801</v>
      </c>
      <c r="C4264" s="14">
        <v>45002</v>
      </c>
      <c r="D4264" s="15">
        <v>73.650000000000006</v>
      </c>
      <c r="E4264" s="7">
        <f t="shared" si="66"/>
        <v>1</v>
      </c>
    </row>
    <row r="4265" spans="1:5" x14ac:dyDescent="0.25">
      <c r="A4265" s="7">
        <f>IF(E4265=1,
      SUM($E$2:E4265)-1,
"")</f>
        <v>4260</v>
      </c>
      <c r="B4265" s="6" t="s">
        <v>246</v>
      </c>
      <c r="C4265" s="14">
        <v>45134</v>
      </c>
      <c r="D4265" s="15">
        <v>142.4</v>
      </c>
      <c r="E4265" s="7">
        <f t="shared" si="66"/>
        <v>1</v>
      </c>
    </row>
    <row r="4266" spans="1:5" x14ac:dyDescent="0.25">
      <c r="A4266" s="7">
        <f>IF(E4266=1,
      SUM($E$2:E4266)-1,
"")</f>
        <v>4261</v>
      </c>
      <c r="B4266" s="6" t="s">
        <v>838</v>
      </c>
      <c r="C4266" s="14">
        <v>45190</v>
      </c>
      <c r="D4266" s="15">
        <v>63.81</v>
      </c>
      <c r="E4266" s="7">
        <f t="shared" si="66"/>
        <v>1</v>
      </c>
    </row>
    <row r="4267" spans="1:5" x14ac:dyDescent="0.25">
      <c r="A4267" s="7">
        <f>IF(E4267=1,
      SUM($E$2:E4267)-1,
"")</f>
        <v>4262</v>
      </c>
      <c r="B4267" s="6" t="s">
        <v>573</v>
      </c>
      <c r="C4267" s="14">
        <v>45012</v>
      </c>
      <c r="D4267" s="15">
        <v>76.12</v>
      </c>
      <c r="E4267" s="7">
        <f t="shared" si="66"/>
        <v>1</v>
      </c>
    </row>
    <row r="4268" spans="1:5" x14ac:dyDescent="0.25">
      <c r="A4268" s="7">
        <f>IF(E4268=1,
      SUM($E$2:E4268)-1,
"")</f>
        <v>4263</v>
      </c>
      <c r="B4268" s="6" t="s">
        <v>992</v>
      </c>
      <c r="C4268" s="14">
        <v>45250</v>
      </c>
      <c r="D4268" s="15">
        <v>114.7</v>
      </c>
      <c r="E4268" s="7">
        <f t="shared" si="66"/>
        <v>1</v>
      </c>
    </row>
    <row r="4269" spans="1:5" x14ac:dyDescent="0.25">
      <c r="A4269" s="7">
        <f>IF(E4269=1,
      SUM($E$2:E4269)-1,
"")</f>
        <v>4264</v>
      </c>
      <c r="B4269" s="6" t="s">
        <v>273</v>
      </c>
      <c r="C4269" s="14">
        <v>45209</v>
      </c>
      <c r="D4269" s="15">
        <v>102.42</v>
      </c>
      <c r="E4269" s="7">
        <f t="shared" si="66"/>
        <v>1</v>
      </c>
    </row>
    <row r="4270" spans="1:5" x14ac:dyDescent="0.25">
      <c r="A4270" s="7">
        <f>IF(E4270=1,
      SUM($E$2:E4270)-1,
"")</f>
        <v>4265</v>
      </c>
      <c r="B4270" s="6" t="s">
        <v>688</v>
      </c>
      <c r="C4270" s="14">
        <v>45102</v>
      </c>
      <c r="D4270" s="15">
        <v>108.22</v>
      </c>
      <c r="E4270" s="7">
        <f t="shared" si="66"/>
        <v>1</v>
      </c>
    </row>
    <row r="4271" spans="1:5" x14ac:dyDescent="0.25">
      <c r="A4271" s="7">
        <f>IF(E4271=1,
      SUM($E$2:E4271)-1,
"")</f>
        <v>4266</v>
      </c>
      <c r="B4271" s="6" t="s">
        <v>1049</v>
      </c>
      <c r="C4271" s="14">
        <v>45242</v>
      </c>
      <c r="D4271" s="15">
        <v>88.95</v>
      </c>
      <c r="E4271" s="7">
        <f t="shared" si="66"/>
        <v>1</v>
      </c>
    </row>
    <row r="4272" spans="1:5" x14ac:dyDescent="0.25">
      <c r="A4272" s="7">
        <f>IF(E4272=1,
      SUM($E$2:E4272)-1,
"")</f>
        <v>4267</v>
      </c>
      <c r="B4272" s="6" t="s">
        <v>225</v>
      </c>
      <c r="C4272" s="14">
        <v>45083</v>
      </c>
      <c r="D4272" s="15">
        <v>64.02</v>
      </c>
      <c r="E4272" s="7">
        <f t="shared" si="66"/>
        <v>1</v>
      </c>
    </row>
    <row r="4273" spans="1:5" x14ac:dyDescent="0.25">
      <c r="A4273" s="7">
        <f>IF(E4273=1,
      SUM($E$2:E4273)-1,
"")</f>
        <v>4268</v>
      </c>
      <c r="B4273" s="6" t="s">
        <v>777</v>
      </c>
      <c r="C4273" s="14">
        <v>45167</v>
      </c>
      <c r="D4273" s="15">
        <v>80.430000000000007</v>
      </c>
      <c r="E4273" s="7">
        <f t="shared" si="66"/>
        <v>1</v>
      </c>
    </row>
    <row r="4274" spans="1:5" x14ac:dyDescent="0.25">
      <c r="A4274" s="7">
        <f>IF(E4274=1,
      SUM($E$2:E4274)-1,
"")</f>
        <v>4269</v>
      </c>
      <c r="B4274" s="6" t="s">
        <v>1050</v>
      </c>
      <c r="C4274" s="14">
        <v>45224</v>
      </c>
      <c r="D4274" s="15">
        <v>139.61000000000001</v>
      </c>
      <c r="E4274" s="7">
        <f t="shared" si="66"/>
        <v>1</v>
      </c>
    </row>
    <row r="4275" spans="1:5" x14ac:dyDescent="0.25">
      <c r="A4275" s="7">
        <f>IF(E4275=1,
      SUM($E$2:E4275)-1,
"")</f>
        <v>4270</v>
      </c>
      <c r="B4275" s="6" t="s">
        <v>477</v>
      </c>
      <c r="C4275" s="14">
        <v>45028</v>
      </c>
      <c r="D4275" s="15">
        <v>59.89</v>
      </c>
      <c r="E4275" s="7">
        <f t="shared" si="66"/>
        <v>1</v>
      </c>
    </row>
    <row r="4276" spans="1:5" x14ac:dyDescent="0.25">
      <c r="A4276" s="7">
        <f>IF(E4276=1,
      SUM($E$2:E4276)-1,
"")</f>
        <v>4271</v>
      </c>
      <c r="B4276" s="6" t="s">
        <v>841</v>
      </c>
      <c r="C4276" s="14">
        <v>45035</v>
      </c>
      <c r="D4276" s="15">
        <v>149.33000000000001</v>
      </c>
      <c r="E4276" s="7">
        <f t="shared" si="66"/>
        <v>1</v>
      </c>
    </row>
    <row r="4277" spans="1:5" x14ac:dyDescent="0.25">
      <c r="A4277" s="7">
        <f>IF(E4277=1,
      SUM($E$2:E4277)-1,
"")</f>
        <v>4272</v>
      </c>
      <c r="B4277" s="6" t="s">
        <v>683</v>
      </c>
      <c r="C4277" s="14">
        <v>45105</v>
      </c>
      <c r="D4277" s="15">
        <v>109.48</v>
      </c>
      <c r="E4277" s="7">
        <f t="shared" si="66"/>
        <v>1</v>
      </c>
    </row>
    <row r="4278" spans="1:5" x14ac:dyDescent="0.25">
      <c r="A4278" s="7">
        <f>IF(E4278=1,
      SUM($E$2:E4278)-1,
"")</f>
        <v>4273</v>
      </c>
      <c r="B4278" s="6" t="s">
        <v>798</v>
      </c>
      <c r="C4278" s="14">
        <v>45063</v>
      </c>
      <c r="D4278" s="15">
        <v>82.1</v>
      </c>
      <c r="E4278" s="7">
        <f t="shared" si="66"/>
        <v>1</v>
      </c>
    </row>
    <row r="4279" spans="1:5" x14ac:dyDescent="0.25">
      <c r="A4279" s="7">
        <f>IF(E4279=1,
      SUM($E$2:E4279)-1,
"")</f>
        <v>4274</v>
      </c>
      <c r="B4279" s="6" t="s">
        <v>933</v>
      </c>
      <c r="C4279" s="14">
        <v>45104</v>
      </c>
      <c r="D4279" s="15">
        <v>39.94</v>
      </c>
      <c r="E4279" s="7">
        <f t="shared" si="66"/>
        <v>1</v>
      </c>
    </row>
    <row r="4280" spans="1:5" x14ac:dyDescent="0.25">
      <c r="A4280" s="7">
        <f>IF(E4280=1,
      SUM($E$2:E4280)-1,
"")</f>
        <v>4275</v>
      </c>
      <c r="B4280" s="6" t="s">
        <v>542</v>
      </c>
      <c r="C4280" s="14">
        <v>45283</v>
      </c>
      <c r="D4280" s="15">
        <v>43.88</v>
      </c>
      <c r="E4280" s="7">
        <f t="shared" si="66"/>
        <v>1</v>
      </c>
    </row>
    <row r="4281" spans="1:5" x14ac:dyDescent="0.25">
      <c r="A4281" s="7">
        <f>IF(E4281=1,
      SUM($E$2:E4281)-1,
"")</f>
        <v>4276</v>
      </c>
      <c r="B4281" s="6" t="s">
        <v>576</v>
      </c>
      <c r="C4281" s="14">
        <v>45179</v>
      </c>
      <c r="D4281" s="15">
        <v>89.32</v>
      </c>
      <c r="E4281" s="7">
        <f t="shared" si="66"/>
        <v>1</v>
      </c>
    </row>
    <row r="4282" spans="1:5" x14ac:dyDescent="0.25">
      <c r="A4282" s="7">
        <f>IF(E4282=1,
      SUM($E$2:E4282)-1,
"")</f>
        <v>4277</v>
      </c>
      <c r="B4282" s="6" t="s">
        <v>219</v>
      </c>
      <c r="C4282" s="14">
        <v>45217</v>
      </c>
      <c r="D4282" s="15">
        <v>85.69</v>
      </c>
      <c r="E4282" s="7">
        <f t="shared" si="66"/>
        <v>1</v>
      </c>
    </row>
    <row r="4283" spans="1:5" x14ac:dyDescent="0.25">
      <c r="A4283" s="7">
        <f>IF(E4283=1,
      SUM($E$2:E4283)-1,
"")</f>
        <v>4278</v>
      </c>
      <c r="B4283" s="6" t="s">
        <v>179</v>
      </c>
      <c r="C4283" s="14">
        <v>45129</v>
      </c>
      <c r="D4283" s="15">
        <v>103.53</v>
      </c>
      <c r="E4283" s="7">
        <f t="shared" si="66"/>
        <v>1</v>
      </c>
    </row>
    <row r="4284" spans="1:5" x14ac:dyDescent="0.25">
      <c r="A4284" s="7">
        <f>IF(E4284=1,
      SUM($E$2:E4284)-1,
"")</f>
        <v>4279</v>
      </c>
      <c r="B4284" s="6" t="s">
        <v>233</v>
      </c>
      <c r="C4284" s="14">
        <v>45208</v>
      </c>
      <c r="D4284" s="15">
        <v>151.57</v>
      </c>
      <c r="E4284" s="7">
        <f t="shared" si="66"/>
        <v>1</v>
      </c>
    </row>
    <row r="4285" spans="1:5" x14ac:dyDescent="0.25">
      <c r="A4285" s="7">
        <f>IF(E4285=1,
      SUM($E$2:E4285)-1,
"")</f>
        <v>4280</v>
      </c>
      <c r="B4285" s="6" t="s">
        <v>377</v>
      </c>
      <c r="C4285" s="14">
        <v>45244</v>
      </c>
      <c r="D4285" s="15">
        <v>116.13</v>
      </c>
      <c r="E4285" s="7">
        <f t="shared" si="66"/>
        <v>1</v>
      </c>
    </row>
    <row r="4286" spans="1:5" x14ac:dyDescent="0.25">
      <c r="A4286" s="7">
        <f>IF(E4286=1,
      SUM($E$2:E4286)-1,
"")</f>
        <v>4281</v>
      </c>
      <c r="B4286" s="6" t="s">
        <v>729</v>
      </c>
      <c r="C4286" s="14">
        <v>44967</v>
      </c>
      <c r="D4286" s="15">
        <v>96.14</v>
      </c>
      <c r="E4286" s="7">
        <f t="shared" si="66"/>
        <v>1</v>
      </c>
    </row>
    <row r="4287" spans="1:5" x14ac:dyDescent="0.25">
      <c r="A4287" s="7">
        <f>IF(E4287=1,
      SUM($E$2:E4287)-1,
"")</f>
        <v>4282</v>
      </c>
      <c r="B4287" s="6" t="s">
        <v>1024</v>
      </c>
      <c r="C4287" s="14">
        <v>45116</v>
      </c>
      <c r="D4287" s="15">
        <v>136.51</v>
      </c>
      <c r="E4287" s="7">
        <f t="shared" si="66"/>
        <v>1</v>
      </c>
    </row>
    <row r="4288" spans="1:5" x14ac:dyDescent="0.25">
      <c r="A4288" s="7">
        <f>IF(E4288=1,
      SUM($E$2:E4288)-1,
"")</f>
        <v>4283</v>
      </c>
      <c r="B4288" s="6" t="s">
        <v>909</v>
      </c>
      <c r="C4288" s="14">
        <v>45075</v>
      </c>
      <c r="D4288" s="15">
        <v>104.52</v>
      </c>
      <c r="E4288" s="7">
        <f t="shared" si="66"/>
        <v>1</v>
      </c>
    </row>
    <row r="4289" spans="1:5" x14ac:dyDescent="0.25">
      <c r="A4289" s="7">
        <f>IF(E4289=1,
      SUM($E$2:E4289)-1,
"")</f>
        <v>4284</v>
      </c>
      <c r="B4289" s="6" t="s">
        <v>595</v>
      </c>
      <c r="C4289" s="14">
        <v>45104</v>
      </c>
      <c r="D4289" s="15">
        <v>147.99</v>
      </c>
      <c r="E4289" s="7">
        <f t="shared" si="66"/>
        <v>1</v>
      </c>
    </row>
    <row r="4290" spans="1:5" x14ac:dyDescent="0.25">
      <c r="A4290" s="7">
        <f>IF(E4290=1,
      SUM($E$2:E4290)-1,
"")</f>
        <v>4285</v>
      </c>
      <c r="B4290" s="6" t="s">
        <v>369</v>
      </c>
      <c r="C4290" s="14">
        <v>44947</v>
      </c>
      <c r="D4290" s="15">
        <v>79.84</v>
      </c>
      <c r="E4290" s="7">
        <f t="shared" ref="E4290:E4353" si="67">IF(D4290&gt;0,1,0)</f>
        <v>1</v>
      </c>
    </row>
    <row r="4291" spans="1:5" x14ac:dyDescent="0.25">
      <c r="A4291" s="7">
        <f>IF(E4291=1,
      SUM($E$2:E4291)-1,
"")</f>
        <v>4286</v>
      </c>
      <c r="B4291" s="6" t="s">
        <v>741</v>
      </c>
      <c r="C4291" s="14">
        <v>45063</v>
      </c>
      <c r="D4291" s="15">
        <v>65.569999999999993</v>
      </c>
      <c r="E4291" s="7">
        <f t="shared" si="67"/>
        <v>1</v>
      </c>
    </row>
    <row r="4292" spans="1:5" x14ac:dyDescent="0.25">
      <c r="A4292" s="7">
        <f>IF(E4292=1,
      SUM($E$2:E4292)-1,
"")</f>
        <v>4287</v>
      </c>
      <c r="B4292" s="6" t="s">
        <v>869</v>
      </c>
      <c r="C4292" s="14">
        <v>45038</v>
      </c>
      <c r="D4292" s="15">
        <v>39.99</v>
      </c>
      <c r="E4292" s="7">
        <f t="shared" si="67"/>
        <v>1</v>
      </c>
    </row>
    <row r="4293" spans="1:5" x14ac:dyDescent="0.25">
      <c r="A4293" s="7">
        <f>IF(E4293=1,
      SUM($E$2:E4293)-1,
"")</f>
        <v>4288</v>
      </c>
      <c r="B4293" s="6" t="s">
        <v>860</v>
      </c>
      <c r="C4293" s="14">
        <v>45057</v>
      </c>
      <c r="D4293" s="15">
        <v>96.84</v>
      </c>
      <c r="E4293" s="7">
        <f t="shared" si="67"/>
        <v>1</v>
      </c>
    </row>
    <row r="4294" spans="1:5" x14ac:dyDescent="0.25">
      <c r="A4294" s="7">
        <f>IF(E4294=1,
      SUM($E$2:E4294)-1,
"")</f>
        <v>4289</v>
      </c>
      <c r="B4294" s="6" t="s">
        <v>172</v>
      </c>
      <c r="C4294" s="14">
        <v>45267</v>
      </c>
      <c r="D4294" s="15">
        <v>62.96</v>
      </c>
      <c r="E4294" s="7">
        <f t="shared" si="67"/>
        <v>1</v>
      </c>
    </row>
    <row r="4295" spans="1:5" x14ac:dyDescent="0.25">
      <c r="A4295" s="7">
        <f>IF(E4295=1,
      SUM($E$2:E4295)-1,
"")</f>
        <v>4290</v>
      </c>
      <c r="B4295" s="6" t="s">
        <v>531</v>
      </c>
      <c r="C4295" s="14">
        <v>45221</v>
      </c>
      <c r="D4295" s="15">
        <v>62.54</v>
      </c>
      <c r="E4295" s="7">
        <f t="shared" si="67"/>
        <v>1</v>
      </c>
    </row>
    <row r="4296" spans="1:5" x14ac:dyDescent="0.25">
      <c r="A4296" s="7">
        <f>IF(E4296=1,
      SUM($E$2:E4296)-1,
"")</f>
        <v>4291</v>
      </c>
      <c r="B4296" s="6" t="s">
        <v>1000</v>
      </c>
      <c r="C4296" s="14">
        <v>45032</v>
      </c>
      <c r="D4296" s="15">
        <v>131.03</v>
      </c>
      <c r="E4296" s="7">
        <f t="shared" si="67"/>
        <v>1</v>
      </c>
    </row>
    <row r="4297" spans="1:5" x14ac:dyDescent="0.25">
      <c r="A4297" s="7">
        <f>IF(E4297=1,
      SUM($E$2:E4297)-1,
"")</f>
        <v>4292</v>
      </c>
      <c r="B4297" s="6" t="s">
        <v>177</v>
      </c>
      <c r="C4297" s="14">
        <v>45039</v>
      </c>
      <c r="D4297" s="15">
        <v>48.34</v>
      </c>
      <c r="E4297" s="7">
        <f t="shared" si="67"/>
        <v>1</v>
      </c>
    </row>
    <row r="4298" spans="1:5" x14ac:dyDescent="0.25">
      <c r="A4298" s="7">
        <f>IF(E4298=1,
      SUM($E$2:E4298)-1,
"")</f>
        <v>4293</v>
      </c>
      <c r="B4298" s="6" t="s">
        <v>94</v>
      </c>
      <c r="C4298" s="14">
        <v>45022</v>
      </c>
      <c r="D4298" s="15">
        <v>103.11</v>
      </c>
      <c r="E4298" s="7">
        <f t="shared" si="67"/>
        <v>1</v>
      </c>
    </row>
    <row r="4299" spans="1:5" x14ac:dyDescent="0.25">
      <c r="A4299" s="7">
        <f>IF(E4299=1,
      SUM($E$2:E4299)-1,
"")</f>
        <v>4294</v>
      </c>
      <c r="B4299" s="6" t="s">
        <v>883</v>
      </c>
      <c r="C4299" s="14">
        <v>45170</v>
      </c>
      <c r="D4299" s="15">
        <v>97.5</v>
      </c>
      <c r="E4299" s="7">
        <f t="shared" si="67"/>
        <v>1</v>
      </c>
    </row>
    <row r="4300" spans="1:5" x14ac:dyDescent="0.25">
      <c r="A4300" s="7">
        <f>IF(E4300=1,
      SUM($E$2:E4300)-1,
"")</f>
        <v>4295</v>
      </c>
      <c r="B4300" s="6" t="s">
        <v>702</v>
      </c>
      <c r="C4300" s="14">
        <v>45149</v>
      </c>
      <c r="D4300" s="15">
        <v>102.76</v>
      </c>
      <c r="E4300" s="7">
        <f t="shared" si="67"/>
        <v>1</v>
      </c>
    </row>
    <row r="4301" spans="1:5" x14ac:dyDescent="0.25">
      <c r="A4301" s="7">
        <f>IF(E4301=1,
      SUM($E$2:E4301)-1,
"")</f>
        <v>4296</v>
      </c>
      <c r="B4301" s="6" t="s">
        <v>847</v>
      </c>
      <c r="C4301" s="14">
        <v>45036</v>
      </c>
      <c r="D4301" s="15">
        <v>141.52000000000001</v>
      </c>
      <c r="E4301" s="7">
        <f t="shared" si="67"/>
        <v>1</v>
      </c>
    </row>
    <row r="4302" spans="1:5" x14ac:dyDescent="0.25">
      <c r="A4302" s="7">
        <f>IF(E4302=1,
      SUM($E$2:E4302)-1,
"")</f>
        <v>4297</v>
      </c>
      <c r="B4302" s="6" t="s">
        <v>792</v>
      </c>
      <c r="C4302" s="14">
        <v>45149</v>
      </c>
      <c r="D4302" s="15">
        <v>75.23</v>
      </c>
      <c r="E4302" s="7">
        <f t="shared" si="67"/>
        <v>1</v>
      </c>
    </row>
    <row r="4303" spans="1:5" x14ac:dyDescent="0.25">
      <c r="A4303" s="7">
        <f>IF(E4303=1,
      SUM($E$2:E4303)-1,
"")</f>
        <v>4298</v>
      </c>
      <c r="B4303" s="6" t="s">
        <v>782</v>
      </c>
      <c r="C4303" s="14">
        <v>45034</v>
      </c>
      <c r="D4303" s="15">
        <v>141.55000000000001</v>
      </c>
      <c r="E4303" s="7">
        <f t="shared" si="67"/>
        <v>1</v>
      </c>
    </row>
    <row r="4304" spans="1:5" x14ac:dyDescent="0.25">
      <c r="A4304" s="7">
        <f>IF(E4304=1,
      SUM($E$2:E4304)-1,
"")</f>
        <v>4299</v>
      </c>
      <c r="B4304" s="6" t="s">
        <v>926</v>
      </c>
      <c r="C4304" s="14">
        <v>45246</v>
      </c>
      <c r="D4304" s="15">
        <v>47.19</v>
      </c>
      <c r="E4304" s="7">
        <f t="shared" si="67"/>
        <v>1</v>
      </c>
    </row>
    <row r="4305" spans="1:5" x14ac:dyDescent="0.25">
      <c r="A4305" s="7">
        <f>IF(E4305=1,
      SUM($E$2:E4305)-1,
"")</f>
        <v>4300</v>
      </c>
      <c r="B4305" s="6" t="s">
        <v>916</v>
      </c>
      <c r="C4305" s="14">
        <v>44942</v>
      </c>
      <c r="D4305" s="15">
        <v>119.52</v>
      </c>
      <c r="E4305" s="7">
        <f t="shared" si="67"/>
        <v>1</v>
      </c>
    </row>
    <row r="4306" spans="1:5" x14ac:dyDescent="0.25">
      <c r="A4306" s="7">
        <f>IF(E4306=1,
      SUM($E$2:E4306)-1,
"")</f>
        <v>4301</v>
      </c>
      <c r="B4306" s="6" t="s">
        <v>911</v>
      </c>
      <c r="C4306" s="14">
        <v>45280</v>
      </c>
      <c r="D4306" s="15">
        <v>144.29</v>
      </c>
      <c r="E4306" s="7">
        <f t="shared" si="67"/>
        <v>1</v>
      </c>
    </row>
    <row r="4307" spans="1:5" x14ac:dyDescent="0.25">
      <c r="A4307" s="7" t="str">
        <f>IF(E4307=1,
      SUM($E$2:E4307)-1,
"")</f>
        <v/>
      </c>
      <c r="B4307" s="6" t="s">
        <v>418</v>
      </c>
      <c r="C4307" s="14">
        <v>45085</v>
      </c>
      <c r="D4307" s="15">
        <v>-21.62</v>
      </c>
      <c r="E4307" s="7">
        <f t="shared" si="67"/>
        <v>0</v>
      </c>
    </row>
    <row r="4308" spans="1:5" x14ac:dyDescent="0.25">
      <c r="A4308" s="7">
        <f>IF(E4308=1,
      SUM($E$2:E4308)-1,
"")</f>
        <v>4302</v>
      </c>
      <c r="B4308" s="6" t="s">
        <v>995</v>
      </c>
      <c r="C4308" s="14">
        <v>44982</v>
      </c>
      <c r="D4308" s="15">
        <v>98.94</v>
      </c>
      <c r="E4308" s="7">
        <f t="shared" si="67"/>
        <v>1</v>
      </c>
    </row>
    <row r="4309" spans="1:5" x14ac:dyDescent="0.25">
      <c r="A4309" s="7">
        <f>IF(E4309=1,
      SUM($E$2:E4309)-1,
"")</f>
        <v>4303</v>
      </c>
      <c r="B4309" s="6" t="s">
        <v>649</v>
      </c>
      <c r="C4309" s="14">
        <v>45058</v>
      </c>
      <c r="D4309" s="15">
        <v>96.5</v>
      </c>
      <c r="E4309" s="7">
        <f t="shared" si="67"/>
        <v>1</v>
      </c>
    </row>
    <row r="4310" spans="1:5" x14ac:dyDescent="0.25">
      <c r="A4310" s="7">
        <f>IF(E4310=1,
      SUM($E$2:E4310)-1,
"")</f>
        <v>4304</v>
      </c>
      <c r="B4310" s="6" t="s">
        <v>638</v>
      </c>
      <c r="C4310" s="14">
        <v>45144</v>
      </c>
      <c r="D4310" s="15">
        <v>102.16</v>
      </c>
      <c r="E4310" s="7">
        <f t="shared" si="67"/>
        <v>1</v>
      </c>
    </row>
    <row r="4311" spans="1:5" x14ac:dyDescent="0.25">
      <c r="A4311" s="7">
        <f>IF(E4311=1,
      SUM($E$2:E4311)-1,
"")</f>
        <v>4305</v>
      </c>
      <c r="B4311" s="6" t="s">
        <v>603</v>
      </c>
      <c r="C4311" s="14">
        <v>44971</v>
      </c>
      <c r="D4311" s="15">
        <v>151.35</v>
      </c>
      <c r="E4311" s="7">
        <f t="shared" si="67"/>
        <v>1</v>
      </c>
    </row>
    <row r="4312" spans="1:5" x14ac:dyDescent="0.25">
      <c r="A4312" s="7">
        <f>IF(E4312=1,
      SUM($E$2:E4312)-1,
"")</f>
        <v>4306</v>
      </c>
      <c r="B4312" s="6" t="s">
        <v>204</v>
      </c>
      <c r="C4312" s="14">
        <v>45138</v>
      </c>
      <c r="D4312" s="15">
        <v>77.09</v>
      </c>
      <c r="E4312" s="7">
        <f t="shared" si="67"/>
        <v>1</v>
      </c>
    </row>
    <row r="4313" spans="1:5" x14ac:dyDescent="0.25">
      <c r="A4313" s="7">
        <f>IF(E4313=1,
      SUM($E$2:E4313)-1,
"")</f>
        <v>4307</v>
      </c>
      <c r="B4313" s="6" t="s">
        <v>750</v>
      </c>
      <c r="C4313" s="14">
        <v>45127</v>
      </c>
      <c r="D4313" s="15">
        <v>64.459999999999994</v>
      </c>
      <c r="E4313" s="7">
        <f t="shared" si="67"/>
        <v>1</v>
      </c>
    </row>
    <row r="4314" spans="1:5" x14ac:dyDescent="0.25">
      <c r="A4314" s="7">
        <f>IF(E4314=1,
      SUM($E$2:E4314)-1,
"")</f>
        <v>4308</v>
      </c>
      <c r="B4314" s="6" t="s">
        <v>715</v>
      </c>
      <c r="C4314" s="14">
        <v>45203</v>
      </c>
      <c r="D4314" s="15">
        <v>102.37</v>
      </c>
      <c r="E4314" s="7">
        <f t="shared" si="67"/>
        <v>1</v>
      </c>
    </row>
    <row r="4315" spans="1:5" x14ac:dyDescent="0.25">
      <c r="A4315" s="7">
        <f>IF(E4315=1,
      SUM($E$2:E4315)-1,
"")</f>
        <v>4309</v>
      </c>
      <c r="B4315" s="6" t="s">
        <v>501</v>
      </c>
      <c r="C4315" s="14">
        <v>45107</v>
      </c>
      <c r="D4315" s="15">
        <v>133.72999999999999</v>
      </c>
      <c r="E4315" s="7">
        <f t="shared" si="67"/>
        <v>1</v>
      </c>
    </row>
    <row r="4316" spans="1:5" x14ac:dyDescent="0.25">
      <c r="A4316" s="7">
        <f>IF(E4316=1,
      SUM($E$2:E4316)-1,
"")</f>
        <v>4310</v>
      </c>
      <c r="B4316" s="6" t="s">
        <v>409</v>
      </c>
      <c r="C4316" s="14">
        <v>44975</v>
      </c>
      <c r="D4316" s="15">
        <v>116.76</v>
      </c>
      <c r="E4316" s="7">
        <f t="shared" si="67"/>
        <v>1</v>
      </c>
    </row>
    <row r="4317" spans="1:5" x14ac:dyDescent="0.25">
      <c r="A4317" s="7">
        <f>IF(E4317=1,
      SUM($E$2:E4317)-1,
"")</f>
        <v>4311</v>
      </c>
      <c r="B4317" s="6" t="s">
        <v>284</v>
      </c>
      <c r="C4317" s="14">
        <v>44935</v>
      </c>
      <c r="D4317" s="15">
        <v>101.03</v>
      </c>
      <c r="E4317" s="7">
        <f t="shared" si="67"/>
        <v>1</v>
      </c>
    </row>
    <row r="4318" spans="1:5" x14ac:dyDescent="0.25">
      <c r="A4318" s="7">
        <f>IF(E4318=1,
      SUM($E$2:E4318)-1,
"")</f>
        <v>4312</v>
      </c>
      <c r="B4318" s="6" t="s">
        <v>653</v>
      </c>
      <c r="C4318" s="14">
        <v>45119</v>
      </c>
      <c r="D4318" s="15">
        <v>93.12</v>
      </c>
      <c r="E4318" s="7">
        <f t="shared" si="67"/>
        <v>1</v>
      </c>
    </row>
    <row r="4319" spans="1:5" x14ac:dyDescent="0.25">
      <c r="A4319" s="7">
        <f>IF(E4319=1,
      SUM($E$2:E4319)-1,
"")</f>
        <v>4313</v>
      </c>
      <c r="B4319" s="6" t="s">
        <v>504</v>
      </c>
      <c r="C4319" s="14">
        <v>45076</v>
      </c>
      <c r="D4319" s="15">
        <v>39.79</v>
      </c>
      <c r="E4319" s="7">
        <f t="shared" si="67"/>
        <v>1</v>
      </c>
    </row>
    <row r="4320" spans="1:5" x14ac:dyDescent="0.25">
      <c r="A4320" s="7">
        <f>IF(E4320=1,
      SUM($E$2:E4320)-1,
"")</f>
        <v>4314</v>
      </c>
      <c r="B4320" s="6" t="s">
        <v>152</v>
      </c>
      <c r="C4320" s="14">
        <v>45029</v>
      </c>
      <c r="D4320" s="15">
        <v>117.58</v>
      </c>
      <c r="E4320" s="7">
        <f t="shared" si="67"/>
        <v>1</v>
      </c>
    </row>
    <row r="4321" spans="1:5" x14ac:dyDescent="0.25">
      <c r="A4321" s="7">
        <f>IF(E4321=1,
      SUM($E$2:E4321)-1,
"")</f>
        <v>4315</v>
      </c>
      <c r="B4321" s="6" t="s">
        <v>242</v>
      </c>
      <c r="C4321" s="14">
        <v>45196</v>
      </c>
      <c r="D4321" s="15">
        <v>121.16</v>
      </c>
      <c r="E4321" s="7">
        <f t="shared" si="67"/>
        <v>1</v>
      </c>
    </row>
    <row r="4322" spans="1:5" x14ac:dyDescent="0.25">
      <c r="A4322" s="7">
        <f>IF(E4322=1,
      SUM($E$2:E4322)-1,
"")</f>
        <v>4316</v>
      </c>
      <c r="B4322" s="6" t="s">
        <v>382</v>
      </c>
      <c r="C4322" s="14">
        <v>45176</v>
      </c>
      <c r="D4322" s="15">
        <v>79.23</v>
      </c>
      <c r="E4322" s="7">
        <f t="shared" si="67"/>
        <v>1</v>
      </c>
    </row>
    <row r="4323" spans="1:5" x14ac:dyDescent="0.25">
      <c r="A4323" s="7">
        <f>IF(E4323=1,
      SUM($E$2:E4323)-1,
"")</f>
        <v>4317</v>
      </c>
      <c r="B4323" s="6" t="s">
        <v>656</v>
      </c>
      <c r="C4323" s="14">
        <v>45094</v>
      </c>
      <c r="D4323" s="15">
        <v>86.06</v>
      </c>
      <c r="E4323" s="7">
        <f t="shared" si="67"/>
        <v>1</v>
      </c>
    </row>
    <row r="4324" spans="1:5" x14ac:dyDescent="0.25">
      <c r="A4324" s="7">
        <f>IF(E4324=1,
      SUM($E$2:E4324)-1,
"")</f>
        <v>4318</v>
      </c>
      <c r="B4324" s="6" t="s">
        <v>700</v>
      </c>
      <c r="C4324" s="14">
        <v>44973</v>
      </c>
      <c r="D4324" s="15">
        <v>68.55</v>
      </c>
      <c r="E4324" s="7">
        <f t="shared" si="67"/>
        <v>1</v>
      </c>
    </row>
    <row r="4325" spans="1:5" x14ac:dyDescent="0.25">
      <c r="A4325" s="7">
        <f>IF(E4325=1,
      SUM($E$2:E4325)-1,
"")</f>
        <v>4319</v>
      </c>
      <c r="B4325" s="6" t="s">
        <v>421</v>
      </c>
      <c r="C4325" s="14">
        <v>45272</v>
      </c>
      <c r="D4325" s="15">
        <v>126.04</v>
      </c>
      <c r="E4325" s="7">
        <f t="shared" si="67"/>
        <v>1</v>
      </c>
    </row>
    <row r="4326" spans="1:5" x14ac:dyDescent="0.25">
      <c r="A4326" s="7">
        <f>IF(E4326=1,
      SUM($E$2:E4326)-1,
"")</f>
        <v>4320</v>
      </c>
      <c r="B4326" s="6" t="s">
        <v>582</v>
      </c>
      <c r="C4326" s="14">
        <v>45093</v>
      </c>
      <c r="D4326" s="15">
        <v>89.02</v>
      </c>
      <c r="E4326" s="7">
        <f t="shared" si="67"/>
        <v>1</v>
      </c>
    </row>
    <row r="4327" spans="1:5" x14ac:dyDescent="0.25">
      <c r="A4327" s="7">
        <f>IF(E4327=1,
      SUM($E$2:E4327)-1,
"")</f>
        <v>4321</v>
      </c>
      <c r="B4327" s="6" t="s">
        <v>355</v>
      </c>
      <c r="C4327" s="14">
        <v>44952</v>
      </c>
      <c r="D4327" s="15">
        <v>95.52</v>
      </c>
      <c r="E4327" s="7">
        <f t="shared" si="67"/>
        <v>1</v>
      </c>
    </row>
    <row r="4328" spans="1:5" x14ac:dyDescent="0.25">
      <c r="A4328" s="7">
        <f>IF(E4328=1,
      SUM($E$2:E4328)-1,
"")</f>
        <v>4322</v>
      </c>
      <c r="B4328" s="6" t="s">
        <v>1028</v>
      </c>
      <c r="C4328" s="14">
        <v>45045</v>
      </c>
      <c r="D4328" s="15">
        <v>118.88</v>
      </c>
      <c r="E4328" s="7">
        <f t="shared" si="67"/>
        <v>1</v>
      </c>
    </row>
    <row r="4329" spans="1:5" x14ac:dyDescent="0.25">
      <c r="A4329" s="7">
        <f>IF(E4329=1,
      SUM($E$2:E4329)-1,
"")</f>
        <v>4323</v>
      </c>
      <c r="B4329" s="6" t="s">
        <v>868</v>
      </c>
      <c r="C4329" s="14">
        <v>45017</v>
      </c>
      <c r="D4329" s="15">
        <v>109.81</v>
      </c>
      <c r="E4329" s="7">
        <f t="shared" si="67"/>
        <v>1</v>
      </c>
    </row>
    <row r="4330" spans="1:5" x14ac:dyDescent="0.25">
      <c r="A4330" s="7">
        <f>IF(E4330=1,
      SUM($E$2:E4330)-1,
"")</f>
        <v>4324</v>
      </c>
      <c r="B4330" s="6" t="s">
        <v>602</v>
      </c>
      <c r="C4330" s="14">
        <v>45029</v>
      </c>
      <c r="D4330" s="15">
        <v>116.9</v>
      </c>
      <c r="E4330" s="7">
        <f t="shared" si="67"/>
        <v>1</v>
      </c>
    </row>
    <row r="4331" spans="1:5" x14ac:dyDescent="0.25">
      <c r="A4331" s="7">
        <f>IF(E4331=1,
      SUM($E$2:E4331)-1,
"")</f>
        <v>4325</v>
      </c>
      <c r="B4331" s="6" t="s">
        <v>776</v>
      </c>
      <c r="C4331" s="14">
        <v>45235</v>
      </c>
      <c r="D4331" s="15">
        <v>105.25</v>
      </c>
      <c r="E4331" s="7">
        <f t="shared" si="67"/>
        <v>1</v>
      </c>
    </row>
    <row r="4332" spans="1:5" x14ac:dyDescent="0.25">
      <c r="A4332" s="7">
        <f>IF(E4332=1,
      SUM($E$2:E4332)-1,
"")</f>
        <v>4326</v>
      </c>
      <c r="B4332" s="6" t="s">
        <v>383</v>
      </c>
      <c r="C4332" s="14">
        <v>44991</v>
      </c>
      <c r="D4332" s="15">
        <v>105.91</v>
      </c>
      <c r="E4332" s="7">
        <f t="shared" si="67"/>
        <v>1</v>
      </c>
    </row>
    <row r="4333" spans="1:5" x14ac:dyDescent="0.25">
      <c r="A4333" s="7">
        <f>IF(E4333=1,
      SUM($E$2:E4333)-1,
"")</f>
        <v>4327</v>
      </c>
      <c r="B4333" s="6" t="s">
        <v>579</v>
      </c>
      <c r="C4333" s="14">
        <v>45262</v>
      </c>
      <c r="D4333" s="15">
        <v>105.63</v>
      </c>
      <c r="E4333" s="7">
        <f t="shared" si="67"/>
        <v>1</v>
      </c>
    </row>
    <row r="4334" spans="1:5" x14ac:dyDescent="0.25">
      <c r="A4334" s="7">
        <f>IF(E4334=1,
      SUM($E$2:E4334)-1,
"")</f>
        <v>4328</v>
      </c>
      <c r="B4334" s="6" t="s">
        <v>352</v>
      </c>
      <c r="C4334" s="14">
        <v>45044</v>
      </c>
      <c r="D4334" s="15">
        <v>113.59</v>
      </c>
      <c r="E4334" s="7">
        <f t="shared" si="67"/>
        <v>1</v>
      </c>
    </row>
    <row r="4335" spans="1:5" x14ac:dyDescent="0.25">
      <c r="A4335" s="7">
        <f>IF(E4335=1,
      SUM($E$2:E4335)-1,
"")</f>
        <v>4329</v>
      </c>
      <c r="B4335" s="6" t="s">
        <v>814</v>
      </c>
      <c r="C4335" s="14">
        <v>45200</v>
      </c>
      <c r="D4335" s="15">
        <v>115.05</v>
      </c>
      <c r="E4335" s="7">
        <f t="shared" si="67"/>
        <v>1</v>
      </c>
    </row>
    <row r="4336" spans="1:5" x14ac:dyDescent="0.25">
      <c r="A4336" s="7">
        <f>IF(E4336=1,
      SUM($E$2:E4336)-1,
"")</f>
        <v>4330</v>
      </c>
      <c r="B4336" s="6" t="s">
        <v>473</v>
      </c>
      <c r="C4336" s="14">
        <v>45028</v>
      </c>
      <c r="D4336" s="15">
        <v>63.26</v>
      </c>
      <c r="E4336" s="7">
        <f t="shared" si="67"/>
        <v>1</v>
      </c>
    </row>
    <row r="4337" spans="1:5" x14ac:dyDescent="0.25">
      <c r="A4337" s="7">
        <f>IF(E4337=1,
      SUM($E$2:E4337)-1,
"")</f>
        <v>4331</v>
      </c>
      <c r="B4337" s="6" t="s">
        <v>325</v>
      </c>
      <c r="C4337" s="14">
        <v>45022</v>
      </c>
      <c r="D4337" s="15">
        <v>82.08</v>
      </c>
      <c r="E4337" s="7">
        <f t="shared" si="67"/>
        <v>1</v>
      </c>
    </row>
    <row r="4338" spans="1:5" x14ac:dyDescent="0.25">
      <c r="A4338" s="7">
        <f>IF(E4338=1,
      SUM($E$2:E4338)-1,
"")</f>
        <v>4332</v>
      </c>
      <c r="B4338" s="6" t="s">
        <v>819</v>
      </c>
      <c r="C4338" s="14">
        <v>45199</v>
      </c>
      <c r="D4338" s="15">
        <v>93.9</v>
      </c>
      <c r="E4338" s="7">
        <f t="shared" si="67"/>
        <v>1</v>
      </c>
    </row>
    <row r="4339" spans="1:5" x14ac:dyDescent="0.25">
      <c r="A4339" s="7">
        <f>IF(E4339=1,
      SUM($E$2:E4339)-1,
"")</f>
        <v>4333</v>
      </c>
      <c r="B4339" s="6" t="s">
        <v>235</v>
      </c>
      <c r="C4339" s="14">
        <v>45139</v>
      </c>
      <c r="D4339" s="15">
        <v>113.55</v>
      </c>
      <c r="E4339" s="7">
        <f t="shared" si="67"/>
        <v>1</v>
      </c>
    </row>
    <row r="4340" spans="1:5" x14ac:dyDescent="0.25">
      <c r="A4340" s="7">
        <f>IF(E4340=1,
      SUM($E$2:E4340)-1,
"")</f>
        <v>4334</v>
      </c>
      <c r="B4340" s="6" t="s">
        <v>347</v>
      </c>
      <c r="C4340" s="14">
        <v>45008</v>
      </c>
      <c r="D4340" s="15">
        <v>147.91999999999999</v>
      </c>
      <c r="E4340" s="7">
        <f t="shared" si="67"/>
        <v>1</v>
      </c>
    </row>
    <row r="4341" spans="1:5" x14ac:dyDescent="0.25">
      <c r="A4341" s="7">
        <f>IF(E4341=1,
      SUM($E$2:E4341)-1,
"")</f>
        <v>4335</v>
      </c>
      <c r="B4341" s="6" t="s">
        <v>810</v>
      </c>
      <c r="C4341" s="14">
        <v>45213</v>
      </c>
      <c r="D4341" s="15">
        <v>75.599999999999994</v>
      </c>
      <c r="E4341" s="7">
        <f t="shared" si="67"/>
        <v>1</v>
      </c>
    </row>
    <row r="4342" spans="1:5" x14ac:dyDescent="0.25">
      <c r="A4342" s="7">
        <f>IF(E4342=1,
      SUM($E$2:E4342)-1,
"")</f>
        <v>4336</v>
      </c>
      <c r="B4342" s="6" t="s">
        <v>873</v>
      </c>
      <c r="C4342" s="14">
        <v>45001</v>
      </c>
      <c r="D4342" s="15">
        <v>126.36</v>
      </c>
      <c r="E4342" s="7">
        <f t="shared" si="67"/>
        <v>1</v>
      </c>
    </row>
    <row r="4343" spans="1:5" x14ac:dyDescent="0.25">
      <c r="A4343" s="7">
        <f>IF(E4343=1,
      SUM($E$2:E4343)-1,
"")</f>
        <v>4337</v>
      </c>
      <c r="B4343" s="6" t="s">
        <v>194</v>
      </c>
      <c r="C4343" s="14">
        <v>45209</v>
      </c>
      <c r="D4343" s="15">
        <v>82.93</v>
      </c>
      <c r="E4343" s="7">
        <f t="shared" si="67"/>
        <v>1</v>
      </c>
    </row>
    <row r="4344" spans="1:5" x14ac:dyDescent="0.25">
      <c r="A4344" s="7">
        <f>IF(E4344=1,
      SUM($E$2:E4344)-1,
"")</f>
        <v>4338</v>
      </c>
      <c r="B4344" s="6" t="s">
        <v>1014</v>
      </c>
      <c r="C4344" s="14">
        <v>44928</v>
      </c>
      <c r="D4344" s="15">
        <v>141.12</v>
      </c>
      <c r="E4344" s="7">
        <f t="shared" si="67"/>
        <v>1</v>
      </c>
    </row>
    <row r="4345" spans="1:5" x14ac:dyDescent="0.25">
      <c r="A4345" s="7">
        <f>IF(E4345=1,
      SUM($E$2:E4345)-1,
"")</f>
        <v>4339</v>
      </c>
      <c r="B4345" s="6" t="s">
        <v>1045</v>
      </c>
      <c r="C4345" s="14">
        <v>45256</v>
      </c>
      <c r="D4345" s="15">
        <v>157.37</v>
      </c>
      <c r="E4345" s="7">
        <f t="shared" si="67"/>
        <v>1</v>
      </c>
    </row>
    <row r="4346" spans="1:5" x14ac:dyDescent="0.25">
      <c r="A4346" s="7">
        <f>IF(E4346=1,
      SUM($E$2:E4346)-1,
"")</f>
        <v>4340</v>
      </c>
      <c r="B4346" s="6" t="s">
        <v>359</v>
      </c>
      <c r="C4346" s="14">
        <v>44951</v>
      </c>
      <c r="D4346" s="15">
        <v>47.56</v>
      </c>
      <c r="E4346" s="7">
        <f t="shared" si="67"/>
        <v>1</v>
      </c>
    </row>
    <row r="4347" spans="1:5" x14ac:dyDescent="0.25">
      <c r="A4347" s="7">
        <f>IF(E4347=1,
      SUM($E$2:E4347)-1,
"")</f>
        <v>4341</v>
      </c>
      <c r="B4347" s="6" t="s">
        <v>151</v>
      </c>
      <c r="C4347" s="14">
        <v>44966</v>
      </c>
      <c r="D4347" s="15">
        <v>90.21</v>
      </c>
      <c r="E4347" s="7">
        <f t="shared" si="67"/>
        <v>1</v>
      </c>
    </row>
    <row r="4348" spans="1:5" x14ac:dyDescent="0.25">
      <c r="A4348" s="7">
        <f>IF(E4348=1,
      SUM($E$2:E4348)-1,
"")</f>
        <v>4342</v>
      </c>
      <c r="B4348" s="6" t="s">
        <v>887</v>
      </c>
      <c r="C4348" s="14">
        <v>45061</v>
      </c>
      <c r="D4348" s="15">
        <v>29.49</v>
      </c>
      <c r="E4348" s="7">
        <f t="shared" si="67"/>
        <v>1</v>
      </c>
    </row>
    <row r="4349" spans="1:5" x14ac:dyDescent="0.25">
      <c r="A4349" s="7">
        <f>IF(E4349=1,
      SUM($E$2:E4349)-1,
"")</f>
        <v>4343</v>
      </c>
      <c r="B4349" s="6" t="s">
        <v>592</v>
      </c>
      <c r="C4349" s="14">
        <v>45200</v>
      </c>
      <c r="D4349" s="15">
        <v>49.3</v>
      </c>
      <c r="E4349" s="7">
        <f t="shared" si="67"/>
        <v>1</v>
      </c>
    </row>
    <row r="4350" spans="1:5" x14ac:dyDescent="0.25">
      <c r="A4350" s="7">
        <f>IF(E4350=1,
      SUM($E$2:E4350)-1,
"")</f>
        <v>4344</v>
      </c>
      <c r="B4350" s="6" t="s">
        <v>817</v>
      </c>
      <c r="C4350" s="14">
        <v>44957</v>
      </c>
      <c r="D4350" s="15">
        <v>51.17</v>
      </c>
      <c r="E4350" s="7">
        <f t="shared" si="67"/>
        <v>1</v>
      </c>
    </row>
    <row r="4351" spans="1:5" x14ac:dyDescent="0.25">
      <c r="A4351" s="7">
        <f>IF(E4351=1,
      SUM($E$2:E4351)-1,
"")</f>
        <v>4345</v>
      </c>
      <c r="B4351" s="6" t="s">
        <v>847</v>
      </c>
      <c r="C4351" s="14">
        <v>45191</v>
      </c>
      <c r="D4351" s="15">
        <v>118.72</v>
      </c>
      <c r="E4351" s="7">
        <f t="shared" si="67"/>
        <v>1</v>
      </c>
    </row>
    <row r="4352" spans="1:5" x14ac:dyDescent="0.25">
      <c r="A4352" s="7">
        <f>IF(E4352=1,
      SUM($E$2:E4352)-1,
"")</f>
        <v>4346</v>
      </c>
      <c r="B4352" s="6" t="s">
        <v>827</v>
      </c>
      <c r="C4352" s="14">
        <v>45127</v>
      </c>
      <c r="D4352" s="15">
        <v>113.11</v>
      </c>
      <c r="E4352" s="7">
        <f t="shared" si="67"/>
        <v>1</v>
      </c>
    </row>
    <row r="4353" spans="1:5" x14ac:dyDescent="0.25">
      <c r="A4353" s="7">
        <f>IF(E4353=1,
      SUM($E$2:E4353)-1,
"")</f>
        <v>4347</v>
      </c>
      <c r="B4353" s="6" t="s">
        <v>854</v>
      </c>
      <c r="C4353" s="14">
        <v>45134</v>
      </c>
      <c r="D4353" s="15">
        <v>124.04</v>
      </c>
      <c r="E4353" s="7">
        <f t="shared" si="67"/>
        <v>1</v>
      </c>
    </row>
    <row r="4354" spans="1:5" x14ac:dyDescent="0.25">
      <c r="A4354" s="7">
        <f>IF(E4354=1,
      SUM($E$2:E4354)-1,
"")</f>
        <v>4348</v>
      </c>
      <c r="B4354" s="6" t="s">
        <v>893</v>
      </c>
      <c r="C4354" s="14">
        <v>45279</v>
      </c>
      <c r="D4354" s="15">
        <v>118.24</v>
      </c>
      <c r="E4354" s="7">
        <f t="shared" ref="E4354:E4417" si="68">IF(D4354&gt;0,1,0)</f>
        <v>1</v>
      </c>
    </row>
    <row r="4355" spans="1:5" x14ac:dyDescent="0.25">
      <c r="A4355" s="7">
        <f>IF(E4355=1,
      SUM($E$2:E4355)-1,
"")</f>
        <v>4349</v>
      </c>
      <c r="B4355" s="6" t="s">
        <v>512</v>
      </c>
      <c r="C4355" s="14">
        <v>45068</v>
      </c>
      <c r="D4355" s="15">
        <v>114.55</v>
      </c>
      <c r="E4355" s="7">
        <f t="shared" si="68"/>
        <v>1</v>
      </c>
    </row>
    <row r="4356" spans="1:5" x14ac:dyDescent="0.25">
      <c r="A4356" s="7">
        <f>IF(E4356=1,
      SUM($E$2:E4356)-1,
"")</f>
        <v>4350</v>
      </c>
      <c r="B4356" s="6" t="s">
        <v>1051</v>
      </c>
      <c r="C4356" s="14">
        <v>45220</v>
      </c>
      <c r="D4356" s="15">
        <v>103.36</v>
      </c>
      <c r="E4356" s="7">
        <f t="shared" si="68"/>
        <v>1</v>
      </c>
    </row>
    <row r="4357" spans="1:5" x14ac:dyDescent="0.25">
      <c r="A4357" s="7">
        <f>IF(E4357=1,
      SUM($E$2:E4357)-1,
"")</f>
        <v>4351</v>
      </c>
      <c r="B4357" s="6" t="s">
        <v>590</v>
      </c>
      <c r="C4357" s="14">
        <v>45044</v>
      </c>
      <c r="D4357" s="15">
        <v>96.07</v>
      </c>
      <c r="E4357" s="7">
        <f t="shared" si="68"/>
        <v>1</v>
      </c>
    </row>
    <row r="4358" spans="1:5" x14ac:dyDescent="0.25">
      <c r="A4358" s="7">
        <f>IF(E4358=1,
      SUM($E$2:E4358)-1,
"")</f>
        <v>4352</v>
      </c>
      <c r="B4358" s="6" t="s">
        <v>552</v>
      </c>
      <c r="C4358" s="14">
        <v>45202</v>
      </c>
      <c r="D4358" s="15">
        <v>130.59</v>
      </c>
      <c r="E4358" s="7">
        <f t="shared" si="68"/>
        <v>1</v>
      </c>
    </row>
    <row r="4359" spans="1:5" x14ac:dyDescent="0.25">
      <c r="A4359" s="7">
        <f>IF(E4359=1,
      SUM($E$2:E4359)-1,
"")</f>
        <v>4353</v>
      </c>
      <c r="B4359" s="6" t="s">
        <v>164</v>
      </c>
      <c r="C4359" s="14">
        <v>45077</v>
      </c>
      <c r="D4359" s="15">
        <v>100.37</v>
      </c>
      <c r="E4359" s="7">
        <f t="shared" si="68"/>
        <v>1</v>
      </c>
    </row>
    <row r="4360" spans="1:5" x14ac:dyDescent="0.25">
      <c r="A4360" s="7">
        <f>IF(E4360=1,
      SUM($E$2:E4360)-1,
"")</f>
        <v>4354</v>
      </c>
      <c r="B4360" s="6" t="s">
        <v>594</v>
      </c>
      <c r="C4360" s="14">
        <v>45203</v>
      </c>
      <c r="D4360" s="15">
        <v>115.76</v>
      </c>
      <c r="E4360" s="7">
        <f t="shared" si="68"/>
        <v>1</v>
      </c>
    </row>
    <row r="4361" spans="1:5" x14ac:dyDescent="0.25">
      <c r="A4361" s="7">
        <f>IF(E4361=1,
      SUM($E$2:E4361)-1,
"")</f>
        <v>4355</v>
      </c>
      <c r="B4361" s="6" t="s">
        <v>369</v>
      </c>
      <c r="C4361" s="14">
        <v>45264</v>
      </c>
      <c r="D4361" s="15">
        <v>30.09</v>
      </c>
      <c r="E4361" s="7">
        <f t="shared" si="68"/>
        <v>1</v>
      </c>
    </row>
    <row r="4362" spans="1:5" x14ac:dyDescent="0.25">
      <c r="A4362" s="7">
        <f>IF(E4362=1,
      SUM($E$2:E4362)-1,
"")</f>
        <v>4356</v>
      </c>
      <c r="B4362" s="6" t="s">
        <v>540</v>
      </c>
      <c r="C4362" s="14">
        <v>44988</v>
      </c>
      <c r="D4362" s="15">
        <v>64.75</v>
      </c>
      <c r="E4362" s="7">
        <f t="shared" si="68"/>
        <v>1</v>
      </c>
    </row>
    <row r="4363" spans="1:5" x14ac:dyDescent="0.25">
      <c r="A4363" s="7">
        <f>IF(E4363=1,
      SUM($E$2:E4363)-1,
"")</f>
        <v>4357</v>
      </c>
      <c r="B4363" s="6" t="s">
        <v>411</v>
      </c>
      <c r="C4363" s="14">
        <v>45073</v>
      </c>
      <c r="D4363" s="15">
        <v>129.41</v>
      </c>
      <c r="E4363" s="7">
        <f t="shared" si="68"/>
        <v>1</v>
      </c>
    </row>
    <row r="4364" spans="1:5" x14ac:dyDescent="0.25">
      <c r="A4364" s="7">
        <f>IF(E4364=1,
      SUM($E$2:E4364)-1,
"")</f>
        <v>4358</v>
      </c>
      <c r="B4364" s="6" t="s">
        <v>307</v>
      </c>
      <c r="C4364" s="14">
        <v>44965</v>
      </c>
      <c r="D4364" s="15">
        <v>79.95</v>
      </c>
      <c r="E4364" s="7">
        <f t="shared" si="68"/>
        <v>1</v>
      </c>
    </row>
    <row r="4365" spans="1:5" x14ac:dyDescent="0.25">
      <c r="A4365" s="7">
        <f>IF(E4365=1,
      SUM($E$2:E4365)-1,
"")</f>
        <v>4359</v>
      </c>
      <c r="B4365" s="6" t="s">
        <v>153</v>
      </c>
      <c r="C4365" s="14">
        <v>45078</v>
      </c>
      <c r="D4365" s="15">
        <v>58.14</v>
      </c>
      <c r="E4365" s="7">
        <f t="shared" si="68"/>
        <v>1</v>
      </c>
    </row>
    <row r="4366" spans="1:5" x14ac:dyDescent="0.25">
      <c r="A4366" s="7">
        <f>IF(E4366=1,
      SUM($E$2:E4366)-1,
"")</f>
        <v>4360</v>
      </c>
      <c r="B4366" s="6" t="s">
        <v>358</v>
      </c>
      <c r="C4366" s="14">
        <v>45072</v>
      </c>
      <c r="D4366" s="15">
        <v>119.24</v>
      </c>
      <c r="E4366" s="7">
        <f t="shared" si="68"/>
        <v>1</v>
      </c>
    </row>
    <row r="4367" spans="1:5" x14ac:dyDescent="0.25">
      <c r="A4367" s="7">
        <f>IF(E4367=1,
      SUM($E$2:E4367)-1,
"")</f>
        <v>4361</v>
      </c>
      <c r="B4367" s="6" t="s">
        <v>904</v>
      </c>
      <c r="C4367" s="14">
        <v>45251</v>
      </c>
      <c r="D4367" s="15">
        <v>100.04</v>
      </c>
      <c r="E4367" s="7">
        <f t="shared" si="68"/>
        <v>1</v>
      </c>
    </row>
    <row r="4368" spans="1:5" x14ac:dyDescent="0.25">
      <c r="A4368" s="7">
        <f>IF(E4368=1,
      SUM($E$2:E4368)-1,
"")</f>
        <v>4362</v>
      </c>
      <c r="B4368" s="6" t="s">
        <v>898</v>
      </c>
      <c r="C4368" s="14">
        <v>45158</v>
      </c>
      <c r="D4368" s="15">
        <v>87.79</v>
      </c>
      <c r="E4368" s="7">
        <f t="shared" si="68"/>
        <v>1</v>
      </c>
    </row>
    <row r="4369" spans="1:5" x14ac:dyDescent="0.25">
      <c r="A4369" s="7">
        <f>IF(E4369=1,
      SUM($E$2:E4369)-1,
"")</f>
        <v>4363</v>
      </c>
      <c r="B4369" s="6" t="s">
        <v>157</v>
      </c>
      <c r="C4369" s="14">
        <v>45251</v>
      </c>
      <c r="D4369" s="15">
        <v>145.27000000000001</v>
      </c>
      <c r="E4369" s="7">
        <f t="shared" si="68"/>
        <v>1</v>
      </c>
    </row>
    <row r="4370" spans="1:5" x14ac:dyDescent="0.25">
      <c r="A4370" s="7">
        <f>IF(E4370=1,
      SUM($E$2:E4370)-1,
"")</f>
        <v>4364</v>
      </c>
      <c r="B4370" s="6" t="s">
        <v>609</v>
      </c>
      <c r="C4370" s="14">
        <v>45129</v>
      </c>
      <c r="D4370" s="15">
        <v>140.12</v>
      </c>
      <c r="E4370" s="7">
        <f t="shared" si="68"/>
        <v>1</v>
      </c>
    </row>
    <row r="4371" spans="1:5" x14ac:dyDescent="0.25">
      <c r="A4371" s="7">
        <f>IF(E4371=1,
      SUM($E$2:E4371)-1,
"")</f>
        <v>4365</v>
      </c>
      <c r="B4371" s="6" t="s">
        <v>241</v>
      </c>
      <c r="C4371" s="14">
        <v>44932</v>
      </c>
      <c r="D4371" s="15">
        <v>94.36</v>
      </c>
      <c r="E4371" s="7">
        <f t="shared" si="68"/>
        <v>1</v>
      </c>
    </row>
    <row r="4372" spans="1:5" x14ac:dyDescent="0.25">
      <c r="A4372" s="7">
        <f>IF(E4372=1,
      SUM($E$2:E4372)-1,
"")</f>
        <v>4366</v>
      </c>
      <c r="B4372" s="6" t="s">
        <v>850</v>
      </c>
      <c r="C4372" s="14">
        <v>45010</v>
      </c>
      <c r="D4372" s="15">
        <v>121.67</v>
      </c>
      <c r="E4372" s="7">
        <f t="shared" si="68"/>
        <v>1</v>
      </c>
    </row>
    <row r="4373" spans="1:5" x14ac:dyDescent="0.25">
      <c r="A4373" s="7">
        <f>IF(E4373=1,
      SUM($E$2:E4373)-1,
"")</f>
        <v>4367</v>
      </c>
      <c r="B4373" s="6" t="s">
        <v>551</v>
      </c>
      <c r="C4373" s="14">
        <v>45235</v>
      </c>
      <c r="D4373" s="15">
        <v>32.840000000000003</v>
      </c>
      <c r="E4373" s="7">
        <f t="shared" si="68"/>
        <v>1</v>
      </c>
    </row>
    <row r="4374" spans="1:5" x14ac:dyDescent="0.25">
      <c r="A4374" s="7">
        <f>IF(E4374=1,
      SUM($E$2:E4374)-1,
"")</f>
        <v>4368</v>
      </c>
      <c r="B4374" s="6" t="s">
        <v>371</v>
      </c>
      <c r="C4374" s="14">
        <v>44991</v>
      </c>
      <c r="D4374" s="15">
        <v>132.80000000000001</v>
      </c>
      <c r="E4374" s="7">
        <f t="shared" si="68"/>
        <v>1</v>
      </c>
    </row>
    <row r="4375" spans="1:5" x14ac:dyDescent="0.25">
      <c r="A4375" s="7">
        <f>IF(E4375=1,
      SUM($E$2:E4375)-1,
"")</f>
        <v>4369</v>
      </c>
      <c r="B4375" s="6" t="s">
        <v>994</v>
      </c>
      <c r="C4375" s="14">
        <v>44971</v>
      </c>
      <c r="D4375" s="15">
        <v>67.400000000000006</v>
      </c>
      <c r="E4375" s="7">
        <f t="shared" si="68"/>
        <v>1</v>
      </c>
    </row>
    <row r="4376" spans="1:5" x14ac:dyDescent="0.25">
      <c r="A4376" s="7">
        <f>IF(E4376=1,
      SUM($E$2:E4376)-1,
"")</f>
        <v>4370</v>
      </c>
      <c r="B4376" s="6" t="s">
        <v>584</v>
      </c>
      <c r="C4376" s="14">
        <v>45268</v>
      </c>
      <c r="D4376" s="15">
        <v>56.44</v>
      </c>
      <c r="E4376" s="7">
        <f t="shared" si="68"/>
        <v>1</v>
      </c>
    </row>
    <row r="4377" spans="1:5" x14ac:dyDescent="0.25">
      <c r="A4377" s="7">
        <f>IF(E4377=1,
      SUM($E$2:E4377)-1,
"")</f>
        <v>4371</v>
      </c>
      <c r="B4377" s="6" t="s">
        <v>348</v>
      </c>
      <c r="C4377" s="14">
        <v>45220</v>
      </c>
      <c r="D4377" s="15">
        <v>46.44</v>
      </c>
      <c r="E4377" s="7">
        <f t="shared" si="68"/>
        <v>1</v>
      </c>
    </row>
    <row r="4378" spans="1:5" x14ac:dyDescent="0.25">
      <c r="A4378" s="7">
        <f>IF(E4378=1,
      SUM($E$2:E4378)-1,
"")</f>
        <v>4372</v>
      </c>
      <c r="B4378" s="6" t="s">
        <v>230</v>
      </c>
      <c r="C4378" s="14">
        <v>45164</v>
      </c>
      <c r="D4378" s="15">
        <v>44.12</v>
      </c>
      <c r="E4378" s="7">
        <f t="shared" si="68"/>
        <v>1</v>
      </c>
    </row>
    <row r="4379" spans="1:5" x14ac:dyDescent="0.25">
      <c r="A4379" s="7">
        <f>IF(E4379=1,
      SUM($E$2:E4379)-1,
"")</f>
        <v>4373</v>
      </c>
      <c r="B4379" s="6" t="s">
        <v>354</v>
      </c>
      <c r="C4379" s="14">
        <v>45206</v>
      </c>
      <c r="D4379" s="15">
        <v>132.41</v>
      </c>
      <c r="E4379" s="7">
        <f t="shared" si="68"/>
        <v>1</v>
      </c>
    </row>
    <row r="4380" spans="1:5" x14ac:dyDescent="0.25">
      <c r="A4380" s="7">
        <f>IF(E4380=1,
      SUM($E$2:E4380)-1,
"")</f>
        <v>4374</v>
      </c>
      <c r="B4380" s="6" t="s">
        <v>218</v>
      </c>
      <c r="C4380" s="14">
        <v>44963</v>
      </c>
      <c r="D4380" s="15">
        <v>118.93</v>
      </c>
      <c r="E4380" s="7">
        <f t="shared" si="68"/>
        <v>1</v>
      </c>
    </row>
    <row r="4381" spans="1:5" x14ac:dyDescent="0.25">
      <c r="A4381" s="7">
        <f>IF(E4381=1,
      SUM($E$2:E4381)-1,
"")</f>
        <v>4375</v>
      </c>
      <c r="B4381" s="6" t="s">
        <v>600</v>
      </c>
      <c r="C4381" s="14">
        <v>45140</v>
      </c>
      <c r="D4381" s="15">
        <v>77.02</v>
      </c>
      <c r="E4381" s="7">
        <f t="shared" si="68"/>
        <v>1</v>
      </c>
    </row>
    <row r="4382" spans="1:5" x14ac:dyDescent="0.25">
      <c r="A4382" s="7">
        <f>IF(E4382=1,
      SUM($E$2:E4382)-1,
"")</f>
        <v>4376</v>
      </c>
      <c r="B4382" s="6" t="s">
        <v>844</v>
      </c>
      <c r="C4382" s="14">
        <v>45111</v>
      </c>
      <c r="D4382" s="15">
        <v>125.65</v>
      </c>
      <c r="E4382" s="7">
        <f t="shared" si="68"/>
        <v>1</v>
      </c>
    </row>
    <row r="4383" spans="1:5" x14ac:dyDescent="0.25">
      <c r="A4383" s="7">
        <f>IF(E4383=1,
      SUM($E$2:E4383)-1,
"")</f>
        <v>4377</v>
      </c>
      <c r="B4383" s="6" t="s">
        <v>830</v>
      </c>
      <c r="C4383" s="14">
        <v>45168</v>
      </c>
      <c r="D4383" s="15">
        <v>82.15</v>
      </c>
      <c r="E4383" s="7">
        <f t="shared" si="68"/>
        <v>1</v>
      </c>
    </row>
    <row r="4384" spans="1:5" x14ac:dyDescent="0.25">
      <c r="A4384" s="7">
        <f>IF(E4384=1,
      SUM($E$2:E4384)-1,
"")</f>
        <v>4378</v>
      </c>
      <c r="B4384" s="6" t="s">
        <v>153</v>
      </c>
      <c r="C4384" s="14">
        <v>45226</v>
      </c>
      <c r="D4384" s="15">
        <v>109.71</v>
      </c>
      <c r="E4384" s="7">
        <f t="shared" si="68"/>
        <v>1</v>
      </c>
    </row>
    <row r="4385" spans="1:5" x14ac:dyDescent="0.25">
      <c r="A4385" s="7">
        <f>IF(E4385=1,
      SUM($E$2:E4385)-1,
"")</f>
        <v>4379</v>
      </c>
      <c r="B4385" s="6" t="s">
        <v>697</v>
      </c>
      <c r="C4385" s="14">
        <v>45287</v>
      </c>
      <c r="D4385" s="15">
        <v>85.53</v>
      </c>
      <c r="E4385" s="7">
        <f t="shared" si="68"/>
        <v>1</v>
      </c>
    </row>
    <row r="4386" spans="1:5" x14ac:dyDescent="0.25">
      <c r="A4386" s="7">
        <f>IF(E4386=1,
      SUM($E$2:E4386)-1,
"")</f>
        <v>4380</v>
      </c>
      <c r="B4386" s="6" t="s">
        <v>910</v>
      </c>
      <c r="C4386" s="14">
        <v>45168</v>
      </c>
      <c r="D4386" s="15">
        <v>96.4</v>
      </c>
      <c r="E4386" s="7">
        <f t="shared" si="68"/>
        <v>1</v>
      </c>
    </row>
    <row r="4387" spans="1:5" x14ac:dyDescent="0.25">
      <c r="A4387" s="7">
        <f>IF(E4387=1,
      SUM($E$2:E4387)-1,
"")</f>
        <v>4381</v>
      </c>
      <c r="B4387" s="6" t="s">
        <v>227</v>
      </c>
      <c r="C4387" s="14">
        <v>44979</v>
      </c>
      <c r="D4387" s="15">
        <v>72.75</v>
      </c>
      <c r="E4387" s="7">
        <f t="shared" si="68"/>
        <v>1</v>
      </c>
    </row>
    <row r="4388" spans="1:5" x14ac:dyDescent="0.25">
      <c r="A4388" s="7">
        <f>IF(E4388=1,
      SUM($E$2:E4388)-1,
"")</f>
        <v>4382</v>
      </c>
      <c r="B4388" s="6" t="s">
        <v>1052</v>
      </c>
      <c r="C4388" s="14">
        <v>44967</v>
      </c>
      <c r="D4388" s="15">
        <v>77.209999999999994</v>
      </c>
      <c r="E4388" s="7">
        <f t="shared" si="68"/>
        <v>1</v>
      </c>
    </row>
    <row r="4389" spans="1:5" x14ac:dyDescent="0.25">
      <c r="A4389" s="7">
        <f>IF(E4389=1,
      SUM($E$2:E4389)-1,
"")</f>
        <v>4383</v>
      </c>
      <c r="B4389" s="6" t="s">
        <v>198</v>
      </c>
      <c r="C4389" s="14">
        <v>45240</v>
      </c>
      <c r="D4389" s="15">
        <v>116.32</v>
      </c>
      <c r="E4389" s="7">
        <f t="shared" si="68"/>
        <v>1</v>
      </c>
    </row>
    <row r="4390" spans="1:5" x14ac:dyDescent="0.25">
      <c r="A4390" s="7">
        <f>IF(E4390=1,
      SUM($E$2:E4390)-1,
"")</f>
        <v>4384</v>
      </c>
      <c r="B4390" s="6" t="s">
        <v>672</v>
      </c>
      <c r="C4390" s="14">
        <v>45227</v>
      </c>
      <c r="D4390" s="15">
        <v>121.14</v>
      </c>
      <c r="E4390" s="7">
        <f t="shared" si="68"/>
        <v>1</v>
      </c>
    </row>
    <row r="4391" spans="1:5" x14ac:dyDescent="0.25">
      <c r="A4391" s="7">
        <f>IF(E4391=1,
      SUM($E$2:E4391)-1,
"")</f>
        <v>4385</v>
      </c>
      <c r="B4391" s="6" t="s">
        <v>639</v>
      </c>
      <c r="C4391" s="14">
        <v>44979</v>
      </c>
      <c r="D4391" s="15">
        <v>87.58</v>
      </c>
      <c r="E4391" s="7">
        <f t="shared" si="68"/>
        <v>1</v>
      </c>
    </row>
    <row r="4392" spans="1:5" x14ac:dyDescent="0.25">
      <c r="A4392" s="7">
        <f>IF(E4392=1,
      SUM($E$2:E4392)-1,
"")</f>
        <v>4386</v>
      </c>
      <c r="B4392" s="6" t="s">
        <v>1004</v>
      </c>
      <c r="C4392" s="14">
        <v>45211</v>
      </c>
      <c r="D4392" s="15">
        <v>54.23</v>
      </c>
      <c r="E4392" s="7">
        <f t="shared" si="68"/>
        <v>1</v>
      </c>
    </row>
    <row r="4393" spans="1:5" x14ac:dyDescent="0.25">
      <c r="A4393" s="7">
        <f>IF(E4393=1,
      SUM($E$2:E4393)-1,
"")</f>
        <v>4387</v>
      </c>
      <c r="B4393" s="6" t="s">
        <v>851</v>
      </c>
      <c r="C4393" s="14">
        <v>45206</v>
      </c>
      <c r="D4393" s="15">
        <v>174.14</v>
      </c>
      <c r="E4393" s="7">
        <f t="shared" si="68"/>
        <v>1</v>
      </c>
    </row>
    <row r="4394" spans="1:5" x14ac:dyDescent="0.25">
      <c r="A4394" s="7">
        <f>IF(E4394=1,
      SUM($E$2:E4394)-1,
"")</f>
        <v>4388</v>
      </c>
      <c r="B4394" s="6" t="s">
        <v>869</v>
      </c>
      <c r="C4394" s="14">
        <v>45291</v>
      </c>
      <c r="D4394" s="15">
        <v>101.1</v>
      </c>
      <c r="E4394" s="7">
        <f t="shared" si="68"/>
        <v>1</v>
      </c>
    </row>
    <row r="4395" spans="1:5" x14ac:dyDescent="0.25">
      <c r="A4395" s="7">
        <f>IF(E4395=1,
      SUM($E$2:E4395)-1,
"")</f>
        <v>4389</v>
      </c>
      <c r="B4395" s="6" t="s">
        <v>946</v>
      </c>
      <c r="C4395" s="14">
        <v>45089</v>
      </c>
      <c r="D4395" s="15">
        <v>109.36</v>
      </c>
      <c r="E4395" s="7">
        <f t="shared" si="68"/>
        <v>1</v>
      </c>
    </row>
    <row r="4396" spans="1:5" x14ac:dyDescent="0.25">
      <c r="A4396" s="7">
        <f>IF(E4396=1,
      SUM($E$2:E4396)-1,
"")</f>
        <v>4390</v>
      </c>
      <c r="B4396" s="6" t="s">
        <v>415</v>
      </c>
      <c r="C4396" s="14">
        <v>45143</v>
      </c>
      <c r="D4396" s="15">
        <v>62.16</v>
      </c>
      <c r="E4396" s="7">
        <f t="shared" si="68"/>
        <v>1</v>
      </c>
    </row>
    <row r="4397" spans="1:5" x14ac:dyDescent="0.25">
      <c r="A4397" s="7">
        <f>IF(E4397=1,
      SUM($E$2:E4397)-1,
"")</f>
        <v>4391</v>
      </c>
      <c r="B4397" s="6" t="s">
        <v>622</v>
      </c>
      <c r="C4397" s="14">
        <v>45000</v>
      </c>
      <c r="D4397" s="15">
        <v>136.46</v>
      </c>
      <c r="E4397" s="7">
        <f t="shared" si="68"/>
        <v>1</v>
      </c>
    </row>
    <row r="4398" spans="1:5" x14ac:dyDescent="0.25">
      <c r="A4398" s="7">
        <f>IF(E4398=1,
      SUM($E$2:E4398)-1,
"")</f>
        <v>4392</v>
      </c>
      <c r="B4398" s="6" t="s">
        <v>627</v>
      </c>
      <c r="C4398" s="14">
        <v>45190</v>
      </c>
      <c r="D4398" s="15">
        <v>141.04</v>
      </c>
      <c r="E4398" s="7">
        <f t="shared" si="68"/>
        <v>1</v>
      </c>
    </row>
    <row r="4399" spans="1:5" x14ac:dyDescent="0.25">
      <c r="A4399" s="7">
        <f>IF(E4399=1,
      SUM($E$2:E4399)-1,
"")</f>
        <v>4393</v>
      </c>
      <c r="B4399" s="6" t="s">
        <v>797</v>
      </c>
      <c r="C4399" s="14">
        <v>45269</v>
      </c>
      <c r="D4399" s="15">
        <v>48.76</v>
      </c>
      <c r="E4399" s="7">
        <f t="shared" si="68"/>
        <v>1</v>
      </c>
    </row>
    <row r="4400" spans="1:5" x14ac:dyDescent="0.25">
      <c r="A4400" s="7">
        <f>IF(E4400=1,
      SUM($E$2:E4400)-1,
"")</f>
        <v>4394</v>
      </c>
      <c r="B4400" s="6" t="s">
        <v>924</v>
      </c>
      <c r="C4400" s="14">
        <v>45081</v>
      </c>
      <c r="D4400" s="15">
        <v>96.93</v>
      </c>
      <c r="E4400" s="7">
        <f t="shared" si="68"/>
        <v>1</v>
      </c>
    </row>
    <row r="4401" spans="1:5" x14ac:dyDescent="0.25">
      <c r="A4401" s="7">
        <f>IF(E4401=1,
      SUM($E$2:E4401)-1,
"")</f>
        <v>4395</v>
      </c>
      <c r="B4401" s="6" t="s">
        <v>592</v>
      </c>
      <c r="C4401" s="14">
        <v>45228</v>
      </c>
      <c r="D4401" s="15">
        <v>94.59</v>
      </c>
      <c r="E4401" s="7">
        <f t="shared" si="68"/>
        <v>1</v>
      </c>
    </row>
    <row r="4402" spans="1:5" x14ac:dyDescent="0.25">
      <c r="A4402" s="7">
        <f>IF(E4402=1,
      SUM($E$2:E4402)-1,
"")</f>
        <v>4396</v>
      </c>
      <c r="B4402" s="6" t="s">
        <v>377</v>
      </c>
      <c r="C4402" s="14">
        <v>45084</v>
      </c>
      <c r="D4402" s="15">
        <v>171.65</v>
      </c>
      <c r="E4402" s="7">
        <f t="shared" si="68"/>
        <v>1</v>
      </c>
    </row>
    <row r="4403" spans="1:5" x14ac:dyDescent="0.25">
      <c r="A4403" s="7">
        <f>IF(E4403=1,
      SUM($E$2:E4403)-1,
"")</f>
        <v>4397</v>
      </c>
      <c r="B4403" s="6" t="s">
        <v>757</v>
      </c>
      <c r="C4403" s="14">
        <v>45042</v>
      </c>
      <c r="D4403" s="15">
        <v>143.31</v>
      </c>
      <c r="E4403" s="7">
        <f t="shared" si="68"/>
        <v>1</v>
      </c>
    </row>
    <row r="4404" spans="1:5" x14ac:dyDescent="0.25">
      <c r="A4404" s="7">
        <f>IF(E4404=1,
      SUM($E$2:E4404)-1,
"")</f>
        <v>4398</v>
      </c>
      <c r="B4404" s="6" t="s">
        <v>352</v>
      </c>
      <c r="C4404" s="14">
        <v>45176</v>
      </c>
      <c r="D4404" s="15">
        <v>56.48</v>
      </c>
      <c r="E4404" s="7">
        <f t="shared" si="68"/>
        <v>1</v>
      </c>
    </row>
    <row r="4405" spans="1:5" x14ac:dyDescent="0.25">
      <c r="A4405" s="7">
        <f>IF(E4405=1,
      SUM($E$2:E4405)-1,
"")</f>
        <v>4399</v>
      </c>
      <c r="B4405" s="6" t="s">
        <v>569</v>
      </c>
      <c r="C4405" s="14">
        <v>45177</v>
      </c>
      <c r="D4405" s="15">
        <v>78.16</v>
      </c>
      <c r="E4405" s="7">
        <f t="shared" si="68"/>
        <v>1</v>
      </c>
    </row>
    <row r="4406" spans="1:5" x14ac:dyDescent="0.25">
      <c r="A4406" s="7">
        <f>IF(E4406=1,
      SUM($E$2:E4406)-1,
"")</f>
        <v>4400</v>
      </c>
      <c r="B4406" s="6" t="s">
        <v>908</v>
      </c>
      <c r="C4406" s="14">
        <v>45056</v>
      </c>
      <c r="D4406" s="15">
        <v>73.209999999999994</v>
      </c>
      <c r="E4406" s="7">
        <f t="shared" si="68"/>
        <v>1</v>
      </c>
    </row>
    <row r="4407" spans="1:5" x14ac:dyDescent="0.25">
      <c r="A4407" s="7">
        <f>IF(E4407=1,
      SUM($E$2:E4407)-1,
"")</f>
        <v>4401</v>
      </c>
      <c r="B4407" s="6" t="s">
        <v>1029</v>
      </c>
      <c r="C4407" s="14">
        <v>45188</v>
      </c>
      <c r="D4407" s="15">
        <v>111.15</v>
      </c>
      <c r="E4407" s="7">
        <f t="shared" si="68"/>
        <v>1</v>
      </c>
    </row>
    <row r="4408" spans="1:5" x14ac:dyDescent="0.25">
      <c r="A4408" s="7">
        <f>IF(E4408=1,
      SUM($E$2:E4408)-1,
"")</f>
        <v>4402</v>
      </c>
      <c r="B4408" s="6" t="s">
        <v>1042</v>
      </c>
      <c r="C4408" s="14">
        <v>45034</v>
      </c>
      <c r="D4408" s="15">
        <v>147.16999999999999</v>
      </c>
      <c r="E4408" s="7">
        <f t="shared" si="68"/>
        <v>1</v>
      </c>
    </row>
    <row r="4409" spans="1:5" x14ac:dyDescent="0.25">
      <c r="A4409" s="7">
        <f>IF(E4409=1,
      SUM($E$2:E4409)-1,
"")</f>
        <v>4403</v>
      </c>
      <c r="B4409" s="6" t="s">
        <v>131</v>
      </c>
      <c r="C4409" s="14">
        <v>45247</v>
      </c>
      <c r="D4409" s="15">
        <v>103.28</v>
      </c>
      <c r="E4409" s="7">
        <f t="shared" si="68"/>
        <v>1</v>
      </c>
    </row>
    <row r="4410" spans="1:5" x14ac:dyDescent="0.25">
      <c r="A4410" s="7">
        <f>IF(E4410=1,
      SUM($E$2:E4410)-1,
"")</f>
        <v>4404</v>
      </c>
      <c r="B4410" s="6" t="s">
        <v>798</v>
      </c>
      <c r="C4410" s="14">
        <v>44982</v>
      </c>
      <c r="D4410" s="15">
        <v>115.03</v>
      </c>
      <c r="E4410" s="7">
        <f t="shared" si="68"/>
        <v>1</v>
      </c>
    </row>
    <row r="4411" spans="1:5" x14ac:dyDescent="0.25">
      <c r="A4411" s="7">
        <f>IF(E4411=1,
      SUM($E$2:E4411)-1,
"")</f>
        <v>4405</v>
      </c>
      <c r="B4411" s="6" t="s">
        <v>1019</v>
      </c>
      <c r="C4411" s="14">
        <v>44962</v>
      </c>
      <c r="D4411" s="15">
        <v>80.069999999999993</v>
      </c>
      <c r="E4411" s="7">
        <f t="shared" si="68"/>
        <v>1</v>
      </c>
    </row>
    <row r="4412" spans="1:5" x14ac:dyDescent="0.25">
      <c r="A4412" s="7">
        <f>IF(E4412=1,
      SUM($E$2:E4412)-1,
"")</f>
        <v>4406</v>
      </c>
      <c r="B4412" s="6" t="s">
        <v>129</v>
      </c>
      <c r="C4412" s="14">
        <v>45077</v>
      </c>
      <c r="D4412" s="15">
        <v>114.87</v>
      </c>
      <c r="E4412" s="7">
        <f t="shared" si="68"/>
        <v>1</v>
      </c>
    </row>
    <row r="4413" spans="1:5" x14ac:dyDescent="0.25">
      <c r="A4413" s="7">
        <f>IF(E4413=1,
      SUM($E$2:E4413)-1,
"")</f>
        <v>4407</v>
      </c>
      <c r="B4413" s="6" t="s">
        <v>824</v>
      </c>
      <c r="C4413" s="14">
        <v>44992</v>
      </c>
      <c r="D4413" s="15">
        <v>85.84</v>
      </c>
      <c r="E4413" s="7">
        <f t="shared" si="68"/>
        <v>1</v>
      </c>
    </row>
    <row r="4414" spans="1:5" x14ac:dyDescent="0.25">
      <c r="A4414" s="7">
        <f>IF(E4414=1,
      SUM($E$2:E4414)-1,
"")</f>
        <v>4408</v>
      </c>
      <c r="B4414" s="6" t="s">
        <v>822</v>
      </c>
      <c r="C4414" s="14">
        <v>44960</v>
      </c>
      <c r="D4414" s="15">
        <v>50.78</v>
      </c>
      <c r="E4414" s="7">
        <f t="shared" si="68"/>
        <v>1</v>
      </c>
    </row>
    <row r="4415" spans="1:5" x14ac:dyDescent="0.25">
      <c r="A4415" s="7">
        <f>IF(E4415=1,
      SUM($E$2:E4415)-1,
"")</f>
        <v>4409</v>
      </c>
      <c r="B4415" s="6" t="s">
        <v>640</v>
      </c>
      <c r="C4415" s="14">
        <v>45269</v>
      </c>
      <c r="D4415" s="15">
        <v>112.93</v>
      </c>
      <c r="E4415" s="7">
        <f t="shared" si="68"/>
        <v>1</v>
      </c>
    </row>
    <row r="4416" spans="1:5" x14ac:dyDescent="0.25">
      <c r="A4416" s="7">
        <f>IF(E4416=1,
      SUM($E$2:E4416)-1,
"")</f>
        <v>4410</v>
      </c>
      <c r="B4416" s="6" t="s">
        <v>497</v>
      </c>
      <c r="C4416" s="14">
        <v>45258</v>
      </c>
      <c r="D4416" s="15">
        <v>99.7</v>
      </c>
      <c r="E4416" s="7">
        <f t="shared" si="68"/>
        <v>1</v>
      </c>
    </row>
    <row r="4417" spans="1:5" x14ac:dyDescent="0.25">
      <c r="A4417" s="7">
        <f>IF(E4417=1,
      SUM($E$2:E4417)-1,
"")</f>
        <v>4411</v>
      </c>
      <c r="B4417" s="6" t="s">
        <v>148</v>
      </c>
      <c r="C4417" s="14">
        <v>45269</v>
      </c>
      <c r="D4417" s="15">
        <v>67.08</v>
      </c>
      <c r="E4417" s="7">
        <f t="shared" si="68"/>
        <v>1</v>
      </c>
    </row>
    <row r="4418" spans="1:5" x14ac:dyDescent="0.25">
      <c r="A4418" s="7">
        <f>IF(E4418=1,
      SUM($E$2:E4418)-1,
"")</f>
        <v>4412</v>
      </c>
      <c r="B4418" s="6" t="s">
        <v>278</v>
      </c>
      <c r="C4418" s="14">
        <v>45265</v>
      </c>
      <c r="D4418" s="15">
        <v>149.36000000000001</v>
      </c>
      <c r="E4418" s="7">
        <f t="shared" ref="E4418:E4481" si="69">IF(D4418&gt;0,1,0)</f>
        <v>1</v>
      </c>
    </row>
    <row r="4419" spans="1:5" x14ac:dyDescent="0.25">
      <c r="A4419" s="7">
        <f>IF(E4419=1,
      SUM($E$2:E4419)-1,
"")</f>
        <v>4413</v>
      </c>
      <c r="B4419" s="6" t="s">
        <v>674</v>
      </c>
      <c r="C4419" s="14">
        <v>45277</v>
      </c>
      <c r="D4419" s="15">
        <v>77.010000000000005</v>
      </c>
      <c r="E4419" s="7">
        <f t="shared" si="69"/>
        <v>1</v>
      </c>
    </row>
    <row r="4420" spans="1:5" x14ac:dyDescent="0.25">
      <c r="A4420" s="7">
        <f>IF(E4420=1,
      SUM($E$2:E4420)-1,
"")</f>
        <v>4414</v>
      </c>
      <c r="B4420" s="6" t="s">
        <v>162</v>
      </c>
      <c r="C4420" s="14">
        <v>45234</v>
      </c>
      <c r="D4420" s="15">
        <v>118.27</v>
      </c>
      <c r="E4420" s="7">
        <f t="shared" si="69"/>
        <v>1</v>
      </c>
    </row>
    <row r="4421" spans="1:5" x14ac:dyDescent="0.25">
      <c r="A4421" s="7">
        <f>IF(E4421=1,
      SUM($E$2:E4421)-1,
"")</f>
        <v>4415</v>
      </c>
      <c r="B4421" s="6" t="s">
        <v>908</v>
      </c>
      <c r="C4421" s="14">
        <v>45050</v>
      </c>
      <c r="D4421" s="15">
        <v>89.12</v>
      </c>
      <c r="E4421" s="7">
        <f t="shared" si="69"/>
        <v>1</v>
      </c>
    </row>
    <row r="4422" spans="1:5" x14ac:dyDescent="0.25">
      <c r="A4422" s="7">
        <f>IF(E4422=1,
      SUM($E$2:E4422)-1,
"")</f>
        <v>4416</v>
      </c>
      <c r="B4422" s="6" t="s">
        <v>530</v>
      </c>
      <c r="C4422" s="14">
        <v>45086</v>
      </c>
      <c r="D4422" s="15">
        <v>146.31</v>
      </c>
      <c r="E4422" s="7">
        <f t="shared" si="69"/>
        <v>1</v>
      </c>
    </row>
    <row r="4423" spans="1:5" x14ac:dyDescent="0.25">
      <c r="A4423" s="7">
        <f>IF(E4423=1,
      SUM($E$2:E4423)-1,
"")</f>
        <v>4417</v>
      </c>
      <c r="B4423" s="6" t="s">
        <v>1039</v>
      </c>
      <c r="C4423" s="14">
        <v>45022</v>
      </c>
      <c r="D4423" s="15">
        <v>92.87</v>
      </c>
      <c r="E4423" s="7">
        <f t="shared" si="69"/>
        <v>1</v>
      </c>
    </row>
    <row r="4424" spans="1:5" x14ac:dyDescent="0.25">
      <c r="A4424" s="7">
        <f>IF(E4424=1,
      SUM($E$2:E4424)-1,
"")</f>
        <v>4418</v>
      </c>
      <c r="B4424" s="6" t="s">
        <v>820</v>
      </c>
      <c r="C4424" s="14">
        <v>45044</v>
      </c>
      <c r="D4424" s="15">
        <v>49.76</v>
      </c>
      <c r="E4424" s="7">
        <f t="shared" si="69"/>
        <v>1</v>
      </c>
    </row>
    <row r="4425" spans="1:5" x14ac:dyDescent="0.25">
      <c r="A4425" s="7">
        <f>IF(E4425=1,
      SUM($E$2:E4425)-1,
"")</f>
        <v>4419</v>
      </c>
      <c r="B4425" s="6" t="s">
        <v>449</v>
      </c>
      <c r="C4425" s="14">
        <v>45026</v>
      </c>
      <c r="D4425" s="15">
        <v>124.3</v>
      </c>
      <c r="E4425" s="7">
        <f t="shared" si="69"/>
        <v>1</v>
      </c>
    </row>
    <row r="4426" spans="1:5" x14ac:dyDescent="0.25">
      <c r="A4426" s="7">
        <f>IF(E4426=1,
      SUM($E$2:E4426)-1,
"")</f>
        <v>4420</v>
      </c>
      <c r="B4426" s="6" t="s">
        <v>98</v>
      </c>
      <c r="C4426" s="14">
        <v>45100</v>
      </c>
      <c r="D4426" s="15">
        <v>146.19</v>
      </c>
      <c r="E4426" s="7">
        <f t="shared" si="69"/>
        <v>1</v>
      </c>
    </row>
    <row r="4427" spans="1:5" x14ac:dyDescent="0.25">
      <c r="A4427" s="7">
        <f>IF(E4427=1,
      SUM($E$2:E4427)-1,
"")</f>
        <v>4421</v>
      </c>
      <c r="B4427" s="6" t="s">
        <v>630</v>
      </c>
      <c r="C4427" s="14">
        <v>44958</v>
      </c>
      <c r="D4427" s="15">
        <v>87.17</v>
      </c>
      <c r="E4427" s="7">
        <f t="shared" si="69"/>
        <v>1</v>
      </c>
    </row>
    <row r="4428" spans="1:5" x14ac:dyDescent="0.25">
      <c r="A4428" s="7">
        <f>IF(E4428=1,
      SUM($E$2:E4428)-1,
"")</f>
        <v>4422</v>
      </c>
      <c r="B4428" s="6" t="s">
        <v>728</v>
      </c>
      <c r="C4428" s="14">
        <v>45075</v>
      </c>
      <c r="D4428" s="15">
        <v>120.37</v>
      </c>
      <c r="E4428" s="7">
        <f t="shared" si="69"/>
        <v>1</v>
      </c>
    </row>
    <row r="4429" spans="1:5" x14ac:dyDescent="0.25">
      <c r="A4429" s="7">
        <f>IF(E4429=1,
      SUM($E$2:E4429)-1,
"")</f>
        <v>4423</v>
      </c>
      <c r="B4429" s="6" t="s">
        <v>169</v>
      </c>
      <c r="C4429" s="14">
        <v>45178</v>
      </c>
      <c r="D4429" s="15">
        <v>103.88</v>
      </c>
      <c r="E4429" s="7">
        <f t="shared" si="69"/>
        <v>1</v>
      </c>
    </row>
    <row r="4430" spans="1:5" x14ac:dyDescent="0.25">
      <c r="A4430" s="7">
        <f>IF(E4430=1,
      SUM($E$2:E4430)-1,
"")</f>
        <v>4424</v>
      </c>
      <c r="B4430" s="6" t="s">
        <v>856</v>
      </c>
      <c r="C4430" s="14">
        <v>45225</v>
      </c>
      <c r="D4430" s="15">
        <v>88.52</v>
      </c>
      <c r="E4430" s="7">
        <f t="shared" si="69"/>
        <v>1</v>
      </c>
    </row>
    <row r="4431" spans="1:5" x14ac:dyDescent="0.25">
      <c r="A4431" s="7">
        <f>IF(E4431=1,
      SUM($E$2:E4431)-1,
"")</f>
        <v>4425</v>
      </c>
      <c r="B4431" s="6" t="s">
        <v>507</v>
      </c>
      <c r="C4431" s="14">
        <v>44994</v>
      </c>
      <c r="D4431" s="15">
        <v>125.22</v>
      </c>
      <c r="E4431" s="7">
        <f t="shared" si="69"/>
        <v>1</v>
      </c>
    </row>
    <row r="4432" spans="1:5" x14ac:dyDescent="0.25">
      <c r="A4432" s="7">
        <f>IF(E4432=1,
      SUM($E$2:E4432)-1,
"")</f>
        <v>4426</v>
      </c>
      <c r="B4432" s="6" t="s">
        <v>651</v>
      </c>
      <c r="C4432" s="14">
        <v>44968</v>
      </c>
      <c r="D4432" s="15">
        <v>76</v>
      </c>
      <c r="E4432" s="7">
        <f t="shared" si="69"/>
        <v>1</v>
      </c>
    </row>
    <row r="4433" spans="1:5" x14ac:dyDescent="0.25">
      <c r="A4433" s="7">
        <f>IF(E4433=1,
      SUM($E$2:E4433)-1,
"")</f>
        <v>4427</v>
      </c>
      <c r="B4433" s="6" t="s">
        <v>238</v>
      </c>
      <c r="C4433" s="14">
        <v>45218</v>
      </c>
      <c r="D4433" s="15">
        <v>100.97</v>
      </c>
      <c r="E4433" s="7">
        <f t="shared" si="69"/>
        <v>1</v>
      </c>
    </row>
    <row r="4434" spans="1:5" x14ac:dyDescent="0.25">
      <c r="A4434" s="7">
        <f>IF(E4434=1,
      SUM($E$2:E4434)-1,
"")</f>
        <v>4428</v>
      </c>
      <c r="B4434" s="6" t="s">
        <v>940</v>
      </c>
      <c r="C4434" s="14">
        <v>45190</v>
      </c>
      <c r="D4434" s="15">
        <v>107.72</v>
      </c>
      <c r="E4434" s="7">
        <f t="shared" si="69"/>
        <v>1</v>
      </c>
    </row>
    <row r="4435" spans="1:5" x14ac:dyDescent="0.25">
      <c r="A4435" s="7">
        <f>IF(E4435=1,
      SUM($E$2:E4435)-1,
"")</f>
        <v>4429</v>
      </c>
      <c r="B4435" s="6" t="s">
        <v>879</v>
      </c>
      <c r="C4435" s="14">
        <v>44996</v>
      </c>
      <c r="D4435" s="15">
        <v>106.63</v>
      </c>
      <c r="E4435" s="7">
        <f t="shared" si="69"/>
        <v>1</v>
      </c>
    </row>
    <row r="4436" spans="1:5" x14ac:dyDescent="0.25">
      <c r="A4436" s="7">
        <f>IF(E4436=1,
      SUM($E$2:E4436)-1,
"")</f>
        <v>4430</v>
      </c>
      <c r="B4436" s="6" t="s">
        <v>656</v>
      </c>
      <c r="C4436" s="14">
        <v>45115</v>
      </c>
      <c r="D4436" s="15">
        <v>76.739999999999995</v>
      </c>
      <c r="E4436" s="7">
        <f t="shared" si="69"/>
        <v>1</v>
      </c>
    </row>
    <row r="4437" spans="1:5" x14ac:dyDescent="0.25">
      <c r="A4437" s="7">
        <f>IF(E4437=1,
      SUM($E$2:E4437)-1,
"")</f>
        <v>4431</v>
      </c>
      <c r="B4437" s="6" t="s">
        <v>953</v>
      </c>
      <c r="C4437" s="14">
        <v>45078</v>
      </c>
      <c r="D4437" s="15">
        <v>161.79</v>
      </c>
      <c r="E4437" s="7">
        <f t="shared" si="69"/>
        <v>1</v>
      </c>
    </row>
    <row r="4438" spans="1:5" x14ac:dyDescent="0.25">
      <c r="A4438" s="7">
        <f>IF(E4438=1,
      SUM($E$2:E4438)-1,
"")</f>
        <v>4432</v>
      </c>
      <c r="B4438" s="6" t="s">
        <v>753</v>
      </c>
      <c r="C4438" s="14">
        <v>44978</v>
      </c>
      <c r="D4438" s="15">
        <v>137.87</v>
      </c>
      <c r="E4438" s="7">
        <f t="shared" si="69"/>
        <v>1</v>
      </c>
    </row>
    <row r="4439" spans="1:5" x14ac:dyDescent="0.25">
      <c r="A4439" s="7">
        <f>IF(E4439=1,
      SUM($E$2:E4439)-1,
"")</f>
        <v>4433</v>
      </c>
      <c r="B4439" s="6" t="s">
        <v>482</v>
      </c>
      <c r="C4439" s="14">
        <v>45254</v>
      </c>
      <c r="D4439" s="15">
        <v>129.71</v>
      </c>
      <c r="E4439" s="7">
        <f t="shared" si="69"/>
        <v>1</v>
      </c>
    </row>
    <row r="4440" spans="1:5" x14ac:dyDescent="0.25">
      <c r="A4440" s="7">
        <f>IF(E4440=1,
      SUM($E$2:E4440)-1,
"")</f>
        <v>4434</v>
      </c>
      <c r="B4440" s="6" t="s">
        <v>925</v>
      </c>
      <c r="C4440" s="14">
        <v>45034</v>
      </c>
      <c r="D4440" s="15">
        <v>143</v>
      </c>
      <c r="E4440" s="7">
        <f t="shared" si="69"/>
        <v>1</v>
      </c>
    </row>
    <row r="4441" spans="1:5" x14ac:dyDescent="0.25">
      <c r="A4441" s="7">
        <f>IF(E4441=1,
      SUM($E$2:E4441)-1,
"")</f>
        <v>4435</v>
      </c>
      <c r="B4441" s="6" t="s">
        <v>625</v>
      </c>
      <c r="C4441" s="14">
        <v>45089</v>
      </c>
      <c r="D4441" s="15">
        <v>102.06</v>
      </c>
      <c r="E4441" s="7">
        <f t="shared" si="69"/>
        <v>1</v>
      </c>
    </row>
    <row r="4442" spans="1:5" x14ac:dyDescent="0.25">
      <c r="A4442" s="7">
        <f>IF(E4442=1,
      SUM($E$2:E4442)-1,
"")</f>
        <v>4436</v>
      </c>
      <c r="B4442" s="6" t="s">
        <v>755</v>
      </c>
      <c r="C4442" s="14">
        <v>45286</v>
      </c>
      <c r="D4442" s="15">
        <v>88.86</v>
      </c>
      <c r="E4442" s="7">
        <f t="shared" si="69"/>
        <v>1</v>
      </c>
    </row>
    <row r="4443" spans="1:5" x14ac:dyDescent="0.25">
      <c r="A4443" s="7">
        <f>IF(E4443=1,
      SUM($E$2:E4443)-1,
"")</f>
        <v>4437</v>
      </c>
      <c r="B4443" s="6" t="s">
        <v>220</v>
      </c>
      <c r="C4443" s="14">
        <v>45244</v>
      </c>
      <c r="D4443" s="15">
        <v>67.33</v>
      </c>
      <c r="E4443" s="7">
        <f t="shared" si="69"/>
        <v>1</v>
      </c>
    </row>
    <row r="4444" spans="1:5" x14ac:dyDescent="0.25">
      <c r="A4444" s="7">
        <f>IF(E4444=1,
      SUM($E$2:E4444)-1,
"")</f>
        <v>4438</v>
      </c>
      <c r="B4444" s="6" t="s">
        <v>953</v>
      </c>
      <c r="C4444" s="14">
        <v>45267</v>
      </c>
      <c r="D4444" s="15">
        <v>78.900000000000006</v>
      </c>
      <c r="E4444" s="7">
        <f t="shared" si="69"/>
        <v>1</v>
      </c>
    </row>
    <row r="4445" spans="1:5" x14ac:dyDescent="0.25">
      <c r="A4445" s="7">
        <f>IF(E4445=1,
      SUM($E$2:E4445)-1,
"")</f>
        <v>4439</v>
      </c>
      <c r="B4445" s="6" t="s">
        <v>167</v>
      </c>
      <c r="C4445" s="14">
        <v>45132</v>
      </c>
      <c r="D4445" s="15">
        <v>69.58</v>
      </c>
      <c r="E4445" s="7">
        <f t="shared" si="69"/>
        <v>1</v>
      </c>
    </row>
    <row r="4446" spans="1:5" x14ac:dyDescent="0.25">
      <c r="A4446" s="7">
        <f>IF(E4446=1,
      SUM($E$2:E4446)-1,
"")</f>
        <v>4440</v>
      </c>
      <c r="B4446" s="6" t="s">
        <v>283</v>
      </c>
      <c r="C4446" s="14">
        <v>44936</v>
      </c>
      <c r="D4446" s="15">
        <v>84.16</v>
      </c>
      <c r="E4446" s="7">
        <f t="shared" si="69"/>
        <v>1</v>
      </c>
    </row>
    <row r="4447" spans="1:5" x14ac:dyDescent="0.25">
      <c r="A4447" s="7">
        <f>IF(E4447=1,
      SUM($E$2:E4447)-1,
"")</f>
        <v>4441</v>
      </c>
      <c r="B4447" s="6" t="s">
        <v>202</v>
      </c>
      <c r="C4447" s="14">
        <v>45117</v>
      </c>
      <c r="D4447" s="15">
        <v>108.29</v>
      </c>
      <c r="E4447" s="7">
        <f t="shared" si="69"/>
        <v>1</v>
      </c>
    </row>
    <row r="4448" spans="1:5" x14ac:dyDescent="0.25">
      <c r="A4448" s="7">
        <f>IF(E4448=1,
      SUM($E$2:E4448)-1,
"")</f>
        <v>4442</v>
      </c>
      <c r="B4448" s="6" t="s">
        <v>84</v>
      </c>
      <c r="C4448" s="14">
        <v>45214</v>
      </c>
      <c r="D4448" s="15">
        <v>127.42</v>
      </c>
      <c r="E4448" s="7">
        <f t="shared" si="69"/>
        <v>1</v>
      </c>
    </row>
    <row r="4449" spans="1:5" x14ac:dyDescent="0.25">
      <c r="A4449" s="7">
        <f>IF(E4449=1,
      SUM($E$2:E4449)-1,
"")</f>
        <v>4443</v>
      </c>
      <c r="B4449" s="6" t="s">
        <v>192</v>
      </c>
      <c r="C4449" s="14">
        <v>45291</v>
      </c>
      <c r="D4449" s="15">
        <v>126.59</v>
      </c>
      <c r="E4449" s="7">
        <f t="shared" si="69"/>
        <v>1</v>
      </c>
    </row>
    <row r="4450" spans="1:5" x14ac:dyDescent="0.25">
      <c r="A4450" s="7">
        <f>IF(E4450=1,
      SUM($E$2:E4450)-1,
"")</f>
        <v>4444</v>
      </c>
      <c r="B4450" s="6" t="s">
        <v>1008</v>
      </c>
      <c r="C4450" s="14">
        <v>45161</v>
      </c>
      <c r="D4450" s="15">
        <v>64.849999999999994</v>
      </c>
      <c r="E4450" s="7">
        <f t="shared" si="69"/>
        <v>1</v>
      </c>
    </row>
    <row r="4451" spans="1:5" x14ac:dyDescent="0.25">
      <c r="A4451" s="7">
        <f>IF(E4451=1,
      SUM($E$2:E4451)-1,
"")</f>
        <v>4445</v>
      </c>
      <c r="B4451" s="6" t="s">
        <v>707</v>
      </c>
      <c r="C4451" s="14">
        <v>45017</v>
      </c>
      <c r="D4451" s="15">
        <v>120.67</v>
      </c>
      <c r="E4451" s="7">
        <f t="shared" si="69"/>
        <v>1</v>
      </c>
    </row>
    <row r="4452" spans="1:5" x14ac:dyDescent="0.25">
      <c r="A4452" s="7">
        <f>IF(E4452=1,
      SUM($E$2:E4452)-1,
"")</f>
        <v>4446</v>
      </c>
      <c r="B4452" s="6" t="s">
        <v>665</v>
      </c>
      <c r="C4452" s="14">
        <v>45176</v>
      </c>
      <c r="D4452" s="15">
        <v>134.32</v>
      </c>
      <c r="E4452" s="7">
        <f t="shared" si="69"/>
        <v>1</v>
      </c>
    </row>
    <row r="4453" spans="1:5" x14ac:dyDescent="0.25">
      <c r="A4453" s="7">
        <f>IF(E4453=1,
      SUM($E$2:E4453)-1,
"")</f>
        <v>4447</v>
      </c>
      <c r="B4453" s="6" t="s">
        <v>743</v>
      </c>
      <c r="C4453" s="14">
        <v>45129</v>
      </c>
      <c r="D4453" s="15">
        <v>92.37</v>
      </c>
      <c r="E4453" s="7">
        <f t="shared" si="69"/>
        <v>1</v>
      </c>
    </row>
    <row r="4454" spans="1:5" x14ac:dyDescent="0.25">
      <c r="A4454" s="7">
        <f>IF(E4454=1,
      SUM($E$2:E4454)-1,
"")</f>
        <v>4448</v>
      </c>
      <c r="B4454" s="6" t="s">
        <v>1013</v>
      </c>
      <c r="C4454" s="14">
        <v>45005</v>
      </c>
      <c r="D4454" s="15">
        <v>135.93</v>
      </c>
      <c r="E4454" s="7">
        <f t="shared" si="69"/>
        <v>1</v>
      </c>
    </row>
    <row r="4455" spans="1:5" x14ac:dyDescent="0.25">
      <c r="A4455" s="7">
        <f>IF(E4455=1,
      SUM($E$2:E4455)-1,
"")</f>
        <v>4449</v>
      </c>
      <c r="B4455" s="6" t="s">
        <v>942</v>
      </c>
      <c r="C4455" s="14">
        <v>45265</v>
      </c>
      <c r="D4455" s="15">
        <v>126.27</v>
      </c>
      <c r="E4455" s="7">
        <f t="shared" si="69"/>
        <v>1</v>
      </c>
    </row>
    <row r="4456" spans="1:5" x14ac:dyDescent="0.25">
      <c r="A4456" s="7">
        <f>IF(E4456=1,
      SUM($E$2:E4456)-1,
"")</f>
        <v>4450</v>
      </c>
      <c r="B4456" s="6" t="s">
        <v>462</v>
      </c>
      <c r="C4456" s="14">
        <v>44960</v>
      </c>
      <c r="D4456" s="15">
        <v>62.06</v>
      </c>
      <c r="E4456" s="7">
        <f t="shared" si="69"/>
        <v>1</v>
      </c>
    </row>
    <row r="4457" spans="1:5" x14ac:dyDescent="0.25">
      <c r="A4457" s="7">
        <f>IF(E4457=1,
      SUM($E$2:E4457)-1,
"")</f>
        <v>4451</v>
      </c>
      <c r="B4457" s="6" t="s">
        <v>869</v>
      </c>
      <c r="C4457" s="14">
        <v>45292</v>
      </c>
      <c r="D4457" s="15">
        <v>165.75</v>
      </c>
      <c r="E4457" s="7">
        <f t="shared" si="69"/>
        <v>1</v>
      </c>
    </row>
    <row r="4458" spans="1:5" x14ac:dyDescent="0.25">
      <c r="A4458" s="7">
        <f>IF(E4458=1,
      SUM($E$2:E4458)-1,
"")</f>
        <v>4452</v>
      </c>
      <c r="B4458" s="6" t="s">
        <v>933</v>
      </c>
      <c r="C4458" s="14">
        <v>45105</v>
      </c>
      <c r="D4458" s="15">
        <v>78.53</v>
      </c>
      <c r="E4458" s="7">
        <f t="shared" si="69"/>
        <v>1</v>
      </c>
    </row>
    <row r="4459" spans="1:5" x14ac:dyDescent="0.25">
      <c r="A4459" s="7">
        <f>IF(E4459=1,
      SUM($E$2:E4459)-1,
"")</f>
        <v>4453</v>
      </c>
      <c r="B4459" s="6" t="s">
        <v>813</v>
      </c>
      <c r="C4459" s="14">
        <v>45237</v>
      </c>
      <c r="D4459" s="15">
        <v>128.72</v>
      </c>
      <c r="E4459" s="7">
        <f t="shared" si="69"/>
        <v>1</v>
      </c>
    </row>
    <row r="4460" spans="1:5" x14ac:dyDescent="0.25">
      <c r="A4460" s="7">
        <f>IF(E4460=1,
      SUM($E$2:E4460)-1,
"")</f>
        <v>4454</v>
      </c>
      <c r="B4460" s="6" t="s">
        <v>540</v>
      </c>
      <c r="C4460" s="14">
        <v>45258</v>
      </c>
      <c r="D4460" s="15">
        <v>127.64</v>
      </c>
      <c r="E4460" s="7">
        <f t="shared" si="69"/>
        <v>1</v>
      </c>
    </row>
    <row r="4461" spans="1:5" x14ac:dyDescent="0.25">
      <c r="A4461" s="7">
        <f>IF(E4461=1,
      SUM($E$2:E4461)-1,
"")</f>
        <v>4455</v>
      </c>
      <c r="B4461" s="6" t="s">
        <v>183</v>
      </c>
      <c r="C4461" s="14">
        <v>45181</v>
      </c>
      <c r="D4461" s="15">
        <v>63.28</v>
      </c>
      <c r="E4461" s="7">
        <f t="shared" si="69"/>
        <v>1</v>
      </c>
    </row>
    <row r="4462" spans="1:5" x14ac:dyDescent="0.25">
      <c r="A4462" s="7">
        <f>IF(E4462=1,
      SUM($E$2:E4462)-1,
"")</f>
        <v>4456</v>
      </c>
      <c r="B4462" s="6" t="s">
        <v>390</v>
      </c>
      <c r="C4462" s="14">
        <v>45007</v>
      </c>
      <c r="D4462" s="15">
        <v>105.37</v>
      </c>
      <c r="E4462" s="7">
        <f t="shared" si="69"/>
        <v>1</v>
      </c>
    </row>
    <row r="4463" spans="1:5" x14ac:dyDescent="0.25">
      <c r="A4463" s="7">
        <f>IF(E4463=1,
      SUM($E$2:E4463)-1,
"")</f>
        <v>4457</v>
      </c>
      <c r="B4463" s="6" t="s">
        <v>655</v>
      </c>
      <c r="C4463" s="14">
        <v>44983</v>
      </c>
      <c r="D4463" s="15">
        <v>127.27</v>
      </c>
      <c r="E4463" s="7">
        <f t="shared" si="69"/>
        <v>1</v>
      </c>
    </row>
    <row r="4464" spans="1:5" x14ac:dyDescent="0.25">
      <c r="A4464" s="7">
        <f>IF(E4464=1,
      SUM($E$2:E4464)-1,
"")</f>
        <v>4458</v>
      </c>
      <c r="B4464" s="6" t="s">
        <v>586</v>
      </c>
      <c r="C4464" s="14">
        <v>45257</v>
      </c>
      <c r="D4464" s="15">
        <v>62.96</v>
      </c>
      <c r="E4464" s="7">
        <f t="shared" si="69"/>
        <v>1</v>
      </c>
    </row>
    <row r="4465" spans="1:5" x14ac:dyDescent="0.25">
      <c r="A4465" s="7">
        <f>IF(E4465=1,
      SUM($E$2:E4465)-1,
"")</f>
        <v>4459</v>
      </c>
      <c r="B4465" s="6" t="s">
        <v>628</v>
      </c>
      <c r="C4465" s="14">
        <v>45076</v>
      </c>
      <c r="D4465" s="15">
        <v>102.99</v>
      </c>
      <c r="E4465" s="7">
        <f t="shared" si="69"/>
        <v>1</v>
      </c>
    </row>
    <row r="4466" spans="1:5" x14ac:dyDescent="0.25">
      <c r="A4466" s="7">
        <f>IF(E4466=1,
      SUM($E$2:E4466)-1,
"")</f>
        <v>4460</v>
      </c>
      <c r="B4466" s="6" t="s">
        <v>80</v>
      </c>
      <c r="C4466" s="14">
        <v>45213</v>
      </c>
      <c r="D4466" s="15">
        <v>129.78</v>
      </c>
      <c r="E4466" s="7">
        <f t="shared" si="69"/>
        <v>1</v>
      </c>
    </row>
    <row r="4467" spans="1:5" x14ac:dyDescent="0.25">
      <c r="A4467" s="7">
        <f>IF(E4467=1,
      SUM($E$2:E4467)-1,
"")</f>
        <v>4461</v>
      </c>
      <c r="B4467" s="6" t="s">
        <v>791</v>
      </c>
      <c r="C4467" s="14">
        <v>44979</v>
      </c>
      <c r="D4467" s="15">
        <v>131.72</v>
      </c>
      <c r="E4467" s="7">
        <f t="shared" si="69"/>
        <v>1</v>
      </c>
    </row>
    <row r="4468" spans="1:5" x14ac:dyDescent="0.25">
      <c r="A4468" s="7">
        <f>IF(E4468=1,
      SUM($E$2:E4468)-1,
"")</f>
        <v>4462</v>
      </c>
      <c r="B4468" s="6" t="s">
        <v>423</v>
      </c>
      <c r="C4468" s="14">
        <v>45210</v>
      </c>
      <c r="D4468" s="15">
        <v>88.09</v>
      </c>
      <c r="E4468" s="7">
        <f t="shared" si="69"/>
        <v>1</v>
      </c>
    </row>
    <row r="4469" spans="1:5" x14ac:dyDescent="0.25">
      <c r="A4469" s="7">
        <f>IF(E4469=1,
      SUM($E$2:E4469)-1,
"")</f>
        <v>4463</v>
      </c>
      <c r="B4469" s="6" t="s">
        <v>430</v>
      </c>
      <c r="C4469" s="14">
        <v>45228</v>
      </c>
      <c r="D4469" s="15">
        <v>146.33000000000001</v>
      </c>
      <c r="E4469" s="7">
        <f t="shared" si="69"/>
        <v>1</v>
      </c>
    </row>
    <row r="4470" spans="1:5" x14ac:dyDescent="0.25">
      <c r="A4470" s="7">
        <f>IF(E4470=1,
      SUM($E$2:E4470)-1,
"")</f>
        <v>4464</v>
      </c>
      <c r="B4470" s="6" t="s">
        <v>369</v>
      </c>
      <c r="C4470" s="14">
        <v>44968</v>
      </c>
      <c r="D4470" s="15">
        <v>139.16999999999999</v>
      </c>
      <c r="E4470" s="7">
        <f t="shared" si="69"/>
        <v>1</v>
      </c>
    </row>
    <row r="4471" spans="1:5" x14ac:dyDescent="0.25">
      <c r="A4471" s="7">
        <f>IF(E4471=1,
      SUM($E$2:E4471)-1,
"")</f>
        <v>4465</v>
      </c>
      <c r="B4471" s="6" t="s">
        <v>121</v>
      </c>
      <c r="C4471" s="14">
        <v>45165</v>
      </c>
      <c r="D4471" s="15">
        <v>107.24</v>
      </c>
      <c r="E4471" s="7">
        <f t="shared" si="69"/>
        <v>1</v>
      </c>
    </row>
    <row r="4472" spans="1:5" x14ac:dyDescent="0.25">
      <c r="A4472" s="7">
        <f>IF(E4472=1,
      SUM($E$2:E4472)-1,
"")</f>
        <v>4466</v>
      </c>
      <c r="B4472" s="6" t="s">
        <v>1036</v>
      </c>
      <c r="C4472" s="14">
        <v>44986</v>
      </c>
      <c r="D4472" s="15">
        <v>80.23</v>
      </c>
      <c r="E4472" s="7">
        <f t="shared" si="69"/>
        <v>1</v>
      </c>
    </row>
    <row r="4473" spans="1:5" x14ac:dyDescent="0.25">
      <c r="A4473" s="7">
        <f>IF(E4473=1,
      SUM($E$2:E4473)-1,
"")</f>
        <v>4467</v>
      </c>
      <c r="B4473" s="6" t="s">
        <v>1053</v>
      </c>
      <c r="C4473" s="14">
        <v>45271</v>
      </c>
      <c r="D4473" s="15">
        <v>65.02</v>
      </c>
      <c r="E4473" s="7">
        <f t="shared" si="69"/>
        <v>1</v>
      </c>
    </row>
    <row r="4474" spans="1:5" x14ac:dyDescent="0.25">
      <c r="A4474" s="7">
        <f>IF(E4474=1,
      SUM($E$2:E4474)-1,
"")</f>
        <v>4468</v>
      </c>
      <c r="B4474" s="6" t="s">
        <v>379</v>
      </c>
      <c r="C4474" s="14">
        <v>45077</v>
      </c>
      <c r="D4474" s="15">
        <v>111.33</v>
      </c>
      <c r="E4474" s="7">
        <f t="shared" si="69"/>
        <v>1</v>
      </c>
    </row>
    <row r="4475" spans="1:5" x14ac:dyDescent="0.25">
      <c r="A4475" s="7">
        <f>IF(E4475=1,
      SUM($E$2:E4475)-1,
"")</f>
        <v>4469</v>
      </c>
      <c r="B4475" s="6" t="s">
        <v>249</v>
      </c>
      <c r="C4475" s="14">
        <v>45186</v>
      </c>
      <c r="D4475" s="15">
        <v>143.94</v>
      </c>
      <c r="E4475" s="7">
        <f t="shared" si="69"/>
        <v>1</v>
      </c>
    </row>
    <row r="4476" spans="1:5" x14ac:dyDescent="0.25">
      <c r="A4476" s="7">
        <f>IF(E4476=1,
      SUM($E$2:E4476)-1,
"")</f>
        <v>4470</v>
      </c>
      <c r="B4476" s="6" t="s">
        <v>818</v>
      </c>
      <c r="C4476" s="14">
        <v>45184</v>
      </c>
      <c r="D4476" s="15">
        <v>95.59</v>
      </c>
      <c r="E4476" s="7">
        <f t="shared" si="69"/>
        <v>1</v>
      </c>
    </row>
    <row r="4477" spans="1:5" x14ac:dyDescent="0.25">
      <c r="A4477" s="7">
        <f>IF(E4477=1,
      SUM($E$2:E4477)-1,
"")</f>
        <v>4471</v>
      </c>
      <c r="B4477" s="6" t="s">
        <v>571</v>
      </c>
      <c r="C4477" s="14">
        <v>44936</v>
      </c>
      <c r="D4477" s="15">
        <v>74.23</v>
      </c>
      <c r="E4477" s="7">
        <f t="shared" si="69"/>
        <v>1</v>
      </c>
    </row>
    <row r="4478" spans="1:5" x14ac:dyDescent="0.25">
      <c r="A4478" s="7">
        <f>IF(E4478=1,
      SUM($E$2:E4478)-1,
"")</f>
        <v>4472</v>
      </c>
      <c r="B4478" s="6" t="s">
        <v>309</v>
      </c>
      <c r="C4478" s="14">
        <v>45112</v>
      </c>
      <c r="D4478" s="15">
        <v>124.75</v>
      </c>
      <c r="E4478" s="7">
        <f t="shared" si="69"/>
        <v>1</v>
      </c>
    </row>
    <row r="4479" spans="1:5" x14ac:dyDescent="0.25">
      <c r="A4479" s="7">
        <f>IF(E4479=1,
      SUM($E$2:E4479)-1,
"")</f>
        <v>4473</v>
      </c>
      <c r="B4479" s="6" t="s">
        <v>541</v>
      </c>
      <c r="C4479" s="14">
        <v>44937</v>
      </c>
      <c r="D4479" s="15">
        <v>105.24</v>
      </c>
      <c r="E4479" s="7">
        <f t="shared" si="69"/>
        <v>1</v>
      </c>
    </row>
    <row r="4480" spans="1:5" x14ac:dyDescent="0.25">
      <c r="A4480" s="7">
        <f>IF(E4480=1,
      SUM($E$2:E4480)-1,
"")</f>
        <v>4474</v>
      </c>
      <c r="B4480" s="6" t="s">
        <v>997</v>
      </c>
      <c r="C4480" s="14">
        <v>45129</v>
      </c>
      <c r="D4480" s="15">
        <v>115.48</v>
      </c>
      <c r="E4480" s="7">
        <f t="shared" si="69"/>
        <v>1</v>
      </c>
    </row>
    <row r="4481" spans="1:5" x14ac:dyDescent="0.25">
      <c r="A4481" s="7">
        <f>IF(E4481=1,
      SUM($E$2:E4481)-1,
"")</f>
        <v>4475</v>
      </c>
      <c r="B4481" s="6" t="s">
        <v>749</v>
      </c>
      <c r="C4481" s="14">
        <v>45225</v>
      </c>
      <c r="D4481" s="15">
        <v>84.24</v>
      </c>
      <c r="E4481" s="7">
        <f t="shared" si="69"/>
        <v>1</v>
      </c>
    </row>
    <row r="4482" spans="1:5" x14ac:dyDescent="0.25">
      <c r="A4482" s="7">
        <f>IF(E4482=1,
      SUM($E$2:E4482)-1,
"")</f>
        <v>4476</v>
      </c>
      <c r="B4482" s="6" t="s">
        <v>526</v>
      </c>
      <c r="C4482" s="14">
        <v>45001</v>
      </c>
      <c r="D4482" s="15">
        <v>88.9</v>
      </c>
      <c r="E4482" s="7">
        <f t="shared" ref="E4482:E4545" si="70">IF(D4482&gt;0,1,0)</f>
        <v>1</v>
      </c>
    </row>
    <row r="4483" spans="1:5" x14ac:dyDescent="0.25">
      <c r="A4483" s="7">
        <f>IF(E4483=1,
      SUM($E$2:E4483)-1,
"")</f>
        <v>4477</v>
      </c>
      <c r="B4483" s="6" t="s">
        <v>293</v>
      </c>
      <c r="C4483" s="14">
        <v>45113</v>
      </c>
      <c r="D4483" s="15">
        <v>84.1</v>
      </c>
      <c r="E4483" s="7">
        <f t="shared" si="70"/>
        <v>1</v>
      </c>
    </row>
    <row r="4484" spans="1:5" x14ac:dyDescent="0.25">
      <c r="A4484" s="7">
        <f>IF(E4484=1,
      SUM($E$2:E4484)-1,
"")</f>
        <v>4478</v>
      </c>
      <c r="B4484" s="6" t="s">
        <v>1015</v>
      </c>
      <c r="C4484" s="14">
        <v>45112</v>
      </c>
      <c r="D4484" s="15">
        <v>114.98</v>
      </c>
      <c r="E4484" s="7">
        <f t="shared" si="70"/>
        <v>1</v>
      </c>
    </row>
    <row r="4485" spans="1:5" x14ac:dyDescent="0.25">
      <c r="A4485" s="7">
        <f>IF(E4485=1,
      SUM($E$2:E4485)-1,
"")</f>
        <v>4479</v>
      </c>
      <c r="B4485" s="6" t="s">
        <v>766</v>
      </c>
      <c r="C4485" s="14">
        <v>45124</v>
      </c>
      <c r="D4485" s="15">
        <v>89.82</v>
      </c>
      <c r="E4485" s="7">
        <f t="shared" si="70"/>
        <v>1</v>
      </c>
    </row>
    <row r="4486" spans="1:5" x14ac:dyDescent="0.25">
      <c r="A4486" s="7">
        <f>IF(E4486=1,
      SUM($E$2:E4486)-1,
"")</f>
        <v>4480</v>
      </c>
      <c r="B4486" s="6" t="s">
        <v>163</v>
      </c>
      <c r="C4486" s="14">
        <v>45271</v>
      </c>
      <c r="D4486" s="15">
        <v>117.77</v>
      </c>
      <c r="E4486" s="7">
        <f t="shared" si="70"/>
        <v>1</v>
      </c>
    </row>
    <row r="4487" spans="1:5" x14ac:dyDescent="0.25">
      <c r="A4487" s="7">
        <f>IF(E4487=1,
      SUM($E$2:E4487)-1,
"")</f>
        <v>4481</v>
      </c>
      <c r="B4487" s="6" t="s">
        <v>968</v>
      </c>
      <c r="C4487" s="14">
        <v>45227</v>
      </c>
      <c r="D4487" s="15">
        <v>81.36</v>
      </c>
      <c r="E4487" s="7">
        <f t="shared" si="70"/>
        <v>1</v>
      </c>
    </row>
    <row r="4488" spans="1:5" x14ac:dyDescent="0.25">
      <c r="A4488" s="7">
        <f>IF(E4488=1,
      SUM($E$2:E4488)-1,
"")</f>
        <v>4482</v>
      </c>
      <c r="B4488" s="6" t="s">
        <v>301</v>
      </c>
      <c r="C4488" s="14">
        <v>45272</v>
      </c>
      <c r="D4488" s="15">
        <v>114.93</v>
      </c>
      <c r="E4488" s="7">
        <f t="shared" si="70"/>
        <v>1</v>
      </c>
    </row>
    <row r="4489" spans="1:5" x14ac:dyDescent="0.25">
      <c r="A4489" s="7">
        <f>IF(E4489=1,
      SUM($E$2:E4489)-1,
"")</f>
        <v>4483</v>
      </c>
      <c r="B4489" s="6" t="s">
        <v>141</v>
      </c>
      <c r="C4489" s="14">
        <v>45193</v>
      </c>
      <c r="D4489" s="15">
        <v>121.11</v>
      </c>
      <c r="E4489" s="7">
        <f t="shared" si="70"/>
        <v>1</v>
      </c>
    </row>
    <row r="4490" spans="1:5" x14ac:dyDescent="0.25">
      <c r="A4490" s="7">
        <f>IF(E4490=1,
      SUM($E$2:E4490)-1,
"")</f>
        <v>4484</v>
      </c>
      <c r="B4490" s="6" t="s">
        <v>97</v>
      </c>
      <c r="C4490" s="14">
        <v>44993</v>
      </c>
      <c r="D4490" s="15">
        <v>109.95</v>
      </c>
      <c r="E4490" s="7">
        <f t="shared" si="70"/>
        <v>1</v>
      </c>
    </row>
    <row r="4491" spans="1:5" x14ac:dyDescent="0.25">
      <c r="A4491" s="7">
        <f>IF(E4491=1,
      SUM($E$2:E4491)-1,
"")</f>
        <v>4485</v>
      </c>
      <c r="B4491" s="6" t="s">
        <v>985</v>
      </c>
      <c r="C4491" s="14">
        <v>45190</v>
      </c>
      <c r="D4491" s="15">
        <v>127.51</v>
      </c>
      <c r="E4491" s="7">
        <f t="shared" si="70"/>
        <v>1</v>
      </c>
    </row>
    <row r="4492" spans="1:5" x14ac:dyDescent="0.25">
      <c r="A4492" s="7">
        <f>IF(E4492=1,
      SUM($E$2:E4492)-1,
"")</f>
        <v>4486</v>
      </c>
      <c r="B4492" s="6" t="s">
        <v>809</v>
      </c>
      <c r="C4492" s="14">
        <v>45246</v>
      </c>
      <c r="D4492" s="15">
        <v>85.56</v>
      </c>
      <c r="E4492" s="7">
        <f t="shared" si="70"/>
        <v>1</v>
      </c>
    </row>
    <row r="4493" spans="1:5" x14ac:dyDescent="0.25">
      <c r="A4493" s="7">
        <f>IF(E4493=1,
      SUM($E$2:E4493)-1,
"")</f>
        <v>4487</v>
      </c>
      <c r="B4493" s="6" t="s">
        <v>977</v>
      </c>
      <c r="C4493" s="14">
        <v>45254</v>
      </c>
      <c r="D4493" s="15">
        <v>120.78</v>
      </c>
      <c r="E4493" s="7">
        <f t="shared" si="70"/>
        <v>1</v>
      </c>
    </row>
    <row r="4494" spans="1:5" x14ac:dyDescent="0.25">
      <c r="A4494" s="7">
        <f>IF(E4494=1,
      SUM($E$2:E4494)-1,
"")</f>
        <v>4488</v>
      </c>
      <c r="B4494" s="6" t="s">
        <v>857</v>
      </c>
      <c r="C4494" s="14">
        <v>45008</v>
      </c>
      <c r="D4494" s="15">
        <v>107</v>
      </c>
      <c r="E4494" s="7">
        <f t="shared" si="70"/>
        <v>1</v>
      </c>
    </row>
    <row r="4495" spans="1:5" x14ac:dyDescent="0.25">
      <c r="A4495" s="7">
        <f>IF(E4495=1,
      SUM($E$2:E4495)-1,
"")</f>
        <v>4489</v>
      </c>
      <c r="B4495" s="6" t="s">
        <v>860</v>
      </c>
      <c r="C4495" s="14">
        <v>44983</v>
      </c>
      <c r="D4495" s="15">
        <v>75.709999999999994</v>
      </c>
      <c r="E4495" s="7">
        <f t="shared" si="70"/>
        <v>1</v>
      </c>
    </row>
    <row r="4496" spans="1:5" x14ac:dyDescent="0.25">
      <c r="A4496" s="7">
        <f>IF(E4496=1,
      SUM($E$2:E4496)-1,
"")</f>
        <v>4490</v>
      </c>
      <c r="B4496" s="6" t="s">
        <v>745</v>
      </c>
      <c r="C4496" s="14">
        <v>45203</v>
      </c>
      <c r="D4496" s="15">
        <v>42.79</v>
      </c>
      <c r="E4496" s="7">
        <f t="shared" si="70"/>
        <v>1</v>
      </c>
    </row>
    <row r="4497" spans="1:5" x14ac:dyDescent="0.25">
      <c r="A4497" s="7">
        <f>IF(E4497=1,
      SUM($E$2:E4497)-1,
"")</f>
        <v>4491</v>
      </c>
      <c r="B4497" s="6" t="s">
        <v>131</v>
      </c>
      <c r="C4497" s="14">
        <v>45208</v>
      </c>
      <c r="D4497" s="15">
        <v>49.21</v>
      </c>
      <c r="E4497" s="7">
        <f t="shared" si="70"/>
        <v>1</v>
      </c>
    </row>
    <row r="4498" spans="1:5" x14ac:dyDescent="0.25">
      <c r="A4498" s="7">
        <f>IF(E4498=1,
      SUM($E$2:E4498)-1,
"")</f>
        <v>4492</v>
      </c>
      <c r="B4498" s="6" t="s">
        <v>921</v>
      </c>
      <c r="C4498" s="14">
        <v>45020</v>
      </c>
      <c r="D4498" s="15">
        <v>33.75</v>
      </c>
      <c r="E4498" s="7">
        <f t="shared" si="70"/>
        <v>1</v>
      </c>
    </row>
    <row r="4499" spans="1:5" x14ac:dyDescent="0.25">
      <c r="A4499" s="7">
        <f>IF(E4499=1,
      SUM($E$2:E4499)-1,
"")</f>
        <v>4493</v>
      </c>
      <c r="B4499" s="6" t="s">
        <v>616</v>
      </c>
      <c r="C4499" s="14">
        <v>44957</v>
      </c>
      <c r="D4499" s="15">
        <v>112.78</v>
      </c>
      <c r="E4499" s="7">
        <f t="shared" si="70"/>
        <v>1</v>
      </c>
    </row>
    <row r="4500" spans="1:5" x14ac:dyDescent="0.25">
      <c r="A4500" s="7">
        <f>IF(E4500=1,
      SUM($E$2:E4500)-1,
"")</f>
        <v>4494</v>
      </c>
      <c r="B4500" s="6" t="s">
        <v>736</v>
      </c>
      <c r="C4500" s="14">
        <v>45105</v>
      </c>
      <c r="D4500" s="15">
        <v>90.26</v>
      </c>
      <c r="E4500" s="7">
        <f t="shared" si="70"/>
        <v>1</v>
      </c>
    </row>
    <row r="4501" spans="1:5" x14ac:dyDescent="0.25">
      <c r="A4501" s="7">
        <f>IF(E4501=1,
      SUM($E$2:E4501)-1,
"")</f>
        <v>4495</v>
      </c>
      <c r="B4501" s="6" t="s">
        <v>194</v>
      </c>
      <c r="C4501" s="14">
        <v>45134</v>
      </c>
      <c r="D4501" s="15">
        <v>102.62</v>
      </c>
      <c r="E4501" s="7">
        <f t="shared" si="70"/>
        <v>1</v>
      </c>
    </row>
    <row r="4502" spans="1:5" x14ac:dyDescent="0.25">
      <c r="A4502" s="7">
        <f>IF(E4502=1,
      SUM($E$2:E4502)-1,
"")</f>
        <v>4496</v>
      </c>
      <c r="B4502" s="6" t="s">
        <v>356</v>
      </c>
      <c r="C4502" s="14">
        <v>45050</v>
      </c>
      <c r="D4502" s="15">
        <v>94.59</v>
      </c>
      <c r="E4502" s="7">
        <f t="shared" si="70"/>
        <v>1</v>
      </c>
    </row>
    <row r="4503" spans="1:5" x14ac:dyDescent="0.25">
      <c r="A4503" s="7">
        <f>IF(E4503=1,
      SUM($E$2:E4503)-1,
"")</f>
        <v>4497</v>
      </c>
      <c r="B4503" s="6" t="s">
        <v>564</v>
      </c>
      <c r="C4503" s="14">
        <v>45220</v>
      </c>
      <c r="D4503" s="15">
        <v>117.45</v>
      </c>
      <c r="E4503" s="7">
        <f t="shared" si="70"/>
        <v>1</v>
      </c>
    </row>
    <row r="4504" spans="1:5" x14ac:dyDescent="0.25">
      <c r="A4504" s="7">
        <f>IF(E4504=1,
      SUM($E$2:E4504)-1,
"")</f>
        <v>4498</v>
      </c>
      <c r="B4504" s="6" t="s">
        <v>526</v>
      </c>
      <c r="C4504" s="14">
        <v>45244</v>
      </c>
      <c r="D4504" s="15">
        <v>118.33</v>
      </c>
      <c r="E4504" s="7">
        <f t="shared" si="70"/>
        <v>1</v>
      </c>
    </row>
    <row r="4505" spans="1:5" x14ac:dyDescent="0.25">
      <c r="A4505" s="7">
        <f>IF(E4505=1,
      SUM($E$2:E4505)-1,
"")</f>
        <v>4499</v>
      </c>
      <c r="B4505" s="6" t="s">
        <v>358</v>
      </c>
      <c r="C4505" s="14">
        <v>45192</v>
      </c>
      <c r="D4505" s="15">
        <v>101.29</v>
      </c>
      <c r="E4505" s="7">
        <f t="shared" si="70"/>
        <v>1</v>
      </c>
    </row>
    <row r="4506" spans="1:5" x14ac:dyDescent="0.25">
      <c r="A4506" s="7">
        <f>IF(E4506=1,
      SUM($E$2:E4506)-1,
"")</f>
        <v>4500</v>
      </c>
      <c r="B4506" s="6" t="s">
        <v>898</v>
      </c>
      <c r="C4506" s="14">
        <v>45291</v>
      </c>
      <c r="D4506" s="15">
        <v>103.1</v>
      </c>
      <c r="E4506" s="7">
        <f t="shared" si="70"/>
        <v>1</v>
      </c>
    </row>
    <row r="4507" spans="1:5" x14ac:dyDescent="0.25">
      <c r="A4507" s="7">
        <f>IF(E4507=1,
      SUM($E$2:E4507)-1,
"")</f>
        <v>4501</v>
      </c>
      <c r="B4507" s="6" t="s">
        <v>377</v>
      </c>
      <c r="C4507" s="14">
        <v>45049</v>
      </c>
      <c r="D4507" s="15">
        <v>104.3</v>
      </c>
      <c r="E4507" s="7">
        <f t="shared" si="70"/>
        <v>1</v>
      </c>
    </row>
    <row r="4508" spans="1:5" x14ac:dyDescent="0.25">
      <c r="A4508" s="7">
        <f>IF(E4508=1,
      SUM($E$2:E4508)-1,
"")</f>
        <v>4502</v>
      </c>
      <c r="B4508" s="6" t="s">
        <v>336</v>
      </c>
      <c r="C4508" s="14">
        <v>45117</v>
      </c>
      <c r="D4508" s="15">
        <v>141.75</v>
      </c>
      <c r="E4508" s="7">
        <f t="shared" si="70"/>
        <v>1</v>
      </c>
    </row>
    <row r="4509" spans="1:5" x14ac:dyDescent="0.25">
      <c r="A4509" s="7">
        <f>IF(E4509=1,
      SUM($E$2:E4509)-1,
"")</f>
        <v>4503</v>
      </c>
      <c r="B4509" s="6" t="s">
        <v>1054</v>
      </c>
      <c r="C4509" s="14">
        <v>45055</v>
      </c>
      <c r="D4509" s="15">
        <v>39.86</v>
      </c>
      <c r="E4509" s="7">
        <f t="shared" si="70"/>
        <v>1</v>
      </c>
    </row>
    <row r="4510" spans="1:5" x14ac:dyDescent="0.25">
      <c r="A4510" s="7">
        <f>IF(E4510=1,
      SUM($E$2:E4510)-1,
"")</f>
        <v>4504</v>
      </c>
      <c r="B4510" s="6" t="s">
        <v>512</v>
      </c>
      <c r="C4510" s="14">
        <v>45234</v>
      </c>
      <c r="D4510" s="15">
        <v>79.88</v>
      </c>
      <c r="E4510" s="7">
        <f t="shared" si="70"/>
        <v>1</v>
      </c>
    </row>
    <row r="4511" spans="1:5" x14ac:dyDescent="0.25">
      <c r="A4511" s="7">
        <f>IF(E4511=1,
      SUM($E$2:E4511)-1,
"")</f>
        <v>4505</v>
      </c>
      <c r="B4511" s="6" t="s">
        <v>683</v>
      </c>
      <c r="C4511" s="14">
        <v>44940</v>
      </c>
      <c r="D4511" s="15">
        <v>125.96</v>
      </c>
      <c r="E4511" s="7">
        <f t="shared" si="70"/>
        <v>1</v>
      </c>
    </row>
    <row r="4512" spans="1:5" x14ac:dyDescent="0.25">
      <c r="A4512" s="7">
        <f>IF(E4512=1,
      SUM($E$2:E4512)-1,
"")</f>
        <v>4506</v>
      </c>
      <c r="B4512" s="6" t="s">
        <v>271</v>
      </c>
      <c r="C4512" s="14">
        <v>45194</v>
      </c>
      <c r="D4512" s="15">
        <v>133.24</v>
      </c>
      <c r="E4512" s="7">
        <f t="shared" si="70"/>
        <v>1</v>
      </c>
    </row>
    <row r="4513" spans="1:5" x14ac:dyDescent="0.25">
      <c r="A4513" s="7">
        <f>IF(E4513=1,
      SUM($E$2:E4513)-1,
"")</f>
        <v>4507</v>
      </c>
      <c r="B4513" s="6" t="s">
        <v>652</v>
      </c>
      <c r="C4513" s="14">
        <v>44934</v>
      </c>
      <c r="D4513" s="15">
        <v>112.82</v>
      </c>
      <c r="E4513" s="7">
        <f t="shared" si="70"/>
        <v>1</v>
      </c>
    </row>
    <row r="4514" spans="1:5" x14ac:dyDescent="0.25">
      <c r="A4514" s="7">
        <f>IF(E4514=1,
      SUM($E$2:E4514)-1,
"")</f>
        <v>4508</v>
      </c>
      <c r="B4514" s="6" t="s">
        <v>561</v>
      </c>
      <c r="C4514" s="14">
        <v>45291</v>
      </c>
      <c r="D4514" s="15">
        <v>94.48</v>
      </c>
      <c r="E4514" s="7">
        <f t="shared" si="70"/>
        <v>1</v>
      </c>
    </row>
    <row r="4515" spans="1:5" x14ac:dyDescent="0.25">
      <c r="A4515" s="7">
        <f>IF(E4515=1,
      SUM($E$2:E4515)-1,
"")</f>
        <v>4509</v>
      </c>
      <c r="B4515" s="6" t="s">
        <v>274</v>
      </c>
      <c r="C4515" s="14">
        <v>45050</v>
      </c>
      <c r="D4515" s="15">
        <v>155.85</v>
      </c>
      <c r="E4515" s="7">
        <f t="shared" si="70"/>
        <v>1</v>
      </c>
    </row>
    <row r="4516" spans="1:5" x14ac:dyDescent="0.25">
      <c r="A4516" s="7">
        <f>IF(E4516=1,
      SUM($E$2:E4516)-1,
"")</f>
        <v>4510</v>
      </c>
      <c r="B4516" s="6" t="s">
        <v>597</v>
      </c>
      <c r="C4516" s="14">
        <v>44996</v>
      </c>
      <c r="D4516" s="15">
        <v>105.33</v>
      </c>
      <c r="E4516" s="7">
        <f t="shared" si="70"/>
        <v>1</v>
      </c>
    </row>
    <row r="4517" spans="1:5" x14ac:dyDescent="0.25">
      <c r="A4517" s="7">
        <f>IF(E4517=1,
      SUM($E$2:E4517)-1,
"")</f>
        <v>4511</v>
      </c>
      <c r="B4517" s="6" t="s">
        <v>946</v>
      </c>
      <c r="C4517" s="14">
        <v>45082</v>
      </c>
      <c r="D4517" s="15">
        <v>100.92</v>
      </c>
      <c r="E4517" s="7">
        <f t="shared" si="70"/>
        <v>1</v>
      </c>
    </row>
    <row r="4518" spans="1:5" x14ac:dyDescent="0.25">
      <c r="A4518" s="7">
        <f>IF(E4518=1,
      SUM($E$2:E4518)-1,
"")</f>
        <v>4512</v>
      </c>
      <c r="B4518" s="6" t="s">
        <v>940</v>
      </c>
      <c r="C4518" s="14">
        <v>45170</v>
      </c>
      <c r="D4518" s="15">
        <v>139.94999999999999</v>
      </c>
      <c r="E4518" s="7">
        <f t="shared" si="70"/>
        <v>1</v>
      </c>
    </row>
    <row r="4519" spans="1:5" x14ac:dyDescent="0.25">
      <c r="A4519" s="7">
        <f>IF(E4519=1,
      SUM($E$2:E4519)-1,
"")</f>
        <v>4513</v>
      </c>
      <c r="B4519" s="6" t="s">
        <v>175</v>
      </c>
      <c r="C4519" s="14">
        <v>45064</v>
      </c>
      <c r="D4519" s="15">
        <v>114.27</v>
      </c>
      <c r="E4519" s="7">
        <f t="shared" si="70"/>
        <v>1</v>
      </c>
    </row>
    <row r="4520" spans="1:5" x14ac:dyDescent="0.25">
      <c r="A4520" s="7">
        <f>IF(E4520=1,
      SUM($E$2:E4520)-1,
"")</f>
        <v>4514</v>
      </c>
      <c r="B4520" s="6" t="s">
        <v>399</v>
      </c>
      <c r="C4520" s="14">
        <v>45211</v>
      </c>
      <c r="D4520" s="15">
        <v>128.19</v>
      </c>
      <c r="E4520" s="7">
        <f t="shared" si="70"/>
        <v>1</v>
      </c>
    </row>
    <row r="4521" spans="1:5" x14ac:dyDescent="0.25">
      <c r="A4521" s="7">
        <f>IF(E4521=1,
      SUM($E$2:E4521)-1,
"")</f>
        <v>4515</v>
      </c>
      <c r="B4521" s="6" t="s">
        <v>612</v>
      </c>
      <c r="C4521" s="14">
        <v>45149</v>
      </c>
      <c r="D4521" s="15">
        <v>131.71</v>
      </c>
      <c r="E4521" s="7">
        <f t="shared" si="70"/>
        <v>1</v>
      </c>
    </row>
    <row r="4522" spans="1:5" x14ac:dyDescent="0.25">
      <c r="A4522" s="7">
        <f>IF(E4522=1,
      SUM($E$2:E4522)-1,
"")</f>
        <v>4516</v>
      </c>
      <c r="B4522" s="6" t="s">
        <v>307</v>
      </c>
      <c r="C4522" s="14">
        <v>45153</v>
      </c>
      <c r="D4522" s="15">
        <v>88.83</v>
      </c>
      <c r="E4522" s="7">
        <f t="shared" si="70"/>
        <v>1</v>
      </c>
    </row>
    <row r="4523" spans="1:5" x14ac:dyDescent="0.25">
      <c r="A4523" s="7">
        <f>IF(E4523=1,
      SUM($E$2:E4523)-1,
"")</f>
        <v>4517</v>
      </c>
      <c r="B4523" s="6" t="s">
        <v>600</v>
      </c>
      <c r="C4523" s="14">
        <v>45264</v>
      </c>
      <c r="D4523" s="15">
        <v>153.03</v>
      </c>
      <c r="E4523" s="7">
        <f t="shared" si="70"/>
        <v>1</v>
      </c>
    </row>
    <row r="4524" spans="1:5" x14ac:dyDescent="0.25">
      <c r="A4524" s="7">
        <f>IF(E4524=1,
      SUM($E$2:E4524)-1,
"")</f>
        <v>4518</v>
      </c>
      <c r="B4524" s="6" t="s">
        <v>1055</v>
      </c>
      <c r="C4524" s="14">
        <v>45023</v>
      </c>
      <c r="D4524" s="15">
        <v>26.14</v>
      </c>
      <c r="E4524" s="7">
        <f t="shared" si="70"/>
        <v>1</v>
      </c>
    </row>
    <row r="4525" spans="1:5" x14ac:dyDescent="0.25">
      <c r="A4525" s="7">
        <f>IF(E4525=1,
      SUM($E$2:E4525)-1,
"")</f>
        <v>4519</v>
      </c>
      <c r="B4525" s="6" t="s">
        <v>354</v>
      </c>
      <c r="C4525" s="14">
        <v>45046</v>
      </c>
      <c r="D4525" s="15">
        <v>40.61</v>
      </c>
      <c r="E4525" s="7">
        <f t="shared" si="70"/>
        <v>1</v>
      </c>
    </row>
    <row r="4526" spans="1:5" x14ac:dyDescent="0.25">
      <c r="A4526" s="7">
        <f>IF(E4526=1,
      SUM($E$2:E4526)-1,
"")</f>
        <v>4520</v>
      </c>
      <c r="B4526" s="6" t="s">
        <v>639</v>
      </c>
      <c r="C4526" s="14">
        <v>45281</v>
      </c>
      <c r="D4526" s="15">
        <v>79.59</v>
      </c>
      <c r="E4526" s="7">
        <f t="shared" si="70"/>
        <v>1</v>
      </c>
    </row>
    <row r="4527" spans="1:5" x14ac:dyDescent="0.25">
      <c r="A4527" s="7">
        <f>IF(E4527=1,
      SUM($E$2:E4527)-1,
"")</f>
        <v>4521</v>
      </c>
      <c r="B4527" s="6" t="s">
        <v>571</v>
      </c>
      <c r="C4527" s="14">
        <v>44938</v>
      </c>
      <c r="D4527" s="15">
        <v>87.3</v>
      </c>
      <c r="E4527" s="7">
        <f t="shared" si="70"/>
        <v>1</v>
      </c>
    </row>
    <row r="4528" spans="1:5" x14ac:dyDescent="0.25">
      <c r="A4528" s="7">
        <f>IF(E4528=1,
      SUM($E$2:E4528)-1,
"")</f>
        <v>4522</v>
      </c>
      <c r="B4528" s="6" t="s">
        <v>74</v>
      </c>
      <c r="C4528" s="14">
        <v>44956</v>
      </c>
      <c r="D4528" s="15">
        <v>110.88</v>
      </c>
      <c r="E4528" s="7">
        <f t="shared" si="70"/>
        <v>1</v>
      </c>
    </row>
    <row r="4529" spans="1:5" x14ac:dyDescent="0.25">
      <c r="A4529" s="7">
        <f>IF(E4529=1,
      SUM($E$2:E4529)-1,
"")</f>
        <v>4523</v>
      </c>
      <c r="B4529" s="6" t="s">
        <v>359</v>
      </c>
      <c r="C4529" s="14">
        <v>45187</v>
      </c>
      <c r="D4529" s="15">
        <v>79.319999999999993</v>
      </c>
      <c r="E4529" s="7">
        <f t="shared" si="70"/>
        <v>1</v>
      </c>
    </row>
    <row r="4530" spans="1:5" x14ac:dyDescent="0.25">
      <c r="A4530" s="7">
        <f>IF(E4530=1,
      SUM($E$2:E4530)-1,
"")</f>
        <v>4524</v>
      </c>
      <c r="B4530" s="6" t="s">
        <v>710</v>
      </c>
      <c r="C4530" s="14">
        <v>45261</v>
      </c>
      <c r="D4530" s="15">
        <v>99.64</v>
      </c>
      <c r="E4530" s="7">
        <f t="shared" si="70"/>
        <v>1</v>
      </c>
    </row>
    <row r="4531" spans="1:5" x14ac:dyDescent="0.25">
      <c r="A4531" s="7">
        <f>IF(E4531=1,
      SUM($E$2:E4531)-1,
"")</f>
        <v>4525</v>
      </c>
      <c r="B4531" s="6" t="s">
        <v>374</v>
      </c>
      <c r="C4531" s="14">
        <v>45219</v>
      </c>
      <c r="D4531" s="15">
        <v>93.85</v>
      </c>
      <c r="E4531" s="7">
        <f t="shared" si="70"/>
        <v>1</v>
      </c>
    </row>
    <row r="4532" spans="1:5" x14ac:dyDescent="0.25">
      <c r="A4532" s="7">
        <f>IF(E4532=1,
      SUM($E$2:E4532)-1,
"")</f>
        <v>4526</v>
      </c>
      <c r="B4532" s="6" t="s">
        <v>738</v>
      </c>
      <c r="C4532" s="14">
        <v>45122</v>
      </c>
      <c r="D4532" s="15">
        <v>160.13</v>
      </c>
      <c r="E4532" s="7">
        <f t="shared" si="70"/>
        <v>1</v>
      </c>
    </row>
    <row r="4533" spans="1:5" x14ac:dyDescent="0.25">
      <c r="A4533" s="7">
        <f>IF(E4533=1,
      SUM($E$2:E4533)-1,
"")</f>
        <v>4527</v>
      </c>
      <c r="B4533" s="6" t="s">
        <v>393</v>
      </c>
      <c r="C4533" s="14">
        <v>44956</v>
      </c>
      <c r="D4533" s="15">
        <v>75.849999999999994</v>
      </c>
      <c r="E4533" s="7">
        <f t="shared" si="70"/>
        <v>1</v>
      </c>
    </row>
    <row r="4534" spans="1:5" x14ac:dyDescent="0.25">
      <c r="A4534" s="7">
        <f>IF(E4534=1,
      SUM($E$2:E4534)-1,
"")</f>
        <v>4528</v>
      </c>
      <c r="B4534" s="6" t="s">
        <v>723</v>
      </c>
      <c r="C4534" s="14">
        <v>45224</v>
      </c>
      <c r="D4534" s="15">
        <v>49.51</v>
      </c>
      <c r="E4534" s="7">
        <f t="shared" si="70"/>
        <v>1</v>
      </c>
    </row>
    <row r="4535" spans="1:5" x14ac:dyDescent="0.25">
      <c r="A4535" s="7">
        <f>IF(E4535=1,
      SUM($E$2:E4535)-1,
"")</f>
        <v>4529</v>
      </c>
      <c r="B4535" s="6" t="s">
        <v>627</v>
      </c>
      <c r="C4535" s="14">
        <v>44992</v>
      </c>
      <c r="D4535" s="15">
        <v>133.57</v>
      </c>
      <c r="E4535" s="7">
        <f t="shared" si="70"/>
        <v>1</v>
      </c>
    </row>
    <row r="4536" spans="1:5" x14ac:dyDescent="0.25">
      <c r="A4536" s="7">
        <f>IF(E4536=1,
      SUM($E$2:E4536)-1,
"")</f>
        <v>4530</v>
      </c>
      <c r="B4536" s="6" t="s">
        <v>1004</v>
      </c>
      <c r="C4536" s="14">
        <v>44931</v>
      </c>
      <c r="D4536" s="15">
        <v>78.58</v>
      </c>
      <c r="E4536" s="7">
        <f t="shared" si="70"/>
        <v>1</v>
      </c>
    </row>
    <row r="4537" spans="1:5" x14ac:dyDescent="0.25">
      <c r="A4537" s="7">
        <f>IF(E4537=1,
      SUM($E$2:E4537)-1,
"")</f>
        <v>4531</v>
      </c>
      <c r="B4537" s="6" t="s">
        <v>411</v>
      </c>
      <c r="C4537" s="14">
        <v>45156</v>
      </c>
      <c r="D4537" s="15">
        <v>97.25</v>
      </c>
      <c r="E4537" s="7">
        <f t="shared" si="70"/>
        <v>1</v>
      </c>
    </row>
    <row r="4538" spans="1:5" x14ac:dyDescent="0.25">
      <c r="A4538" s="7">
        <f>IF(E4538=1,
      SUM($E$2:E4538)-1,
"")</f>
        <v>4532</v>
      </c>
      <c r="B4538" s="6" t="s">
        <v>851</v>
      </c>
      <c r="C4538" s="14">
        <v>45193</v>
      </c>
      <c r="D4538" s="15">
        <v>80.61</v>
      </c>
      <c r="E4538" s="7">
        <f t="shared" si="70"/>
        <v>1</v>
      </c>
    </row>
    <row r="4539" spans="1:5" x14ac:dyDescent="0.25">
      <c r="A4539" s="7">
        <f>IF(E4539=1,
      SUM($E$2:E4539)-1,
"")</f>
        <v>4533</v>
      </c>
      <c r="B4539" s="6" t="s">
        <v>177</v>
      </c>
      <c r="C4539" s="14">
        <v>45147</v>
      </c>
      <c r="D4539" s="15">
        <v>122.12</v>
      </c>
      <c r="E4539" s="7">
        <f t="shared" si="70"/>
        <v>1</v>
      </c>
    </row>
    <row r="4540" spans="1:5" x14ac:dyDescent="0.25">
      <c r="A4540" s="7">
        <f>IF(E4540=1,
      SUM($E$2:E4540)-1,
"")</f>
        <v>4534</v>
      </c>
      <c r="B4540" s="6" t="s">
        <v>586</v>
      </c>
      <c r="C4540" s="14">
        <v>45284</v>
      </c>
      <c r="D4540" s="15">
        <v>58.77</v>
      </c>
      <c r="E4540" s="7">
        <f t="shared" si="70"/>
        <v>1</v>
      </c>
    </row>
    <row r="4541" spans="1:5" x14ac:dyDescent="0.25">
      <c r="A4541" s="7">
        <f>IF(E4541=1,
      SUM($E$2:E4541)-1,
"")</f>
        <v>4535</v>
      </c>
      <c r="B4541" s="6" t="s">
        <v>123</v>
      </c>
      <c r="C4541" s="14">
        <v>45231</v>
      </c>
      <c r="D4541" s="15">
        <v>16.02</v>
      </c>
      <c r="E4541" s="7">
        <f t="shared" si="70"/>
        <v>1</v>
      </c>
    </row>
    <row r="4542" spans="1:5" x14ac:dyDescent="0.25">
      <c r="A4542" s="7">
        <f>IF(E4542=1,
      SUM($E$2:E4542)-1,
"")</f>
        <v>4536</v>
      </c>
      <c r="B4542" s="6" t="s">
        <v>390</v>
      </c>
      <c r="C4542" s="14">
        <v>45108</v>
      </c>
      <c r="D4542" s="15">
        <v>138.87</v>
      </c>
      <c r="E4542" s="7">
        <f t="shared" si="70"/>
        <v>1</v>
      </c>
    </row>
    <row r="4543" spans="1:5" x14ac:dyDescent="0.25">
      <c r="A4543" s="7">
        <f>IF(E4543=1,
      SUM($E$2:E4543)-1,
"")</f>
        <v>4537</v>
      </c>
      <c r="B4543" s="6" t="s">
        <v>721</v>
      </c>
      <c r="C4543" s="14">
        <v>45264</v>
      </c>
      <c r="D4543" s="15">
        <v>107.42</v>
      </c>
      <c r="E4543" s="7">
        <f t="shared" si="70"/>
        <v>1</v>
      </c>
    </row>
    <row r="4544" spans="1:5" x14ac:dyDescent="0.25">
      <c r="A4544" s="7">
        <f>IF(E4544=1,
      SUM($E$2:E4544)-1,
"")</f>
        <v>4538</v>
      </c>
      <c r="B4544" s="6" t="s">
        <v>621</v>
      </c>
      <c r="C4544" s="14">
        <v>45179</v>
      </c>
      <c r="D4544" s="15">
        <v>132.18</v>
      </c>
      <c r="E4544" s="7">
        <f t="shared" si="70"/>
        <v>1</v>
      </c>
    </row>
    <row r="4545" spans="1:5" x14ac:dyDescent="0.25">
      <c r="A4545" s="7">
        <f>IF(E4545=1,
      SUM($E$2:E4545)-1,
"")</f>
        <v>4539</v>
      </c>
      <c r="B4545" s="6" t="s">
        <v>451</v>
      </c>
      <c r="C4545" s="14">
        <v>45150</v>
      </c>
      <c r="D4545" s="15">
        <v>137.87</v>
      </c>
      <c r="E4545" s="7">
        <f t="shared" si="70"/>
        <v>1</v>
      </c>
    </row>
    <row r="4546" spans="1:5" x14ac:dyDescent="0.25">
      <c r="A4546" s="7">
        <f>IF(E4546=1,
      SUM($E$2:E4546)-1,
"")</f>
        <v>4540</v>
      </c>
      <c r="B4546" s="6" t="s">
        <v>830</v>
      </c>
      <c r="C4546" s="14">
        <v>45173</v>
      </c>
      <c r="D4546" s="15">
        <v>72.510000000000005</v>
      </c>
      <c r="E4546" s="7">
        <f t="shared" ref="E4546:E4609" si="71">IF(D4546&gt;0,1,0)</f>
        <v>1</v>
      </c>
    </row>
    <row r="4547" spans="1:5" x14ac:dyDescent="0.25">
      <c r="A4547" s="7">
        <f>IF(E4547=1,
      SUM($E$2:E4547)-1,
"")</f>
        <v>4541</v>
      </c>
      <c r="B4547" s="6" t="s">
        <v>363</v>
      </c>
      <c r="C4547" s="14">
        <v>45123</v>
      </c>
      <c r="D4547" s="15">
        <v>101.82</v>
      </c>
      <c r="E4547" s="7">
        <f t="shared" si="71"/>
        <v>1</v>
      </c>
    </row>
    <row r="4548" spans="1:5" x14ac:dyDescent="0.25">
      <c r="A4548" s="7">
        <f>IF(E4548=1,
      SUM($E$2:E4548)-1,
"")</f>
        <v>4542</v>
      </c>
      <c r="B4548" s="6" t="s">
        <v>383</v>
      </c>
      <c r="C4548" s="14">
        <v>45136</v>
      </c>
      <c r="D4548" s="15">
        <v>115.16</v>
      </c>
      <c r="E4548" s="7">
        <f t="shared" si="71"/>
        <v>1</v>
      </c>
    </row>
    <row r="4549" spans="1:5" x14ac:dyDescent="0.25">
      <c r="A4549" s="7">
        <f>IF(E4549=1,
      SUM($E$2:E4549)-1,
"")</f>
        <v>4543</v>
      </c>
      <c r="B4549" s="6" t="s">
        <v>452</v>
      </c>
      <c r="C4549" s="14">
        <v>44958</v>
      </c>
      <c r="D4549" s="15">
        <v>96.75</v>
      </c>
      <c r="E4549" s="7">
        <f t="shared" si="71"/>
        <v>1</v>
      </c>
    </row>
    <row r="4550" spans="1:5" x14ac:dyDescent="0.25">
      <c r="A4550" s="7">
        <f>IF(E4550=1,
      SUM($E$2:E4550)-1,
"")</f>
        <v>4544</v>
      </c>
      <c r="B4550" s="6" t="s">
        <v>387</v>
      </c>
      <c r="C4550" s="14">
        <v>44944</v>
      </c>
      <c r="D4550" s="15">
        <v>90.64</v>
      </c>
      <c r="E4550" s="7">
        <f t="shared" si="71"/>
        <v>1</v>
      </c>
    </row>
    <row r="4551" spans="1:5" x14ac:dyDescent="0.25">
      <c r="A4551" s="7">
        <f>IF(E4551=1,
      SUM($E$2:E4551)-1,
"")</f>
        <v>4545</v>
      </c>
      <c r="B4551" s="6" t="s">
        <v>684</v>
      </c>
      <c r="C4551" s="14">
        <v>45033</v>
      </c>
      <c r="D4551" s="15">
        <v>93.59</v>
      </c>
      <c r="E4551" s="7">
        <f t="shared" si="71"/>
        <v>1</v>
      </c>
    </row>
    <row r="4552" spans="1:5" x14ac:dyDescent="0.25">
      <c r="A4552" s="7">
        <f>IF(E4552=1,
      SUM($E$2:E4552)-1,
"")</f>
        <v>4546</v>
      </c>
      <c r="B4552" s="6" t="s">
        <v>130</v>
      </c>
      <c r="C4552" s="14">
        <v>45211</v>
      </c>
      <c r="D4552" s="15">
        <v>132.51</v>
      </c>
      <c r="E4552" s="7">
        <f t="shared" si="71"/>
        <v>1</v>
      </c>
    </row>
    <row r="4553" spans="1:5" x14ac:dyDescent="0.25">
      <c r="A4553" s="7">
        <f>IF(E4553=1,
      SUM($E$2:E4553)-1,
"")</f>
        <v>4547</v>
      </c>
      <c r="B4553" s="6" t="s">
        <v>377</v>
      </c>
      <c r="C4553" s="14">
        <v>45051</v>
      </c>
      <c r="D4553" s="15">
        <v>92.23</v>
      </c>
      <c r="E4553" s="7">
        <f t="shared" si="71"/>
        <v>1</v>
      </c>
    </row>
    <row r="4554" spans="1:5" x14ac:dyDescent="0.25">
      <c r="A4554" s="7">
        <f>IF(E4554=1,
      SUM($E$2:E4554)-1,
"")</f>
        <v>4548</v>
      </c>
      <c r="B4554" s="6" t="s">
        <v>516</v>
      </c>
      <c r="C4554" s="14">
        <v>45121</v>
      </c>
      <c r="D4554" s="15">
        <v>118.01</v>
      </c>
      <c r="E4554" s="7">
        <f t="shared" si="71"/>
        <v>1</v>
      </c>
    </row>
    <row r="4555" spans="1:5" x14ac:dyDescent="0.25">
      <c r="A4555" s="7">
        <f>IF(E4555=1,
      SUM($E$2:E4555)-1,
"")</f>
        <v>4549</v>
      </c>
      <c r="B4555" s="6" t="s">
        <v>962</v>
      </c>
      <c r="C4555" s="14">
        <v>45062</v>
      </c>
      <c r="D4555" s="15">
        <v>110.41</v>
      </c>
      <c r="E4555" s="7">
        <f t="shared" si="71"/>
        <v>1</v>
      </c>
    </row>
    <row r="4556" spans="1:5" x14ac:dyDescent="0.25">
      <c r="A4556" s="7">
        <f>IF(E4556=1,
      SUM($E$2:E4556)-1,
"")</f>
        <v>4550</v>
      </c>
      <c r="B4556" s="6" t="s">
        <v>355</v>
      </c>
      <c r="C4556" s="14">
        <v>45085</v>
      </c>
      <c r="D4556" s="15">
        <v>71.069999999999993</v>
      </c>
      <c r="E4556" s="7">
        <f t="shared" si="71"/>
        <v>1</v>
      </c>
    </row>
    <row r="4557" spans="1:5" x14ac:dyDescent="0.25">
      <c r="A4557" s="7">
        <f>IF(E4557=1,
      SUM($E$2:E4557)-1,
"")</f>
        <v>4551</v>
      </c>
      <c r="B4557" s="6" t="s">
        <v>863</v>
      </c>
      <c r="C4557" s="14">
        <v>45218</v>
      </c>
      <c r="D4557" s="15">
        <v>109.06</v>
      </c>
      <c r="E4557" s="7">
        <f t="shared" si="71"/>
        <v>1</v>
      </c>
    </row>
    <row r="4558" spans="1:5" x14ac:dyDescent="0.25">
      <c r="A4558" s="7">
        <f>IF(E4558=1,
      SUM($E$2:E4558)-1,
"")</f>
        <v>4552</v>
      </c>
      <c r="B4558" s="6" t="s">
        <v>303</v>
      </c>
      <c r="C4558" s="14">
        <v>45023</v>
      </c>
      <c r="D4558" s="15">
        <v>53.84</v>
      </c>
      <c r="E4558" s="7">
        <f t="shared" si="71"/>
        <v>1</v>
      </c>
    </row>
    <row r="4559" spans="1:5" x14ac:dyDescent="0.25">
      <c r="A4559" s="7">
        <f>IF(E4559=1,
      SUM($E$2:E4559)-1,
"")</f>
        <v>4553</v>
      </c>
      <c r="B4559" s="6" t="s">
        <v>992</v>
      </c>
      <c r="C4559" s="14">
        <v>45179</v>
      </c>
      <c r="D4559" s="15">
        <v>112.04</v>
      </c>
      <c r="E4559" s="7">
        <f t="shared" si="71"/>
        <v>1</v>
      </c>
    </row>
    <row r="4560" spans="1:5" x14ac:dyDescent="0.25">
      <c r="A4560" s="7">
        <f>IF(E4560=1,
      SUM($E$2:E4560)-1,
"")</f>
        <v>4554</v>
      </c>
      <c r="B4560" s="6" t="s">
        <v>946</v>
      </c>
      <c r="C4560" s="14">
        <v>45231</v>
      </c>
      <c r="D4560" s="15">
        <v>126.73</v>
      </c>
      <c r="E4560" s="7">
        <f t="shared" si="71"/>
        <v>1</v>
      </c>
    </row>
    <row r="4561" spans="1:5" x14ac:dyDescent="0.25">
      <c r="A4561" s="7">
        <f>IF(E4561=1,
      SUM($E$2:E4561)-1,
"")</f>
        <v>4555</v>
      </c>
      <c r="B4561" s="6" t="s">
        <v>843</v>
      </c>
      <c r="C4561" s="14">
        <v>44931</v>
      </c>
      <c r="D4561" s="15">
        <v>133.63999999999999</v>
      </c>
      <c r="E4561" s="7">
        <f t="shared" si="71"/>
        <v>1</v>
      </c>
    </row>
    <row r="4562" spans="1:5" x14ac:dyDescent="0.25">
      <c r="A4562" s="7">
        <f>IF(E4562=1,
      SUM($E$2:E4562)-1,
"")</f>
        <v>4556</v>
      </c>
      <c r="B4562" s="6" t="s">
        <v>833</v>
      </c>
      <c r="C4562" s="14">
        <v>44973</v>
      </c>
      <c r="D4562" s="15">
        <v>71.42</v>
      </c>
      <c r="E4562" s="7">
        <f t="shared" si="71"/>
        <v>1</v>
      </c>
    </row>
    <row r="4563" spans="1:5" x14ac:dyDescent="0.25">
      <c r="A4563" s="7">
        <f>IF(E4563=1,
      SUM($E$2:E4563)-1,
"")</f>
        <v>4557</v>
      </c>
      <c r="B4563" s="6" t="s">
        <v>260</v>
      </c>
      <c r="C4563" s="14">
        <v>45191</v>
      </c>
      <c r="D4563" s="15">
        <v>83.92</v>
      </c>
      <c r="E4563" s="7">
        <f t="shared" si="71"/>
        <v>1</v>
      </c>
    </row>
    <row r="4564" spans="1:5" x14ac:dyDescent="0.25">
      <c r="A4564" s="7">
        <f>IF(E4564=1,
      SUM($E$2:E4564)-1,
"")</f>
        <v>4558</v>
      </c>
      <c r="B4564" s="6" t="s">
        <v>194</v>
      </c>
      <c r="C4564" s="14">
        <v>44931</v>
      </c>
      <c r="D4564" s="15">
        <v>108.52</v>
      </c>
      <c r="E4564" s="7">
        <f t="shared" si="71"/>
        <v>1</v>
      </c>
    </row>
    <row r="4565" spans="1:5" x14ac:dyDescent="0.25">
      <c r="A4565" s="7">
        <f>IF(E4565=1,
      SUM($E$2:E4565)-1,
"")</f>
        <v>4559</v>
      </c>
      <c r="B4565" s="6" t="s">
        <v>616</v>
      </c>
      <c r="C4565" s="14">
        <v>45083</v>
      </c>
      <c r="D4565" s="15">
        <v>85.72</v>
      </c>
      <c r="E4565" s="7">
        <f t="shared" si="71"/>
        <v>1</v>
      </c>
    </row>
    <row r="4566" spans="1:5" x14ac:dyDescent="0.25">
      <c r="A4566" s="7">
        <f>IF(E4566=1,
      SUM($E$2:E4566)-1,
"")</f>
        <v>4560</v>
      </c>
      <c r="B4566" s="6" t="s">
        <v>96</v>
      </c>
      <c r="C4566" s="14">
        <v>45038</v>
      </c>
      <c r="D4566" s="15">
        <v>42.13</v>
      </c>
      <c r="E4566" s="7">
        <f t="shared" si="71"/>
        <v>1</v>
      </c>
    </row>
    <row r="4567" spans="1:5" x14ac:dyDescent="0.25">
      <c r="A4567" s="7">
        <f>IF(E4567=1,
      SUM($E$2:E4567)-1,
"")</f>
        <v>4561</v>
      </c>
      <c r="B4567" s="6" t="s">
        <v>480</v>
      </c>
      <c r="C4567" s="14">
        <v>45273</v>
      </c>
      <c r="D4567" s="15">
        <v>83.75</v>
      </c>
      <c r="E4567" s="7">
        <f t="shared" si="71"/>
        <v>1</v>
      </c>
    </row>
    <row r="4568" spans="1:5" x14ac:dyDescent="0.25">
      <c r="A4568" s="7">
        <f>IF(E4568=1,
      SUM($E$2:E4568)-1,
"")</f>
        <v>4562</v>
      </c>
      <c r="B4568" s="6" t="s">
        <v>730</v>
      </c>
      <c r="C4568" s="14">
        <v>45235</v>
      </c>
      <c r="D4568" s="15">
        <v>108.41</v>
      </c>
      <c r="E4568" s="7">
        <f t="shared" si="71"/>
        <v>1</v>
      </c>
    </row>
    <row r="4569" spans="1:5" x14ac:dyDescent="0.25">
      <c r="A4569" s="7">
        <f>IF(E4569=1,
      SUM($E$2:E4569)-1,
"")</f>
        <v>4563</v>
      </c>
      <c r="B4569" s="6" t="s">
        <v>695</v>
      </c>
      <c r="C4569" s="14">
        <v>45181</v>
      </c>
      <c r="D4569" s="15">
        <v>132.03</v>
      </c>
      <c r="E4569" s="7">
        <f t="shared" si="71"/>
        <v>1</v>
      </c>
    </row>
    <row r="4570" spans="1:5" x14ac:dyDescent="0.25">
      <c r="A4570" s="7">
        <f>IF(E4570=1,
      SUM($E$2:E4570)-1,
"")</f>
        <v>4564</v>
      </c>
      <c r="B4570" s="6" t="s">
        <v>170</v>
      </c>
      <c r="C4570" s="14">
        <v>44980</v>
      </c>
      <c r="D4570" s="15">
        <v>150.68</v>
      </c>
      <c r="E4570" s="7">
        <f t="shared" si="71"/>
        <v>1</v>
      </c>
    </row>
    <row r="4571" spans="1:5" x14ac:dyDescent="0.25">
      <c r="A4571" s="7">
        <f>IF(E4571=1,
      SUM($E$2:E4571)-1,
"")</f>
        <v>4565</v>
      </c>
      <c r="B4571" s="6" t="s">
        <v>686</v>
      </c>
      <c r="C4571" s="14">
        <v>45097</v>
      </c>
      <c r="D4571" s="15">
        <v>103.75</v>
      </c>
      <c r="E4571" s="7">
        <f t="shared" si="71"/>
        <v>1</v>
      </c>
    </row>
    <row r="4572" spans="1:5" x14ac:dyDescent="0.25">
      <c r="A4572" s="7">
        <f>IF(E4572=1,
      SUM($E$2:E4572)-1,
"")</f>
        <v>4566</v>
      </c>
      <c r="B4572" s="6" t="s">
        <v>131</v>
      </c>
      <c r="C4572" s="14">
        <v>44940</v>
      </c>
      <c r="D4572" s="15">
        <v>116.99</v>
      </c>
      <c r="E4572" s="7">
        <f t="shared" si="71"/>
        <v>1</v>
      </c>
    </row>
    <row r="4573" spans="1:5" x14ac:dyDescent="0.25">
      <c r="A4573" s="7">
        <f>IF(E4573=1,
      SUM($E$2:E4573)-1,
"")</f>
        <v>4567</v>
      </c>
      <c r="B4573" s="6" t="s">
        <v>620</v>
      </c>
      <c r="C4573" s="14">
        <v>45201</v>
      </c>
      <c r="D4573" s="15">
        <v>128.82</v>
      </c>
      <c r="E4573" s="7">
        <f t="shared" si="71"/>
        <v>1</v>
      </c>
    </row>
    <row r="4574" spans="1:5" x14ac:dyDescent="0.25">
      <c r="A4574" s="7">
        <f>IF(E4574=1,
      SUM($E$2:E4574)-1,
"")</f>
        <v>4568</v>
      </c>
      <c r="B4574" s="6" t="s">
        <v>286</v>
      </c>
      <c r="C4574" s="14">
        <v>45241</v>
      </c>
      <c r="D4574" s="15">
        <v>38.479999999999997</v>
      </c>
      <c r="E4574" s="7">
        <f t="shared" si="71"/>
        <v>1</v>
      </c>
    </row>
    <row r="4575" spans="1:5" x14ac:dyDescent="0.25">
      <c r="A4575" s="7">
        <f>IF(E4575=1,
      SUM($E$2:E4575)-1,
"")</f>
        <v>4569</v>
      </c>
      <c r="B4575" s="6" t="s">
        <v>931</v>
      </c>
      <c r="C4575" s="14">
        <v>45000</v>
      </c>
      <c r="D4575" s="15">
        <v>69.42</v>
      </c>
      <c r="E4575" s="7">
        <f t="shared" si="71"/>
        <v>1</v>
      </c>
    </row>
    <row r="4576" spans="1:5" x14ac:dyDescent="0.25">
      <c r="A4576" s="7">
        <f>IF(E4576=1,
      SUM($E$2:E4576)-1,
"")</f>
        <v>4570</v>
      </c>
      <c r="B4576" s="6" t="s">
        <v>718</v>
      </c>
      <c r="C4576" s="14">
        <v>45285</v>
      </c>
      <c r="D4576" s="15">
        <v>103.08</v>
      </c>
      <c r="E4576" s="7">
        <f t="shared" si="71"/>
        <v>1</v>
      </c>
    </row>
    <row r="4577" spans="1:5" x14ac:dyDescent="0.25">
      <c r="A4577" s="7">
        <f>IF(E4577=1,
      SUM($E$2:E4577)-1,
"")</f>
        <v>4571</v>
      </c>
      <c r="B4577" s="6" t="s">
        <v>838</v>
      </c>
      <c r="C4577" s="14">
        <v>44993</v>
      </c>
      <c r="D4577" s="15">
        <v>146.68</v>
      </c>
      <c r="E4577" s="7">
        <f t="shared" si="71"/>
        <v>1</v>
      </c>
    </row>
    <row r="4578" spans="1:5" x14ac:dyDescent="0.25">
      <c r="A4578" s="7">
        <f>IF(E4578=1,
      SUM($E$2:E4578)-1,
"")</f>
        <v>4572</v>
      </c>
      <c r="B4578" s="6" t="s">
        <v>124</v>
      </c>
      <c r="C4578" s="14">
        <v>45195</v>
      </c>
      <c r="D4578" s="15">
        <v>118.89</v>
      </c>
      <c r="E4578" s="7">
        <f t="shared" si="71"/>
        <v>1</v>
      </c>
    </row>
    <row r="4579" spans="1:5" x14ac:dyDescent="0.25">
      <c r="A4579" s="7">
        <f>IF(E4579=1,
      SUM($E$2:E4579)-1,
"")</f>
        <v>4573</v>
      </c>
      <c r="B4579" s="6" t="s">
        <v>518</v>
      </c>
      <c r="C4579" s="14">
        <v>45057</v>
      </c>
      <c r="D4579" s="15">
        <v>109.89</v>
      </c>
      <c r="E4579" s="7">
        <f t="shared" si="71"/>
        <v>1</v>
      </c>
    </row>
    <row r="4580" spans="1:5" x14ac:dyDescent="0.25">
      <c r="A4580" s="7">
        <f>IF(E4580=1,
      SUM($E$2:E4580)-1,
"")</f>
        <v>4574</v>
      </c>
      <c r="B4580" s="6" t="s">
        <v>911</v>
      </c>
      <c r="C4580" s="14">
        <v>45224</v>
      </c>
      <c r="D4580" s="15">
        <v>93.16</v>
      </c>
      <c r="E4580" s="7">
        <f t="shared" si="71"/>
        <v>1</v>
      </c>
    </row>
    <row r="4581" spans="1:5" x14ac:dyDescent="0.25">
      <c r="A4581" s="7">
        <f>IF(E4581=1,
      SUM($E$2:E4581)-1,
"")</f>
        <v>4575</v>
      </c>
      <c r="B4581" s="6" t="s">
        <v>282</v>
      </c>
      <c r="C4581" s="14">
        <v>45248</v>
      </c>
      <c r="D4581" s="15">
        <v>112.8</v>
      </c>
      <c r="E4581" s="7">
        <f t="shared" si="71"/>
        <v>1</v>
      </c>
    </row>
    <row r="4582" spans="1:5" x14ac:dyDescent="0.25">
      <c r="A4582" s="7">
        <f>IF(E4582=1,
      SUM($E$2:E4582)-1,
"")</f>
        <v>4576</v>
      </c>
      <c r="B4582" s="6" t="s">
        <v>356</v>
      </c>
      <c r="C4582" s="14">
        <v>45156</v>
      </c>
      <c r="D4582" s="15">
        <v>82.11</v>
      </c>
      <c r="E4582" s="7">
        <f t="shared" si="71"/>
        <v>1</v>
      </c>
    </row>
    <row r="4583" spans="1:5" x14ac:dyDescent="0.25">
      <c r="A4583" s="7">
        <f>IF(E4583=1,
      SUM($E$2:E4583)-1,
"")</f>
        <v>4577</v>
      </c>
      <c r="B4583" s="6" t="s">
        <v>674</v>
      </c>
      <c r="C4583" s="14">
        <v>45059</v>
      </c>
      <c r="D4583" s="15">
        <v>76.61</v>
      </c>
      <c r="E4583" s="7">
        <f t="shared" si="71"/>
        <v>1</v>
      </c>
    </row>
    <row r="4584" spans="1:5" x14ac:dyDescent="0.25">
      <c r="A4584" s="7">
        <f>IF(E4584=1,
      SUM($E$2:E4584)-1,
"")</f>
        <v>4578</v>
      </c>
      <c r="B4584" s="6" t="s">
        <v>345</v>
      </c>
      <c r="C4584" s="14">
        <v>45261</v>
      </c>
      <c r="D4584" s="15">
        <v>79.209999999999994</v>
      </c>
      <c r="E4584" s="7">
        <f t="shared" si="71"/>
        <v>1</v>
      </c>
    </row>
    <row r="4585" spans="1:5" x14ac:dyDescent="0.25">
      <c r="A4585" s="7">
        <f>IF(E4585=1,
      SUM($E$2:E4585)-1,
"")</f>
        <v>4579</v>
      </c>
      <c r="B4585" s="6" t="s">
        <v>863</v>
      </c>
      <c r="C4585" s="14">
        <v>45004</v>
      </c>
      <c r="D4585" s="15">
        <v>140.21</v>
      </c>
      <c r="E4585" s="7">
        <f t="shared" si="71"/>
        <v>1</v>
      </c>
    </row>
    <row r="4586" spans="1:5" x14ac:dyDescent="0.25">
      <c r="A4586" s="7">
        <f>IF(E4586=1,
      SUM($E$2:E4586)-1,
"")</f>
        <v>4580</v>
      </c>
      <c r="B4586" s="6" t="s">
        <v>950</v>
      </c>
      <c r="C4586" s="14">
        <v>45167</v>
      </c>
      <c r="D4586" s="15">
        <v>74.790000000000006</v>
      </c>
      <c r="E4586" s="7">
        <f t="shared" si="71"/>
        <v>1</v>
      </c>
    </row>
    <row r="4587" spans="1:5" x14ac:dyDescent="0.25">
      <c r="A4587" s="7">
        <f>IF(E4587=1,
      SUM($E$2:E4587)-1,
"")</f>
        <v>4581</v>
      </c>
      <c r="B4587" s="6" t="s">
        <v>742</v>
      </c>
      <c r="C4587" s="14">
        <v>45226</v>
      </c>
      <c r="D4587" s="15">
        <v>88.04</v>
      </c>
      <c r="E4587" s="7">
        <f t="shared" si="71"/>
        <v>1</v>
      </c>
    </row>
    <row r="4588" spans="1:5" x14ac:dyDescent="0.25">
      <c r="A4588" s="7">
        <f>IF(E4588=1,
      SUM($E$2:E4588)-1,
"")</f>
        <v>4582</v>
      </c>
      <c r="B4588" s="6" t="s">
        <v>900</v>
      </c>
      <c r="C4588" s="14">
        <v>45263</v>
      </c>
      <c r="D4588" s="15">
        <v>114.13</v>
      </c>
      <c r="E4588" s="7">
        <f t="shared" si="71"/>
        <v>1</v>
      </c>
    </row>
    <row r="4589" spans="1:5" x14ac:dyDescent="0.25">
      <c r="A4589" s="7">
        <f>IF(E4589=1,
      SUM($E$2:E4589)-1,
"")</f>
        <v>4583</v>
      </c>
      <c r="B4589" s="6" t="s">
        <v>887</v>
      </c>
      <c r="C4589" s="14">
        <v>45179</v>
      </c>
      <c r="D4589" s="15">
        <v>73.59</v>
      </c>
      <c r="E4589" s="7">
        <f t="shared" si="71"/>
        <v>1</v>
      </c>
    </row>
    <row r="4590" spans="1:5" x14ac:dyDescent="0.25">
      <c r="A4590" s="7">
        <f>IF(E4590=1,
      SUM($E$2:E4590)-1,
"")</f>
        <v>4584</v>
      </c>
      <c r="B4590" s="6" t="s">
        <v>569</v>
      </c>
      <c r="C4590" s="14">
        <v>45089</v>
      </c>
      <c r="D4590" s="15">
        <v>106.78</v>
      </c>
      <c r="E4590" s="7">
        <f t="shared" si="71"/>
        <v>1</v>
      </c>
    </row>
    <row r="4591" spans="1:5" x14ac:dyDescent="0.25">
      <c r="A4591" s="7">
        <f>IF(E4591=1,
      SUM($E$2:E4591)-1,
"")</f>
        <v>4585</v>
      </c>
      <c r="B4591" s="6" t="s">
        <v>874</v>
      </c>
      <c r="C4591" s="14">
        <v>45264</v>
      </c>
      <c r="D4591" s="15">
        <v>106.77</v>
      </c>
      <c r="E4591" s="7">
        <f t="shared" si="71"/>
        <v>1</v>
      </c>
    </row>
    <row r="4592" spans="1:5" x14ac:dyDescent="0.25">
      <c r="A4592" s="7">
        <f>IF(E4592=1,
      SUM($E$2:E4592)-1,
"")</f>
        <v>4586</v>
      </c>
      <c r="B4592" s="6" t="s">
        <v>310</v>
      </c>
      <c r="C4592" s="14">
        <v>45162</v>
      </c>
      <c r="D4592" s="15">
        <v>81.27</v>
      </c>
      <c r="E4592" s="7">
        <f t="shared" si="71"/>
        <v>1</v>
      </c>
    </row>
    <row r="4593" spans="1:5" x14ac:dyDescent="0.25">
      <c r="A4593" s="7">
        <f>IF(E4593=1,
      SUM($E$2:E4593)-1,
"")</f>
        <v>4587</v>
      </c>
      <c r="B4593" s="6" t="s">
        <v>539</v>
      </c>
      <c r="C4593" s="14">
        <v>45108</v>
      </c>
      <c r="D4593" s="15">
        <v>92.24</v>
      </c>
      <c r="E4593" s="7">
        <f t="shared" si="71"/>
        <v>1</v>
      </c>
    </row>
    <row r="4594" spans="1:5" x14ac:dyDescent="0.25">
      <c r="A4594" s="7">
        <f>IF(E4594=1,
      SUM($E$2:E4594)-1,
"")</f>
        <v>4588</v>
      </c>
      <c r="B4594" s="6" t="s">
        <v>495</v>
      </c>
      <c r="C4594" s="14">
        <v>45040</v>
      </c>
      <c r="D4594" s="15">
        <v>71.69</v>
      </c>
      <c r="E4594" s="7">
        <f t="shared" si="71"/>
        <v>1</v>
      </c>
    </row>
    <row r="4595" spans="1:5" x14ac:dyDescent="0.25">
      <c r="A4595" s="7">
        <f>IF(E4595=1,
      SUM($E$2:E4595)-1,
"")</f>
        <v>4589</v>
      </c>
      <c r="B4595" s="6" t="s">
        <v>180</v>
      </c>
      <c r="C4595" s="14">
        <v>45007</v>
      </c>
      <c r="D4595" s="15">
        <v>141.47999999999999</v>
      </c>
      <c r="E4595" s="7">
        <f t="shared" si="71"/>
        <v>1</v>
      </c>
    </row>
    <row r="4596" spans="1:5" x14ac:dyDescent="0.25">
      <c r="A4596" s="7">
        <f>IF(E4596=1,
      SUM($E$2:E4596)-1,
"")</f>
        <v>4590</v>
      </c>
      <c r="B4596" s="6" t="s">
        <v>554</v>
      </c>
      <c r="C4596" s="14">
        <v>45231</v>
      </c>
      <c r="D4596" s="15">
        <v>107.73</v>
      </c>
      <c r="E4596" s="7">
        <f t="shared" si="71"/>
        <v>1</v>
      </c>
    </row>
    <row r="4597" spans="1:5" x14ac:dyDescent="0.25">
      <c r="A4597" s="7">
        <f>IF(E4597=1,
      SUM($E$2:E4597)-1,
"")</f>
        <v>4591</v>
      </c>
      <c r="B4597" s="6" t="s">
        <v>155</v>
      </c>
      <c r="C4597" s="14">
        <v>45290</v>
      </c>
      <c r="D4597" s="15">
        <v>68.540000000000006</v>
      </c>
      <c r="E4597" s="7">
        <f t="shared" si="71"/>
        <v>1</v>
      </c>
    </row>
    <row r="4598" spans="1:5" x14ac:dyDescent="0.25">
      <c r="A4598" s="7">
        <f>IF(E4598=1,
      SUM($E$2:E4598)-1,
"")</f>
        <v>4592</v>
      </c>
      <c r="B4598" s="6" t="s">
        <v>854</v>
      </c>
      <c r="C4598" s="14">
        <v>45225</v>
      </c>
      <c r="D4598" s="15">
        <v>103.79</v>
      </c>
      <c r="E4598" s="7">
        <f t="shared" si="71"/>
        <v>1</v>
      </c>
    </row>
    <row r="4599" spans="1:5" x14ac:dyDescent="0.25">
      <c r="A4599" s="7">
        <f>IF(E4599=1,
      SUM($E$2:E4599)-1,
"")</f>
        <v>4593</v>
      </c>
      <c r="B4599" s="6" t="s">
        <v>307</v>
      </c>
      <c r="C4599" s="14">
        <v>45268</v>
      </c>
      <c r="D4599" s="15">
        <v>105.15</v>
      </c>
      <c r="E4599" s="7">
        <f t="shared" si="71"/>
        <v>1</v>
      </c>
    </row>
    <row r="4600" spans="1:5" x14ac:dyDescent="0.25">
      <c r="A4600" s="7">
        <f>IF(E4600=1,
      SUM($E$2:E4600)-1,
"")</f>
        <v>4594</v>
      </c>
      <c r="B4600" s="6" t="s">
        <v>210</v>
      </c>
      <c r="C4600" s="14">
        <v>45114</v>
      </c>
      <c r="D4600" s="15">
        <v>32.700000000000003</v>
      </c>
      <c r="E4600" s="7">
        <f t="shared" si="71"/>
        <v>1</v>
      </c>
    </row>
    <row r="4601" spans="1:5" x14ac:dyDescent="0.25">
      <c r="A4601" s="7">
        <f>IF(E4601=1,
      SUM($E$2:E4601)-1,
"")</f>
        <v>4595</v>
      </c>
      <c r="B4601" s="6" t="s">
        <v>619</v>
      </c>
      <c r="C4601" s="14">
        <v>45152</v>
      </c>
      <c r="D4601" s="15">
        <v>140.21</v>
      </c>
      <c r="E4601" s="7">
        <f t="shared" si="71"/>
        <v>1</v>
      </c>
    </row>
    <row r="4602" spans="1:5" x14ac:dyDescent="0.25">
      <c r="A4602" s="7">
        <f>IF(E4602=1,
      SUM($E$2:E4602)-1,
"")</f>
        <v>4596</v>
      </c>
      <c r="B4602" s="6" t="s">
        <v>636</v>
      </c>
      <c r="C4602" s="14">
        <v>45062</v>
      </c>
      <c r="D4602" s="15">
        <v>70.31</v>
      </c>
      <c r="E4602" s="7">
        <f t="shared" si="71"/>
        <v>1</v>
      </c>
    </row>
    <row r="4603" spans="1:5" x14ac:dyDescent="0.25">
      <c r="A4603" s="7">
        <f>IF(E4603=1,
      SUM($E$2:E4603)-1,
"")</f>
        <v>4597</v>
      </c>
      <c r="B4603" s="6" t="s">
        <v>927</v>
      </c>
      <c r="C4603" s="14">
        <v>44993</v>
      </c>
      <c r="D4603" s="15">
        <v>162.71</v>
      </c>
      <c r="E4603" s="7">
        <f t="shared" si="71"/>
        <v>1</v>
      </c>
    </row>
    <row r="4604" spans="1:5" x14ac:dyDescent="0.25">
      <c r="A4604" s="7">
        <f>IF(E4604=1,
      SUM($E$2:E4604)-1,
"")</f>
        <v>4598</v>
      </c>
      <c r="B4604" s="6" t="s">
        <v>197</v>
      </c>
      <c r="C4604" s="14">
        <v>45130</v>
      </c>
      <c r="D4604" s="15">
        <v>123.86</v>
      </c>
      <c r="E4604" s="7">
        <f t="shared" si="71"/>
        <v>1</v>
      </c>
    </row>
    <row r="4605" spans="1:5" x14ac:dyDescent="0.25">
      <c r="A4605" s="7">
        <f>IF(E4605=1,
      SUM($E$2:E4605)-1,
"")</f>
        <v>4599</v>
      </c>
      <c r="B4605" s="6" t="s">
        <v>296</v>
      </c>
      <c r="C4605" s="14">
        <v>44982</v>
      </c>
      <c r="D4605" s="15">
        <v>66.2</v>
      </c>
      <c r="E4605" s="7">
        <f t="shared" si="71"/>
        <v>1</v>
      </c>
    </row>
    <row r="4606" spans="1:5" x14ac:dyDescent="0.25">
      <c r="A4606" s="7">
        <f>IF(E4606=1,
      SUM($E$2:E4606)-1,
"")</f>
        <v>4600</v>
      </c>
      <c r="B4606" s="6" t="s">
        <v>454</v>
      </c>
      <c r="C4606" s="14">
        <v>45163</v>
      </c>
      <c r="D4606" s="15">
        <v>90.57</v>
      </c>
      <c r="E4606" s="7">
        <f t="shared" si="71"/>
        <v>1</v>
      </c>
    </row>
    <row r="4607" spans="1:5" x14ac:dyDescent="0.25">
      <c r="A4607" s="7">
        <f>IF(E4607=1,
      SUM($E$2:E4607)-1,
"")</f>
        <v>4601</v>
      </c>
      <c r="B4607" s="6" t="s">
        <v>543</v>
      </c>
      <c r="C4607" s="14">
        <v>45047</v>
      </c>
      <c r="D4607" s="15">
        <v>127.68</v>
      </c>
      <c r="E4607" s="7">
        <f t="shared" si="71"/>
        <v>1</v>
      </c>
    </row>
    <row r="4608" spans="1:5" x14ac:dyDescent="0.25">
      <c r="A4608" s="7">
        <f>IF(E4608=1,
      SUM($E$2:E4608)-1,
"")</f>
        <v>4602</v>
      </c>
      <c r="B4608" s="6" t="s">
        <v>662</v>
      </c>
      <c r="C4608" s="14">
        <v>44996</v>
      </c>
      <c r="D4608" s="15">
        <v>92.87</v>
      </c>
      <c r="E4608" s="7">
        <f t="shared" si="71"/>
        <v>1</v>
      </c>
    </row>
    <row r="4609" spans="1:5" x14ac:dyDescent="0.25">
      <c r="A4609" s="7">
        <f>IF(E4609=1,
      SUM($E$2:E4609)-1,
"")</f>
        <v>4603</v>
      </c>
      <c r="B4609" s="6" t="s">
        <v>226</v>
      </c>
      <c r="C4609" s="14">
        <v>45121</v>
      </c>
      <c r="D4609" s="15">
        <v>135.35</v>
      </c>
      <c r="E4609" s="7">
        <f t="shared" si="71"/>
        <v>1</v>
      </c>
    </row>
    <row r="4610" spans="1:5" x14ac:dyDescent="0.25">
      <c r="A4610" s="7">
        <f>IF(E4610=1,
      SUM($E$2:E4610)-1,
"")</f>
        <v>4604</v>
      </c>
      <c r="B4610" s="6" t="s">
        <v>423</v>
      </c>
      <c r="C4610" s="14">
        <v>45229</v>
      </c>
      <c r="D4610" s="15">
        <v>88.72</v>
      </c>
      <c r="E4610" s="7">
        <f t="shared" ref="E4610:E4673" si="72">IF(D4610&gt;0,1,0)</f>
        <v>1</v>
      </c>
    </row>
    <row r="4611" spans="1:5" x14ac:dyDescent="0.25">
      <c r="A4611" s="7">
        <f>IF(E4611=1,
      SUM($E$2:E4611)-1,
"")</f>
        <v>4605</v>
      </c>
      <c r="B4611" s="6" t="s">
        <v>512</v>
      </c>
      <c r="C4611" s="14">
        <v>45262</v>
      </c>
      <c r="D4611" s="15">
        <v>97.64</v>
      </c>
      <c r="E4611" s="7">
        <f t="shared" si="72"/>
        <v>1</v>
      </c>
    </row>
    <row r="4612" spans="1:5" x14ac:dyDescent="0.25">
      <c r="A4612" s="7">
        <f>IF(E4612=1,
      SUM($E$2:E4612)-1,
"")</f>
        <v>4606</v>
      </c>
      <c r="B4612" s="6" t="s">
        <v>549</v>
      </c>
      <c r="C4612" s="14">
        <v>45246</v>
      </c>
      <c r="D4612" s="15">
        <v>128.5</v>
      </c>
      <c r="E4612" s="7">
        <f t="shared" si="72"/>
        <v>1</v>
      </c>
    </row>
    <row r="4613" spans="1:5" x14ac:dyDescent="0.25">
      <c r="A4613" s="7">
        <f>IF(E4613=1,
      SUM($E$2:E4613)-1,
"")</f>
        <v>4607</v>
      </c>
      <c r="B4613" s="6" t="s">
        <v>464</v>
      </c>
      <c r="C4613" s="14">
        <v>45163</v>
      </c>
      <c r="D4613" s="15">
        <v>118.1</v>
      </c>
      <c r="E4613" s="7">
        <f t="shared" si="72"/>
        <v>1</v>
      </c>
    </row>
    <row r="4614" spans="1:5" x14ac:dyDescent="0.25">
      <c r="A4614" s="7">
        <f>IF(E4614=1,
      SUM($E$2:E4614)-1,
"")</f>
        <v>4608</v>
      </c>
      <c r="B4614" s="6" t="s">
        <v>591</v>
      </c>
      <c r="C4614" s="14">
        <v>44941</v>
      </c>
      <c r="D4614" s="15">
        <v>72.239999999999995</v>
      </c>
      <c r="E4614" s="7">
        <f t="shared" si="72"/>
        <v>1</v>
      </c>
    </row>
    <row r="4615" spans="1:5" x14ac:dyDescent="0.25">
      <c r="A4615" s="7">
        <f>IF(E4615=1,
      SUM($E$2:E4615)-1,
"")</f>
        <v>4609</v>
      </c>
      <c r="B4615" s="6" t="s">
        <v>465</v>
      </c>
      <c r="C4615" s="14">
        <v>44960</v>
      </c>
      <c r="D4615" s="15">
        <v>113.02</v>
      </c>
      <c r="E4615" s="7">
        <f t="shared" si="72"/>
        <v>1</v>
      </c>
    </row>
    <row r="4616" spans="1:5" x14ac:dyDescent="0.25">
      <c r="A4616" s="7">
        <f>IF(E4616=1,
      SUM($E$2:E4616)-1,
"")</f>
        <v>4610</v>
      </c>
      <c r="B4616" s="6" t="s">
        <v>129</v>
      </c>
      <c r="C4616" s="14">
        <v>45183</v>
      </c>
      <c r="D4616" s="15">
        <v>105.02</v>
      </c>
      <c r="E4616" s="7">
        <f t="shared" si="72"/>
        <v>1</v>
      </c>
    </row>
    <row r="4617" spans="1:5" x14ac:dyDescent="0.25">
      <c r="A4617" s="7">
        <f>IF(E4617=1,
      SUM($E$2:E4617)-1,
"")</f>
        <v>4611</v>
      </c>
      <c r="B4617" s="6" t="s">
        <v>329</v>
      </c>
      <c r="C4617" s="14">
        <v>45224</v>
      </c>
      <c r="D4617" s="15">
        <v>72.650000000000006</v>
      </c>
      <c r="E4617" s="7">
        <f t="shared" si="72"/>
        <v>1</v>
      </c>
    </row>
    <row r="4618" spans="1:5" x14ac:dyDescent="0.25">
      <c r="A4618" s="7">
        <f>IF(E4618=1,
      SUM($E$2:E4618)-1,
"")</f>
        <v>4612</v>
      </c>
      <c r="B4618" s="6" t="s">
        <v>269</v>
      </c>
      <c r="C4618" s="14">
        <v>45235</v>
      </c>
      <c r="D4618" s="15">
        <v>58.29</v>
      </c>
      <c r="E4618" s="7">
        <f t="shared" si="72"/>
        <v>1</v>
      </c>
    </row>
    <row r="4619" spans="1:5" x14ac:dyDescent="0.25">
      <c r="A4619" s="7">
        <f>IF(E4619=1,
      SUM($E$2:E4619)-1,
"")</f>
        <v>4613</v>
      </c>
      <c r="B4619" s="6" t="s">
        <v>104</v>
      </c>
      <c r="C4619" s="14">
        <v>45187</v>
      </c>
      <c r="D4619" s="15">
        <v>42.06</v>
      </c>
      <c r="E4619" s="7">
        <f t="shared" si="72"/>
        <v>1</v>
      </c>
    </row>
    <row r="4620" spans="1:5" x14ac:dyDescent="0.25">
      <c r="A4620" s="7">
        <f>IF(E4620=1,
      SUM($E$2:E4620)-1,
"")</f>
        <v>4614</v>
      </c>
      <c r="B4620" s="6" t="s">
        <v>415</v>
      </c>
      <c r="C4620" s="14">
        <v>44993</v>
      </c>
      <c r="D4620" s="15">
        <v>91.17</v>
      </c>
      <c r="E4620" s="7">
        <f t="shared" si="72"/>
        <v>1</v>
      </c>
    </row>
    <row r="4621" spans="1:5" x14ac:dyDescent="0.25">
      <c r="A4621" s="7">
        <f>IF(E4621=1,
      SUM($E$2:E4621)-1,
"")</f>
        <v>4615</v>
      </c>
      <c r="B4621" s="6" t="s">
        <v>78</v>
      </c>
      <c r="C4621" s="14">
        <v>44963</v>
      </c>
      <c r="D4621" s="15">
        <v>98.38</v>
      </c>
      <c r="E4621" s="7">
        <f t="shared" si="72"/>
        <v>1</v>
      </c>
    </row>
    <row r="4622" spans="1:5" x14ac:dyDescent="0.25">
      <c r="A4622" s="7">
        <f>IF(E4622=1,
      SUM($E$2:E4622)-1,
"")</f>
        <v>4616</v>
      </c>
      <c r="B4622" s="6" t="s">
        <v>621</v>
      </c>
      <c r="C4622" s="14">
        <v>45037</v>
      </c>
      <c r="D4622" s="15">
        <v>115.14</v>
      </c>
      <c r="E4622" s="7">
        <f t="shared" si="72"/>
        <v>1</v>
      </c>
    </row>
    <row r="4623" spans="1:5" x14ac:dyDescent="0.25">
      <c r="A4623" s="7">
        <f>IF(E4623=1,
      SUM($E$2:E4623)-1,
"")</f>
        <v>4617</v>
      </c>
      <c r="B4623" s="6" t="s">
        <v>387</v>
      </c>
      <c r="C4623" s="14">
        <v>44981</v>
      </c>
      <c r="D4623" s="15">
        <v>124.61</v>
      </c>
      <c r="E4623" s="7">
        <f t="shared" si="72"/>
        <v>1</v>
      </c>
    </row>
    <row r="4624" spans="1:5" x14ac:dyDescent="0.25">
      <c r="A4624" s="7">
        <f>IF(E4624=1,
      SUM($E$2:E4624)-1,
"")</f>
        <v>4618</v>
      </c>
      <c r="B4624" s="6" t="s">
        <v>365</v>
      </c>
      <c r="C4624" s="14">
        <v>45122</v>
      </c>
      <c r="D4624" s="15">
        <v>87.58</v>
      </c>
      <c r="E4624" s="7">
        <f t="shared" si="72"/>
        <v>1</v>
      </c>
    </row>
    <row r="4625" spans="1:5" x14ac:dyDescent="0.25">
      <c r="A4625" s="7">
        <f>IF(E4625=1,
      SUM($E$2:E4625)-1,
"")</f>
        <v>4619</v>
      </c>
      <c r="B4625" s="6" t="s">
        <v>867</v>
      </c>
      <c r="C4625" s="14">
        <v>45131</v>
      </c>
      <c r="D4625" s="15">
        <v>97.51</v>
      </c>
      <c r="E4625" s="7">
        <f t="shared" si="72"/>
        <v>1</v>
      </c>
    </row>
    <row r="4626" spans="1:5" x14ac:dyDescent="0.25">
      <c r="A4626" s="7">
        <f>IF(E4626=1,
      SUM($E$2:E4626)-1,
"")</f>
        <v>4620</v>
      </c>
      <c r="B4626" s="6" t="s">
        <v>409</v>
      </c>
      <c r="C4626" s="14">
        <v>45007</v>
      </c>
      <c r="D4626" s="15">
        <v>77.239999999999995</v>
      </c>
      <c r="E4626" s="7">
        <f t="shared" si="72"/>
        <v>1</v>
      </c>
    </row>
    <row r="4627" spans="1:5" x14ac:dyDescent="0.25">
      <c r="A4627" s="7">
        <f>IF(E4627=1,
      SUM($E$2:E4627)-1,
"")</f>
        <v>4621</v>
      </c>
      <c r="B4627" s="6" t="s">
        <v>750</v>
      </c>
      <c r="C4627" s="14">
        <v>45222</v>
      </c>
      <c r="D4627" s="15">
        <v>102.62</v>
      </c>
      <c r="E4627" s="7">
        <f t="shared" si="72"/>
        <v>1</v>
      </c>
    </row>
    <row r="4628" spans="1:5" x14ac:dyDescent="0.25">
      <c r="A4628" s="7">
        <f>IF(E4628=1,
      SUM($E$2:E4628)-1,
"")</f>
        <v>4622</v>
      </c>
      <c r="B4628" s="6" t="s">
        <v>935</v>
      </c>
      <c r="C4628" s="14">
        <v>45038</v>
      </c>
      <c r="D4628" s="15">
        <v>129.06</v>
      </c>
      <c r="E4628" s="7">
        <f t="shared" si="72"/>
        <v>1</v>
      </c>
    </row>
    <row r="4629" spans="1:5" x14ac:dyDescent="0.25">
      <c r="A4629" s="7">
        <f>IF(E4629=1,
      SUM($E$2:E4629)-1,
"")</f>
        <v>4623</v>
      </c>
      <c r="B4629" s="6" t="s">
        <v>791</v>
      </c>
      <c r="C4629" s="14">
        <v>45238</v>
      </c>
      <c r="D4629" s="15">
        <v>103.03</v>
      </c>
      <c r="E4629" s="7">
        <f t="shared" si="72"/>
        <v>1</v>
      </c>
    </row>
    <row r="4630" spans="1:5" x14ac:dyDescent="0.25">
      <c r="A4630" s="7">
        <f>IF(E4630=1,
      SUM($E$2:E4630)-1,
"")</f>
        <v>4624</v>
      </c>
      <c r="B4630" s="6" t="s">
        <v>514</v>
      </c>
      <c r="C4630" s="14">
        <v>44970</v>
      </c>
      <c r="D4630" s="15">
        <v>134.9</v>
      </c>
      <c r="E4630" s="7">
        <f t="shared" si="72"/>
        <v>1</v>
      </c>
    </row>
    <row r="4631" spans="1:5" x14ac:dyDescent="0.25">
      <c r="A4631" s="7">
        <f>IF(E4631=1,
      SUM($E$2:E4631)-1,
"")</f>
        <v>4625</v>
      </c>
      <c r="B4631" s="6" t="s">
        <v>1035</v>
      </c>
      <c r="C4631" s="14">
        <v>45290</v>
      </c>
      <c r="D4631" s="15">
        <v>128.55000000000001</v>
      </c>
      <c r="E4631" s="7">
        <f t="shared" si="72"/>
        <v>1</v>
      </c>
    </row>
    <row r="4632" spans="1:5" x14ac:dyDescent="0.25">
      <c r="A4632" s="7">
        <f>IF(E4632=1,
      SUM($E$2:E4632)-1,
"")</f>
        <v>4626</v>
      </c>
      <c r="B4632" s="6" t="s">
        <v>191</v>
      </c>
      <c r="C4632" s="14">
        <v>45267</v>
      </c>
      <c r="D4632" s="15">
        <v>143.72999999999999</v>
      </c>
      <c r="E4632" s="7">
        <f t="shared" si="72"/>
        <v>1</v>
      </c>
    </row>
    <row r="4633" spans="1:5" x14ac:dyDescent="0.25">
      <c r="A4633" s="7">
        <f>IF(E4633=1,
      SUM($E$2:E4633)-1,
"")</f>
        <v>4627</v>
      </c>
      <c r="B4633" s="6" t="s">
        <v>892</v>
      </c>
      <c r="C4633" s="14">
        <v>44980</v>
      </c>
      <c r="D4633" s="15">
        <v>103.88</v>
      </c>
      <c r="E4633" s="7">
        <f t="shared" si="72"/>
        <v>1</v>
      </c>
    </row>
    <row r="4634" spans="1:5" x14ac:dyDescent="0.25">
      <c r="A4634" s="7">
        <f>IF(E4634=1,
      SUM($E$2:E4634)-1,
"")</f>
        <v>4628</v>
      </c>
      <c r="B4634" s="6" t="s">
        <v>915</v>
      </c>
      <c r="C4634" s="14">
        <v>45167</v>
      </c>
      <c r="D4634" s="15">
        <v>84.03</v>
      </c>
      <c r="E4634" s="7">
        <f t="shared" si="72"/>
        <v>1</v>
      </c>
    </row>
    <row r="4635" spans="1:5" x14ac:dyDescent="0.25">
      <c r="A4635" s="7">
        <f>IF(E4635=1,
      SUM($E$2:E4635)-1,
"")</f>
        <v>4629</v>
      </c>
      <c r="B4635" s="6" t="s">
        <v>479</v>
      </c>
      <c r="C4635" s="14">
        <v>45240</v>
      </c>
      <c r="D4635" s="15">
        <v>118.64</v>
      </c>
      <c r="E4635" s="7">
        <f t="shared" si="72"/>
        <v>1</v>
      </c>
    </row>
    <row r="4636" spans="1:5" x14ac:dyDescent="0.25">
      <c r="A4636" s="7">
        <f>IF(E4636=1,
      SUM($E$2:E4636)-1,
"")</f>
        <v>4630</v>
      </c>
      <c r="B4636" s="6" t="s">
        <v>648</v>
      </c>
      <c r="C4636" s="14">
        <v>45095</v>
      </c>
      <c r="D4636" s="15">
        <v>88.81</v>
      </c>
      <c r="E4636" s="7">
        <f t="shared" si="72"/>
        <v>1</v>
      </c>
    </row>
    <row r="4637" spans="1:5" x14ac:dyDescent="0.25">
      <c r="A4637" s="7">
        <f>IF(E4637=1,
      SUM($E$2:E4637)-1,
"")</f>
        <v>4631</v>
      </c>
      <c r="B4637" s="6" t="s">
        <v>405</v>
      </c>
      <c r="C4637" s="14">
        <v>44994</v>
      </c>
      <c r="D4637" s="15">
        <v>117.7</v>
      </c>
      <c r="E4637" s="7">
        <f t="shared" si="72"/>
        <v>1</v>
      </c>
    </row>
    <row r="4638" spans="1:5" x14ac:dyDescent="0.25">
      <c r="A4638" s="7">
        <f>IF(E4638=1,
      SUM($E$2:E4638)-1,
"")</f>
        <v>4632</v>
      </c>
      <c r="B4638" s="6" t="s">
        <v>861</v>
      </c>
      <c r="C4638" s="14">
        <v>45105</v>
      </c>
      <c r="D4638" s="15">
        <v>80.12</v>
      </c>
      <c r="E4638" s="7">
        <f t="shared" si="72"/>
        <v>1</v>
      </c>
    </row>
    <row r="4639" spans="1:5" x14ac:dyDescent="0.25">
      <c r="A4639" s="7">
        <f>IF(E4639=1,
      SUM($E$2:E4639)-1,
"")</f>
        <v>4633</v>
      </c>
      <c r="B4639" s="6" t="s">
        <v>426</v>
      </c>
      <c r="C4639" s="14">
        <v>45107</v>
      </c>
      <c r="D4639" s="15">
        <v>75.150000000000006</v>
      </c>
      <c r="E4639" s="7">
        <f t="shared" si="72"/>
        <v>1</v>
      </c>
    </row>
    <row r="4640" spans="1:5" x14ac:dyDescent="0.25">
      <c r="A4640" s="7">
        <f>IF(E4640=1,
      SUM($E$2:E4640)-1,
"")</f>
        <v>4634</v>
      </c>
      <c r="B4640" s="6" t="s">
        <v>789</v>
      </c>
      <c r="C4640" s="14">
        <v>44988</v>
      </c>
      <c r="D4640" s="15">
        <v>136.49</v>
      </c>
      <c r="E4640" s="7">
        <f t="shared" si="72"/>
        <v>1</v>
      </c>
    </row>
    <row r="4641" spans="1:5" x14ac:dyDescent="0.25">
      <c r="A4641" s="7">
        <f>IF(E4641=1,
      SUM($E$2:E4641)-1,
"")</f>
        <v>4635</v>
      </c>
      <c r="B4641" s="6" t="s">
        <v>194</v>
      </c>
      <c r="C4641" s="14">
        <v>44995</v>
      </c>
      <c r="D4641" s="15">
        <v>69.62</v>
      </c>
      <c r="E4641" s="7">
        <f t="shared" si="72"/>
        <v>1</v>
      </c>
    </row>
    <row r="4642" spans="1:5" x14ac:dyDescent="0.25">
      <c r="A4642" s="7">
        <f>IF(E4642=1,
      SUM($E$2:E4642)-1,
"")</f>
        <v>4636</v>
      </c>
      <c r="B4642" s="6" t="s">
        <v>204</v>
      </c>
      <c r="C4642" s="14">
        <v>45089</v>
      </c>
      <c r="D4642" s="15">
        <v>130.66999999999999</v>
      </c>
      <c r="E4642" s="7">
        <f t="shared" si="72"/>
        <v>1</v>
      </c>
    </row>
    <row r="4643" spans="1:5" x14ac:dyDescent="0.25">
      <c r="A4643" s="7">
        <f>IF(E4643=1,
      SUM($E$2:E4643)-1,
"")</f>
        <v>4637</v>
      </c>
      <c r="B4643" s="6" t="s">
        <v>544</v>
      </c>
      <c r="C4643" s="14">
        <v>45282</v>
      </c>
      <c r="D4643" s="15">
        <v>117.58</v>
      </c>
      <c r="E4643" s="7">
        <f t="shared" si="72"/>
        <v>1</v>
      </c>
    </row>
    <row r="4644" spans="1:5" x14ac:dyDescent="0.25">
      <c r="A4644" s="7">
        <f>IF(E4644=1,
      SUM($E$2:E4644)-1,
"")</f>
        <v>4638</v>
      </c>
      <c r="B4644" s="6" t="s">
        <v>739</v>
      </c>
      <c r="C4644" s="14">
        <v>44934</v>
      </c>
      <c r="D4644" s="15">
        <v>102.83</v>
      </c>
      <c r="E4644" s="7">
        <f t="shared" si="72"/>
        <v>1</v>
      </c>
    </row>
    <row r="4645" spans="1:5" x14ac:dyDescent="0.25">
      <c r="A4645" s="7">
        <f>IF(E4645=1,
      SUM($E$2:E4645)-1,
"")</f>
        <v>4639</v>
      </c>
      <c r="B4645" s="6" t="s">
        <v>577</v>
      </c>
      <c r="C4645" s="14">
        <v>44939</v>
      </c>
      <c r="D4645" s="15">
        <v>43.22</v>
      </c>
      <c r="E4645" s="7">
        <f t="shared" si="72"/>
        <v>1</v>
      </c>
    </row>
    <row r="4646" spans="1:5" x14ac:dyDescent="0.25">
      <c r="A4646" s="7">
        <f>IF(E4646=1,
      SUM($E$2:E4646)-1,
"")</f>
        <v>4640</v>
      </c>
      <c r="B4646" s="6" t="s">
        <v>519</v>
      </c>
      <c r="C4646" s="14">
        <v>45147</v>
      </c>
      <c r="D4646" s="15">
        <v>144.57</v>
      </c>
      <c r="E4646" s="7">
        <f t="shared" si="72"/>
        <v>1</v>
      </c>
    </row>
    <row r="4647" spans="1:5" x14ac:dyDescent="0.25">
      <c r="A4647" s="7">
        <f>IF(E4647=1,
      SUM($E$2:E4647)-1,
"")</f>
        <v>4641</v>
      </c>
      <c r="B4647" s="6" t="s">
        <v>299</v>
      </c>
      <c r="C4647" s="14">
        <v>45208</v>
      </c>
      <c r="D4647" s="15">
        <v>71.95</v>
      </c>
      <c r="E4647" s="7">
        <f t="shared" si="72"/>
        <v>1</v>
      </c>
    </row>
    <row r="4648" spans="1:5" x14ac:dyDescent="0.25">
      <c r="A4648" s="7">
        <f>IF(E4648=1,
      SUM($E$2:E4648)-1,
"")</f>
        <v>4642</v>
      </c>
      <c r="B4648" s="6" t="s">
        <v>468</v>
      </c>
      <c r="C4648" s="14">
        <v>45193</v>
      </c>
      <c r="D4648" s="15">
        <v>128.59</v>
      </c>
      <c r="E4648" s="7">
        <f t="shared" si="72"/>
        <v>1</v>
      </c>
    </row>
    <row r="4649" spans="1:5" x14ac:dyDescent="0.25">
      <c r="A4649" s="7">
        <f>IF(E4649=1,
      SUM($E$2:E4649)-1,
"")</f>
        <v>4643</v>
      </c>
      <c r="B4649" s="6" t="s">
        <v>518</v>
      </c>
      <c r="C4649" s="14">
        <v>45189</v>
      </c>
      <c r="D4649" s="15">
        <v>79.27</v>
      </c>
      <c r="E4649" s="7">
        <f t="shared" si="72"/>
        <v>1</v>
      </c>
    </row>
    <row r="4650" spans="1:5" x14ac:dyDescent="0.25">
      <c r="A4650" s="7">
        <f>IF(E4650=1,
      SUM($E$2:E4650)-1,
"")</f>
        <v>4644</v>
      </c>
      <c r="B4650" s="6" t="s">
        <v>542</v>
      </c>
      <c r="C4650" s="14">
        <v>45247</v>
      </c>
      <c r="D4650" s="15">
        <v>76.87</v>
      </c>
      <c r="E4650" s="7">
        <f t="shared" si="72"/>
        <v>1</v>
      </c>
    </row>
    <row r="4651" spans="1:5" x14ac:dyDescent="0.25">
      <c r="A4651" s="7">
        <f>IF(E4651=1,
      SUM($E$2:E4651)-1,
"")</f>
        <v>4645</v>
      </c>
      <c r="B4651" s="6" t="s">
        <v>192</v>
      </c>
      <c r="C4651" s="14">
        <v>45249</v>
      </c>
      <c r="D4651" s="15">
        <v>120.06</v>
      </c>
      <c r="E4651" s="7">
        <f t="shared" si="72"/>
        <v>1</v>
      </c>
    </row>
    <row r="4652" spans="1:5" x14ac:dyDescent="0.25">
      <c r="A4652" s="7">
        <f>IF(E4652=1,
      SUM($E$2:E4652)-1,
"")</f>
        <v>4646</v>
      </c>
      <c r="B4652" s="6" t="s">
        <v>354</v>
      </c>
      <c r="C4652" s="14">
        <v>45015</v>
      </c>
      <c r="D4652" s="15">
        <v>116.15</v>
      </c>
      <c r="E4652" s="7">
        <f t="shared" si="72"/>
        <v>1</v>
      </c>
    </row>
    <row r="4653" spans="1:5" x14ac:dyDescent="0.25">
      <c r="A4653" s="7">
        <f>IF(E4653=1,
      SUM($E$2:E4653)-1,
"")</f>
        <v>4647</v>
      </c>
      <c r="B4653" s="6" t="s">
        <v>384</v>
      </c>
      <c r="C4653" s="14">
        <v>45112</v>
      </c>
      <c r="D4653" s="15">
        <v>65.650000000000006</v>
      </c>
      <c r="E4653" s="7">
        <f t="shared" si="72"/>
        <v>1</v>
      </c>
    </row>
    <row r="4654" spans="1:5" x14ac:dyDescent="0.25">
      <c r="A4654" s="7">
        <f>IF(E4654=1,
      SUM($E$2:E4654)-1,
"")</f>
        <v>4648</v>
      </c>
      <c r="B4654" s="6" t="s">
        <v>1044</v>
      </c>
      <c r="C4654" s="14">
        <v>45106</v>
      </c>
      <c r="D4654" s="15">
        <v>143.1</v>
      </c>
      <c r="E4654" s="7">
        <f t="shared" si="72"/>
        <v>1</v>
      </c>
    </row>
    <row r="4655" spans="1:5" x14ac:dyDescent="0.25">
      <c r="A4655" s="7">
        <f>IF(E4655=1,
      SUM($E$2:E4655)-1,
"")</f>
        <v>4649</v>
      </c>
      <c r="B4655" s="6" t="s">
        <v>1056</v>
      </c>
      <c r="C4655" s="14">
        <v>45179</v>
      </c>
      <c r="D4655" s="15">
        <v>93.82</v>
      </c>
      <c r="E4655" s="7">
        <f t="shared" si="72"/>
        <v>1</v>
      </c>
    </row>
    <row r="4656" spans="1:5" x14ac:dyDescent="0.25">
      <c r="A4656" s="7">
        <f>IF(E4656=1,
      SUM($E$2:E4656)-1,
"")</f>
        <v>4650</v>
      </c>
      <c r="B4656" s="6" t="s">
        <v>930</v>
      </c>
      <c r="C4656" s="14">
        <v>45038</v>
      </c>
      <c r="D4656" s="15">
        <v>102.07</v>
      </c>
      <c r="E4656" s="7">
        <f t="shared" si="72"/>
        <v>1</v>
      </c>
    </row>
    <row r="4657" spans="1:5" x14ac:dyDescent="0.25">
      <c r="A4657" s="7">
        <f>IF(E4657=1,
      SUM($E$2:E4657)-1,
"")</f>
        <v>4651</v>
      </c>
      <c r="B4657" s="6" t="s">
        <v>671</v>
      </c>
      <c r="C4657" s="14">
        <v>45263</v>
      </c>
      <c r="D4657" s="15">
        <v>91.09</v>
      </c>
      <c r="E4657" s="7">
        <f t="shared" si="72"/>
        <v>1</v>
      </c>
    </row>
    <row r="4658" spans="1:5" x14ac:dyDescent="0.25">
      <c r="A4658" s="7">
        <f>IF(E4658=1,
      SUM($E$2:E4658)-1,
"")</f>
        <v>4652</v>
      </c>
      <c r="B4658" s="6" t="s">
        <v>996</v>
      </c>
      <c r="C4658" s="14">
        <v>45029</v>
      </c>
      <c r="D4658" s="15">
        <v>66.92</v>
      </c>
      <c r="E4658" s="7">
        <f t="shared" si="72"/>
        <v>1</v>
      </c>
    </row>
    <row r="4659" spans="1:5" x14ac:dyDescent="0.25">
      <c r="A4659" s="7">
        <f>IF(E4659=1,
      SUM($E$2:E4659)-1,
"")</f>
        <v>4653</v>
      </c>
      <c r="B4659" s="6" t="s">
        <v>763</v>
      </c>
      <c r="C4659" s="14">
        <v>45195</v>
      </c>
      <c r="D4659" s="15">
        <v>122.06</v>
      </c>
      <c r="E4659" s="7">
        <f t="shared" si="72"/>
        <v>1</v>
      </c>
    </row>
    <row r="4660" spans="1:5" x14ac:dyDescent="0.25">
      <c r="A4660" s="7">
        <f>IF(E4660=1,
      SUM($E$2:E4660)-1,
"")</f>
        <v>4654</v>
      </c>
      <c r="B4660" s="6" t="s">
        <v>491</v>
      </c>
      <c r="C4660" s="14">
        <v>44980</v>
      </c>
      <c r="D4660" s="15">
        <v>108.69</v>
      </c>
      <c r="E4660" s="7">
        <f t="shared" si="72"/>
        <v>1</v>
      </c>
    </row>
    <row r="4661" spans="1:5" x14ac:dyDescent="0.25">
      <c r="A4661" s="7">
        <f>IF(E4661=1,
      SUM($E$2:E4661)-1,
"")</f>
        <v>4655</v>
      </c>
      <c r="B4661" s="6" t="s">
        <v>1034</v>
      </c>
      <c r="C4661" s="14">
        <v>44964</v>
      </c>
      <c r="D4661" s="15">
        <v>75.849999999999994</v>
      </c>
      <c r="E4661" s="7">
        <f t="shared" si="72"/>
        <v>1</v>
      </c>
    </row>
    <row r="4662" spans="1:5" x14ac:dyDescent="0.25">
      <c r="A4662" s="7">
        <f>IF(E4662=1,
      SUM($E$2:E4662)-1,
"")</f>
        <v>4656</v>
      </c>
      <c r="B4662" s="6" t="s">
        <v>952</v>
      </c>
      <c r="C4662" s="14">
        <v>45178</v>
      </c>
      <c r="D4662" s="15">
        <v>128.32</v>
      </c>
      <c r="E4662" s="7">
        <f t="shared" si="72"/>
        <v>1</v>
      </c>
    </row>
    <row r="4663" spans="1:5" x14ac:dyDescent="0.25">
      <c r="A4663" s="7">
        <f>IF(E4663=1,
      SUM($E$2:E4663)-1,
"")</f>
        <v>4657</v>
      </c>
      <c r="B4663" s="6" t="s">
        <v>636</v>
      </c>
      <c r="C4663" s="14">
        <v>45017</v>
      </c>
      <c r="D4663" s="15">
        <v>101.65</v>
      </c>
      <c r="E4663" s="7">
        <f t="shared" si="72"/>
        <v>1</v>
      </c>
    </row>
    <row r="4664" spans="1:5" x14ac:dyDescent="0.25">
      <c r="A4664" s="7">
        <f>IF(E4664=1,
      SUM($E$2:E4664)-1,
"")</f>
        <v>4658</v>
      </c>
      <c r="B4664" s="6" t="s">
        <v>999</v>
      </c>
      <c r="C4664" s="14">
        <v>45012</v>
      </c>
      <c r="D4664" s="15">
        <v>102.29</v>
      </c>
      <c r="E4664" s="7">
        <f t="shared" si="72"/>
        <v>1</v>
      </c>
    </row>
    <row r="4665" spans="1:5" x14ac:dyDescent="0.25">
      <c r="A4665" s="7">
        <f>IF(E4665=1,
      SUM($E$2:E4665)-1,
"")</f>
        <v>4659</v>
      </c>
      <c r="B4665" s="6" t="s">
        <v>797</v>
      </c>
      <c r="C4665" s="14">
        <v>45018</v>
      </c>
      <c r="D4665" s="15">
        <v>153.30000000000001</v>
      </c>
      <c r="E4665" s="7">
        <f t="shared" si="72"/>
        <v>1</v>
      </c>
    </row>
    <row r="4666" spans="1:5" x14ac:dyDescent="0.25">
      <c r="A4666" s="7">
        <f>IF(E4666=1,
      SUM($E$2:E4666)-1,
"")</f>
        <v>4660</v>
      </c>
      <c r="B4666" s="6" t="s">
        <v>350</v>
      </c>
      <c r="C4666" s="14">
        <v>45032</v>
      </c>
      <c r="D4666" s="15">
        <v>51.76</v>
      </c>
      <c r="E4666" s="7">
        <f t="shared" si="72"/>
        <v>1</v>
      </c>
    </row>
    <row r="4667" spans="1:5" x14ac:dyDescent="0.25">
      <c r="A4667" s="7">
        <f>IF(E4667=1,
      SUM($E$2:E4667)-1,
"")</f>
        <v>4661</v>
      </c>
      <c r="B4667" s="6" t="s">
        <v>504</v>
      </c>
      <c r="C4667" s="14">
        <v>44962</v>
      </c>
      <c r="D4667" s="15">
        <v>51.36</v>
      </c>
      <c r="E4667" s="7">
        <f t="shared" si="72"/>
        <v>1</v>
      </c>
    </row>
    <row r="4668" spans="1:5" x14ac:dyDescent="0.25">
      <c r="A4668" s="7">
        <f>IF(E4668=1,
      SUM($E$2:E4668)-1,
"")</f>
        <v>4662</v>
      </c>
      <c r="B4668" s="6" t="s">
        <v>824</v>
      </c>
      <c r="C4668" s="14">
        <v>45086</v>
      </c>
      <c r="D4668" s="15">
        <v>58.12</v>
      </c>
      <c r="E4668" s="7">
        <f t="shared" si="72"/>
        <v>1</v>
      </c>
    </row>
    <row r="4669" spans="1:5" x14ac:dyDescent="0.25">
      <c r="A4669" s="7">
        <f>IF(E4669=1,
      SUM($E$2:E4669)-1,
"")</f>
        <v>4663</v>
      </c>
      <c r="B4669" s="6" t="s">
        <v>170</v>
      </c>
      <c r="C4669" s="14">
        <v>44965</v>
      </c>
      <c r="D4669" s="15">
        <v>110.91</v>
      </c>
      <c r="E4669" s="7">
        <f t="shared" si="72"/>
        <v>1</v>
      </c>
    </row>
    <row r="4670" spans="1:5" x14ac:dyDescent="0.25">
      <c r="A4670" s="7">
        <f>IF(E4670=1,
      SUM($E$2:E4670)-1,
"")</f>
        <v>4664</v>
      </c>
      <c r="B4670" s="6" t="s">
        <v>489</v>
      </c>
      <c r="C4670" s="14">
        <v>45082</v>
      </c>
      <c r="D4670" s="15">
        <v>89.23</v>
      </c>
      <c r="E4670" s="7">
        <f t="shared" si="72"/>
        <v>1</v>
      </c>
    </row>
    <row r="4671" spans="1:5" x14ac:dyDescent="0.25">
      <c r="A4671" s="7">
        <f>IF(E4671=1,
      SUM($E$2:E4671)-1,
"")</f>
        <v>4665</v>
      </c>
      <c r="B4671" s="6" t="s">
        <v>394</v>
      </c>
      <c r="C4671" s="14">
        <v>45078</v>
      </c>
      <c r="D4671" s="15">
        <v>91.61</v>
      </c>
      <c r="E4671" s="7">
        <f t="shared" si="72"/>
        <v>1</v>
      </c>
    </row>
    <row r="4672" spans="1:5" x14ac:dyDescent="0.25">
      <c r="A4672" s="7">
        <f>IF(E4672=1,
      SUM($E$2:E4672)-1,
"")</f>
        <v>4666</v>
      </c>
      <c r="B4672" s="6" t="s">
        <v>359</v>
      </c>
      <c r="C4672" s="14">
        <v>45253</v>
      </c>
      <c r="D4672" s="15">
        <v>71.73</v>
      </c>
      <c r="E4672" s="7">
        <f t="shared" si="72"/>
        <v>1</v>
      </c>
    </row>
    <row r="4673" spans="1:5" x14ac:dyDescent="0.25">
      <c r="A4673" s="7">
        <f>IF(E4673=1,
      SUM($E$2:E4673)-1,
"")</f>
        <v>4667</v>
      </c>
      <c r="B4673" s="6" t="s">
        <v>210</v>
      </c>
      <c r="C4673" s="14">
        <v>45267</v>
      </c>
      <c r="D4673" s="15">
        <v>149.96</v>
      </c>
      <c r="E4673" s="7">
        <f t="shared" si="72"/>
        <v>1</v>
      </c>
    </row>
    <row r="4674" spans="1:5" x14ac:dyDescent="0.25">
      <c r="A4674" s="7">
        <f>IF(E4674=1,
      SUM($E$2:E4674)-1,
"")</f>
        <v>4668</v>
      </c>
      <c r="B4674" s="6" t="s">
        <v>557</v>
      </c>
      <c r="C4674" s="14">
        <v>45266</v>
      </c>
      <c r="D4674" s="15">
        <v>160.03</v>
      </c>
      <c r="E4674" s="7">
        <f t="shared" ref="E4674:E4737" si="73">IF(D4674&gt;0,1,0)</f>
        <v>1</v>
      </c>
    </row>
    <row r="4675" spans="1:5" x14ac:dyDescent="0.25">
      <c r="A4675" s="7">
        <f>IF(E4675=1,
      SUM($E$2:E4675)-1,
"")</f>
        <v>4669</v>
      </c>
      <c r="B4675" s="6" t="s">
        <v>1057</v>
      </c>
      <c r="C4675" s="14">
        <v>45103</v>
      </c>
      <c r="D4675" s="15">
        <v>126.97</v>
      </c>
      <c r="E4675" s="7">
        <f t="shared" si="73"/>
        <v>1</v>
      </c>
    </row>
    <row r="4676" spans="1:5" x14ac:dyDescent="0.25">
      <c r="A4676" s="7">
        <f>IF(E4676=1,
      SUM($E$2:E4676)-1,
"")</f>
        <v>4670</v>
      </c>
      <c r="B4676" s="6" t="s">
        <v>113</v>
      </c>
      <c r="C4676" s="14">
        <v>45210</v>
      </c>
      <c r="D4676" s="15">
        <v>54.78</v>
      </c>
      <c r="E4676" s="7">
        <f t="shared" si="73"/>
        <v>1</v>
      </c>
    </row>
    <row r="4677" spans="1:5" x14ac:dyDescent="0.25">
      <c r="A4677" s="7">
        <f>IF(E4677=1,
      SUM($E$2:E4677)-1,
"")</f>
        <v>4671</v>
      </c>
      <c r="B4677" s="6" t="s">
        <v>647</v>
      </c>
      <c r="C4677" s="14">
        <v>45123</v>
      </c>
      <c r="D4677" s="15">
        <v>85.39</v>
      </c>
      <c r="E4677" s="7">
        <f t="shared" si="73"/>
        <v>1</v>
      </c>
    </row>
    <row r="4678" spans="1:5" x14ac:dyDescent="0.25">
      <c r="A4678" s="7">
        <f>IF(E4678=1,
      SUM($E$2:E4678)-1,
"")</f>
        <v>4672</v>
      </c>
      <c r="B4678" s="6" t="s">
        <v>948</v>
      </c>
      <c r="C4678" s="14">
        <v>45126</v>
      </c>
      <c r="D4678" s="15">
        <v>124.82</v>
      </c>
      <c r="E4678" s="7">
        <f t="shared" si="73"/>
        <v>1</v>
      </c>
    </row>
    <row r="4679" spans="1:5" x14ac:dyDescent="0.25">
      <c r="A4679" s="7">
        <f>IF(E4679=1,
      SUM($E$2:E4679)-1,
"")</f>
        <v>4673</v>
      </c>
      <c r="B4679" s="6" t="s">
        <v>809</v>
      </c>
      <c r="C4679" s="14">
        <v>45105</v>
      </c>
      <c r="D4679" s="15">
        <v>98.63</v>
      </c>
      <c r="E4679" s="7">
        <f t="shared" si="73"/>
        <v>1</v>
      </c>
    </row>
    <row r="4680" spans="1:5" x14ac:dyDescent="0.25">
      <c r="A4680" s="7">
        <f>IF(E4680=1,
      SUM($E$2:E4680)-1,
"")</f>
        <v>4674</v>
      </c>
      <c r="B4680" s="6" t="s">
        <v>369</v>
      </c>
      <c r="C4680" s="14">
        <v>45124</v>
      </c>
      <c r="D4680" s="15">
        <v>127.07</v>
      </c>
      <c r="E4680" s="7">
        <f t="shared" si="73"/>
        <v>1</v>
      </c>
    </row>
    <row r="4681" spans="1:5" x14ac:dyDescent="0.25">
      <c r="A4681" s="7">
        <f>IF(E4681=1,
      SUM($E$2:E4681)-1,
"")</f>
        <v>4675</v>
      </c>
      <c r="B4681" s="6" t="s">
        <v>100</v>
      </c>
      <c r="C4681" s="14">
        <v>45004</v>
      </c>
      <c r="D4681" s="15">
        <v>137.43</v>
      </c>
      <c r="E4681" s="7">
        <f t="shared" si="73"/>
        <v>1</v>
      </c>
    </row>
    <row r="4682" spans="1:5" x14ac:dyDescent="0.25">
      <c r="A4682" s="7">
        <f>IF(E4682=1,
      SUM($E$2:E4682)-1,
"")</f>
        <v>4676</v>
      </c>
      <c r="B4682" s="6" t="s">
        <v>904</v>
      </c>
      <c r="C4682" s="14">
        <v>45064</v>
      </c>
      <c r="D4682" s="15">
        <v>157.22</v>
      </c>
      <c r="E4682" s="7">
        <f t="shared" si="73"/>
        <v>1</v>
      </c>
    </row>
    <row r="4683" spans="1:5" x14ac:dyDescent="0.25">
      <c r="A4683" s="7">
        <f>IF(E4683=1,
      SUM($E$2:E4683)-1,
"")</f>
        <v>4677</v>
      </c>
      <c r="B4683" s="6" t="s">
        <v>551</v>
      </c>
      <c r="C4683" s="14">
        <v>45196</v>
      </c>
      <c r="D4683" s="15">
        <v>80.349999999999994</v>
      </c>
      <c r="E4683" s="7">
        <f t="shared" si="73"/>
        <v>1</v>
      </c>
    </row>
    <row r="4684" spans="1:5" x14ac:dyDescent="0.25">
      <c r="A4684" s="7">
        <f>IF(E4684=1,
      SUM($E$2:E4684)-1,
"")</f>
        <v>4678</v>
      </c>
      <c r="B4684" s="6" t="s">
        <v>208</v>
      </c>
      <c r="C4684" s="14">
        <v>45277</v>
      </c>
      <c r="D4684" s="15">
        <v>102.44</v>
      </c>
      <c r="E4684" s="7">
        <f t="shared" si="73"/>
        <v>1</v>
      </c>
    </row>
    <row r="4685" spans="1:5" x14ac:dyDescent="0.25">
      <c r="A4685" s="7">
        <f>IF(E4685=1,
      SUM($E$2:E4685)-1,
"")</f>
        <v>4679</v>
      </c>
      <c r="B4685" s="6" t="s">
        <v>221</v>
      </c>
      <c r="C4685" s="14">
        <v>45014</v>
      </c>
      <c r="D4685" s="15">
        <v>86.78</v>
      </c>
      <c r="E4685" s="7">
        <f t="shared" si="73"/>
        <v>1</v>
      </c>
    </row>
    <row r="4686" spans="1:5" x14ac:dyDescent="0.25">
      <c r="A4686" s="7">
        <f>IF(E4686=1,
      SUM($E$2:E4686)-1,
"")</f>
        <v>4680</v>
      </c>
      <c r="B4686" s="6" t="s">
        <v>406</v>
      </c>
      <c r="C4686" s="14">
        <v>45158</v>
      </c>
      <c r="D4686" s="15">
        <v>39.979999999999997</v>
      </c>
      <c r="E4686" s="7">
        <f t="shared" si="73"/>
        <v>1</v>
      </c>
    </row>
    <row r="4687" spans="1:5" x14ac:dyDescent="0.25">
      <c r="A4687" s="7">
        <f>IF(E4687=1,
      SUM($E$2:E4687)-1,
"")</f>
        <v>4681</v>
      </c>
      <c r="B4687" s="6" t="s">
        <v>285</v>
      </c>
      <c r="C4687" s="14">
        <v>45267</v>
      </c>
      <c r="D4687" s="15">
        <v>121.05</v>
      </c>
      <c r="E4687" s="7">
        <f t="shared" si="73"/>
        <v>1</v>
      </c>
    </row>
    <row r="4688" spans="1:5" x14ac:dyDescent="0.25">
      <c r="A4688" s="7">
        <f>IF(E4688=1,
      SUM($E$2:E4688)-1,
"")</f>
        <v>4682</v>
      </c>
      <c r="B4688" s="6" t="s">
        <v>930</v>
      </c>
      <c r="C4688" s="14">
        <v>44941</v>
      </c>
      <c r="D4688" s="15">
        <v>116.9</v>
      </c>
      <c r="E4688" s="7">
        <f t="shared" si="73"/>
        <v>1</v>
      </c>
    </row>
    <row r="4689" spans="1:5" x14ac:dyDescent="0.25">
      <c r="A4689" s="7">
        <f>IF(E4689=1,
      SUM($E$2:E4689)-1,
"")</f>
        <v>4683</v>
      </c>
      <c r="B4689" s="6" t="s">
        <v>538</v>
      </c>
      <c r="C4689" s="14">
        <v>45281</v>
      </c>
      <c r="D4689" s="15">
        <v>83.6</v>
      </c>
      <c r="E4689" s="7">
        <f t="shared" si="73"/>
        <v>1</v>
      </c>
    </row>
    <row r="4690" spans="1:5" x14ac:dyDescent="0.25">
      <c r="A4690" s="7">
        <f>IF(E4690=1,
      SUM($E$2:E4690)-1,
"")</f>
        <v>4684</v>
      </c>
      <c r="B4690" s="6" t="s">
        <v>1047</v>
      </c>
      <c r="C4690" s="14">
        <v>45221</v>
      </c>
      <c r="D4690" s="15">
        <v>52.06</v>
      </c>
      <c r="E4690" s="7">
        <f t="shared" si="73"/>
        <v>1</v>
      </c>
    </row>
    <row r="4691" spans="1:5" x14ac:dyDescent="0.25">
      <c r="A4691" s="7">
        <f>IF(E4691=1,
      SUM($E$2:E4691)-1,
"")</f>
        <v>4685</v>
      </c>
      <c r="B4691" s="6" t="s">
        <v>636</v>
      </c>
      <c r="C4691" s="14">
        <v>45160</v>
      </c>
      <c r="D4691" s="15">
        <v>88.48</v>
      </c>
      <c r="E4691" s="7">
        <f t="shared" si="73"/>
        <v>1</v>
      </c>
    </row>
    <row r="4692" spans="1:5" x14ac:dyDescent="0.25">
      <c r="A4692" s="7">
        <f>IF(E4692=1,
      SUM($E$2:E4692)-1,
"")</f>
        <v>4686</v>
      </c>
      <c r="B4692" s="6" t="s">
        <v>956</v>
      </c>
      <c r="C4692" s="14">
        <v>45187</v>
      </c>
      <c r="D4692" s="15">
        <v>121.93</v>
      </c>
      <c r="E4692" s="7">
        <f t="shared" si="73"/>
        <v>1</v>
      </c>
    </row>
    <row r="4693" spans="1:5" x14ac:dyDescent="0.25">
      <c r="A4693" s="7">
        <f>IF(E4693=1,
      SUM($E$2:E4693)-1,
"")</f>
        <v>4687</v>
      </c>
      <c r="B4693" s="6" t="s">
        <v>136</v>
      </c>
      <c r="C4693" s="14">
        <v>45073</v>
      </c>
      <c r="D4693" s="15">
        <v>140.12</v>
      </c>
      <c r="E4693" s="7">
        <f t="shared" si="73"/>
        <v>1</v>
      </c>
    </row>
    <row r="4694" spans="1:5" x14ac:dyDescent="0.25">
      <c r="A4694" s="7">
        <f>IF(E4694=1,
      SUM($E$2:E4694)-1,
"")</f>
        <v>4688</v>
      </c>
      <c r="B4694" s="6" t="s">
        <v>311</v>
      </c>
      <c r="C4694" s="14">
        <v>45116</v>
      </c>
      <c r="D4694" s="15">
        <v>78.62</v>
      </c>
      <c r="E4694" s="7">
        <f t="shared" si="73"/>
        <v>1</v>
      </c>
    </row>
    <row r="4695" spans="1:5" x14ac:dyDescent="0.25">
      <c r="A4695" s="7">
        <f>IF(E4695=1,
      SUM($E$2:E4695)-1,
"")</f>
        <v>4689</v>
      </c>
      <c r="B4695" s="6" t="s">
        <v>493</v>
      </c>
      <c r="C4695" s="14">
        <v>45011</v>
      </c>
      <c r="D4695" s="15">
        <v>133.22999999999999</v>
      </c>
      <c r="E4695" s="7">
        <f t="shared" si="73"/>
        <v>1</v>
      </c>
    </row>
    <row r="4696" spans="1:5" x14ac:dyDescent="0.25">
      <c r="A4696" s="7">
        <f>IF(E4696=1,
      SUM($E$2:E4696)-1,
"")</f>
        <v>4690</v>
      </c>
      <c r="B4696" s="6" t="s">
        <v>1048</v>
      </c>
      <c r="C4696" s="14">
        <v>45160</v>
      </c>
      <c r="D4696" s="15">
        <v>118.67</v>
      </c>
      <c r="E4696" s="7">
        <f t="shared" si="73"/>
        <v>1</v>
      </c>
    </row>
    <row r="4697" spans="1:5" x14ac:dyDescent="0.25">
      <c r="A4697" s="7">
        <f>IF(E4697=1,
      SUM($E$2:E4697)-1,
"")</f>
        <v>4691</v>
      </c>
      <c r="B4697" s="6" t="s">
        <v>331</v>
      </c>
      <c r="C4697" s="14">
        <v>45271</v>
      </c>
      <c r="D4697" s="15">
        <v>112.4</v>
      </c>
      <c r="E4697" s="7">
        <f t="shared" si="73"/>
        <v>1</v>
      </c>
    </row>
    <row r="4698" spans="1:5" x14ac:dyDescent="0.25">
      <c r="A4698" s="7">
        <f>IF(E4698=1,
      SUM($E$2:E4698)-1,
"")</f>
        <v>4692</v>
      </c>
      <c r="B4698" s="6" t="s">
        <v>932</v>
      </c>
      <c r="C4698" s="14">
        <v>45024</v>
      </c>
      <c r="D4698" s="15">
        <v>61.19</v>
      </c>
      <c r="E4698" s="7">
        <f t="shared" si="73"/>
        <v>1</v>
      </c>
    </row>
    <row r="4699" spans="1:5" x14ac:dyDescent="0.25">
      <c r="A4699" s="7">
        <f>IF(E4699=1,
      SUM($E$2:E4699)-1,
"")</f>
        <v>4693</v>
      </c>
      <c r="B4699" s="6" t="s">
        <v>579</v>
      </c>
      <c r="C4699" s="14">
        <v>45132</v>
      </c>
      <c r="D4699" s="15">
        <v>62.5</v>
      </c>
      <c r="E4699" s="7">
        <f t="shared" si="73"/>
        <v>1</v>
      </c>
    </row>
    <row r="4700" spans="1:5" x14ac:dyDescent="0.25">
      <c r="A4700" s="7">
        <f>IF(E4700=1,
      SUM($E$2:E4700)-1,
"")</f>
        <v>4694</v>
      </c>
      <c r="B4700" s="6" t="s">
        <v>97</v>
      </c>
      <c r="C4700" s="14">
        <v>45186</v>
      </c>
      <c r="D4700" s="15">
        <v>75.08</v>
      </c>
      <c r="E4700" s="7">
        <f t="shared" si="73"/>
        <v>1</v>
      </c>
    </row>
    <row r="4701" spans="1:5" x14ac:dyDescent="0.25">
      <c r="A4701" s="7">
        <f>IF(E4701=1,
      SUM($E$2:E4701)-1,
"")</f>
        <v>4695</v>
      </c>
      <c r="B4701" s="6" t="s">
        <v>777</v>
      </c>
      <c r="C4701" s="14">
        <v>45014</v>
      </c>
      <c r="D4701" s="15">
        <v>90.21</v>
      </c>
      <c r="E4701" s="7">
        <f t="shared" si="73"/>
        <v>1</v>
      </c>
    </row>
    <row r="4702" spans="1:5" x14ac:dyDescent="0.25">
      <c r="A4702" s="7">
        <f>IF(E4702=1,
      SUM($E$2:E4702)-1,
"")</f>
        <v>4696</v>
      </c>
      <c r="B4702" s="6" t="s">
        <v>820</v>
      </c>
      <c r="C4702" s="14">
        <v>44940</v>
      </c>
      <c r="D4702" s="15">
        <v>154.02000000000001</v>
      </c>
      <c r="E4702" s="7">
        <f t="shared" si="73"/>
        <v>1</v>
      </c>
    </row>
    <row r="4703" spans="1:5" x14ac:dyDescent="0.25">
      <c r="A4703" s="7">
        <f>IF(E4703=1,
      SUM($E$2:E4703)-1,
"")</f>
        <v>4697</v>
      </c>
      <c r="B4703" s="6" t="s">
        <v>577</v>
      </c>
      <c r="C4703" s="14">
        <v>45058</v>
      </c>
      <c r="D4703" s="15">
        <v>80.13</v>
      </c>
      <c r="E4703" s="7">
        <f t="shared" si="73"/>
        <v>1</v>
      </c>
    </row>
    <row r="4704" spans="1:5" x14ac:dyDescent="0.25">
      <c r="A4704" s="7">
        <f>IF(E4704=1,
      SUM($E$2:E4704)-1,
"")</f>
        <v>4698</v>
      </c>
      <c r="B4704" s="6" t="s">
        <v>271</v>
      </c>
      <c r="C4704" s="14">
        <v>45275</v>
      </c>
      <c r="D4704" s="15">
        <v>123.14</v>
      </c>
      <c r="E4704" s="7">
        <f t="shared" si="73"/>
        <v>1</v>
      </c>
    </row>
    <row r="4705" spans="1:5" x14ac:dyDescent="0.25">
      <c r="A4705" s="7">
        <f>IF(E4705=1,
      SUM($E$2:E4705)-1,
"")</f>
        <v>4699</v>
      </c>
      <c r="B4705" s="6" t="s">
        <v>162</v>
      </c>
      <c r="C4705" s="14">
        <v>45051</v>
      </c>
      <c r="D4705" s="15">
        <v>86.06</v>
      </c>
      <c r="E4705" s="7">
        <f t="shared" si="73"/>
        <v>1</v>
      </c>
    </row>
    <row r="4706" spans="1:5" x14ac:dyDescent="0.25">
      <c r="A4706" s="7">
        <f>IF(E4706=1,
      SUM($E$2:E4706)-1,
"")</f>
        <v>4700</v>
      </c>
      <c r="B4706" s="6" t="s">
        <v>761</v>
      </c>
      <c r="C4706" s="14">
        <v>45176</v>
      </c>
      <c r="D4706" s="15">
        <v>114.18</v>
      </c>
      <c r="E4706" s="7">
        <f t="shared" si="73"/>
        <v>1</v>
      </c>
    </row>
    <row r="4707" spans="1:5" x14ac:dyDescent="0.25">
      <c r="A4707" s="7">
        <f>IF(E4707=1,
      SUM($E$2:E4707)-1,
"")</f>
        <v>4701</v>
      </c>
      <c r="B4707" s="6" t="s">
        <v>453</v>
      </c>
      <c r="C4707" s="14">
        <v>45007</v>
      </c>
      <c r="D4707" s="15">
        <v>98.11</v>
      </c>
      <c r="E4707" s="7">
        <f t="shared" si="73"/>
        <v>1</v>
      </c>
    </row>
    <row r="4708" spans="1:5" x14ac:dyDescent="0.25">
      <c r="A4708" s="7">
        <f>IF(E4708=1,
      SUM($E$2:E4708)-1,
"")</f>
        <v>4702</v>
      </c>
      <c r="B4708" s="6" t="s">
        <v>965</v>
      </c>
      <c r="C4708" s="14">
        <v>45011</v>
      </c>
      <c r="D4708" s="15">
        <v>105.31</v>
      </c>
      <c r="E4708" s="7">
        <f t="shared" si="73"/>
        <v>1</v>
      </c>
    </row>
    <row r="4709" spans="1:5" x14ac:dyDescent="0.25">
      <c r="A4709" s="7">
        <f>IF(E4709=1,
      SUM($E$2:E4709)-1,
"")</f>
        <v>4703</v>
      </c>
      <c r="B4709" s="6" t="s">
        <v>766</v>
      </c>
      <c r="C4709" s="14">
        <v>45149</v>
      </c>
      <c r="D4709" s="15">
        <v>111.09</v>
      </c>
      <c r="E4709" s="7">
        <f t="shared" si="73"/>
        <v>1</v>
      </c>
    </row>
    <row r="4710" spans="1:5" x14ac:dyDescent="0.25">
      <c r="A4710" s="7">
        <f>IF(E4710=1,
      SUM($E$2:E4710)-1,
"")</f>
        <v>4704</v>
      </c>
      <c r="B4710" s="6" t="s">
        <v>823</v>
      </c>
      <c r="C4710" s="14">
        <v>45088</v>
      </c>
      <c r="D4710" s="15">
        <v>92.52</v>
      </c>
      <c r="E4710" s="7">
        <f t="shared" si="73"/>
        <v>1</v>
      </c>
    </row>
    <row r="4711" spans="1:5" x14ac:dyDescent="0.25">
      <c r="A4711" s="7">
        <f>IF(E4711=1,
      SUM($E$2:E4711)-1,
"")</f>
        <v>4705</v>
      </c>
      <c r="B4711" s="6" t="s">
        <v>232</v>
      </c>
      <c r="C4711" s="14">
        <v>45254</v>
      </c>
      <c r="D4711" s="15">
        <v>111.23</v>
      </c>
      <c r="E4711" s="7">
        <f t="shared" si="73"/>
        <v>1</v>
      </c>
    </row>
    <row r="4712" spans="1:5" x14ac:dyDescent="0.25">
      <c r="A4712" s="7">
        <f>IF(E4712=1,
      SUM($E$2:E4712)-1,
"")</f>
        <v>4706</v>
      </c>
      <c r="B4712" s="6" t="s">
        <v>295</v>
      </c>
      <c r="C4712" s="14">
        <v>45139</v>
      </c>
      <c r="D4712" s="15">
        <v>137.02000000000001</v>
      </c>
      <c r="E4712" s="7">
        <f t="shared" si="73"/>
        <v>1</v>
      </c>
    </row>
    <row r="4713" spans="1:5" x14ac:dyDescent="0.25">
      <c r="A4713" s="7">
        <f>IF(E4713=1,
      SUM($E$2:E4713)-1,
"")</f>
        <v>4707</v>
      </c>
      <c r="B4713" s="6" t="s">
        <v>124</v>
      </c>
      <c r="C4713" s="14">
        <v>45117</v>
      </c>
      <c r="D4713" s="15">
        <v>77.38</v>
      </c>
      <c r="E4713" s="7">
        <f t="shared" si="73"/>
        <v>1</v>
      </c>
    </row>
    <row r="4714" spans="1:5" x14ac:dyDescent="0.25">
      <c r="A4714" s="7">
        <f>IF(E4714=1,
      SUM($E$2:E4714)-1,
"")</f>
        <v>4708</v>
      </c>
      <c r="B4714" s="6" t="s">
        <v>463</v>
      </c>
      <c r="C4714" s="14">
        <v>45052</v>
      </c>
      <c r="D4714" s="15">
        <v>135.58000000000001</v>
      </c>
      <c r="E4714" s="7">
        <f t="shared" si="73"/>
        <v>1</v>
      </c>
    </row>
    <row r="4715" spans="1:5" x14ac:dyDescent="0.25">
      <c r="A4715" s="7">
        <f>IF(E4715=1,
      SUM($E$2:E4715)-1,
"")</f>
        <v>4709</v>
      </c>
      <c r="B4715" s="6" t="s">
        <v>953</v>
      </c>
      <c r="C4715" s="14">
        <v>45159</v>
      </c>
      <c r="D4715" s="15">
        <v>92.04</v>
      </c>
      <c r="E4715" s="7">
        <f t="shared" si="73"/>
        <v>1</v>
      </c>
    </row>
    <row r="4716" spans="1:5" x14ac:dyDescent="0.25">
      <c r="A4716" s="7">
        <f>IF(E4716=1,
      SUM($E$2:E4716)-1,
"")</f>
        <v>4710</v>
      </c>
      <c r="B4716" s="6" t="s">
        <v>297</v>
      </c>
      <c r="C4716" s="14">
        <v>45247</v>
      </c>
      <c r="D4716" s="15">
        <v>88.87</v>
      </c>
      <c r="E4716" s="7">
        <f t="shared" si="73"/>
        <v>1</v>
      </c>
    </row>
    <row r="4717" spans="1:5" x14ac:dyDescent="0.25">
      <c r="A4717" s="7">
        <f>IF(E4717=1,
      SUM($E$2:E4717)-1,
"")</f>
        <v>4711</v>
      </c>
      <c r="B4717" s="6" t="s">
        <v>484</v>
      </c>
      <c r="C4717" s="14">
        <v>45243</v>
      </c>
      <c r="D4717" s="15">
        <v>120.99</v>
      </c>
      <c r="E4717" s="7">
        <f t="shared" si="73"/>
        <v>1</v>
      </c>
    </row>
    <row r="4718" spans="1:5" x14ac:dyDescent="0.25">
      <c r="A4718" s="7">
        <f>IF(E4718=1,
      SUM($E$2:E4718)-1,
"")</f>
        <v>4712</v>
      </c>
      <c r="B4718" s="6" t="s">
        <v>808</v>
      </c>
      <c r="C4718" s="14">
        <v>45127</v>
      </c>
      <c r="D4718" s="15">
        <v>89.77</v>
      </c>
      <c r="E4718" s="7">
        <f t="shared" si="73"/>
        <v>1</v>
      </c>
    </row>
    <row r="4719" spans="1:5" x14ac:dyDescent="0.25">
      <c r="A4719" s="7">
        <f>IF(E4719=1,
      SUM($E$2:E4719)-1,
"")</f>
        <v>4713</v>
      </c>
      <c r="B4719" s="6" t="s">
        <v>929</v>
      </c>
      <c r="C4719" s="14">
        <v>45187</v>
      </c>
      <c r="D4719" s="15">
        <v>109.58</v>
      </c>
      <c r="E4719" s="7">
        <f t="shared" si="73"/>
        <v>1</v>
      </c>
    </row>
    <row r="4720" spans="1:5" x14ac:dyDescent="0.25">
      <c r="A4720" s="7">
        <f>IF(E4720=1,
      SUM($E$2:E4720)-1,
"")</f>
        <v>4714</v>
      </c>
      <c r="B4720" s="6" t="s">
        <v>729</v>
      </c>
      <c r="C4720" s="14">
        <v>45077</v>
      </c>
      <c r="D4720" s="15">
        <v>106.77</v>
      </c>
      <c r="E4720" s="7">
        <f t="shared" si="73"/>
        <v>1</v>
      </c>
    </row>
    <row r="4721" spans="1:5" x14ac:dyDescent="0.25">
      <c r="A4721" s="7">
        <f>IF(E4721=1,
      SUM($E$2:E4721)-1,
"")</f>
        <v>4715</v>
      </c>
      <c r="B4721" s="6" t="s">
        <v>990</v>
      </c>
      <c r="C4721" s="14">
        <v>45147</v>
      </c>
      <c r="D4721" s="15">
        <v>37.5</v>
      </c>
      <c r="E4721" s="7">
        <f t="shared" si="73"/>
        <v>1</v>
      </c>
    </row>
    <row r="4722" spans="1:5" x14ac:dyDescent="0.25">
      <c r="A4722" s="7">
        <f>IF(E4722=1,
      SUM($E$2:E4722)-1,
"")</f>
        <v>4716</v>
      </c>
      <c r="B4722" s="6" t="s">
        <v>130</v>
      </c>
      <c r="C4722" s="14">
        <v>45221</v>
      </c>
      <c r="D4722" s="15">
        <v>112.53</v>
      </c>
      <c r="E4722" s="7">
        <f t="shared" si="73"/>
        <v>1</v>
      </c>
    </row>
    <row r="4723" spans="1:5" x14ac:dyDescent="0.25">
      <c r="A4723" s="7">
        <f>IF(E4723=1,
      SUM($E$2:E4723)-1,
"")</f>
        <v>4717</v>
      </c>
      <c r="B4723" s="6" t="s">
        <v>83</v>
      </c>
      <c r="C4723" s="14">
        <v>44963</v>
      </c>
      <c r="D4723" s="15">
        <v>56.77</v>
      </c>
      <c r="E4723" s="7">
        <f t="shared" si="73"/>
        <v>1</v>
      </c>
    </row>
    <row r="4724" spans="1:5" x14ac:dyDescent="0.25">
      <c r="A4724" s="7">
        <f>IF(E4724=1,
      SUM($E$2:E4724)-1,
"")</f>
        <v>4718</v>
      </c>
      <c r="B4724" s="6" t="s">
        <v>484</v>
      </c>
      <c r="C4724" s="14">
        <v>45020</v>
      </c>
      <c r="D4724" s="15">
        <v>59.05</v>
      </c>
      <c r="E4724" s="7">
        <f t="shared" si="73"/>
        <v>1</v>
      </c>
    </row>
    <row r="4725" spans="1:5" x14ac:dyDescent="0.25">
      <c r="A4725" s="7">
        <f>IF(E4725=1,
      SUM($E$2:E4725)-1,
"")</f>
        <v>4719</v>
      </c>
      <c r="B4725" s="6" t="s">
        <v>985</v>
      </c>
      <c r="C4725" s="14">
        <v>45046</v>
      </c>
      <c r="D4725" s="15">
        <v>110.99</v>
      </c>
      <c r="E4725" s="7">
        <f t="shared" si="73"/>
        <v>1</v>
      </c>
    </row>
    <row r="4726" spans="1:5" x14ac:dyDescent="0.25">
      <c r="A4726" s="7">
        <f>IF(E4726=1,
      SUM($E$2:E4726)-1,
"")</f>
        <v>4720</v>
      </c>
      <c r="B4726" s="6" t="s">
        <v>629</v>
      </c>
      <c r="C4726" s="14">
        <v>45107</v>
      </c>
      <c r="D4726" s="15">
        <v>116.1</v>
      </c>
      <c r="E4726" s="7">
        <f t="shared" si="73"/>
        <v>1</v>
      </c>
    </row>
    <row r="4727" spans="1:5" x14ac:dyDescent="0.25">
      <c r="A4727" s="7">
        <f>IF(E4727=1,
      SUM($E$2:E4727)-1,
"")</f>
        <v>4721</v>
      </c>
      <c r="B4727" s="6" t="s">
        <v>340</v>
      </c>
      <c r="C4727" s="14">
        <v>45223</v>
      </c>
      <c r="D4727" s="15">
        <v>136.15</v>
      </c>
      <c r="E4727" s="7">
        <f t="shared" si="73"/>
        <v>1</v>
      </c>
    </row>
    <row r="4728" spans="1:5" x14ac:dyDescent="0.25">
      <c r="A4728" s="7">
        <f>IF(E4728=1,
      SUM($E$2:E4728)-1,
"")</f>
        <v>4722</v>
      </c>
      <c r="B4728" s="6" t="s">
        <v>584</v>
      </c>
      <c r="C4728" s="14">
        <v>45143</v>
      </c>
      <c r="D4728" s="15">
        <v>67.319999999999993</v>
      </c>
      <c r="E4728" s="7">
        <f t="shared" si="73"/>
        <v>1</v>
      </c>
    </row>
    <row r="4729" spans="1:5" x14ac:dyDescent="0.25">
      <c r="A4729" s="7">
        <f>IF(E4729=1,
      SUM($E$2:E4729)-1,
"")</f>
        <v>4723</v>
      </c>
      <c r="B4729" s="6" t="s">
        <v>153</v>
      </c>
      <c r="C4729" s="14">
        <v>45047</v>
      </c>
      <c r="D4729" s="15">
        <v>77.760000000000005</v>
      </c>
      <c r="E4729" s="7">
        <f t="shared" si="73"/>
        <v>1</v>
      </c>
    </row>
    <row r="4730" spans="1:5" x14ac:dyDescent="0.25">
      <c r="A4730" s="7">
        <f>IF(E4730=1,
      SUM($E$2:E4730)-1,
"")</f>
        <v>4724</v>
      </c>
      <c r="B4730" s="6" t="s">
        <v>879</v>
      </c>
      <c r="C4730" s="14">
        <v>45031</v>
      </c>
      <c r="D4730" s="15">
        <v>113.93</v>
      </c>
      <c r="E4730" s="7">
        <f t="shared" si="73"/>
        <v>1</v>
      </c>
    </row>
    <row r="4731" spans="1:5" x14ac:dyDescent="0.25">
      <c r="A4731" s="7">
        <f>IF(E4731=1,
      SUM($E$2:E4731)-1,
"")</f>
        <v>4725</v>
      </c>
      <c r="B4731" s="6" t="s">
        <v>273</v>
      </c>
      <c r="C4731" s="14">
        <v>45267</v>
      </c>
      <c r="D4731" s="15">
        <v>136.72999999999999</v>
      </c>
      <c r="E4731" s="7">
        <f t="shared" si="73"/>
        <v>1</v>
      </c>
    </row>
    <row r="4732" spans="1:5" x14ac:dyDescent="0.25">
      <c r="A4732" s="7">
        <f>IF(E4732=1,
      SUM($E$2:E4732)-1,
"")</f>
        <v>4726</v>
      </c>
      <c r="B4732" s="6" t="s">
        <v>1014</v>
      </c>
      <c r="C4732" s="14">
        <v>45153</v>
      </c>
      <c r="D4732" s="15">
        <v>105.77</v>
      </c>
      <c r="E4732" s="7">
        <f t="shared" si="73"/>
        <v>1</v>
      </c>
    </row>
    <row r="4733" spans="1:5" x14ac:dyDescent="0.25">
      <c r="A4733" s="7">
        <f>IF(E4733=1,
      SUM($E$2:E4733)-1,
"")</f>
        <v>4727</v>
      </c>
      <c r="B4733" s="6" t="s">
        <v>969</v>
      </c>
      <c r="C4733" s="14">
        <v>45194</v>
      </c>
      <c r="D4733" s="15">
        <v>73.66</v>
      </c>
      <c r="E4733" s="7">
        <f t="shared" si="73"/>
        <v>1</v>
      </c>
    </row>
    <row r="4734" spans="1:5" x14ac:dyDescent="0.25">
      <c r="A4734" s="7">
        <f>IF(E4734=1,
      SUM($E$2:E4734)-1,
"")</f>
        <v>4728</v>
      </c>
      <c r="B4734" s="6" t="s">
        <v>218</v>
      </c>
      <c r="C4734" s="14">
        <v>45015</v>
      </c>
      <c r="D4734" s="15">
        <v>145.19</v>
      </c>
      <c r="E4734" s="7">
        <f t="shared" si="73"/>
        <v>1</v>
      </c>
    </row>
    <row r="4735" spans="1:5" x14ac:dyDescent="0.25">
      <c r="A4735" s="7">
        <f>IF(E4735=1,
      SUM($E$2:E4735)-1,
"")</f>
        <v>4729</v>
      </c>
      <c r="B4735" s="6" t="s">
        <v>589</v>
      </c>
      <c r="C4735" s="14">
        <v>45242</v>
      </c>
      <c r="D4735" s="15">
        <v>92.13</v>
      </c>
      <c r="E4735" s="7">
        <f t="shared" si="73"/>
        <v>1</v>
      </c>
    </row>
    <row r="4736" spans="1:5" x14ac:dyDescent="0.25">
      <c r="A4736" s="7">
        <f>IF(E4736=1,
      SUM($E$2:E4736)-1,
"")</f>
        <v>4730</v>
      </c>
      <c r="B4736" s="6" t="s">
        <v>730</v>
      </c>
      <c r="C4736" s="14">
        <v>45142</v>
      </c>
      <c r="D4736" s="15">
        <v>93.06</v>
      </c>
      <c r="E4736" s="7">
        <f t="shared" si="73"/>
        <v>1</v>
      </c>
    </row>
    <row r="4737" spans="1:5" x14ac:dyDescent="0.25">
      <c r="A4737" s="7">
        <f>IF(E4737=1,
      SUM($E$2:E4737)-1,
"")</f>
        <v>4731</v>
      </c>
      <c r="B4737" s="6" t="s">
        <v>1011</v>
      </c>
      <c r="C4737" s="14">
        <v>45189</v>
      </c>
      <c r="D4737" s="15">
        <v>56.92</v>
      </c>
      <c r="E4737" s="7">
        <f t="shared" si="73"/>
        <v>1</v>
      </c>
    </row>
    <row r="4738" spans="1:5" x14ac:dyDescent="0.25">
      <c r="A4738" s="7">
        <f>IF(E4738=1,
      SUM($E$2:E4738)-1,
"")</f>
        <v>4732</v>
      </c>
      <c r="B4738" s="6" t="s">
        <v>114</v>
      </c>
      <c r="C4738" s="14">
        <v>45204</v>
      </c>
      <c r="D4738" s="15">
        <v>121.72</v>
      </c>
      <c r="E4738" s="7">
        <f t="shared" ref="E4738:E4801" si="74">IF(D4738&gt;0,1,0)</f>
        <v>1</v>
      </c>
    </row>
    <row r="4739" spans="1:5" x14ac:dyDescent="0.25">
      <c r="A4739" s="7">
        <f>IF(E4739=1,
      SUM($E$2:E4739)-1,
"")</f>
        <v>4733</v>
      </c>
      <c r="B4739" s="6" t="s">
        <v>851</v>
      </c>
      <c r="C4739" s="14">
        <v>45152</v>
      </c>
      <c r="D4739" s="15">
        <v>125.58</v>
      </c>
      <c r="E4739" s="7">
        <f t="shared" si="74"/>
        <v>1</v>
      </c>
    </row>
    <row r="4740" spans="1:5" x14ac:dyDescent="0.25">
      <c r="A4740" s="7">
        <f>IF(E4740=1,
      SUM($E$2:E4740)-1,
"")</f>
        <v>4734</v>
      </c>
      <c r="B4740" s="6" t="s">
        <v>319</v>
      </c>
      <c r="C4740" s="14">
        <v>45080</v>
      </c>
      <c r="D4740" s="15">
        <v>78.83</v>
      </c>
      <c r="E4740" s="7">
        <f t="shared" si="74"/>
        <v>1</v>
      </c>
    </row>
    <row r="4741" spans="1:5" x14ac:dyDescent="0.25">
      <c r="A4741" s="7">
        <f>IF(E4741=1,
      SUM($E$2:E4741)-1,
"")</f>
        <v>4735</v>
      </c>
      <c r="B4741" s="6" t="s">
        <v>637</v>
      </c>
      <c r="C4741" s="14">
        <v>45060</v>
      </c>
      <c r="D4741" s="15">
        <v>152.54</v>
      </c>
      <c r="E4741" s="7">
        <f t="shared" si="74"/>
        <v>1</v>
      </c>
    </row>
    <row r="4742" spans="1:5" x14ac:dyDescent="0.25">
      <c r="A4742" s="7">
        <f>IF(E4742=1,
      SUM($E$2:E4742)-1,
"")</f>
        <v>4736</v>
      </c>
      <c r="B4742" s="6" t="s">
        <v>625</v>
      </c>
      <c r="C4742" s="14">
        <v>45110</v>
      </c>
      <c r="D4742" s="15">
        <v>82.39</v>
      </c>
      <c r="E4742" s="7">
        <f t="shared" si="74"/>
        <v>1</v>
      </c>
    </row>
    <row r="4743" spans="1:5" x14ac:dyDescent="0.25">
      <c r="A4743" s="7">
        <f>IF(E4743=1,
      SUM($E$2:E4743)-1,
"")</f>
        <v>4737</v>
      </c>
      <c r="B4743" s="6" t="s">
        <v>612</v>
      </c>
      <c r="C4743" s="14">
        <v>45042</v>
      </c>
      <c r="D4743" s="15">
        <v>118.76</v>
      </c>
      <c r="E4743" s="7">
        <f t="shared" si="74"/>
        <v>1</v>
      </c>
    </row>
    <row r="4744" spans="1:5" x14ac:dyDescent="0.25">
      <c r="A4744" s="7">
        <f>IF(E4744=1,
      SUM($E$2:E4744)-1,
"")</f>
        <v>4738</v>
      </c>
      <c r="B4744" s="6" t="s">
        <v>317</v>
      </c>
      <c r="C4744" s="14">
        <v>45284</v>
      </c>
      <c r="D4744" s="15">
        <v>106.71</v>
      </c>
      <c r="E4744" s="7">
        <f t="shared" si="74"/>
        <v>1</v>
      </c>
    </row>
    <row r="4745" spans="1:5" x14ac:dyDescent="0.25">
      <c r="A4745" s="7">
        <f>IF(E4745=1,
      SUM($E$2:E4745)-1,
"")</f>
        <v>4739</v>
      </c>
      <c r="B4745" s="6" t="s">
        <v>897</v>
      </c>
      <c r="C4745" s="14">
        <v>45214</v>
      </c>
      <c r="D4745" s="15">
        <v>39.229999999999997</v>
      </c>
      <c r="E4745" s="7">
        <f t="shared" si="74"/>
        <v>1</v>
      </c>
    </row>
    <row r="4746" spans="1:5" x14ac:dyDescent="0.25">
      <c r="A4746" s="7">
        <f>IF(E4746=1,
      SUM($E$2:E4746)-1,
"")</f>
        <v>4740</v>
      </c>
      <c r="B4746" s="6" t="s">
        <v>1045</v>
      </c>
      <c r="C4746" s="14">
        <v>45241</v>
      </c>
      <c r="D4746" s="15">
        <v>116.32</v>
      </c>
      <c r="E4746" s="7">
        <f t="shared" si="74"/>
        <v>1</v>
      </c>
    </row>
    <row r="4747" spans="1:5" x14ac:dyDescent="0.25">
      <c r="A4747" s="7">
        <f>IF(E4747=1,
      SUM($E$2:E4747)-1,
"")</f>
        <v>4741</v>
      </c>
      <c r="B4747" s="6" t="s">
        <v>536</v>
      </c>
      <c r="C4747" s="14">
        <v>45024</v>
      </c>
      <c r="D4747" s="15">
        <v>113.62</v>
      </c>
      <c r="E4747" s="7">
        <f t="shared" si="74"/>
        <v>1</v>
      </c>
    </row>
    <row r="4748" spans="1:5" x14ac:dyDescent="0.25">
      <c r="A4748" s="7">
        <f>IF(E4748=1,
      SUM($E$2:E4748)-1,
"")</f>
        <v>4742</v>
      </c>
      <c r="B4748" s="6" t="s">
        <v>633</v>
      </c>
      <c r="C4748" s="14">
        <v>45067</v>
      </c>
      <c r="D4748" s="15">
        <v>47.01</v>
      </c>
      <c r="E4748" s="7">
        <f t="shared" si="74"/>
        <v>1</v>
      </c>
    </row>
    <row r="4749" spans="1:5" x14ac:dyDescent="0.25">
      <c r="A4749" s="7">
        <f>IF(E4749=1,
      SUM($E$2:E4749)-1,
"")</f>
        <v>4743</v>
      </c>
      <c r="B4749" s="6" t="s">
        <v>353</v>
      </c>
      <c r="C4749" s="14">
        <v>45242</v>
      </c>
      <c r="D4749" s="15">
        <v>145.76</v>
      </c>
      <c r="E4749" s="7">
        <f t="shared" si="74"/>
        <v>1</v>
      </c>
    </row>
    <row r="4750" spans="1:5" x14ac:dyDescent="0.25">
      <c r="A4750" s="7">
        <f>IF(E4750=1,
      SUM($E$2:E4750)-1,
"")</f>
        <v>4744</v>
      </c>
      <c r="B4750" s="6" t="s">
        <v>487</v>
      </c>
      <c r="C4750" s="14">
        <v>45107</v>
      </c>
      <c r="D4750" s="15">
        <v>113.75</v>
      </c>
      <c r="E4750" s="7">
        <f t="shared" si="74"/>
        <v>1</v>
      </c>
    </row>
    <row r="4751" spans="1:5" x14ac:dyDescent="0.25">
      <c r="A4751" s="7">
        <f>IF(E4751=1,
      SUM($E$2:E4751)-1,
"")</f>
        <v>4745</v>
      </c>
      <c r="B4751" s="6" t="s">
        <v>682</v>
      </c>
      <c r="C4751" s="14">
        <v>45259</v>
      </c>
      <c r="D4751" s="15">
        <v>137.18</v>
      </c>
      <c r="E4751" s="7">
        <f t="shared" si="74"/>
        <v>1</v>
      </c>
    </row>
    <row r="4752" spans="1:5" x14ac:dyDescent="0.25">
      <c r="A4752" s="7">
        <f>IF(E4752=1,
      SUM($E$2:E4752)-1,
"")</f>
        <v>4746</v>
      </c>
      <c r="B4752" s="6" t="s">
        <v>711</v>
      </c>
      <c r="C4752" s="14">
        <v>45002</v>
      </c>
      <c r="D4752" s="15">
        <v>48.52</v>
      </c>
      <c r="E4752" s="7">
        <f t="shared" si="74"/>
        <v>1</v>
      </c>
    </row>
    <row r="4753" spans="1:5" x14ac:dyDescent="0.25">
      <c r="A4753" s="7">
        <f>IF(E4753=1,
      SUM($E$2:E4753)-1,
"")</f>
        <v>4747</v>
      </c>
      <c r="B4753" s="6" t="s">
        <v>414</v>
      </c>
      <c r="C4753" s="14">
        <v>45063</v>
      </c>
      <c r="D4753" s="15">
        <v>87.69</v>
      </c>
      <c r="E4753" s="7">
        <f t="shared" si="74"/>
        <v>1</v>
      </c>
    </row>
    <row r="4754" spans="1:5" x14ac:dyDescent="0.25">
      <c r="A4754" s="7">
        <f>IF(E4754=1,
      SUM($E$2:E4754)-1,
"")</f>
        <v>4748</v>
      </c>
      <c r="B4754" s="6" t="s">
        <v>449</v>
      </c>
      <c r="C4754" s="14">
        <v>45162</v>
      </c>
      <c r="D4754" s="15">
        <v>135.41999999999999</v>
      </c>
      <c r="E4754" s="7">
        <f t="shared" si="74"/>
        <v>1</v>
      </c>
    </row>
    <row r="4755" spans="1:5" x14ac:dyDescent="0.25">
      <c r="A4755" s="7">
        <f>IF(E4755=1,
      SUM($E$2:E4755)-1,
"")</f>
        <v>4749</v>
      </c>
      <c r="B4755" s="6" t="s">
        <v>819</v>
      </c>
      <c r="C4755" s="14">
        <v>45173</v>
      </c>
      <c r="D4755" s="15">
        <v>52.95</v>
      </c>
      <c r="E4755" s="7">
        <f t="shared" si="74"/>
        <v>1</v>
      </c>
    </row>
    <row r="4756" spans="1:5" x14ac:dyDescent="0.25">
      <c r="A4756" s="7">
        <f>IF(E4756=1,
      SUM($E$2:E4756)-1,
"")</f>
        <v>4750</v>
      </c>
      <c r="B4756" s="6" t="s">
        <v>212</v>
      </c>
      <c r="C4756" s="14">
        <v>44967</v>
      </c>
      <c r="D4756" s="15">
        <v>88.57</v>
      </c>
      <c r="E4756" s="7">
        <f t="shared" si="74"/>
        <v>1</v>
      </c>
    </row>
    <row r="4757" spans="1:5" x14ac:dyDescent="0.25">
      <c r="A4757" s="7">
        <f>IF(E4757=1,
      SUM($E$2:E4757)-1,
"")</f>
        <v>4751</v>
      </c>
      <c r="B4757" s="6" t="s">
        <v>1004</v>
      </c>
      <c r="C4757" s="14">
        <v>45046</v>
      </c>
      <c r="D4757" s="15">
        <v>112.2</v>
      </c>
      <c r="E4757" s="7">
        <f t="shared" si="74"/>
        <v>1</v>
      </c>
    </row>
    <row r="4758" spans="1:5" x14ac:dyDescent="0.25">
      <c r="A4758" s="7">
        <f>IF(E4758=1,
      SUM($E$2:E4758)-1,
"")</f>
        <v>4752</v>
      </c>
      <c r="B4758" s="6" t="s">
        <v>792</v>
      </c>
      <c r="C4758" s="14">
        <v>45101</v>
      </c>
      <c r="D4758" s="15">
        <v>43.16</v>
      </c>
      <c r="E4758" s="7">
        <f t="shared" si="74"/>
        <v>1</v>
      </c>
    </row>
    <row r="4759" spans="1:5" x14ac:dyDescent="0.25">
      <c r="A4759" s="7">
        <f>IF(E4759=1,
      SUM($E$2:E4759)-1,
"")</f>
        <v>4753</v>
      </c>
      <c r="B4759" s="6" t="s">
        <v>782</v>
      </c>
      <c r="C4759" s="14">
        <v>44970</v>
      </c>
      <c r="D4759" s="15">
        <v>60.36</v>
      </c>
      <c r="E4759" s="7">
        <f t="shared" si="74"/>
        <v>1</v>
      </c>
    </row>
    <row r="4760" spans="1:5" x14ac:dyDescent="0.25">
      <c r="A4760" s="7">
        <f>IF(E4760=1,
      SUM($E$2:E4760)-1,
"")</f>
        <v>4754</v>
      </c>
      <c r="B4760" s="6" t="s">
        <v>248</v>
      </c>
      <c r="C4760" s="14">
        <v>45083</v>
      </c>
      <c r="D4760" s="15">
        <v>141.46</v>
      </c>
      <c r="E4760" s="7">
        <f t="shared" si="74"/>
        <v>1</v>
      </c>
    </row>
    <row r="4761" spans="1:5" x14ac:dyDescent="0.25">
      <c r="A4761" s="7">
        <f>IF(E4761=1,
      SUM($E$2:E4761)-1,
"")</f>
        <v>4755</v>
      </c>
      <c r="B4761" s="6" t="s">
        <v>477</v>
      </c>
      <c r="C4761" s="14">
        <v>45190</v>
      </c>
      <c r="D4761" s="15">
        <v>101.79</v>
      </c>
      <c r="E4761" s="7">
        <f t="shared" si="74"/>
        <v>1</v>
      </c>
    </row>
    <row r="4762" spans="1:5" x14ac:dyDescent="0.25">
      <c r="A4762" s="7">
        <f>IF(E4762=1,
      SUM($E$2:E4762)-1,
"")</f>
        <v>4756</v>
      </c>
      <c r="B4762" s="6" t="s">
        <v>321</v>
      </c>
      <c r="C4762" s="14">
        <v>44964</v>
      </c>
      <c r="D4762" s="15">
        <v>135.30000000000001</v>
      </c>
      <c r="E4762" s="7">
        <f t="shared" si="74"/>
        <v>1</v>
      </c>
    </row>
    <row r="4763" spans="1:5" x14ac:dyDescent="0.25">
      <c r="A4763" s="7">
        <f>IF(E4763=1,
      SUM($E$2:E4763)-1,
"")</f>
        <v>4757</v>
      </c>
      <c r="B4763" s="6" t="s">
        <v>612</v>
      </c>
      <c r="C4763" s="14">
        <v>45160</v>
      </c>
      <c r="D4763" s="15">
        <v>105.46</v>
      </c>
      <c r="E4763" s="7">
        <f t="shared" si="74"/>
        <v>1</v>
      </c>
    </row>
    <row r="4764" spans="1:5" x14ac:dyDescent="0.25">
      <c r="A4764" s="7">
        <f>IF(E4764=1,
      SUM($E$2:E4764)-1,
"")</f>
        <v>4758</v>
      </c>
      <c r="B4764" s="6" t="s">
        <v>124</v>
      </c>
      <c r="C4764" s="14">
        <v>44970</v>
      </c>
      <c r="D4764" s="15">
        <v>173.68</v>
      </c>
      <c r="E4764" s="7">
        <f t="shared" si="74"/>
        <v>1</v>
      </c>
    </row>
    <row r="4765" spans="1:5" x14ac:dyDescent="0.25">
      <c r="A4765" s="7">
        <f>IF(E4765=1,
      SUM($E$2:E4765)-1,
"")</f>
        <v>4759</v>
      </c>
      <c r="B4765" s="6" t="s">
        <v>545</v>
      </c>
      <c r="C4765" s="14">
        <v>45154</v>
      </c>
      <c r="D4765" s="15">
        <v>113.16</v>
      </c>
      <c r="E4765" s="7">
        <f t="shared" si="74"/>
        <v>1</v>
      </c>
    </row>
    <row r="4766" spans="1:5" x14ac:dyDescent="0.25">
      <c r="A4766" s="7">
        <f>IF(E4766=1,
      SUM($E$2:E4766)-1,
"")</f>
        <v>4760</v>
      </c>
      <c r="B4766" s="6" t="s">
        <v>305</v>
      </c>
      <c r="C4766" s="14">
        <v>45172</v>
      </c>
      <c r="D4766" s="15">
        <v>138.09</v>
      </c>
      <c r="E4766" s="7">
        <f t="shared" si="74"/>
        <v>1</v>
      </c>
    </row>
    <row r="4767" spans="1:5" x14ac:dyDescent="0.25">
      <c r="A4767" s="7">
        <f>IF(E4767=1,
      SUM($E$2:E4767)-1,
"")</f>
        <v>4761</v>
      </c>
      <c r="B4767" s="6" t="s">
        <v>541</v>
      </c>
      <c r="C4767" s="14">
        <v>45199</v>
      </c>
      <c r="D4767" s="15">
        <v>92.62</v>
      </c>
      <c r="E4767" s="7">
        <f t="shared" si="74"/>
        <v>1</v>
      </c>
    </row>
    <row r="4768" spans="1:5" x14ac:dyDescent="0.25">
      <c r="A4768" s="7">
        <f>IF(E4768=1,
      SUM($E$2:E4768)-1,
"")</f>
        <v>4762</v>
      </c>
      <c r="B4768" s="6" t="s">
        <v>1002</v>
      </c>
      <c r="C4768" s="14">
        <v>45164</v>
      </c>
      <c r="D4768" s="15">
        <v>106.32</v>
      </c>
      <c r="E4768" s="7">
        <f t="shared" si="74"/>
        <v>1</v>
      </c>
    </row>
    <row r="4769" spans="1:5" x14ac:dyDescent="0.25">
      <c r="A4769" s="7">
        <f>IF(E4769=1,
      SUM($E$2:E4769)-1,
"")</f>
        <v>4763</v>
      </c>
      <c r="B4769" s="6" t="s">
        <v>980</v>
      </c>
      <c r="C4769" s="14">
        <v>45202</v>
      </c>
      <c r="D4769" s="15">
        <v>119.26</v>
      </c>
      <c r="E4769" s="7">
        <f t="shared" si="74"/>
        <v>1</v>
      </c>
    </row>
    <row r="4770" spans="1:5" x14ac:dyDescent="0.25">
      <c r="A4770" s="7">
        <f>IF(E4770=1,
      SUM($E$2:E4770)-1,
"")</f>
        <v>4764</v>
      </c>
      <c r="B4770" s="6" t="s">
        <v>1042</v>
      </c>
      <c r="C4770" s="14">
        <v>45201</v>
      </c>
      <c r="D4770" s="15">
        <v>124.23</v>
      </c>
      <c r="E4770" s="7">
        <f t="shared" si="74"/>
        <v>1</v>
      </c>
    </row>
    <row r="4771" spans="1:5" x14ac:dyDescent="0.25">
      <c r="A4771" s="7">
        <f>IF(E4771=1,
      SUM($E$2:E4771)-1,
"")</f>
        <v>4765</v>
      </c>
      <c r="B4771" s="6" t="s">
        <v>794</v>
      </c>
      <c r="C4771" s="14">
        <v>45230</v>
      </c>
      <c r="D4771" s="15">
        <v>98.83</v>
      </c>
      <c r="E4771" s="7">
        <f t="shared" si="74"/>
        <v>1</v>
      </c>
    </row>
    <row r="4772" spans="1:5" x14ac:dyDescent="0.25">
      <c r="A4772" s="7">
        <f>IF(E4772=1,
      SUM($E$2:E4772)-1,
"")</f>
        <v>4766</v>
      </c>
      <c r="B4772" s="6" t="s">
        <v>205</v>
      </c>
      <c r="C4772" s="14">
        <v>45264</v>
      </c>
      <c r="D4772" s="15">
        <v>100.08</v>
      </c>
      <c r="E4772" s="7">
        <f t="shared" si="74"/>
        <v>1</v>
      </c>
    </row>
    <row r="4773" spans="1:5" x14ac:dyDescent="0.25">
      <c r="A4773" s="7">
        <f>IF(E4773=1,
      SUM($E$2:E4773)-1,
"")</f>
        <v>4767</v>
      </c>
      <c r="B4773" s="6" t="s">
        <v>289</v>
      </c>
      <c r="C4773" s="14">
        <v>45083</v>
      </c>
      <c r="D4773" s="15">
        <v>115.06</v>
      </c>
      <c r="E4773" s="7">
        <f t="shared" si="74"/>
        <v>1</v>
      </c>
    </row>
    <row r="4774" spans="1:5" x14ac:dyDescent="0.25">
      <c r="A4774" s="7">
        <f>IF(E4774=1,
      SUM($E$2:E4774)-1,
"")</f>
        <v>4768</v>
      </c>
      <c r="B4774" s="6" t="s">
        <v>323</v>
      </c>
      <c r="C4774" s="14">
        <v>45281</v>
      </c>
      <c r="D4774" s="15">
        <v>115.04</v>
      </c>
      <c r="E4774" s="7">
        <f t="shared" si="74"/>
        <v>1</v>
      </c>
    </row>
    <row r="4775" spans="1:5" x14ac:dyDescent="0.25">
      <c r="A4775" s="7">
        <f>IF(E4775=1,
      SUM($E$2:E4775)-1,
"")</f>
        <v>4769</v>
      </c>
      <c r="B4775" s="6" t="s">
        <v>206</v>
      </c>
      <c r="C4775" s="14">
        <v>44960</v>
      </c>
      <c r="D4775" s="15">
        <v>69.25</v>
      </c>
      <c r="E4775" s="7">
        <f t="shared" si="74"/>
        <v>1</v>
      </c>
    </row>
    <row r="4776" spans="1:5" x14ac:dyDescent="0.25">
      <c r="A4776" s="7">
        <f>IF(E4776=1,
      SUM($E$2:E4776)-1,
"")</f>
        <v>4770</v>
      </c>
      <c r="B4776" s="6" t="s">
        <v>281</v>
      </c>
      <c r="C4776" s="14">
        <v>44996</v>
      </c>
      <c r="D4776" s="15">
        <v>106.75</v>
      </c>
      <c r="E4776" s="7">
        <f t="shared" si="74"/>
        <v>1</v>
      </c>
    </row>
    <row r="4777" spans="1:5" x14ac:dyDescent="0.25">
      <c r="A4777" s="7">
        <f>IF(E4777=1,
      SUM($E$2:E4777)-1,
"")</f>
        <v>4771</v>
      </c>
      <c r="B4777" s="6" t="s">
        <v>505</v>
      </c>
      <c r="C4777" s="14">
        <v>45163</v>
      </c>
      <c r="D4777" s="15">
        <v>109.62</v>
      </c>
      <c r="E4777" s="7">
        <f t="shared" si="74"/>
        <v>1</v>
      </c>
    </row>
    <row r="4778" spans="1:5" x14ac:dyDescent="0.25">
      <c r="A4778" s="7">
        <f>IF(E4778=1,
      SUM($E$2:E4778)-1,
"")</f>
        <v>4772</v>
      </c>
      <c r="B4778" s="6" t="s">
        <v>480</v>
      </c>
      <c r="C4778" s="14">
        <v>45000</v>
      </c>
      <c r="D4778" s="15">
        <v>70.709999999999994</v>
      </c>
      <c r="E4778" s="7">
        <f t="shared" si="74"/>
        <v>1</v>
      </c>
    </row>
    <row r="4779" spans="1:5" x14ac:dyDescent="0.25">
      <c r="A4779" s="7">
        <f>IF(E4779=1,
      SUM($E$2:E4779)-1,
"")</f>
        <v>4773</v>
      </c>
      <c r="B4779" s="6" t="s">
        <v>330</v>
      </c>
      <c r="C4779" s="14">
        <v>45120</v>
      </c>
      <c r="D4779" s="15">
        <v>127.18</v>
      </c>
      <c r="E4779" s="7">
        <f t="shared" si="74"/>
        <v>1</v>
      </c>
    </row>
    <row r="4780" spans="1:5" x14ac:dyDescent="0.25">
      <c r="A4780" s="7">
        <f>IF(E4780=1,
      SUM($E$2:E4780)-1,
"")</f>
        <v>4774</v>
      </c>
      <c r="B4780" s="6" t="s">
        <v>817</v>
      </c>
      <c r="C4780" s="14">
        <v>45085</v>
      </c>
      <c r="D4780" s="15">
        <v>112.38</v>
      </c>
      <c r="E4780" s="7">
        <f t="shared" si="74"/>
        <v>1</v>
      </c>
    </row>
    <row r="4781" spans="1:5" x14ac:dyDescent="0.25">
      <c r="A4781" s="7">
        <f>IF(E4781=1,
      SUM($E$2:E4781)-1,
"")</f>
        <v>4775</v>
      </c>
      <c r="B4781" s="6" t="s">
        <v>1010</v>
      </c>
      <c r="C4781" s="14">
        <v>45269</v>
      </c>
      <c r="D4781" s="15">
        <v>169.92</v>
      </c>
      <c r="E4781" s="7">
        <f t="shared" si="74"/>
        <v>1</v>
      </c>
    </row>
    <row r="4782" spans="1:5" x14ac:dyDescent="0.25">
      <c r="A4782" s="7">
        <f>IF(E4782=1,
      SUM($E$2:E4782)-1,
"")</f>
        <v>4776</v>
      </c>
      <c r="B4782" s="6" t="s">
        <v>682</v>
      </c>
      <c r="C4782" s="14">
        <v>45194</v>
      </c>
      <c r="D4782" s="15">
        <v>99.22</v>
      </c>
      <c r="E4782" s="7">
        <f t="shared" si="74"/>
        <v>1</v>
      </c>
    </row>
    <row r="4783" spans="1:5" x14ac:dyDescent="0.25">
      <c r="A4783" s="7">
        <f>IF(E4783=1,
      SUM($E$2:E4783)-1,
"")</f>
        <v>4777</v>
      </c>
      <c r="B4783" s="6" t="s">
        <v>735</v>
      </c>
      <c r="C4783" s="14">
        <v>44937</v>
      </c>
      <c r="D4783" s="15">
        <v>134.08000000000001</v>
      </c>
      <c r="E4783" s="7">
        <f t="shared" si="74"/>
        <v>1</v>
      </c>
    </row>
    <row r="4784" spans="1:5" x14ac:dyDescent="0.25">
      <c r="A4784" s="7">
        <f>IF(E4784=1,
      SUM($E$2:E4784)-1,
"")</f>
        <v>4778</v>
      </c>
      <c r="B4784" s="6" t="s">
        <v>915</v>
      </c>
      <c r="C4784" s="14">
        <v>45154</v>
      </c>
      <c r="D4784" s="15">
        <v>116.17</v>
      </c>
      <c r="E4784" s="7">
        <f t="shared" si="74"/>
        <v>1</v>
      </c>
    </row>
    <row r="4785" spans="1:5" x14ac:dyDescent="0.25">
      <c r="A4785" s="7">
        <f>IF(E4785=1,
      SUM($E$2:E4785)-1,
"")</f>
        <v>4779</v>
      </c>
      <c r="B4785" s="6" t="s">
        <v>205</v>
      </c>
      <c r="C4785" s="14">
        <v>44979</v>
      </c>
      <c r="D4785" s="15">
        <v>157.63999999999999</v>
      </c>
      <c r="E4785" s="7">
        <f t="shared" si="74"/>
        <v>1</v>
      </c>
    </row>
    <row r="4786" spans="1:5" x14ac:dyDescent="0.25">
      <c r="A4786" s="7">
        <f>IF(E4786=1,
      SUM($E$2:E4786)-1,
"")</f>
        <v>4780</v>
      </c>
      <c r="B4786" s="6" t="s">
        <v>171</v>
      </c>
      <c r="C4786" s="14">
        <v>45119</v>
      </c>
      <c r="D4786" s="15">
        <v>70.900000000000006</v>
      </c>
      <c r="E4786" s="7">
        <f t="shared" si="74"/>
        <v>1</v>
      </c>
    </row>
    <row r="4787" spans="1:5" x14ac:dyDescent="0.25">
      <c r="A4787" s="7">
        <f>IF(E4787=1,
      SUM($E$2:E4787)-1,
"")</f>
        <v>4781</v>
      </c>
      <c r="B4787" s="6" t="s">
        <v>532</v>
      </c>
      <c r="C4787" s="14">
        <v>45264</v>
      </c>
      <c r="D4787" s="15">
        <v>85.14</v>
      </c>
      <c r="E4787" s="7">
        <f t="shared" si="74"/>
        <v>1</v>
      </c>
    </row>
    <row r="4788" spans="1:5" x14ac:dyDescent="0.25">
      <c r="A4788" s="7">
        <f>IF(E4788=1,
      SUM($E$2:E4788)-1,
"")</f>
        <v>4782</v>
      </c>
      <c r="B4788" s="6" t="s">
        <v>150</v>
      </c>
      <c r="C4788" s="14">
        <v>45150</v>
      </c>
      <c r="D4788" s="15">
        <v>71.930000000000007</v>
      </c>
      <c r="E4788" s="7">
        <f t="shared" si="74"/>
        <v>1</v>
      </c>
    </row>
    <row r="4789" spans="1:5" x14ac:dyDescent="0.25">
      <c r="A4789" s="7">
        <f>IF(E4789=1,
      SUM($E$2:E4789)-1,
"")</f>
        <v>4783</v>
      </c>
      <c r="B4789" s="6" t="s">
        <v>593</v>
      </c>
      <c r="C4789" s="14">
        <v>44977</v>
      </c>
      <c r="D4789" s="15">
        <v>97.66</v>
      </c>
      <c r="E4789" s="7">
        <f t="shared" si="74"/>
        <v>1</v>
      </c>
    </row>
    <row r="4790" spans="1:5" x14ac:dyDescent="0.25">
      <c r="A4790" s="7">
        <f>IF(E4790=1,
      SUM($E$2:E4790)-1,
"")</f>
        <v>4784</v>
      </c>
      <c r="B4790" s="6" t="s">
        <v>229</v>
      </c>
      <c r="C4790" s="14">
        <v>44942</v>
      </c>
      <c r="D4790" s="15">
        <v>66.260000000000005</v>
      </c>
      <c r="E4790" s="7">
        <f t="shared" si="74"/>
        <v>1</v>
      </c>
    </row>
    <row r="4791" spans="1:5" x14ac:dyDescent="0.25">
      <c r="A4791" s="7">
        <f>IF(E4791=1,
      SUM($E$2:E4791)-1,
"")</f>
        <v>4785</v>
      </c>
      <c r="B4791" s="6" t="s">
        <v>190</v>
      </c>
      <c r="C4791" s="14">
        <v>45251</v>
      </c>
      <c r="D4791" s="15">
        <v>54.22</v>
      </c>
      <c r="E4791" s="7">
        <f t="shared" si="74"/>
        <v>1</v>
      </c>
    </row>
    <row r="4792" spans="1:5" x14ac:dyDescent="0.25">
      <c r="A4792" s="7">
        <f>IF(E4792=1,
      SUM($E$2:E4792)-1,
"")</f>
        <v>4786</v>
      </c>
      <c r="B4792" s="6" t="s">
        <v>721</v>
      </c>
      <c r="C4792" s="14">
        <v>44994</v>
      </c>
      <c r="D4792" s="15">
        <v>36</v>
      </c>
      <c r="E4792" s="7">
        <f t="shared" si="74"/>
        <v>1</v>
      </c>
    </row>
    <row r="4793" spans="1:5" x14ac:dyDescent="0.25">
      <c r="A4793" s="7">
        <f>IF(E4793=1,
      SUM($E$2:E4793)-1,
"")</f>
        <v>4787</v>
      </c>
      <c r="B4793" s="6" t="s">
        <v>389</v>
      </c>
      <c r="C4793" s="14">
        <v>45085</v>
      </c>
      <c r="D4793" s="15">
        <v>34.08</v>
      </c>
      <c r="E4793" s="7">
        <f t="shared" si="74"/>
        <v>1</v>
      </c>
    </row>
    <row r="4794" spans="1:5" x14ac:dyDescent="0.25">
      <c r="A4794" s="7">
        <f>IF(E4794=1,
      SUM($E$2:E4794)-1,
"")</f>
        <v>4788</v>
      </c>
      <c r="B4794" s="6" t="s">
        <v>753</v>
      </c>
      <c r="C4794" s="14">
        <v>44963</v>
      </c>
      <c r="D4794" s="15">
        <v>119.69</v>
      </c>
      <c r="E4794" s="7">
        <f t="shared" si="74"/>
        <v>1</v>
      </c>
    </row>
    <row r="4795" spans="1:5" x14ac:dyDescent="0.25">
      <c r="A4795" s="7">
        <f>IF(E4795=1,
      SUM($E$2:E4795)-1,
"")</f>
        <v>4789</v>
      </c>
      <c r="B4795" s="6" t="s">
        <v>581</v>
      </c>
      <c r="C4795" s="14">
        <v>45101</v>
      </c>
      <c r="D4795" s="15">
        <v>86.34</v>
      </c>
      <c r="E4795" s="7">
        <f t="shared" si="74"/>
        <v>1</v>
      </c>
    </row>
    <row r="4796" spans="1:5" x14ac:dyDescent="0.25">
      <c r="A4796" s="7">
        <f>IF(E4796=1,
      SUM($E$2:E4796)-1,
"")</f>
        <v>4790</v>
      </c>
      <c r="B4796" s="6" t="s">
        <v>92</v>
      </c>
      <c r="C4796" s="14">
        <v>45133</v>
      </c>
      <c r="D4796" s="15">
        <v>62.99</v>
      </c>
      <c r="E4796" s="7">
        <f t="shared" si="74"/>
        <v>1</v>
      </c>
    </row>
    <row r="4797" spans="1:5" x14ac:dyDescent="0.25">
      <c r="A4797" s="7">
        <f>IF(E4797=1,
      SUM($E$2:E4797)-1,
"")</f>
        <v>4791</v>
      </c>
      <c r="B4797" s="6" t="s">
        <v>545</v>
      </c>
      <c r="C4797" s="14">
        <v>45229</v>
      </c>
      <c r="D4797" s="15">
        <v>80.23</v>
      </c>
      <c r="E4797" s="7">
        <f t="shared" si="74"/>
        <v>1</v>
      </c>
    </row>
    <row r="4798" spans="1:5" x14ac:dyDescent="0.25">
      <c r="A4798" s="7">
        <f>IF(E4798=1,
      SUM($E$2:E4798)-1,
"")</f>
        <v>4792</v>
      </c>
      <c r="B4798" s="6" t="s">
        <v>504</v>
      </c>
      <c r="C4798" s="14">
        <v>45050</v>
      </c>
      <c r="D4798" s="15">
        <v>84.16</v>
      </c>
      <c r="E4798" s="7">
        <f t="shared" si="74"/>
        <v>1</v>
      </c>
    </row>
    <row r="4799" spans="1:5" x14ac:dyDescent="0.25">
      <c r="A4799" s="7">
        <f>IF(E4799=1,
      SUM($E$2:E4799)-1,
"")</f>
        <v>4793</v>
      </c>
      <c r="B4799" s="6" t="s">
        <v>633</v>
      </c>
      <c r="C4799" s="14">
        <v>45035</v>
      </c>
      <c r="D4799" s="15">
        <v>71.06</v>
      </c>
      <c r="E4799" s="7">
        <f t="shared" si="74"/>
        <v>1</v>
      </c>
    </row>
    <row r="4800" spans="1:5" x14ac:dyDescent="0.25">
      <c r="A4800" s="7">
        <f>IF(E4800=1,
      SUM($E$2:E4800)-1,
"")</f>
        <v>4794</v>
      </c>
      <c r="B4800" s="6" t="s">
        <v>525</v>
      </c>
      <c r="C4800" s="14">
        <v>45141</v>
      </c>
      <c r="D4800" s="15">
        <v>148.16999999999999</v>
      </c>
      <c r="E4800" s="7">
        <f t="shared" si="74"/>
        <v>1</v>
      </c>
    </row>
    <row r="4801" spans="1:5" x14ac:dyDescent="0.25">
      <c r="A4801" s="7">
        <f>IF(E4801=1,
      SUM($E$2:E4801)-1,
"")</f>
        <v>4795</v>
      </c>
      <c r="B4801" s="6" t="s">
        <v>693</v>
      </c>
      <c r="C4801" s="14">
        <v>45078</v>
      </c>
      <c r="D4801" s="15">
        <v>142.5</v>
      </c>
      <c r="E4801" s="7">
        <f t="shared" si="74"/>
        <v>1</v>
      </c>
    </row>
    <row r="4802" spans="1:5" x14ac:dyDescent="0.25">
      <c r="A4802" s="7">
        <f>IF(E4802=1,
      SUM($E$2:E4802)-1,
"")</f>
        <v>4796</v>
      </c>
      <c r="B4802" s="6" t="s">
        <v>738</v>
      </c>
      <c r="C4802" s="14">
        <v>44971</v>
      </c>
      <c r="D4802" s="15">
        <v>147.65</v>
      </c>
      <c r="E4802" s="7">
        <f t="shared" ref="E4802:E4865" si="75">IF(D4802&gt;0,1,0)</f>
        <v>1</v>
      </c>
    </row>
    <row r="4803" spans="1:5" x14ac:dyDescent="0.25">
      <c r="A4803" s="7">
        <f>IF(E4803=1,
      SUM($E$2:E4803)-1,
"")</f>
        <v>4797</v>
      </c>
      <c r="B4803" s="6" t="s">
        <v>418</v>
      </c>
      <c r="C4803" s="14">
        <v>45127</v>
      </c>
      <c r="D4803" s="15">
        <v>105.38</v>
      </c>
      <c r="E4803" s="7">
        <f t="shared" si="75"/>
        <v>1</v>
      </c>
    </row>
    <row r="4804" spans="1:5" x14ac:dyDescent="0.25">
      <c r="A4804" s="7">
        <f>IF(E4804=1,
      SUM($E$2:E4804)-1,
"")</f>
        <v>4798</v>
      </c>
      <c r="B4804" s="6" t="s">
        <v>631</v>
      </c>
      <c r="C4804" s="14">
        <v>45262</v>
      </c>
      <c r="D4804" s="15">
        <v>108.41</v>
      </c>
      <c r="E4804" s="7">
        <f t="shared" si="75"/>
        <v>1</v>
      </c>
    </row>
    <row r="4805" spans="1:5" x14ac:dyDescent="0.25">
      <c r="A4805" s="7">
        <f>IF(E4805=1,
      SUM($E$2:E4805)-1,
"")</f>
        <v>4799</v>
      </c>
      <c r="B4805" s="6" t="s">
        <v>502</v>
      </c>
      <c r="C4805" s="14">
        <v>45061</v>
      </c>
      <c r="D4805" s="15">
        <v>80.42</v>
      </c>
      <c r="E4805" s="7">
        <f t="shared" si="75"/>
        <v>1</v>
      </c>
    </row>
    <row r="4806" spans="1:5" x14ac:dyDescent="0.25">
      <c r="A4806" s="7">
        <f>IF(E4806=1,
      SUM($E$2:E4806)-1,
"")</f>
        <v>4800</v>
      </c>
      <c r="B4806" s="6" t="s">
        <v>236</v>
      </c>
      <c r="C4806" s="14">
        <v>45011</v>
      </c>
      <c r="D4806" s="15">
        <v>74.59</v>
      </c>
      <c r="E4806" s="7">
        <f t="shared" si="75"/>
        <v>1</v>
      </c>
    </row>
    <row r="4807" spans="1:5" x14ac:dyDescent="0.25">
      <c r="A4807" s="7">
        <f>IF(E4807=1,
      SUM($E$2:E4807)-1,
"")</f>
        <v>4801</v>
      </c>
      <c r="B4807" s="6" t="s">
        <v>1021</v>
      </c>
      <c r="C4807" s="14">
        <v>45264</v>
      </c>
      <c r="D4807" s="15">
        <v>100.65</v>
      </c>
      <c r="E4807" s="7">
        <f t="shared" si="75"/>
        <v>1</v>
      </c>
    </row>
    <row r="4808" spans="1:5" x14ac:dyDescent="0.25">
      <c r="A4808" s="7">
        <f>IF(E4808=1,
      SUM($E$2:E4808)-1,
"")</f>
        <v>4802</v>
      </c>
      <c r="B4808" s="6" t="s">
        <v>661</v>
      </c>
      <c r="C4808" s="14">
        <v>45098</v>
      </c>
      <c r="D4808" s="15">
        <v>119.57</v>
      </c>
      <c r="E4808" s="7">
        <f t="shared" si="75"/>
        <v>1</v>
      </c>
    </row>
    <row r="4809" spans="1:5" x14ac:dyDescent="0.25">
      <c r="A4809" s="7">
        <f>IF(E4809=1,
      SUM($E$2:E4809)-1,
"")</f>
        <v>4803</v>
      </c>
      <c r="B4809" s="6" t="s">
        <v>377</v>
      </c>
      <c r="C4809" s="14">
        <v>44959</v>
      </c>
      <c r="D4809" s="15">
        <v>135.87</v>
      </c>
      <c r="E4809" s="7">
        <f t="shared" si="75"/>
        <v>1</v>
      </c>
    </row>
    <row r="4810" spans="1:5" x14ac:dyDescent="0.25">
      <c r="A4810" s="7">
        <f>IF(E4810=1,
      SUM($E$2:E4810)-1,
"")</f>
        <v>4804</v>
      </c>
      <c r="B4810" s="6" t="s">
        <v>974</v>
      </c>
      <c r="C4810" s="14">
        <v>45037</v>
      </c>
      <c r="D4810" s="15">
        <v>83.62</v>
      </c>
      <c r="E4810" s="7">
        <f t="shared" si="75"/>
        <v>1</v>
      </c>
    </row>
    <row r="4811" spans="1:5" x14ac:dyDescent="0.25">
      <c r="A4811" s="7">
        <f>IF(E4811=1,
      SUM($E$2:E4811)-1,
"")</f>
        <v>4805</v>
      </c>
      <c r="B4811" s="6" t="s">
        <v>644</v>
      </c>
      <c r="C4811" s="14">
        <v>45012</v>
      </c>
      <c r="D4811" s="15">
        <v>62.42</v>
      </c>
      <c r="E4811" s="7">
        <f t="shared" si="75"/>
        <v>1</v>
      </c>
    </row>
    <row r="4812" spans="1:5" x14ac:dyDescent="0.25">
      <c r="A4812" s="7">
        <f>IF(E4812=1,
      SUM($E$2:E4812)-1,
"")</f>
        <v>4806</v>
      </c>
      <c r="B4812" s="6" t="s">
        <v>510</v>
      </c>
      <c r="C4812" s="14">
        <v>44989</v>
      </c>
      <c r="D4812" s="15">
        <v>122.02</v>
      </c>
      <c r="E4812" s="7">
        <f t="shared" si="75"/>
        <v>1</v>
      </c>
    </row>
    <row r="4813" spans="1:5" x14ac:dyDescent="0.25">
      <c r="A4813" s="7">
        <f>IF(E4813=1,
      SUM($E$2:E4813)-1,
"")</f>
        <v>4807</v>
      </c>
      <c r="B4813" s="6" t="s">
        <v>915</v>
      </c>
      <c r="C4813" s="14">
        <v>44972</v>
      </c>
      <c r="D4813" s="15">
        <v>45.46</v>
      </c>
      <c r="E4813" s="7">
        <f t="shared" si="75"/>
        <v>1</v>
      </c>
    </row>
    <row r="4814" spans="1:5" x14ac:dyDescent="0.25">
      <c r="A4814" s="7">
        <f>IF(E4814=1,
      SUM($E$2:E4814)-1,
"")</f>
        <v>4808</v>
      </c>
      <c r="B4814" s="6" t="s">
        <v>945</v>
      </c>
      <c r="C4814" s="14">
        <v>44970</v>
      </c>
      <c r="D4814" s="15">
        <v>98.82</v>
      </c>
      <c r="E4814" s="7">
        <f t="shared" si="75"/>
        <v>1</v>
      </c>
    </row>
    <row r="4815" spans="1:5" x14ac:dyDescent="0.25">
      <c r="A4815" s="7">
        <f>IF(E4815=1,
      SUM($E$2:E4815)-1,
"")</f>
        <v>4809</v>
      </c>
      <c r="B4815" s="6" t="s">
        <v>163</v>
      </c>
      <c r="C4815" s="14">
        <v>44947</v>
      </c>
      <c r="D4815" s="15">
        <v>102.68</v>
      </c>
      <c r="E4815" s="7">
        <f t="shared" si="75"/>
        <v>1</v>
      </c>
    </row>
    <row r="4816" spans="1:5" x14ac:dyDescent="0.25">
      <c r="A4816" s="7">
        <f>IF(E4816=1,
      SUM($E$2:E4816)-1,
"")</f>
        <v>4810</v>
      </c>
      <c r="B4816" s="6" t="s">
        <v>469</v>
      </c>
      <c r="C4816" s="14">
        <v>44999</v>
      </c>
      <c r="D4816" s="15">
        <v>88.64</v>
      </c>
      <c r="E4816" s="7">
        <f t="shared" si="75"/>
        <v>1</v>
      </c>
    </row>
    <row r="4817" spans="1:5" x14ac:dyDescent="0.25">
      <c r="A4817" s="7">
        <f>IF(E4817=1,
      SUM($E$2:E4817)-1,
"")</f>
        <v>4811</v>
      </c>
      <c r="B4817" s="6" t="s">
        <v>797</v>
      </c>
      <c r="C4817" s="14">
        <v>45206</v>
      </c>
      <c r="D4817" s="15">
        <v>53.64</v>
      </c>
      <c r="E4817" s="7">
        <f t="shared" si="75"/>
        <v>1</v>
      </c>
    </row>
    <row r="4818" spans="1:5" x14ac:dyDescent="0.25">
      <c r="A4818" s="7">
        <f>IF(E4818=1,
      SUM($E$2:E4818)-1,
"")</f>
        <v>4812</v>
      </c>
      <c r="B4818" s="6" t="s">
        <v>796</v>
      </c>
      <c r="C4818" s="14">
        <v>45144</v>
      </c>
      <c r="D4818" s="15">
        <v>89.03</v>
      </c>
      <c r="E4818" s="7">
        <f t="shared" si="75"/>
        <v>1</v>
      </c>
    </row>
    <row r="4819" spans="1:5" x14ac:dyDescent="0.25">
      <c r="A4819" s="7">
        <f>IF(E4819=1,
      SUM($E$2:E4819)-1,
"")</f>
        <v>4813</v>
      </c>
      <c r="B4819" s="6" t="s">
        <v>457</v>
      </c>
      <c r="C4819" s="14">
        <v>45044</v>
      </c>
      <c r="D4819" s="15">
        <v>149.28</v>
      </c>
      <c r="E4819" s="7">
        <f t="shared" si="75"/>
        <v>1</v>
      </c>
    </row>
    <row r="4820" spans="1:5" x14ac:dyDescent="0.25">
      <c r="A4820" s="7">
        <f>IF(E4820=1,
      SUM($E$2:E4820)-1,
"")</f>
        <v>4814</v>
      </c>
      <c r="B4820" s="6" t="s">
        <v>850</v>
      </c>
      <c r="C4820" s="14">
        <v>44972</v>
      </c>
      <c r="D4820" s="15">
        <v>117.75</v>
      </c>
      <c r="E4820" s="7">
        <f t="shared" si="75"/>
        <v>1</v>
      </c>
    </row>
    <row r="4821" spans="1:5" x14ac:dyDescent="0.25">
      <c r="A4821" s="7">
        <f>IF(E4821=1,
      SUM($E$2:E4821)-1,
"")</f>
        <v>4815</v>
      </c>
      <c r="B4821" s="6" t="s">
        <v>547</v>
      </c>
      <c r="C4821" s="14">
        <v>45010</v>
      </c>
      <c r="D4821" s="15">
        <v>134.85</v>
      </c>
      <c r="E4821" s="7">
        <f t="shared" si="75"/>
        <v>1</v>
      </c>
    </row>
    <row r="4822" spans="1:5" x14ac:dyDescent="0.25">
      <c r="A4822" s="7">
        <f>IF(E4822=1,
      SUM($E$2:E4822)-1,
"")</f>
        <v>4816</v>
      </c>
      <c r="B4822" s="6" t="s">
        <v>948</v>
      </c>
      <c r="C4822" s="14">
        <v>44931</v>
      </c>
      <c r="D4822" s="15">
        <v>63.48</v>
      </c>
      <c r="E4822" s="7">
        <f t="shared" si="75"/>
        <v>1</v>
      </c>
    </row>
    <row r="4823" spans="1:5" x14ac:dyDescent="0.25">
      <c r="A4823" s="7">
        <f>IF(E4823=1,
      SUM($E$2:E4823)-1,
"")</f>
        <v>4817</v>
      </c>
      <c r="B4823" s="6" t="s">
        <v>1058</v>
      </c>
      <c r="C4823" s="14">
        <v>45095</v>
      </c>
      <c r="D4823" s="15">
        <v>107.67</v>
      </c>
      <c r="E4823" s="7">
        <f t="shared" si="75"/>
        <v>1</v>
      </c>
    </row>
    <row r="4824" spans="1:5" x14ac:dyDescent="0.25">
      <c r="A4824" s="7">
        <f>IF(E4824=1,
      SUM($E$2:E4824)-1,
"")</f>
        <v>4818</v>
      </c>
      <c r="B4824" s="6" t="s">
        <v>117</v>
      </c>
      <c r="C4824" s="14">
        <v>45249</v>
      </c>
      <c r="D4824" s="15">
        <v>102.65</v>
      </c>
      <c r="E4824" s="7">
        <f t="shared" si="75"/>
        <v>1</v>
      </c>
    </row>
    <row r="4825" spans="1:5" x14ac:dyDescent="0.25">
      <c r="A4825" s="7">
        <f>IF(E4825=1,
      SUM($E$2:E4825)-1,
"")</f>
        <v>4819</v>
      </c>
      <c r="B4825" s="6" t="s">
        <v>631</v>
      </c>
      <c r="C4825" s="14">
        <v>44937</v>
      </c>
      <c r="D4825" s="15">
        <v>103.23</v>
      </c>
      <c r="E4825" s="7">
        <f t="shared" si="75"/>
        <v>1</v>
      </c>
    </row>
    <row r="4826" spans="1:5" x14ac:dyDescent="0.25">
      <c r="A4826" s="7">
        <f>IF(E4826=1,
      SUM($E$2:E4826)-1,
"")</f>
        <v>4820</v>
      </c>
      <c r="B4826" s="6" t="s">
        <v>697</v>
      </c>
      <c r="C4826" s="14">
        <v>45265</v>
      </c>
      <c r="D4826" s="15">
        <v>116.68</v>
      </c>
      <c r="E4826" s="7">
        <f t="shared" si="75"/>
        <v>1</v>
      </c>
    </row>
    <row r="4827" spans="1:5" x14ac:dyDescent="0.25">
      <c r="A4827" s="7">
        <f>IF(E4827=1,
      SUM($E$2:E4827)-1,
"")</f>
        <v>4821</v>
      </c>
      <c r="B4827" s="6" t="s">
        <v>326</v>
      </c>
      <c r="C4827" s="14">
        <v>45276</v>
      </c>
      <c r="D4827" s="15">
        <v>104.42</v>
      </c>
      <c r="E4827" s="7">
        <f t="shared" si="75"/>
        <v>1</v>
      </c>
    </row>
    <row r="4828" spans="1:5" x14ac:dyDescent="0.25">
      <c r="A4828" s="7">
        <f>IF(E4828=1,
      SUM($E$2:E4828)-1,
"")</f>
        <v>4822</v>
      </c>
      <c r="B4828" s="6" t="s">
        <v>470</v>
      </c>
      <c r="C4828" s="14">
        <v>45166</v>
      </c>
      <c r="D4828" s="15">
        <v>64.319999999999993</v>
      </c>
      <c r="E4828" s="7">
        <f t="shared" si="75"/>
        <v>1</v>
      </c>
    </row>
    <row r="4829" spans="1:5" x14ac:dyDescent="0.25">
      <c r="A4829" s="7">
        <f>IF(E4829=1,
      SUM($E$2:E4829)-1,
"")</f>
        <v>4823</v>
      </c>
      <c r="B4829" s="6" t="s">
        <v>854</v>
      </c>
      <c r="C4829" s="14">
        <v>45125</v>
      </c>
      <c r="D4829" s="15">
        <v>118.4</v>
      </c>
      <c r="E4829" s="7">
        <f t="shared" si="75"/>
        <v>1</v>
      </c>
    </row>
    <row r="4830" spans="1:5" x14ac:dyDescent="0.25">
      <c r="A4830" s="7">
        <f>IF(E4830=1,
      SUM($E$2:E4830)-1,
"")</f>
        <v>4824</v>
      </c>
      <c r="B4830" s="6" t="s">
        <v>683</v>
      </c>
      <c r="C4830" s="14">
        <v>45049</v>
      </c>
      <c r="D4830" s="15">
        <v>125.23</v>
      </c>
      <c r="E4830" s="7">
        <f t="shared" si="75"/>
        <v>1</v>
      </c>
    </row>
    <row r="4831" spans="1:5" x14ac:dyDescent="0.25">
      <c r="A4831" s="7">
        <f>IF(E4831=1,
      SUM($E$2:E4831)-1,
"")</f>
        <v>4825</v>
      </c>
      <c r="B4831" s="6" t="s">
        <v>748</v>
      </c>
      <c r="C4831" s="14">
        <v>45217</v>
      </c>
      <c r="D4831" s="15">
        <v>139.58000000000001</v>
      </c>
      <c r="E4831" s="7">
        <f t="shared" si="75"/>
        <v>1</v>
      </c>
    </row>
    <row r="4832" spans="1:5" x14ac:dyDescent="0.25">
      <c r="A4832" s="7">
        <f>IF(E4832=1,
      SUM($E$2:E4832)-1,
"")</f>
        <v>4826</v>
      </c>
      <c r="B4832" s="6" t="s">
        <v>780</v>
      </c>
      <c r="C4832" s="14">
        <v>45062</v>
      </c>
      <c r="D4832" s="15">
        <v>140.91</v>
      </c>
      <c r="E4832" s="7">
        <f t="shared" si="75"/>
        <v>1</v>
      </c>
    </row>
    <row r="4833" spans="1:5" x14ac:dyDescent="0.25">
      <c r="A4833" s="7">
        <f>IF(E4833=1,
      SUM($E$2:E4833)-1,
"")</f>
        <v>4827</v>
      </c>
      <c r="B4833" s="6" t="s">
        <v>857</v>
      </c>
      <c r="C4833" s="14">
        <v>45089</v>
      </c>
      <c r="D4833" s="15">
        <v>114.29</v>
      </c>
      <c r="E4833" s="7">
        <f t="shared" si="75"/>
        <v>1</v>
      </c>
    </row>
    <row r="4834" spans="1:5" x14ac:dyDescent="0.25">
      <c r="A4834" s="7">
        <f>IF(E4834=1,
      SUM($E$2:E4834)-1,
"")</f>
        <v>4828</v>
      </c>
      <c r="B4834" s="6" t="s">
        <v>407</v>
      </c>
      <c r="C4834" s="14">
        <v>45045</v>
      </c>
      <c r="D4834" s="15">
        <v>65.709999999999994</v>
      </c>
      <c r="E4834" s="7">
        <f t="shared" si="75"/>
        <v>1</v>
      </c>
    </row>
    <row r="4835" spans="1:5" x14ac:dyDescent="0.25">
      <c r="A4835" s="7">
        <f>IF(E4835=1,
      SUM($E$2:E4835)-1,
"")</f>
        <v>4829</v>
      </c>
      <c r="B4835" s="6" t="s">
        <v>349</v>
      </c>
      <c r="C4835" s="14">
        <v>44991</v>
      </c>
      <c r="D4835" s="15">
        <v>54.12</v>
      </c>
      <c r="E4835" s="7">
        <f t="shared" si="75"/>
        <v>1</v>
      </c>
    </row>
    <row r="4836" spans="1:5" x14ac:dyDescent="0.25">
      <c r="A4836" s="7">
        <f>IF(E4836=1,
      SUM($E$2:E4836)-1,
"")</f>
        <v>4830</v>
      </c>
      <c r="B4836" s="6" t="s">
        <v>761</v>
      </c>
      <c r="C4836" s="14">
        <v>45079</v>
      </c>
      <c r="D4836" s="15">
        <v>93.19</v>
      </c>
      <c r="E4836" s="7">
        <f t="shared" si="75"/>
        <v>1</v>
      </c>
    </row>
    <row r="4837" spans="1:5" x14ac:dyDescent="0.25">
      <c r="A4837" s="7">
        <f>IF(E4837=1,
      SUM($E$2:E4837)-1,
"")</f>
        <v>4831</v>
      </c>
      <c r="B4837" s="6" t="s">
        <v>371</v>
      </c>
      <c r="C4837" s="14">
        <v>45078</v>
      </c>
      <c r="D4837" s="15">
        <v>127.58</v>
      </c>
      <c r="E4837" s="7">
        <f t="shared" si="75"/>
        <v>1</v>
      </c>
    </row>
    <row r="4838" spans="1:5" x14ac:dyDescent="0.25">
      <c r="A4838" s="7">
        <f>IF(E4838=1,
      SUM($E$2:E4838)-1,
"")</f>
        <v>4832</v>
      </c>
      <c r="B4838" s="6" t="s">
        <v>274</v>
      </c>
      <c r="C4838" s="14">
        <v>45135</v>
      </c>
      <c r="D4838" s="15">
        <v>125.65</v>
      </c>
      <c r="E4838" s="7">
        <f t="shared" si="75"/>
        <v>1</v>
      </c>
    </row>
    <row r="4839" spans="1:5" x14ac:dyDescent="0.25">
      <c r="A4839" s="7">
        <f>IF(E4839=1,
      SUM($E$2:E4839)-1,
"")</f>
        <v>4833</v>
      </c>
      <c r="B4839" s="6" t="s">
        <v>110</v>
      </c>
      <c r="C4839" s="14">
        <v>45224</v>
      </c>
      <c r="D4839" s="15">
        <v>108.22</v>
      </c>
      <c r="E4839" s="7">
        <f t="shared" si="75"/>
        <v>1</v>
      </c>
    </row>
    <row r="4840" spans="1:5" x14ac:dyDescent="0.25">
      <c r="A4840" s="7">
        <f>IF(E4840=1,
      SUM($E$2:E4840)-1,
"")</f>
        <v>4834</v>
      </c>
      <c r="B4840" s="6" t="s">
        <v>352</v>
      </c>
      <c r="C4840" s="14">
        <v>45208</v>
      </c>
      <c r="D4840" s="15">
        <v>98.9</v>
      </c>
      <c r="E4840" s="7">
        <f t="shared" si="75"/>
        <v>1</v>
      </c>
    </row>
    <row r="4841" spans="1:5" x14ac:dyDescent="0.25">
      <c r="A4841" s="7">
        <f>IF(E4841=1,
      SUM($E$2:E4841)-1,
"")</f>
        <v>4835</v>
      </c>
      <c r="B4841" s="6" t="s">
        <v>253</v>
      </c>
      <c r="C4841" s="14">
        <v>45026</v>
      </c>
      <c r="D4841" s="15">
        <v>157.11000000000001</v>
      </c>
      <c r="E4841" s="7">
        <f t="shared" si="75"/>
        <v>1</v>
      </c>
    </row>
    <row r="4842" spans="1:5" x14ac:dyDescent="0.25">
      <c r="A4842" s="7">
        <f>IF(E4842=1,
      SUM($E$2:E4842)-1,
"")</f>
        <v>4836</v>
      </c>
      <c r="B4842" s="6" t="s">
        <v>780</v>
      </c>
      <c r="C4842" s="14">
        <v>45224</v>
      </c>
      <c r="D4842" s="15">
        <v>117.22</v>
      </c>
      <c r="E4842" s="7">
        <f t="shared" si="75"/>
        <v>1</v>
      </c>
    </row>
    <row r="4843" spans="1:5" x14ac:dyDescent="0.25">
      <c r="A4843" s="7">
        <f>IF(E4843=1,
      SUM($E$2:E4843)-1,
"")</f>
        <v>4837</v>
      </c>
      <c r="B4843" s="6" t="s">
        <v>590</v>
      </c>
      <c r="C4843" s="14">
        <v>45194</v>
      </c>
      <c r="D4843" s="15">
        <v>97.38</v>
      </c>
      <c r="E4843" s="7">
        <f t="shared" si="75"/>
        <v>1</v>
      </c>
    </row>
    <row r="4844" spans="1:5" x14ac:dyDescent="0.25">
      <c r="A4844" s="7">
        <f>IF(E4844=1,
      SUM($E$2:E4844)-1,
"")</f>
        <v>4838</v>
      </c>
      <c r="B4844" s="6" t="s">
        <v>545</v>
      </c>
      <c r="C4844" s="14">
        <v>44946</v>
      </c>
      <c r="D4844" s="15">
        <v>80.64</v>
      </c>
      <c r="E4844" s="7">
        <f t="shared" si="75"/>
        <v>1</v>
      </c>
    </row>
    <row r="4845" spans="1:5" x14ac:dyDescent="0.25">
      <c r="A4845" s="7">
        <f>IF(E4845=1,
      SUM($E$2:E4845)-1,
"")</f>
        <v>4839</v>
      </c>
      <c r="B4845" s="6" t="s">
        <v>773</v>
      </c>
      <c r="C4845" s="14">
        <v>45077</v>
      </c>
      <c r="D4845" s="15">
        <v>69.739999999999995</v>
      </c>
      <c r="E4845" s="7">
        <f t="shared" si="75"/>
        <v>1</v>
      </c>
    </row>
    <row r="4846" spans="1:5" x14ac:dyDescent="0.25">
      <c r="A4846" s="7">
        <f>IF(E4846=1,
      SUM($E$2:E4846)-1,
"")</f>
        <v>4840</v>
      </c>
      <c r="B4846" s="6" t="s">
        <v>914</v>
      </c>
      <c r="C4846" s="14">
        <v>45132</v>
      </c>
      <c r="D4846" s="15">
        <v>66.790000000000006</v>
      </c>
      <c r="E4846" s="7">
        <f t="shared" si="75"/>
        <v>1</v>
      </c>
    </row>
    <row r="4847" spans="1:5" x14ac:dyDescent="0.25">
      <c r="A4847" s="7">
        <f>IF(E4847=1,
      SUM($E$2:E4847)-1,
"")</f>
        <v>4841</v>
      </c>
      <c r="B4847" s="6" t="s">
        <v>385</v>
      </c>
      <c r="C4847" s="14">
        <v>45199</v>
      </c>
      <c r="D4847" s="15">
        <v>69.75</v>
      </c>
      <c r="E4847" s="7">
        <f t="shared" si="75"/>
        <v>1</v>
      </c>
    </row>
    <row r="4848" spans="1:5" x14ac:dyDescent="0.25">
      <c r="A4848" s="7">
        <f>IF(E4848=1,
      SUM($E$2:E4848)-1,
"")</f>
        <v>4842</v>
      </c>
      <c r="B4848" s="6" t="s">
        <v>560</v>
      </c>
      <c r="C4848" s="14">
        <v>45119</v>
      </c>
      <c r="D4848" s="15">
        <v>108.43</v>
      </c>
      <c r="E4848" s="7">
        <f t="shared" si="75"/>
        <v>1</v>
      </c>
    </row>
    <row r="4849" spans="1:5" x14ac:dyDescent="0.25">
      <c r="A4849" s="7">
        <f>IF(E4849=1,
      SUM($E$2:E4849)-1,
"")</f>
        <v>4843</v>
      </c>
      <c r="B4849" s="6" t="s">
        <v>122</v>
      </c>
      <c r="C4849" s="14">
        <v>45128</v>
      </c>
      <c r="D4849" s="15">
        <v>99.46</v>
      </c>
      <c r="E4849" s="7">
        <f t="shared" si="75"/>
        <v>1</v>
      </c>
    </row>
    <row r="4850" spans="1:5" x14ac:dyDescent="0.25">
      <c r="A4850" s="7">
        <f>IF(E4850=1,
      SUM($E$2:E4850)-1,
"")</f>
        <v>4844</v>
      </c>
      <c r="B4850" s="6" t="s">
        <v>760</v>
      </c>
      <c r="C4850" s="14">
        <v>45178</v>
      </c>
      <c r="D4850" s="15">
        <v>90.22</v>
      </c>
      <c r="E4850" s="7">
        <f t="shared" si="75"/>
        <v>1</v>
      </c>
    </row>
    <row r="4851" spans="1:5" x14ac:dyDescent="0.25">
      <c r="A4851" s="7">
        <f>IF(E4851=1,
      SUM($E$2:E4851)-1,
"")</f>
        <v>4845</v>
      </c>
      <c r="B4851" s="6" t="s">
        <v>225</v>
      </c>
      <c r="C4851" s="14">
        <v>45073</v>
      </c>
      <c r="D4851" s="15">
        <v>122.09</v>
      </c>
      <c r="E4851" s="7">
        <f t="shared" si="75"/>
        <v>1</v>
      </c>
    </row>
    <row r="4852" spans="1:5" x14ac:dyDescent="0.25">
      <c r="A4852" s="7">
        <f>IF(E4852=1,
      SUM($E$2:E4852)-1,
"")</f>
        <v>4846</v>
      </c>
      <c r="B4852" s="6" t="s">
        <v>937</v>
      </c>
      <c r="C4852" s="14">
        <v>45262</v>
      </c>
      <c r="D4852" s="15">
        <v>154.28</v>
      </c>
      <c r="E4852" s="7">
        <f t="shared" si="75"/>
        <v>1</v>
      </c>
    </row>
    <row r="4853" spans="1:5" x14ac:dyDescent="0.25">
      <c r="A4853" s="7">
        <f>IF(E4853=1,
      SUM($E$2:E4853)-1,
"")</f>
        <v>4847</v>
      </c>
      <c r="B4853" s="6" t="s">
        <v>677</v>
      </c>
      <c r="C4853" s="14">
        <v>45282</v>
      </c>
      <c r="D4853" s="15">
        <v>75.3</v>
      </c>
      <c r="E4853" s="7">
        <f t="shared" si="75"/>
        <v>1</v>
      </c>
    </row>
    <row r="4854" spans="1:5" x14ac:dyDescent="0.25">
      <c r="A4854" s="7">
        <f>IF(E4854=1,
      SUM($E$2:E4854)-1,
"")</f>
        <v>4848</v>
      </c>
      <c r="B4854" s="6" t="s">
        <v>793</v>
      </c>
      <c r="C4854" s="14">
        <v>44950</v>
      </c>
      <c r="D4854" s="15">
        <v>79.77</v>
      </c>
      <c r="E4854" s="7">
        <f t="shared" si="75"/>
        <v>1</v>
      </c>
    </row>
    <row r="4855" spans="1:5" x14ac:dyDescent="0.25">
      <c r="A4855" s="7">
        <f>IF(E4855=1,
      SUM($E$2:E4855)-1,
"")</f>
        <v>4849</v>
      </c>
      <c r="B4855" s="6" t="s">
        <v>526</v>
      </c>
      <c r="C4855" s="14">
        <v>45163</v>
      </c>
      <c r="D4855" s="15">
        <v>33.49</v>
      </c>
      <c r="E4855" s="7">
        <f t="shared" si="75"/>
        <v>1</v>
      </c>
    </row>
    <row r="4856" spans="1:5" x14ac:dyDescent="0.25">
      <c r="A4856" s="7">
        <f>IF(E4856=1,
      SUM($E$2:E4856)-1,
"")</f>
        <v>4850</v>
      </c>
      <c r="B4856" s="6" t="s">
        <v>581</v>
      </c>
      <c r="C4856" s="14">
        <v>45188</v>
      </c>
      <c r="D4856" s="15">
        <v>99.21</v>
      </c>
      <c r="E4856" s="7">
        <f t="shared" si="75"/>
        <v>1</v>
      </c>
    </row>
    <row r="4857" spans="1:5" x14ac:dyDescent="0.25">
      <c r="A4857" s="7">
        <f>IF(E4857=1,
      SUM($E$2:E4857)-1,
"")</f>
        <v>4851</v>
      </c>
      <c r="B4857" s="6" t="s">
        <v>206</v>
      </c>
      <c r="C4857" s="14">
        <v>45266</v>
      </c>
      <c r="D4857" s="15">
        <v>96.17</v>
      </c>
      <c r="E4857" s="7">
        <f t="shared" si="75"/>
        <v>1</v>
      </c>
    </row>
    <row r="4858" spans="1:5" x14ac:dyDescent="0.25">
      <c r="A4858" s="7">
        <f>IF(E4858=1,
      SUM($E$2:E4858)-1,
"")</f>
        <v>4852</v>
      </c>
      <c r="B4858" s="6" t="s">
        <v>566</v>
      </c>
      <c r="C4858" s="14">
        <v>45066</v>
      </c>
      <c r="D4858" s="15">
        <v>126.78</v>
      </c>
      <c r="E4858" s="7">
        <f t="shared" si="75"/>
        <v>1</v>
      </c>
    </row>
    <row r="4859" spans="1:5" x14ac:dyDescent="0.25">
      <c r="A4859" s="7">
        <f>IF(E4859=1,
      SUM($E$2:E4859)-1,
"")</f>
        <v>4853</v>
      </c>
      <c r="B4859" s="6" t="s">
        <v>1028</v>
      </c>
      <c r="C4859" s="14">
        <v>45291</v>
      </c>
      <c r="D4859" s="15">
        <v>97.4</v>
      </c>
      <c r="E4859" s="7">
        <f t="shared" si="75"/>
        <v>1</v>
      </c>
    </row>
    <row r="4860" spans="1:5" x14ac:dyDescent="0.25">
      <c r="A4860" s="7">
        <f>IF(E4860=1,
      SUM($E$2:E4860)-1,
"")</f>
        <v>4854</v>
      </c>
      <c r="B4860" s="6" t="s">
        <v>251</v>
      </c>
      <c r="C4860" s="14">
        <v>44934</v>
      </c>
      <c r="D4860" s="15">
        <v>82.36</v>
      </c>
      <c r="E4860" s="7">
        <f t="shared" si="75"/>
        <v>1</v>
      </c>
    </row>
    <row r="4861" spans="1:5" x14ac:dyDescent="0.25">
      <c r="A4861" s="7">
        <f>IF(E4861=1,
      SUM($E$2:E4861)-1,
"")</f>
        <v>4855</v>
      </c>
      <c r="B4861" s="6" t="s">
        <v>935</v>
      </c>
      <c r="C4861" s="14">
        <v>45192</v>
      </c>
      <c r="D4861" s="15">
        <v>105.78</v>
      </c>
      <c r="E4861" s="7">
        <f t="shared" si="75"/>
        <v>1</v>
      </c>
    </row>
    <row r="4862" spans="1:5" x14ac:dyDescent="0.25">
      <c r="A4862" s="7">
        <f>IF(E4862=1,
      SUM($E$2:E4862)-1,
"")</f>
        <v>4856</v>
      </c>
      <c r="B4862" s="6" t="s">
        <v>535</v>
      </c>
      <c r="C4862" s="14">
        <v>45272</v>
      </c>
      <c r="D4862" s="15">
        <v>116.71</v>
      </c>
      <c r="E4862" s="7">
        <f t="shared" si="75"/>
        <v>1</v>
      </c>
    </row>
    <row r="4863" spans="1:5" x14ac:dyDescent="0.25">
      <c r="A4863" s="7">
        <f>IF(E4863=1,
      SUM($E$2:E4863)-1,
"")</f>
        <v>4857</v>
      </c>
      <c r="B4863" s="6" t="s">
        <v>903</v>
      </c>
      <c r="C4863" s="14">
        <v>45235</v>
      </c>
      <c r="D4863" s="15">
        <v>51.47</v>
      </c>
      <c r="E4863" s="7">
        <f t="shared" si="75"/>
        <v>1</v>
      </c>
    </row>
    <row r="4864" spans="1:5" x14ac:dyDescent="0.25">
      <c r="A4864" s="7">
        <f>IF(E4864=1,
      SUM($E$2:E4864)-1,
"")</f>
        <v>4858</v>
      </c>
      <c r="B4864" s="6" t="s">
        <v>886</v>
      </c>
      <c r="C4864" s="14">
        <v>45113</v>
      </c>
      <c r="D4864" s="15">
        <v>130.21</v>
      </c>
      <c r="E4864" s="7">
        <f t="shared" si="75"/>
        <v>1</v>
      </c>
    </row>
    <row r="4865" spans="1:5" x14ac:dyDescent="0.25">
      <c r="A4865" s="7">
        <f>IF(E4865=1,
      SUM($E$2:E4865)-1,
"")</f>
        <v>4859</v>
      </c>
      <c r="B4865" s="6" t="s">
        <v>505</v>
      </c>
      <c r="C4865" s="14">
        <v>44952</v>
      </c>
      <c r="D4865" s="15">
        <v>139.19</v>
      </c>
      <c r="E4865" s="7">
        <f t="shared" si="75"/>
        <v>1</v>
      </c>
    </row>
    <row r="4866" spans="1:5" x14ac:dyDescent="0.25">
      <c r="A4866" s="7">
        <f>IF(E4866=1,
      SUM($E$2:E4866)-1,
"")</f>
        <v>4860</v>
      </c>
      <c r="B4866" s="6" t="s">
        <v>792</v>
      </c>
      <c r="C4866" s="14">
        <v>44944</v>
      </c>
      <c r="D4866" s="15">
        <v>116.42</v>
      </c>
      <c r="E4866" s="7">
        <f t="shared" ref="E4866:E4929" si="76">IF(D4866&gt;0,1,0)</f>
        <v>1</v>
      </c>
    </row>
    <row r="4867" spans="1:5" x14ac:dyDescent="0.25">
      <c r="A4867" s="7">
        <f>IF(E4867=1,
      SUM($E$2:E4867)-1,
"")</f>
        <v>4861</v>
      </c>
      <c r="B4867" s="6" t="s">
        <v>123</v>
      </c>
      <c r="C4867" s="14">
        <v>45273</v>
      </c>
      <c r="D4867" s="15">
        <v>71.959999999999994</v>
      </c>
      <c r="E4867" s="7">
        <f t="shared" si="76"/>
        <v>1</v>
      </c>
    </row>
    <row r="4868" spans="1:5" x14ac:dyDescent="0.25">
      <c r="A4868" s="7">
        <f>IF(E4868=1,
      SUM($E$2:E4868)-1,
"")</f>
        <v>4862</v>
      </c>
      <c r="B4868" s="6" t="s">
        <v>516</v>
      </c>
      <c r="C4868" s="14">
        <v>45038</v>
      </c>
      <c r="D4868" s="15">
        <v>90.22</v>
      </c>
      <c r="E4868" s="7">
        <f t="shared" si="76"/>
        <v>1</v>
      </c>
    </row>
    <row r="4869" spans="1:5" x14ac:dyDescent="0.25">
      <c r="A4869" s="7">
        <f>IF(E4869=1,
      SUM($E$2:E4869)-1,
"")</f>
        <v>4863</v>
      </c>
      <c r="B4869" s="6" t="s">
        <v>162</v>
      </c>
      <c r="C4869" s="14">
        <v>44976</v>
      </c>
      <c r="D4869" s="15">
        <v>135.49</v>
      </c>
      <c r="E4869" s="7">
        <f t="shared" si="76"/>
        <v>1</v>
      </c>
    </row>
    <row r="4870" spans="1:5" x14ac:dyDescent="0.25">
      <c r="A4870" s="7">
        <f>IF(E4870=1,
      SUM($E$2:E4870)-1,
"")</f>
        <v>4864</v>
      </c>
      <c r="B4870" s="6" t="s">
        <v>467</v>
      </c>
      <c r="C4870" s="14">
        <v>45255</v>
      </c>
      <c r="D4870" s="15">
        <v>70.650000000000006</v>
      </c>
      <c r="E4870" s="7">
        <f t="shared" si="76"/>
        <v>1</v>
      </c>
    </row>
    <row r="4871" spans="1:5" x14ac:dyDescent="0.25">
      <c r="A4871" s="7">
        <f>IF(E4871=1,
      SUM($E$2:E4871)-1,
"")</f>
        <v>4865</v>
      </c>
      <c r="B4871" s="6" t="s">
        <v>414</v>
      </c>
      <c r="C4871" s="14">
        <v>45145</v>
      </c>
      <c r="D4871" s="15">
        <v>118.86</v>
      </c>
      <c r="E4871" s="7">
        <f t="shared" si="76"/>
        <v>1</v>
      </c>
    </row>
    <row r="4872" spans="1:5" x14ac:dyDescent="0.25">
      <c r="A4872" s="7">
        <f>IF(E4872=1,
      SUM($E$2:E4872)-1,
"")</f>
        <v>4866</v>
      </c>
      <c r="B4872" s="6" t="s">
        <v>398</v>
      </c>
      <c r="C4872" s="14">
        <v>45268</v>
      </c>
      <c r="D4872" s="15">
        <v>98.48</v>
      </c>
      <c r="E4872" s="7">
        <f t="shared" si="76"/>
        <v>1</v>
      </c>
    </row>
    <row r="4873" spans="1:5" x14ac:dyDescent="0.25">
      <c r="A4873" s="7">
        <f>IF(E4873=1,
      SUM($E$2:E4873)-1,
"")</f>
        <v>4867</v>
      </c>
      <c r="B4873" s="6" t="s">
        <v>223</v>
      </c>
      <c r="C4873" s="14">
        <v>45172</v>
      </c>
      <c r="D4873" s="15">
        <v>104.81</v>
      </c>
      <c r="E4873" s="7">
        <f t="shared" si="76"/>
        <v>1</v>
      </c>
    </row>
    <row r="4874" spans="1:5" x14ac:dyDescent="0.25">
      <c r="A4874" s="7">
        <f>IF(E4874=1,
      SUM($E$2:E4874)-1,
"")</f>
        <v>4868</v>
      </c>
      <c r="B4874" s="6" t="s">
        <v>115</v>
      </c>
      <c r="C4874" s="14">
        <v>45267</v>
      </c>
      <c r="D4874" s="15">
        <v>74.930000000000007</v>
      </c>
      <c r="E4874" s="7">
        <f t="shared" si="76"/>
        <v>1</v>
      </c>
    </row>
    <row r="4875" spans="1:5" x14ac:dyDescent="0.25">
      <c r="A4875" s="7">
        <f>IF(E4875=1,
      SUM($E$2:E4875)-1,
"")</f>
        <v>4869</v>
      </c>
      <c r="B4875" s="6" t="s">
        <v>807</v>
      </c>
      <c r="C4875" s="14">
        <v>45124</v>
      </c>
      <c r="D4875" s="15">
        <v>109.92</v>
      </c>
      <c r="E4875" s="7">
        <f t="shared" si="76"/>
        <v>1</v>
      </c>
    </row>
    <row r="4876" spans="1:5" x14ac:dyDescent="0.25">
      <c r="A4876" s="7">
        <f>IF(E4876=1,
      SUM($E$2:E4876)-1,
"")</f>
        <v>4870</v>
      </c>
      <c r="B4876" s="6" t="s">
        <v>219</v>
      </c>
      <c r="C4876" s="14">
        <v>44970</v>
      </c>
      <c r="D4876" s="15">
        <v>107.77</v>
      </c>
      <c r="E4876" s="7">
        <f t="shared" si="76"/>
        <v>1</v>
      </c>
    </row>
    <row r="4877" spans="1:5" x14ac:dyDescent="0.25">
      <c r="A4877" s="7">
        <f>IF(E4877=1,
      SUM($E$2:E4877)-1,
"")</f>
        <v>4871</v>
      </c>
      <c r="B4877" s="6" t="s">
        <v>434</v>
      </c>
      <c r="C4877" s="14">
        <v>45068</v>
      </c>
      <c r="D4877" s="15">
        <v>54.72</v>
      </c>
      <c r="E4877" s="7">
        <f t="shared" si="76"/>
        <v>1</v>
      </c>
    </row>
    <row r="4878" spans="1:5" x14ac:dyDescent="0.25">
      <c r="A4878" s="7">
        <f>IF(E4878=1,
      SUM($E$2:E4878)-1,
"")</f>
        <v>4872</v>
      </c>
      <c r="B4878" s="6" t="s">
        <v>1039</v>
      </c>
      <c r="C4878" s="14">
        <v>45292</v>
      </c>
      <c r="D4878" s="15">
        <v>99.87</v>
      </c>
      <c r="E4878" s="7">
        <f t="shared" si="76"/>
        <v>1</v>
      </c>
    </row>
    <row r="4879" spans="1:5" x14ac:dyDescent="0.25">
      <c r="A4879" s="7">
        <f>IF(E4879=1,
      SUM($E$2:E4879)-1,
"")</f>
        <v>4873</v>
      </c>
      <c r="B4879" s="6" t="s">
        <v>567</v>
      </c>
      <c r="C4879" s="14">
        <v>44986</v>
      </c>
      <c r="D4879" s="15">
        <v>118.42</v>
      </c>
      <c r="E4879" s="7">
        <f t="shared" si="76"/>
        <v>1</v>
      </c>
    </row>
    <row r="4880" spans="1:5" x14ac:dyDescent="0.25">
      <c r="A4880" s="7">
        <f>IF(E4880=1,
      SUM($E$2:E4880)-1,
"")</f>
        <v>4874</v>
      </c>
      <c r="B4880" s="6" t="s">
        <v>756</v>
      </c>
      <c r="C4880" s="14">
        <v>45032</v>
      </c>
      <c r="D4880" s="15">
        <v>88.44</v>
      </c>
      <c r="E4880" s="7">
        <f t="shared" si="76"/>
        <v>1</v>
      </c>
    </row>
    <row r="4881" spans="1:5" x14ac:dyDescent="0.25">
      <c r="A4881" s="7">
        <f>IF(E4881=1,
      SUM($E$2:E4881)-1,
"")</f>
        <v>4875</v>
      </c>
      <c r="B4881" s="6" t="s">
        <v>369</v>
      </c>
      <c r="C4881" s="14">
        <v>45280</v>
      </c>
      <c r="D4881" s="15">
        <v>26.57</v>
      </c>
      <c r="E4881" s="7">
        <f t="shared" si="76"/>
        <v>1</v>
      </c>
    </row>
    <row r="4882" spans="1:5" x14ac:dyDescent="0.25">
      <c r="A4882" s="7">
        <f>IF(E4882=1,
      SUM($E$2:E4882)-1,
"")</f>
        <v>4876</v>
      </c>
      <c r="B4882" s="6" t="s">
        <v>992</v>
      </c>
      <c r="C4882" s="14">
        <v>45245</v>
      </c>
      <c r="D4882" s="15">
        <v>96.56</v>
      </c>
      <c r="E4882" s="7">
        <f t="shared" si="76"/>
        <v>1</v>
      </c>
    </row>
    <row r="4883" spans="1:5" x14ac:dyDescent="0.25">
      <c r="A4883" s="7">
        <f>IF(E4883=1,
      SUM($E$2:E4883)-1,
"")</f>
        <v>4877</v>
      </c>
      <c r="B4883" s="6" t="s">
        <v>253</v>
      </c>
      <c r="C4883" s="14">
        <v>44980</v>
      </c>
      <c r="D4883" s="15">
        <v>143.99</v>
      </c>
      <c r="E4883" s="7">
        <f t="shared" si="76"/>
        <v>1</v>
      </c>
    </row>
    <row r="4884" spans="1:5" x14ac:dyDescent="0.25">
      <c r="A4884" s="7">
        <f>IF(E4884=1,
      SUM($E$2:E4884)-1,
"")</f>
        <v>4878</v>
      </c>
      <c r="B4884" s="6" t="s">
        <v>219</v>
      </c>
      <c r="C4884" s="14">
        <v>45002</v>
      </c>
      <c r="D4884" s="15">
        <v>89.67</v>
      </c>
      <c r="E4884" s="7">
        <f t="shared" si="76"/>
        <v>1</v>
      </c>
    </row>
    <row r="4885" spans="1:5" x14ac:dyDescent="0.25">
      <c r="A4885" s="7">
        <f>IF(E4885=1,
      SUM($E$2:E4885)-1,
"")</f>
        <v>4879</v>
      </c>
      <c r="B4885" s="6" t="s">
        <v>349</v>
      </c>
      <c r="C4885" s="14">
        <v>44961</v>
      </c>
      <c r="D4885" s="15">
        <v>142.86000000000001</v>
      </c>
      <c r="E4885" s="7">
        <f t="shared" si="76"/>
        <v>1</v>
      </c>
    </row>
    <row r="4886" spans="1:5" x14ac:dyDescent="0.25">
      <c r="A4886" s="7">
        <f>IF(E4886=1,
      SUM($E$2:E4886)-1,
"")</f>
        <v>4880</v>
      </c>
      <c r="B4886" s="6" t="s">
        <v>252</v>
      </c>
      <c r="C4886" s="14">
        <v>45199</v>
      </c>
      <c r="D4886" s="15">
        <v>75.63</v>
      </c>
      <c r="E4886" s="7">
        <f t="shared" si="76"/>
        <v>1</v>
      </c>
    </row>
    <row r="4887" spans="1:5" x14ac:dyDescent="0.25">
      <c r="A4887" s="7">
        <f>IF(E4887=1,
      SUM($E$2:E4887)-1,
"")</f>
        <v>4881</v>
      </c>
      <c r="B4887" s="6" t="s">
        <v>100</v>
      </c>
      <c r="C4887" s="14">
        <v>45032</v>
      </c>
      <c r="D4887" s="15">
        <v>65.17</v>
      </c>
      <c r="E4887" s="7">
        <f t="shared" si="76"/>
        <v>1</v>
      </c>
    </row>
    <row r="4888" spans="1:5" x14ac:dyDescent="0.25">
      <c r="A4888" s="7">
        <f>IF(E4888=1,
      SUM($E$2:E4888)-1,
"")</f>
        <v>4882</v>
      </c>
      <c r="B4888" s="6" t="s">
        <v>440</v>
      </c>
      <c r="C4888" s="14">
        <v>45015</v>
      </c>
      <c r="D4888" s="15">
        <v>99.85</v>
      </c>
      <c r="E4888" s="7">
        <f t="shared" si="76"/>
        <v>1</v>
      </c>
    </row>
    <row r="4889" spans="1:5" x14ac:dyDescent="0.25">
      <c r="A4889" s="7">
        <f>IF(E4889=1,
      SUM($E$2:E4889)-1,
"")</f>
        <v>4883</v>
      </c>
      <c r="B4889" s="6" t="s">
        <v>777</v>
      </c>
      <c r="C4889" s="14">
        <v>44934</v>
      </c>
      <c r="D4889" s="15">
        <v>75.319999999999993</v>
      </c>
      <c r="E4889" s="7">
        <f t="shared" si="76"/>
        <v>1</v>
      </c>
    </row>
    <row r="4890" spans="1:5" x14ac:dyDescent="0.25">
      <c r="A4890" s="7">
        <f>IF(E4890=1,
      SUM($E$2:E4890)-1,
"")</f>
        <v>4884</v>
      </c>
      <c r="B4890" s="6" t="s">
        <v>331</v>
      </c>
      <c r="C4890" s="14">
        <v>45088</v>
      </c>
      <c r="D4890" s="15">
        <v>109.9</v>
      </c>
      <c r="E4890" s="7">
        <f t="shared" si="76"/>
        <v>1</v>
      </c>
    </row>
    <row r="4891" spans="1:5" x14ac:dyDescent="0.25">
      <c r="A4891" s="7">
        <f>IF(E4891=1,
      SUM($E$2:E4891)-1,
"")</f>
        <v>4885</v>
      </c>
      <c r="B4891" s="6" t="s">
        <v>805</v>
      </c>
      <c r="C4891" s="14">
        <v>45108</v>
      </c>
      <c r="D4891" s="15">
        <v>88.82</v>
      </c>
      <c r="E4891" s="7">
        <f t="shared" si="76"/>
        <v>1</v>
      </c>
    </row>
    <row r="4892" spans="1:5" x14ac:dyDescent="0.25">
      <c r="A4892" s="7">
        <f>IF(E4892=1,
      SUM($E$2:E4892)-1,
"")</f>
        <v>4886</v>
      </c>
      <c r="B4892" s="6" t="s">
        <v>152</v>
      </c>
      <c r="C4892" s="14">
        <v>45118</v>
      </c>
      <c r="D4892" s="15">
        <v>144.22</v>
      </c>
      <c r="E4892" s="7">
        <f t="shared" si="76"/>
        <v>1</v>
      </c>
    </row>
    <row r="4893" spans="1:5" x14ac:dyDescent="0.25">
      <c r="A4893" s="7">
        <f>IF(E4893=1,
      SUM($E$2:E4893)-1,
"")</f>
        <v>4887</v>
      </c>
      <c r="B4893" s="6" t="s">
        <v>898</v>
      </c>
      <c r="C4893" s="14">
        <v>44984</v>
      </c>
      <c r="D4893" s="15">
        <v>86.75</v>
      </c>
      <c r="E4893" s="7">
        <f t="shared" si="76"/>
        <v>1</v>
      </c>
    </row>
    <row r="4894" spans="1:5" x14ac:dyDescent="0.25">
      <c r="A4894" s="7">
        <f>IF(E4894=1,
      SUM($E$2:E4894)-1,
"")</f>
        <v>4888</v>
      </c>
      <c r="B4894" s="6" t="s">
        <v>80</v>
      </c>
      <c r="C4894" s="14">
        <v>45224</v>
      </c>
      <c r="D4894" s="15">
        <v>102.69</v>
      </c>
      <c r="E4894" s="7">
        <f t="shared" si="76"/>
        <v>1</v>
      </c>
    </row>
    <row r="4895" spans="1:5" x14ac:dyDescent="0.25">
      <c r="A4895" s="7">
        <f>IF(E4895=1,
      SUM($E$2:E4895)-1,
"")</f>
        <v>4889</v>
      </c>
      <c r="B4895" s="6" t="s">
        <v>902</v>
      </c>
      <c r="C4895" s="14">
        <v>45189</v>
      </c>
      <c r="D4895" s="15">
        <v>117.89</v>
      </c>
      <c r="E4895" s="7">
        <f t="shared" si="76"/>
        <v>1</v>
      </c>
    </row>
    <row r="4896" spans="1:5" x14ac:dyDescent="0.25">
      <c r="A4896" s="7">
        <f>IF(E4896=1,
      SUM($E$2:E4896)-1,
"")</f>
        <v>4890</v>
      </c>
      <c r="B4896" s="6" t="s">
        <v>182</v>
      </c>
      <c r="C4896" s="14">
        <v>45047</v>
      </c>
      <c r="D4896" s="15">
        <v>128.69</v>
      </c>
      <c r="E4896" s="7">
        <f t="shared" si="76"/>
        <v>1</v>
      </c>
    </row>
    <row r="4897" spans="1:5" x14ac:dyDescent="0.25">
      <c r="A4897" s="7">
        <f>IF(E4897=1,
      SUM($E$2:E4897)-1,
"")</f>
        <v>4891</v>
      </c>
      <c r="B4897" s="6" t="s">
        <v>872</v>
      </c>
      <c r="C4897" s="14">
        <v>45132</v>
      </c>
      <c r="D4897" s="15">
        <v>144.38999999999999</v>
      </c>
      <c r="E4897" s="7">
        <f t="shared" si="76"/>
        <v>1</v>
      </c>
    </row>
    <row r="4898" spans="1:5" x14ac:dyDescent="0.25">
      <c r="A4898" s="7">
        <f>IF(E4898=1,
      SUM($E$2:E4898)-1,
"")</f>
        <v>4892</v>
      </c>
      <c r="B4898" s="6" t="s">
        <v>1052</v>
      </c>
      <c r="C4898" s="14">
        <v>45093</v>
      </c>
      <c r="D4898" s="15">
        <v>92.95</v>
      </c>
      <c r="E4898" s="7">
        <f t="shared" si="76"/>
        <v>1</v>
      </c>
    </row>
    <row r="4899" spans="1:5" x14ac:dyDescent="0.25">
      <c r="A4899" s="7">
        <f>IF(E4899=1,
      SUM($E$2:E4899)-1,
"")</f>
        <v>4893</v>
      </c>
      <c r="B4899" s="6" t="s">
        <v>108</v>
      </c>
      <c r="C4899" s="14">
        <v>45077</v>
      </c>
      <c r="D4899" s="15">
        <v>88.02</v>
      </c>
      <c r="E4899" s="7">
        <f t="shared" si="76"/>
        <v>1</v>
      </c>
    </row>
    <row r="4900" spans="1:5" x14ac:dyDescent="0.25">
      <c r="A4900" s="7">
        <f>IF(E4900=1,
      SUM($E$2:E4900)-1,
"")</f>
        <v>4894</v>
      </c>
      <c r="B4900" s="6" t="s">
        <v>344</v>
      </c>
      <c r="C4900" s="14">
        <v>45081</v>
      </c>
      <c r="D4900" s="15">
        <v>42.58</v>
      </c>
      <c r="E4900" s="7">
        <f t="shared" si="76"/>
        <v>1</v>
      </c>
    </row>
    <row r="4901" spans="1:5" x14ac:dyDescent="0.25">
      <c r="A4901" s="7">
        <f>IF(E4901=1,
      SUM($E$2:E4901)-1,
"")</f>
        <v>4895</v>
      </c>
      <c r="B4901" s="6" t="s">
        <v>231</v>
      </c>
      <c r="C4901" s="14">
        <v>45277</v>
      </c>
      <c r="D4901" s="15">
        <v>161.25</v>
      </c>
      <c r="E4901" s="7">
        <f t="shared" si="76"/>
        <v>1</v>
      </c>
    </row>
    <row r="4902" spans="1:5" x14ac:dyDescent="0.25">
      <c r="A4902" s="7">
        <f>IF(E4902=1,
      SUM($E$2:E4902)-1,
"")</f>
        <v>4896</v>
      </c>
      <c r="B4902" s="6" t="s">
        <v>839</v>
      </c>
      <c r="C4902" s="14">
        <v>44961</v>
      </c>
      <c r="D4902" s="15">
        <v>110.83</v>
      </c>
      <c r="E4902" s="7">
        <f t="shared" si="76"/>
        <v>1</v>
      </c>
    </row>
    <row r="4903" spans="1:5" x14ac:dyDescent="0.25">
      <c r="A4903" s="7">
        <f>IF(E4903=1,
      SUM($E$2:E4903)-1,
"")</f>
        <v>4897</v>
      </c>
      <c r="B4903" s="6" t="s">
        <v>558</v>
      </c>
      <c r="C4903" s="14">
        <v>45088</v>
      </c>
      <c r="D4903" s="15">
        <v>122.55</v>
      </c>
      <c r="E4903" s="7">
        <f t="shared" si="76"/>
        <v>1</v>
      </c>
    </row>
    <row r="4904" spans="1:5" x14ac:dyDescent="0.25">
      <c r="A4904" s="7">
        <f>IF(E4904=1,
      SUM($E$2:E4904)-1,
"")</f>
        <v>4898</v>
      </c>
      <c r="B4904" s="6" t="s">
        <v>160</v>
      </c>
      <c r="C4904" s="14">
        <v>44928</v>
      </c>
      <c r="D4904" s="15">
        <v>116.67</v>
      </c>
      <c r="E4904" s="7">
        <f t="shared" si="76"/>
        <v>1</v>
      </c>
    </row>
    <row r="4905" spans="1:5" x14ac:dyDescent="0.25">
      <c r="A4905" s="7">
        <f>IF(E4905=1,
      SUM($E$2:E4905)-1,
"")</f>
        <v>4899</v>
      </c>
      <c r="B4905" s="6" t="s">
        <v>550</v>
      </c>
      <c r="C4905" s="14">
        <v>45254</v>
      </c>
      <c r="D4905" s="15">
        <v>101.49</v>
      </c>
      <c r="E4905" s="7">
        <f t="shared" si="76"/>
        <v>1</v>
      </c>
    </row>
    <row r="4906" spans="1:5" x14ac:dyDescent="0.25">
      <c r="A4906" s="7">
        <f>IF(E4906=1,
      SUM($E$2:E4906)-1,
"")</f>
        <v>4900</v>
      </c>
      <c r="B4906" s="6" t="s">
        <v>1059</v>
      </c>
      <c r="C4906" s="14">
        <v>45204</v>
      </c>
      <c r="D4906" s="15">
        <v>110.51</v>
      </c>
      <c r="E4906" s="7">
        <f t="shared" si="76"/>
        <v>1</v>
      </c>
    </row>
    <row r="4907" spans="1:5" x14ac:dyDescent="0.25">
      <c r="A4907" s="7">
        <f>IF(E4907=1,
      SUM($E$2:E4907)-1,
"")</f>
        <v>4901</v>
      </c>
      <c r="B4907" s="6" t="s">
        <v>776</v>
      </c>
      <c r="C4907" s="14">
        <v>45037</v>
      </c>
      <c r="D4907" s="15">
        <v>83.21</v>
      </c>
      <c r="E4907" s="7">
        <f t="shared" si="76"/>
        <v>1</v>
      </c>
    </row>
    <row r="4908" spans="1:5" x14ac:dyDescent="0.25">
      <c r="A4908" s="7">
        <f>IF(E4908=1,
      SUM($E$2:E4908)-1,
"")</f>
        <v>4902</v>
      </c>
      <c r="B4908" s="6" t="s">
        <v>647</v>
      </c>
      <c r="C4908" s="14">
        <v>45039</v>
      </c>
      <c r="D4908" s="15">
        <v>90.94</v>
      </c>
      <c r="E4908" s="7">
        <f t="shared" si="76"/>
        <v>1</v>
      </c>
    </row>
    <row r="4909" spans="1:5" x14ac:dyDescent="0.25">
      <c r="A4909" s="7">
        <f>IF(E4909=1,
      SUM($E$2:E4909)-1,
"")</f>
        <v>4903</v>
      </c>
      <c r="B4909" s="6" t="s">
        <v>104</v>
      </c>
      <c r="C4909" s="14">
        <v>45077</v>
      </c>
      <c r="D4909" s="15">
        <v>71.489999999999995</v>
      </c>
      <c r="E4909" s="7">
        <f t="shared" si="76"/>
        <v>1</v>
      </c>
    </row>
    <row r="4910" spans="1:5" x14ac:dyDescent="0.25">
      <c r="A4910" s="7">
        <f>IF(E4910=1,
      SUM($E$2:E4910)-1,
"")</f>
        <v>4904</v>
      </c>
      <c r="B4910" s="6" t="s">
        <v>119</v>
      </c>
      <c r="C4910" s="14">
        <v>44990</v>
      </c>
      <c r="D4910" s="15">
        <v>146.72</v>
      </c>
      <c r="E4910" s="7">
        <f t="shared" si="76"/>
        <v>1</v>
      </c>
    </row>
    <row r="4911" spans="1:5" x14ac:dyDescent="0.25">
      <c r="A4911" s="7">
        <f>IF(E4911=1,
      SUM($E$2:E4911)-1,
"")</f>
        <v>4905</v>
      </c>
      <c r="B4911" s="6" t="s">
        <v>538</v>
      </c>
      <c r="C4911" s="14">
        <v>45121</v>
      </c>
      <c r="D4911" s="15">
        <v>116.84</v>
      </c>
      <c r="E4911" s="7">
        <f t="shared" si="76"/>
        <v>1</v>
      </c>
    </row>
    <row r="4912" spans="1:5" x14ac:dyDescent="0.25">
      <c r="A4912" s="7">
        <f>IF(E4912=1,
      SUM($E$2:E4912)-1,
"")</f>
        <v>4906</v>
      </c>
      <c r="B4912" s="6" t="s">
        <v>630</v>
      </c>
      <c r="C4912" s="14">
        <v>45156</v>
      </c>
      <c r="D4912" s="15">
        <v>159.29</v>
      </c>
      <c r="E4912" s="7">
        <f t="shared" si="76"/>
        <v>1</v>
      </c>
    </row>
    <row r="4913" spans="1:5" x14ac:dyDescent="0.25">
      <c r="A4913" s="7">
        <f>IF(E4913=1,
      SUM($E$2:E4913)-1,
"")</f>
        <v>4907</v>
      </c>
      <c r="B4913" s="6" t="s">
        <v>400</v>
      </c>
      <c r="C4913" s="14">
        <v>45115</v>
      </c>
      <c r="D4913" s="15">
        <v>168.89</v>
      </c>
      <c r="E4913" s="7">
        <f t="shared" si="76"/>
        <v>1</v>
      </c>
    </row>
    <row r="4914" spans="1:5" x14ac:dyDescent="0.25">
      <c r="A4914" s="7">
        <f>IF(E4914=1,
      SUM($E$2:E4914)-1,
"")</f>
        <v>4908</v>
      </c>
      <c r="B4914" s="6" t="s">
        <v>92</v>
      </c>
      <c r="C4914" s="14">
        <v>45216</v>
      </c>
      <c r="D4914" s="15">
        <v>57.88</v>
      </c>
      <c r="E4914" s="7">
        <f t="shared" si="76"/>
        <v>1</v>
      </c>
    </row>
    <row r="4915" spans="1:5" x14ac:dyDescent="0.25">
      <c r="A4915" s="7">
        <f>IF(E4915=1,
      SUM($E$2:E4915)-1,
"")</f>
        <v>4909</v>
      </c>
      <c r="B4915" s="6" t="s">
        <v>233</v>
      </c>
      <c r="C4915" s="14">
        <v>45105</v>
      </c>
      <c r="D4915" s="15">
        <v>129.56</v>
      </c>
      <c r="E4915" s="7">
        <f t="shared" si="76"/>
        <v>1</v>
      </c>
    </row>
    <row r="4916" spans="1:5" x14ac:dyDescent="0.25">
      <c r="A4916" s="7">
        <f>IF(E4916=1,
      SUM($E$2:E4916)-1,
"")</f>
        <v>4910</v>
      </c>
      <c r="B4916" s="6" t="s">
        <v>740</v>
      </c>
      <c r="C4916" s="14">
        <v>45278</v>
      </c>
      <c r="D4916" s="15">
        <v>59.26</v>
      </c>
      <c r="E4916" s="7">
        <f t="shared" si="76"/>
        <v>1</v>
      </c>
    </row>
    <row r="4917" spans="1:5" x14ac:dyDescent="0.25">
      <c r="A4917" s="7">
        <f>IF(E4917=1,
      SUM($E$2:E4917)-1,
"")</f>
        <v>4911</v>
      </c>
      <c r="B4917" s="6" t="s">
        <v>868</v>
      </c>
      <c r="C4917" s="14">
        <v>45001</v>
      </c>
      <c r="D4917" s="15">
        <v>105.32</v>
      </c>
      <c r="E4917" s="7">
        <f t="shared" si="76"/>
        <v>1</v>
      </c>
    </row>
    <row r="4918" spans="1:5" x14ac:dyDescent="0.25">
      <c r="A4918" s="7">
        <f>IF(E4918=1,
      SUM($E$2:E4918)-1,
"")</f>
        <v>4912</v>
      </c>
      <c r="B4918" s="6" t="s">
        <v>1038</v>
      </c>
      <c r="C4918" s="14">
        <v>44974</v>
      </c>
      <c r="D4918" s="15">
        <v>109.44</v>
      </c>
      <c r="E4918" s="7">
        <f t="shared" si="76"/>
        <v>1</v>
      </c>
    </row>
    <row r="4919" spans="1:5" x14ac:dyDescent="0.25">
      <c r="A4919" s="7">
        <f>IF(E4919=1,
      SUM($E$2:E4919)-1,
"")</f>
        <v>4913</v>
      </c>
      <c r="B4919" s="6" t="s">
        <v>259</v>
      </c>
      <c r="C4919" s="14">
        <v>44968</v>
      </c>
      <c r="D4919" s="15">
        <v>61.39</v>
      </c>
      <c r="E4919" s="7">
        <f t="shared" si="76"/>
        <v>1</v>
      </c>
    </row>
    <row r="4920" spans="1:5" x14ac:dyDescent="0.25">
      <c r="A4920" s="7">
        <f>IF(E4920=1,
      SUM($E$2:E4920)-1,
"")</f>
        <v>4914</v>
      </c>
      <c r="B4920" s="6" t="s">
        <v>716</v>
      </c>
      <c r="C4920" s="14">
        <v>45079</v>
      </c>
      <c r="D4920" s="15">
        <v>77.87</v>
      </c>
      <c r="E4920" s="7">
        <f t="shared" si="76"/>
        <v>1</v>
      </c>
    </row>
    <row r="4921" spans="1:5" x14ac:dyDescent="0.25">
      <c r="A4921" s="7">
        <f>IF(E4921=1,
      SUM($E$2:E4921)-1,
"")</f>
        <v>4915</v>
      </c>
      <c r="B4921" s="6" t="s">
        <v>398</v>
      </c>
      <c r="C4921" s="14">
        <v>45085</v>
      </c>
      <c r="D4921" s="15">
        <v>110.81</v>
      </c>
      <c r="E4921" s="7">
        <f t="shared" si="76"/>
        <v>1</v>
      </c>
    </row>
    <row r="4922" spans="1:5" x14ac:dyDescent="0.25">
      <c r="A4922" s="7">
        <f>IF(E4922=1,
      SUM($E$2:E4922)-1,
"")</f>
        <v>4916</v>
      </c>
      <c r="B4922" s="6" t="s">
        <v>597</v>
      </c>
      <c r="C4922" s="14">
        <v>45124</v>
      </c>
      <c r="D4922" s="15">
        <v>105.29</v>
      </c>
      <c r="E4922" s="7">
        <f t="shared" si="76"/>
        <v>1</v>
      </c>
    </row>
    <row r="4923" spans="1:5" x14ac:dyDescent="0.25">
      <c r="A4923" s="7">
        <f>IF(E4923=1,
      SUM($E$2:E4923)-1,
"")</f>
        <v>4917</v>
      </c>
      <c r="B4923" s="6" t="s">
        <v>500</v>
      </c>
      <c r="C4923" s="14">
        <v>44963</v>
      </c>
      <c r="D4923" s="15">
        <v>69.45</v>
      </c>
      <c r="E4923" s="7">
        <f t="shared" si="76"/>
        <v>1</v>
      </c>
    </row>
    <row r="4924" spans="1:5" x14ac:dyDescent="0.25">
      <c r="A4924" s="7">
        <f>IF(E4924=1,
      SUM($E$2:E4924)-1,
"")</f>
        <v>4918</v>
      </c>
      <c r="B4924" s="6" t="s">
        <v>490</v>
      </c>
      <c r="C4924" s="14">
        <v>45013</v>
      </c>
      <c r="D4924" s="15">
        <v>79.06</v>
      </c>
      <c r="E4924" s="7">
        <f t="shared" si="76"/>
        <v>1</v>
      </c>
    </row>
    <row r="4925" spans="1:5" x14ac:dyDescent="0.25">
      <c r="A4925" s="7">
        <f>IF(E4925=1,
      SUM($E$2:E4925)-1,
"")</f>
        <v>4919</v>
      </c>
      <c r="B4925" s="6" t="s">
        <v>751</v>
      </c>
      <c r="C4925" s="14">
        <v>44988</v>
      </c>
      <c r="D4925" s="15">
        <v>55.26</v>
      </c>
      <c r="E4925" s="7">
        <f t="shared" si="76"/>
        <v>1</v>
      </c>
    </row>
    <row r="4926" spans="1:5" x14ac:dyDescent="0.25">
      <c r="A4926" s="7">
        <f>IF(E4926=1,
      SUM($E$2:E4926)-1,
"")</f>
        <v>4920</v>
      </c>
      <c r="B4926" s="6" t="s">
        <v>303</v>
      </c>
      <c r="C4926" s="14">
        <v>45147</v>
      </c>
      <c r="D4926" s="15">
        <v>63.91</v>
      </c>
      <c r="E4926" s="7">
        <f t="shared" si="76"/>
        <v>1</v>
      </c>
    </row>
    <row r="4927" spans="1:5" x14ac:dyDescent="0.25">
      <c r="A4927" s="7">
        <f>IF(E4927=1,
      SUM($E$2:E4927)-1,
"")</f>
        <v>4921</v>
      </c>
      <c r="B4927" s="6" t="s">
        <v>520</v>
      </c>
      <c r="C4927" s="14">
        <v>45030</v>
      </c>
      <c r="D4927" s="15">
        <v>88.86</v>
      </c>
      <c r="E4927" s="7">
        <f t="shared" si="76"/>
        <v>1</v>
      </c>
    </row>
    <row r="4928" spans="1:5" x14ac:dyDescent="0.25">
      <c r="A4928" s="7">
        <f>IF(E4928=1,
      SUM($E$2:E4928)-1,
"")</f>
        <v>4922</v>
      </c>
      <c r="B4928" s="6" t="s">
        <v>638</v>
      </c>
      <c r="C4928" s="14">
        <v>45289</v>
      </c>
      <c r="D4928" s="15">
        <v>129.62</v>
      </c>
      <c r="E4928" s="7">
        <f t="shared" si="76"/>
        <v>1</v>
      </c>
    </row>
    <row r="4929" spans="1:5" x14ac:dyDescent="0.25">
      <c r="A4929" s="7">
        <f>IF(E4929=1,
      SUM($E$2:E4929)-1,
"")</f>
        <v>4923</v>
      </c>
      <c r="B4929" s="6" t="s">
        <v>729</v>
      </c>
      <c r="C4929" s="14">
        <v>45203</v>
      </c>
      <c r="D4929" s="15">
        <v>133.43</v>
      </c>
      <c r="E4929" s="7">
        <f t="shared" si="76"/>
        <v>1</v>
      </c>
    </row>
    <row r="4930" spans="1:5" x14ac:dyDescent="0.25">
      <c r="A4930" s="7">
        <f>IF(E4930=1,
      SUM($E$2:E4930)-1,
"")</f>
        <v>4924</v>
      </c>
      <c r="B4930" s="6" t="s">
        <v>132</v>
      </c>
      <c r="C4930" s="14">
        <v>45233</v>
      </c>
      <c r="D4930" s="15">
        <v>155</v>
      </c>
      <c r="E4930" s="7">
        <f t="shared" ref="E4930:E4993" si="77">IF(D4930&gt;0,1,0)</f>
        <v>1</v>
      </c>
    </row>
    <row r="4931" spans="1:5" x14ac:dyDescent="0.25">
      <c r="A4931" s="7">
        <f>IF(E4931=1,
      SUM($E$2:E4931)-1,
"")</f>
        <v>4925</v>
      </c>
      <c r="B4931" s="6" t="s">
        <v>820</v>
      </c>
      <c r="C4931" s="14">
        <v>44982</v>
      </c>
      <c r="D4931" s="15">
        <v>112.73</v>
      </c>
      <c r="E4931" s="7">
        <f t="shared" si="77"/>
        <v>1</v>
      </c>
    </row>
    <row r="4932" spans="1:5" x14ac:dyDescent="0.25">
      <c r="A4932" s="7">
        <f>IF(E4932=1,
      SUM($E$2:E4932)-1,
"")</f>
        <v>4926</v>
      </c>
      <c r="B4932" s="6" t="s">
        <v>198</v>
      </c>
      <c r="C4932" s="14">
        <v>45277</v>
      </c>
      <c r="D4932" s="15">
        <v>105.65</v>
      </c>
      <c r="E4932" s="7">
        <f t="shared" si="77"/>
        <v>1</v>
      </c>
    </row>
    <row r="4933" spans="1:5" x14ac:dyDescent="0.25">
      <c r="A4933" s="7">
        <f>IF(E4933=1,
      SUM($E$2:E4933)-1,
"")</f>
        <v>4927</v>
      </c>
      <c r="B4933" s="6" t="s">
        <v>834</v>
      </c>
      <c r="C4933" s="14">
        <v>45066</v>
      </c>
      <c r="D4933" s="15">
        <v>114.85</v>
      </c>
      <c r="E4933" s="7">
        <f t="shared" si="77"/>
        <v>1</v>
      </c>
    </row>
    <row r="4934" spans="1:5" x14ac:dyDescent="0.25">
      <c r="A4934" s="7">
        <f>IF(E4934=1,
      SUM($E$2:E4934)-1,
"")</f>
        <v>4928</v>
      </c>
      <c r="B4934" s="6" t="s">
        <v>606</v>
      </c>
      <c r="C4934" s="14">
        <v>45264</v>
      </c>
      <c r="D4934" s="15">
        <v>114.57</v>
      </c>
      <c r="E4934" s="7">
        <f t="shared" si="77"/>
        <v>1</v>
      </c>
    </row>
    <row r="4935" spans="1:5" x14ac:dyDescent="0.25">
      <c r="A4935" s="7">
        <f>IF(E4935=1,
      SUM($E$2:E4935)-1,
"")</f>
        <v>4929</v>
      </c>
      <c r="B4935" s="6" t="s">
        <v>985</v>
      </c>
      <c r="C4935" s="14">
        <v>45142</v>
      </c>
      <c r="D4935" s="15">
        <v>51.5</v>
      </c>
      <c r="E4935" s="7">
        <f t="shared" si="77"/>
        <v>1</v>
      </c>
    </row>
    <row r="4936" spans="1:5" x14ac:dyDescent="0.25">
      <c r="A4936" s="7">
        <f>IF(E4936=1,
      SUM($E$2:E4936)-1,
"")</f>
        <v>4930</v>
      </c>
      <c r="B4936" s="6" t="s">
        <v>652</v>
      </c>
      <c r="C4936" s="14">
        <v>45048</v>
      </c>
      <c r="D4936" s="15">
        <v>156.66999999999999</v>
      </c>
      <c r="E4936" s="7">
        <f t="shared" si="77"/>
        <v>1</v>
      </c>
    </row>
    <row r="4937" spans="1:5" x14ac:dyDescent="0.25">
      <c r="A4937" s="7">
        <f>IF(E4937=1,
      SUM($E$2:E4937)-1,
"")</f>
        <v>4931</v>
      </c>
      <c r="B4937" s="6" t="s">
        <v>808</v>
      </c>
      <c r="C4937" s="14">
        <v>45023</v>
      </c>
      <c r="D4937" s="15">
        <v>42.07</v>
      </c>
      <c r="E4937" s="7">
        <f t="shared" si="77"/>
        <v>1</v>
      </c>
    </row>
    <row r="4938" spans="1:5" x14ac:dyDescent="0.25">
      <c r="A4938" s="7">
        <f>IF(E4938=1,
      SUM($E$2:E4938)-1,
"")</f>
        <v>4932</v>
      </c>
      <c r="B4938" s="6" t="s">
        <v>985</v>
      </c>
      <c r="C4938" s="14">
        <v>45214</v>
      </c>
      <c r="D4938" s="15">
        <v>134.46</v>
      </c>
      <c r="E4938" s="7">
        <f t="shared" si="77"/>
        <v>1</v>
      </c>
    </row>
    <row r="4939" spans="1:5" x14ac:dyDescent="0.25">
      <c r="A4939" s="7">
        <f>IF(E4939=1,
      SUM($E$2:E4939)-1,
"")</f>
        <v>4933</v>
      </c>
      <c r="B4939" s="6" t="s">
        <v>837</v>
      </c>
      <c r="C4939" s="14">
        <v>45004</v>
      </c>
      <c r="D4939" s="15">
        <v>101.69</v>
      </c>
      <c r="E4939" s="7">
        <f t="shared" si="77"/>
        <v>1</v>
      </c>
    </row>
    <row r="4940" spans="1:5" x14ac:dyDescent="0.25">
      <c r="A4940" s="7">
        <f>IF(E4940=1,
      SUM($E$2:E4940)-1,
"")</f>
        <v>4934</v>
      </c>
      <c r="B4940" s="6" t="s">
        <v>906</v>
      </c>
      <c r="C4940" s="14">
        <v>45140</v>
      </c>
      <c r="D4940" s="15">
        <v>67.319999999999993</v>
      </c>
      <c r="E4940" s="7">
        <f t="shared" si="77"/>
        <v>1</v>
      </c>
    </row>
    <row r="4941" spans="1:5" x14ac:dyDescent="0.25">
      <c r="A4941" s="7">
        <f>IF(E4941=1,
      SUM($E$2:E4941)-1,
"")</f>
        <v>4935</v>
      </c>
      <c r="B4941" s="6" t="s">
        <v>202</v>
      </c>
      <c r="C4941" s="14">
        <v>45016</v>
      </c>
      <c r="D4941" s="15">
        <v>115.94</v>
      </c>
      <c r="E4941" s="7">
        <f t="shared" si="77"/>
        <v>1</v>
      </c>
    </row>
    <row r="4942" spans="1:5" x14ac:dyDescent="0.25">
      <c r="A4942" s="7">
        <f>IF(E4942=1,
      SUM($E$2:E4942)-1,
"")</f>
        <v>4936</v>
      </c>
      <c r="B4942" s="6" t="s">
        <v>949</v>
      </c>
      <c r="C4942" s="14">
        <v>45014</v>
      </c>
      <c r="D4942" s="15">
        <v>96.46</v>
      </c>
      <c r="E4942" s="7">
        <f t="shared" si="77"/>
        <v>1</v>
      </c>
    </row>
    <row r="4943" spans="1:5" x14ac:dyDescent="0.25">
      <c r="A4943" s="7">
        <f>IF(E4943=1,
      SUM($E$2:E4943)-1,
"")</f>
        <v>4937</v>
      </c>
      <c r="B4943" s="6" t="s">
        <v>191</v>
      </c>
      <c r="C4943" s="14">
        <v>45236</v>
      </c>
      <c r="D4943" s="15">
        <v>79.52</v>
      </c>
      <c r="E4943" s="7">
        <f t="shared" si="77"/>
        <v>1</v>
      </c>
    </row>
    <row r="4944" spans="1:5" x14ac:dyDescent="0.25">
      <c r="A4944" s="7">
        <f>IF(E4944=1,
      SUM($E$2:E4944)-1,
"")</f>
        <v>4938</v>
      </c>
      <c r="B4944" s="6" t="s">
        <v>441</v>
      </c>
      <c r="C4944" s="14">
        <v>45107</v>
      </c>
      <c r="D4944" s="15">
        <v>58.56</v>
      </c>
      <c r="E4944" s="7">
        <f t="shared" si="77"/>
        <v>1</v>
      </c>
    </row>
    <row r="4945" spans="1:5" x14ac:dyDescent="0.25">
      <c r="A4945" s="7">
        <f>IF(E4945=1,
      SUM($E$2:E4945)-1,
"")</f>
        <v>4939</v>
      </c>
      <c r="B4945" s="6" t="s">
        <v>218</v>
      </c>
      <c r="C4945" s="14">
        <v>45200</v>
      </c>
      <c r="D4945" s="15">
        <v>56.03</v>
      </c>
      <c r="E4945" s="7">
        <f t="shared" si="77"/>
        <v>1</v>
      </c>
    </row>
    <row r="4946" spans="1:5" x14ac:dyDescent="0.25">
      <c r="A4946" s="7">
        <f>IF(E4946=1,
      SUM($E$2:E4946)-1,
"")</f>
        <v>4940</v>
      </c>
      <c r="B4946" s="6" t="s">
        <v>512</v>
      </c>
      <c r="C4946" s="14">
        <v>45017</v>
      </c>
      <c r="D4946" s="15">
        <v>81.67</v>
      </c>
      <c r="E4946" s="7">
        <f t="shared" si="77"/>
        <v>1</v>
      </c>
    </row>
    <row r="4947" spans="1:5" x14ac:dyDescent="0.25">
      <c r="A4947" s="7">
        <f>IF(E4947=1,
      SUM($E$2:E4947)-1,
"")</f>
        <v>4941</v>
      </c>
      <c r="B4947" s="6" t="s">
        <v>758</v>
      </c>
      <c r="C4947" s="14">
        <v>45135</v>
      </c>
      <c r="D4947" s="15">
        <v>88.39</v>
      </c>
      <c r="E4947" s="7">
        <f t="shared" si="77"/>
        <v>1</v>
      </c>
    </row>
    <row r="4948" spans="1:5" x14ac:dyDescent="0.25">
      <c r="A4948" s="7">
        <f>IF(E4948=1,
      SUM($E$2:E4948)-1,
"")</f>
        <v>4942</v>
      </c>
      <c r="B4948" s="6" t="s">
        <v>582</v>
      </c>
      <c r="C4948" s="14">
        <v>45018</v>
      </c>
      <c r="D4948" s="15">
        <v>63.68</v>
      </c>
      <c r="E4948" s="7">
        <f t="shared" si="77"/>
        <v>1</v>
      </c>
    </row>
    <row r="4949" spans="1:5" x14ac:dyDescent="0.25">
      <c r="A4949" s="7">
        <f>IF(E4949=1,
      SUM($E$2:E4949)-1,
"")</f>
        <v>4943</v>
      </c>
      <c r="B4949" s="6" t="s">
        <v>233</v>
      </c>
      <c r="C4949" s="14">
        <v>45112</v>
      </c>
      <c r="D4949" s="15">
        <v>101.15</v>
      </c>
      <c r="E4949" s="7">
        <f t="shared" si="77"/>
        <v>1</v>
      </c>
    </row>
    <row r="4950" spans="1:5" x14ac:dyDescent="0.25">
      <c r="A4950" s="7">
        <f>IF(E4950=1,
      SUM($E$2:E4950)-1,
"")</f>
        <v>4944</v>
      </c>
      <c r="B4950" s="6" t="s">
        <v>630</v>
      </c>
      <c r="C4950" s="14">
        <v>44934</v>
      </c>
      <c r="D4950" s="15">
        <v>67.959999999999994</v>
      </c>
      <c r="E4950" s="7">
        <f t="shared" si="77"/>
        <v>1</v>
      </c>
    </row>
    <row r="4951" spans="1:5" x14ac:dyDescent="0.25">
      <c r="A4951" s="7">
        <f>IF(E4951=1,
      SUM($E$2:E4951)-1,
"")</f>
        <v>4945</v>
      </c>
      <c r="B4951" s="6" t="s">
        <v>165</v>
      </c>
      <c r="C4951" s="14">
        <v>45216</v>
      </c>
      <c r="D4951" s="15">
        <v>110.81</v>
      </c>
      <c r="E4951" s="7">
        <f t="shared" si="77"/>
        <v>1</v>
      </c>
    </row>
    <row r="4952" spans="1:5" x14ac:dyDescent="0.25">
      <c r="A4952" s="7">
        <f>IF(E4952=1,
      SUM($E$2:E4952)-1,
"")</f>
        <v>4946</v>
      </c>
      <c r="B4952" s="6" t="s">
        <v>389</v>
      </c>
      <c r="C4952" s="14">
        <v>45142</v>
      </c>
      <c r="D4952" s="15">
        <v>136.94</v>
      </c>
      <c r="E4952" s="7">
        <f t="shared" si="77"/>
        <v>1</v>
      </c>
    </row>
    <row r="4953" spans="1:5" x14ac:dyDescent="0.25">
      <c r="A4953" s="7">
        <f>IF(E4953=1,
      SUM($E$2:E4953)-1,
"")</f>
        <v>4947</v>
      </c>
      <c r="B4953" s="6" t="s">
        <v>957</v>
      </c>
      <c r="C4953" s="14">
        <v>45055</v>
      </c>
      <c r="D4953" s="15">
        <v>108.68</v>
      </c>
      <c r="E4953" s="7">
        <f t="shared" si="77"/>
        <v>1</v>
      </c>
    </row>
    <row r="4954" spans="1:5" x14ac:dyDescent="0.25">
      <c r="A4954" s="7">
        <f>IF(E4954=1,
      SUM($E$2:E4954)-1,
"")</f>
        <v>4948</v>
      </c>
      <c r="B4954" s="6" t="s">
        <v>602</v>
      </c>
      <c r="C4954" s="14">
        <v>45004</v>
      </c>
      <c r="D4954" s="15">
        <v>97.18</v>
      </c>
      <c r="E4954" s="7">
        <f t="shared" si="77"/>
        <v>1</v>
      </c>
    </row>
    <row r="4955" spans="1:5" x14ac:dyDescent="0.25">
      <c r="A4955" s="7">
        <f>IF(E4955=1,
      SUM($E$2:E4955)-1,
"")</f>
        <v>4949</v>
      </c>
      <c r="B4955" s="6" t="s">
        <v>517</v>
      </c>
      <c r="C4955" s="14">
        <v>45062</v>
      </c>
      <c r="D4955" s="15">
        <v>83.95</v>
      </c>
      <c r="E4955" s="7">
        <f t="shared" si="77"/>
        <v>1</v>
      </c>
    </row>
    <row r="4956" spans="1:5" x14ac:dyDescent="0.25">
      <c r="A4956" s="7">
        <f>IF(E4956=1,
      SUM($E$2:E4956)-1,
"")</f>
        <v>4950</v>
      </c>
      <c r="B4956" s="6" t="s">
        <v>1002</v>
      </c>
      <c r="C4956" s="14">
        <v>45275</v>
      </c>
      <c r="D4956" s="15">
        <v>143.38</v>
      </c>
      <c r="E4956" s="7">
        <f t="shared" si="77"/>
        <v>1</v>
      </c>
    </row>
    <row r="4957" spans="1:5" x14ac:dyDescent="0.25">
      <c r="A4957" s="7">
        <f>IF(E4957=1,
      SUM($E$2:E4957)-1,
"")</f>
        <v>4951</v>
      </c>
      <c r="B4957" s="6" t="s">
        <v>535</v>
      </c>
      <c r="C4957" s="14">
        <v>45220</v>
      </c>
      <c r="D4957" s="15">
        <v>94.19</v>
      </c>
      <c r="E4957" s="7">
        <f t="shared" si="77"/>
        <v>1</v>
      </c>
    </row>
    <row r="4958" spans="1:5" x14ac:dyDescent="0.25">
      <c r="A4958" s="7">
        <f>IF(E4958=1,
      SUM($E$2:E4958)-1,
"")</f>
        <v>4952</v>
      </c>
      <c r="B4958" s="6" t="s">
        <v>604</v>
      </c>
      <c r="C4958" s="14">
        <v>45104</v>
      </c>
      <c r="D4958" s="15">
        <v>174.71</v>
      </c>
      <c r="E4958" s="7">
        <f t="shared" si="77"/>
        <v>1</v>
      </c>
    </row>
    <row r="4959" spans="1:5" x14ac:dyDescent="0.25">
      <c r="A4959" s="7">
        <f>IF(E4959=1,
      SUM($E$2:E4959)-1,
"")</f>
        <v>4953</v>
      </c>
      <c r="B4959" s="6" t="s">
        <v>1025</v>
      </c>
      <c r="C4959" s="14">
        <v>45276</v>
      </c>
      <c r="D4959" s="15">
        <v>64.510000000000005</v>
      </c>
      <c r="E4959" s="7">
        <f t="shared" si="77"/>
        <v>1</v>
      </c>
    </row>
    <row r="4960" spans="1:5" x14ac:dyDescent="0.25">
      <c r="A4960" s="7">
        <f>IF(E4960=1,
      SUM($E$2:E4960)-1,
"")</f>
        <v>4954</v>
      </c>
      <c r="B4960" s="6" t="s">
        <v>99</v>
      </c>
      <c r="C4960" s="14">
        <v>45274</v>
      </c>
      <c r="D4960" s="15">
        <v>108.7</v>
      </c>
      <c r="E4960" s="7">
        <f t="shared" si="77"/>
        <v>1</v>
      </c>
    </row>
    <row r="4961" spans="1:5" x14ac:dyDescent="0.25">
      <c r="A4961" s="7">
        <f>IF(E4961=1,
      SUM($E$2:E4961)-1,
"")</f>
        <v>4955</v>
      </c>
      <c r="B4961" s="6" t="s">
        <v>919</v>
      </c>
      <c r="C4961" s="14">
        <v>45074</v>
      </c>
      <c r="D4961" s="15">
        <v>142.38</v>
      </c>
      <c r="E4961" s="7">
        <f t="shared" si="77"/>
        <v>1</v>
      </c>
    </row>
    <row r="4962" spans="1:5" x14ac:dyDescent="0.25">
      <c r="A4962" s="7">
        <f>IF(E4962=1,
      SUM($E$2:E4962)-1,
"")</f>
        <v>4956</v>
      </c>
      <c r="B4962" s="6" t="s">
        <v>670</v>
      </c>
      <c r="C4962" s="14">
        <v>44967</v>
      </c>
      <c r="D4962" s="15">
        <v>79.3</v>
      </c>
      <c r="E4962" s="7">
        <f t="shared" si="77"/>
        <v>1</v>
      </c>
    </row>
    <row r="4963" spans="1:5" x14ac:dyDescent="0.25">
      <c r="A4963" s="7">
        <f>IF(E4963=1,
      SUM($E$2:E4963)-1,
"")</f>
        <v>4957</v>
      </c>
      <c r="B4963" s="6" t="s">
        <v>577</v>
      </c>
      <c r="C4963" s="14">
        <v>45173</v>
      </c>
      <c r="D4963" s="15">
        <v>92.92</v>
      </c>
      <c r="E4963" s="7">
        <f t="shared" si="77"/>
        <v>1</v>
      </c>
    </row>
    <row r="4964" spans="1:5" x14ac:dyDescent="0.25">
      <c r="A4964" s="7">
        <f>IF(E4964=1,
      SUM($E$2:E4964)-1,
"")</f>
        <v>4958</v>
      </c>
      <c r="B4964" s="6" t="s">
        <v>1060</v>
      </c>
      <c r="C4964" s="14">
        <v>45192</v>
      </c>
      <c r="D4964" s="15">
        <v>118.78</v>
      </c>
      <c r="E4964" s="7">
        <f t="shared" si="77"/>
        <v>1</v>
      </c>
    </row>
    <row r="4965" spans="1:5" x14ac:dyDescent="0.25">
      <c r="A4965" s="7">
        <f>IF(E4965=1,
      SUM($E$2:E4965)-1,
"")</f>
        <v>4959</v>
      </c>
      <c r="B4965" s="6" t="s">
        <v>940</v>
      </c>
      <c r="C4965" s="14">
        <v>45259</v>
      </c>
      <c r="D4965" s="15">
        <v>111.64</v>
      </c>
      <c r="E4965" s="7">
        <f t="shared" si="77"/>
        <v>1</v>
      </c>
    </row>
    <row r="4966" spans="1:5" x14ac:dyDescent="0.25">
      <c r="A4966" s="7">
        <f>IF(E4966=1,
      SUM($E$2:E4966)-1,
"")</f>
        <v>4960</v>
      </c>
      <c r="B4966" s="6" t="s">
        <v>345</v>
      </c>
      <c r="C4966" s="14">
        <v>45209</v>
      </c>
      <c r="D4966" s="15">
        <v>116.79</v>
      </c>
      <c r="E4966" s="7">
        <f t="shared" si="77"/>
        <v>1</v>
      </c>
    </row>
    <row r="4967" spans="1:5" x14ac:dyDescent="0.25">
      <c r="A4967" s="7">
        <f>IF(E4967=1,
      SUM($E$2:E4967)-1,
"")</f>
        <v>4961</v>
      </c>
      <c r="B4967" s="6" t="s">
        <v>718</v>
      </c>
      <c r="C4967" s="14">
        <v>45097</v>
      </c>
      <c r="D4967" s="15">
        <v>134.81</v>
      </c>
      <c r="E4967" s="7">
        <f t="shared" si="77"/>
        <v>1</v>
      </c>
    </row>
    <row r="4968" spans="1:5" x14ac:dyDescent="0.25">
      <c r="A4968" s="7">
        <f>IF(E4968=1,
      SUM($E$2:E4968)-1,
"")</f>
        <v>4962</v>
      </c>
      <c r="B4968" s="6" t="s">
        <v>191</v>
      </c>
      <c r="C4968" s="14">
        <v>44963</v>
      </c>
      <c r="D4968" s="15">
        <v>89.6</v>
      </c>
      <c r="E4968" s="7">
        <f t="shared" si="77"/>
        <v>1</v>
      </c>
    </row>
    <row r="4969" spans="1:5" x14ac:dyDescent="0.25">
      <c r="A4969" s="7">
        <f>IF(E4969=1,
      SUM($E$2:E4969)-1,
"")</f>
        <v>4963</v>
      </c>
      <c r="B4969" s="6" t="s">
        <v>286</v>
      </c>
      <c r="C4969" s="14">
        <v>45091</v>
      </c>
      <c r="D4969" s="15">
        <v>143.11000000000001</v>
      </c>
      <c r="E4969" s="7">
        <f t="shared" si="77"/>
        <v>1</v>
      </c>
    </row>
    <row r="4970" spans="1:5" x14ac:dyDescent="0.25">
      <c r="A4970" s="7">
        <f>IF(E4970=1,
      SUM($E$2:E4970)-1,
"")</f>
        <v>4964</v>
      </c>
      <c r="B4970" s="6" t="s">
        <v>469</v>
      </c>
      <c r="C4970" s="14">
        <v>44949</v>
      </c>
      <c r="D4970" s="15">
        <v>48.4</v>
      </c>
      <c r="E4970" s="7">
        <f t="shared" si="77"/>
        <v>1</v>
      </c>
    </row>
    <row r="4971" spans="1:5" x14ac:dyDescent="0.25">
      <c r="A4971" s="7">
        <f>IF(E4971=1,
      SUM($E$2:E4971)-1,
"")</f>
        <v>4965</v>
      </c>
      <c r="B4971" s="6" t="s">
        <v>494</v>
      </c>
      <c r="C4971" s="14">
        <v>44952</v>
      </c>
      <c r="D4971" s="15">
        <v>132.32</v>
      </c>
      <c r="E4971" s="7">
        <f t="shared" si="77"/>
        <v>1</v>
      </c>
    </row>
    <row r="4972" spans="1:5" x14ac:dyDescent="0.25">
      <c r="A4972" s="7">
        <f>IF(E4972=1,
      SUM($E$2:E4972)-1,
"")</f>
        <v>4966</v>
      </c>
      <c r="B4972" s="6" t="s">
        <v>1056</v>
      </c>
      <c r="C4972" s="14">
        <v>45282</v>
      </c>
      <c r="D4972" s="15">
        <v>134.41999999999999</v>
      </c>
      <c r="E4972" s="7">
        <f t="shared" si="77"/>
        <v>1</v>
      </c>
    </row>
    <row r="4973" spans="1:5" x14ac:dyDescent="0.25">
      <c r="A4973" s="7">
        <f>IF(E4973=1,
      SUM($E$2:E4973)-1,
"")</f>
        <v>4967</v>
      </c>
      <c r="B4973" s="6" t="s">
        <v>1061</v>
      </c>
      <c r="C4973" s="14">
        <v>44946</v>
      </c>
      <c r="D4973" s="15">
        <v>76.77</v>
      </c>
      <c r="E4973" s="7">
        <f t="shared" si="77"/>
        <v>1</v>
      </c>
    </row>
    <row r="4974" spans="1:5" x14ac:dyDescent="0.25">
      <c r="A4974" s="7">
        <f>IF(E4974=1,
      SUM($E$2:E4974)-1,
"")</f>
        <v>4968</v>
      </c>
      <c r="B4974" s="6" t="s">
        <v>755</v>
      </c>
      <c r="C4974" s="14">
        <v>45075</v>
      </c>
      <c r="D4974" s="15">
        <v>56.48</v>
      </c>
      <c r="E4974" s="7">
        <f t="shared" si="77"/>
        <v>1</v>
      </c>
    </row>
    <row r="4975" spans="1:5" x14ac:dyDescent="0.25">
      <c r="A4975" s="7">
        <f>IF(E4975=1,
      SUM($E$2:E4975)-1,
"")</f>
        <v>4969</v>
      </c>
      <c r="B4975" s="6" t="s">
        <v>702</v>
      </c>
      <c r="C4975" s="14">
        <v>45040</v>
      </c>
      <c r="D4975" s="15">
        <v>93.03</v>
      </c>
      <c r="E4975" s="7">
        <f t="shared" si="77"/>
        <v>1</v>
      </c>
    </row>
    <row r="4976" spans="1:5" x14ac:dyDescent="0.25">
      <c r="A4976" s="7">
        <f>IF(E4976=1,
      SUM($E$2:E4976)-1,
"")</f>
        <v>4970</v>
      </c>
      <c r="B4976" s="6" t="s">
        <v>327</v>
      </c>
      <c r="C4976" s="14">
        <v>45071</v>
      </c>
      <c r="D4976" s="15">
        <v>112.11</v>
      </c>
      <c r="E4976" s="7">
        <f t="shared" si="77"/>
        <v>1</v>
      </c>
    </row>
    <row r="4977" spans="1:5" x14ac:dyDescent="0.25">
      <c r="A4977" s="7">
        <f>IF(E4977=1,
      SUM($E$2:E4977)-1,
"")</f>
        <v>4971</v>
      </c>
      <c r="B4977" s="6" t="s">
        <v>670</v>
      </c>
      <c r="C4977" s="14">
        <v>45213</v>
      </c>
      <c r="D4977" s="15">
        <v>89.95</v>
      </c>
      <c r="E4977" s="7">
        <f t="shared" si="77"/>
        <v>1</v>
      </c>
    </row>
    <row r="4978" spans="1:5" x14ac:dyDescent="0.25">
      <c r="A4978" s="7">
        <f>IF(E4978=1,
      SUM($E$2:E4978)-1,
"")</f>
        <v>4972</v>
      </c>
      <c r="B4978" s="6" t="s">
        <v>1062</v>
      </c>
      <c r="C4978" s="14">
        <v>45286</v>
      </c>
      <c r="D4978" s="15">
        <v>115.06</v>
      </c>
      <c r="E4978" s="7">
        <f t="shared" si="77"/>
        <v>1</v>
      </c>
    </row>
    <row r="4979" spans="1:5" x14ac:dyDescent="0.25">
      <c r="A4979" s="7">
        <f>IF(E4979=1,
      SUM($E$2:E4979)-1,
"")</f>
        <v>4973</v>
      </c>
      <c r="B4979" s="6" t="s">
        <v>993</v>
      </c>
      <c r="C4979" s="14">
        <v>45021</v>
      </c>
      <c r="D4979" s="15">
        <v>158.13</v>
      </c>
      <c r="E4979" s="7">
        <f t="shared" si="77"/>
        <v>1</v>
      </c>
    </row>
    <row r="4980" spans="1:5" x14ac:dyDescent="0.25">
      <c r="A4980" s="7">
        <f>IF(E4980=1,
      SUM($E$2:E4980)-1,
"")</f>
        <v>4974</v>
      </c>
      <c r="B4980" s="6" t="s">
        <v>355</v>
      </c>
      <c r="C4980" s="14">
        <v>45066</v>
      </c>
      <c r="D4980" s="15">
        <v>59.06</v>
      </c>
      <c r="E4980" s="7">
        <f t="shared" si="77"/>
        <v>1</v>
      </c>
    </row>
    <row r="4981" spans="1:5" x14ac:dyDescent="0.25">
      <c r="A4981" s="7">
        <f>IF(E4981=1,
      SUM($E$2:E4981)-1,
"")</f>
        <v>4975</v>
      </c>
      <c r="B4981" s="6" t="s">
        <v>502</v>
      </c>
      <c r="C4981" s="14">
        <v>45277</v>
      </c>
      <c r="D4981" s="15">
        <v>41.38</v>
      </c>
      <c r="E4981" s="7">
        <f t="shared" si="77"/>
        <v>1</v>
      </c>
    </row>
    <row r="4982" spans="1:5" x14ac:dyDescent="0.25">
      <c r="A4982" s="7">
        <f>IF(E4982=1,
      SUM($E$2:E4982)-1,
"")</f>
        <v>4976</v>
      </c>
      <c r="B4982" s="6" t="s">
        <v>409</v>
      </c>
      <c r="C4982" s="14">
        <v>45281</v>
      </c>
      <c r="D4982" s="15">
        <v>97.92</v>
      </c>
      <c r="E4982" s="7">
        <f t="shared" si="77"/>
        <v>1</v>
      </c>
    </row>
    <row r="4983" spans="1:5" x14ac:dyDescent="0.25">
      <c r="A4983" s="7">
        <f>IF(E4983=1,
      SUM($E$2:E4983)-1,
"")</f>
        <v>4977</v>
      </c>
      <c r="B4983" s="6" t="s">
        <v>169</v>
      </c>
      <c r="C4983" s="14">
        <v>45002</v>
      </c>
      <c r="D4983" s="15">
        <v>79.59</v>
      </c>
      <c r="E4983" s="7">
        <f t="shared" si="77"/>
        <v>1</v>
      </c>
    </row>
    <row r="4984" spans="1:5" x14ac:dyDescent="0.25">
      <c r="A4984" s="7">
        <f>IF(E4984=1,
      SUM($E$2:E4984)-1,
"")</f>
        <v>4978</v>
      </c>
      <c r="B4984" s="6" t="s">
        <v>889</v>
      </c>
      <c r="C4984" s="14">
        <v>45052</v>
      </c>
      <c r="D4984" s="15">
        <v>85.59</v>
      </c>
      <c r="E4984" s="7">
        <f t="shared" si="77"/>
        <v>1</v>
      </c>
    </row>
    <row r="4985" spans="1:5" x14ac:dyDescent="0.25">
      <c r="A4985" s="7">
        <f>IF(E4985=1,
      SUM($E$2:E4985)-1,
"")</f>
        <v>4979</v>
      </c>
      <c r="B4985" s="6" t="s">
        <v>192</v>
      </c>
      <c r="C4985" s="14">
        <v>45272</v>
      </c>
      <c r="D4985" s="15">
        <v>138.01</v>
      </c>
      <c r="E4985" s="7">
        <f t="shared" si="77"/>
        <v>1</v>
      </c>
    </row>
    <row r="4986" spans="1:5" x14ac:dyDescent="0.25">
      <c r="A4986" s="7">
        <f>IF(E4986=1,
      SUM($E$2:E4986)-1,
"")</f>
        <v>4980</v>
      </c>
      <c r="B4986" s="6" t="s">
        <v>498</v>
      </c>
      <c r="C4986" s="14">
        <v>45115</v>
      </c>
      <c r="D4986" s="15">
        <v>96.38</v>
      </c>
      <c r="E4986" s="7">
        <f t="shared" si="77"/>
        <v>1</v>
      </c>
    </row>
    <row r="4987" spans="1:5" x14ac:dyDescent="0.25">
      <c r="A4987" s="7">
        <f>IF(E4987=1,
      SUM($E$2:E4987)-1,
"")</f>
        <v>4981</v>
      </c>
      <c r="B4987" s="6" t="s">
        <v>670</v>
      </c>
      <c r="C4987" s="14">
        <v>45065</v>
      </c>
      <c r="D4987" s="15">
        <v>99.13</v>
      </c>
      <c r="E4987" s="7">
        <f t="shared" si="77"/>
        <v>1</v>
      </c>
    </row>
    <row r="4988" spans="1:5" x14ac:dyDescent="0.25">
      <c r="A4988" s="7">
        <f>IF(E4988=1,
      SUM($E$2:E4988)-1,
"")</f>
        <v>4982</v>
      </c>
      <c r="B4988" s="6" t="s">
        <v>191</v>
      </c>
      <c r="C4988" s="14">
        <v>45020</v>
      </c>
      <c r="D4988" s="15">
        <v>86.9</v>
      </c>
      <c r="E4988" s="7">
        <f t="shared" si="77"/>
        <v>1</v>
      </c>
    </row>
    <row r="4989" spans="1:5" x14ac:dyDescent="0.25">
      <c r="A4989" s="7">
        <f>IF(E4989=1,
      SUM($E$2:E4989)-1,
"")</f>
        <v>4983</v>
      </c>
      <c r="B4989" s="6" t="s">
        <v>786</v>
      </c>
      <c r="C4989" s="14">
        <v>45005</v>
      </c>
      <c r="D4989" s="15">
        <v>98.84</v>
      </c>
      <c r="E4989" s="7">
        <f t="shared" si="77"/>
        <v>1</v>
      </c>
    </row>
    <row r="4990" spans="1:5" x14ac:dyDescent="0.25">
      <c r="A4990" s="7">
        <f>IF(E4990=1,
      SUM($E$2:E4990)-1,
"")</f>
        <v>4984</v>
      </c>
      <c r="B4990" s="6" t="s">
        <v>686</v>
      </c>
      <c r="C4990" s="14">
        <v>44996</v>
      </c>
      <c r="D4990" s="15">
        <v>108.06</v>
      </c>
      <c r="E4990" s="7">
        <f t="shared" si="77"/>
        <v>1</v>
      </c>
    </row>
    <row r="4991" spans="1:5" x14ac:dyDescent="0.25">
      <c r="A4991" s="7">
        <f>IF(E4991=1,
      SUM($E$2:E4991)-1,
"")</f>
        <v>4985</v>
      </c>
      <c r="B4991" s="6" t="s">
        <v>509</v>
      </c>
      <c r="C4991" s="14">
        <v>45159</v>
      </c>
      <c r="D4991" s="15">
        <v>183.54</v>
      </c>
      <c r="E4991" s="7">
        <f t="shared" si="77"/>
        <v>1</v>
      </c>
    </row>
    <row r="4992" spans="1:5" x14ac:dyDescent="0.25">
      <c r="A4992" s="7">
        <f>IF(E4992=1,
      SUM($E$2:E4992)-1,
"")</f>
        <v>4986</v>
      </c>
      <c r="B4992" s="6" t="s">
        <v>805</v>
      </c>
      <c r="C4992" s="14">
        <v>45010</v>
      </c>
      <c r="D4992" s="15">
        <v>108.39</v>
      </c>
      <c r="E4992" s="7">
        <f t="shared" si="77"/>
        <v>1</v>
      </c>
    </row>
    <row r="4993" spans="1:5" x14ac:dyDescent="0.25">
      <c r="A4993" s="7">
        <f>IF(E4993=1,
      SUM($E$2:E4993)-1,
"")</f>
        <v>4987</v>
      </c>
      <c r="B4993" s="6" t="s">
        <v>326</v>
      </c>
      <c r="C4993" s="14">
        <v>45140</v>
      </c>
      <c r="D4993" s="15">
        <v>134.88</v>
      </c>
      <c r="E4993" s="7">
        <f t="shared" si="77"/>
        <v>1</v>
      </c>
    </row>
    <row r="4994" spans="1:5" x14ac:dyDescent="0.25">
      <c r="A4994" s="7">
        <f>IF(E4994=1,
      SUM($E$2:E4994)-1,
"")</f>
        <v>4988</v>
      </c>
      <c r="B4994" s="6" t="s">
        <v>735</v>
      </c>
      <c r="C4994" s="14">
        <v>45227</v>
      </c>
      <c r="D4994" s="15">
        <v>105.59</v>
      </c>
      <c r="E4994" s="7">
        <f t="shared" ref="E4994:E5001" si="78">IF(D4994&gt;0,1,0)</f>
        <v>1</v>
      </c>
    </row>
    <row r="4995" spans="1:5" x14ac:dyDescent="0.25">
      <c r="A4995" s="7">
        <f>IF(E4995=1,
      SUM($E$2:E4995)-1,
"")</f>
        <v>4989</v>
      </c>
      <c r="B4995" s="6" t="s">
        <v>958</v>
      </c>
      <c r="C4995" s="14">
        <v>45156</v>
      </c>
      <c r="D4995" s="15">
        <v>39.17</v>
      </c>
      <c r="E4995" s="7">
        <f t="shared" si="78"/>
        <v>1</v>
      </c>
    </row>
    <row r="4996" spans="1:5" x14ac:dyDescent="0.25">
      <c r="A4996" s="7">
        <f>IF(E4996=1,
      SUM($E$2:E4996)-1,
"")</f>
        <v>4990</v>
      </c>
      <c r="B4996" s="6" t="s">
        <v>653</v>
      </c>
      <c r="C4996" s="14">
        <v>45201</v>
      </c>
      <c r="D4996" s="15">
        <v>82.99</v>
      </c>
      <c r="E4996" s="7">
        <f t="shared" si="78"/>
        <v>1</v>
      </c>
    </row>
    <row r="4997" spans="1:5" x14ac:dyDescent="0.25">
      <c r="A4997" s="7">
        <f>IF(E4997=1,
      SUM($E$2:E4997)-1,
"")</f>
        <v>4991</v>
      </c>
      <c r="B4997" s="6" t="s">
        <v>1056</v>
      </c>
      <c r="C4997" s="14">
        <v>44976</v>
      </c>
      <c r="D4997" s="15">
        <v>108.37</v>
      </c>
      <c r="E4997" s="7">
        <f t="shared" si="78"/>
        <v>1</v>
      </c>
    </row>
    <row r="4998" spans="1:5" x14ac:dyDescent="0.25">
      <c r="A4998" s="7">
        <f>IF(E4998=1,
      SUM($E$2:E4998)-1,
"")</f>
        <v>4992</v>
      </c>
      <c r="B4998" s="6" t="s">
        <v>815</v>
      </c>
      <c r="C4998" s="14">
        <v>45034</v>
      </c>
      <c r="D4998" s="15">
        <v>121.7</v>
      </c>
      <c r="E4998" s="7">
        <f t="shared" si="78"/>
        <v>1</v>
      </c>
    </row>
    <row r="4999" spans="1:5" x14ac:dyDescent="0.25">
      <c r="A4999" s="7">
        <f>IF(E4999=1,
      SUM($E$2:E4999)-1,
"")</f>
        <v>4993</v>
      </c>
      <c r="B4999" s="6" t="s">
        <v>648</v>
      </c>
      <c r="C4999" s="14">
        <v>45190</v>
      </c>
      <c r="D4999" s="15">
        <v>106.31</v>
      </c>
      <c r="E4999" s="7">
        <f t="shared" si="78"/>
        <v>1</v>
      </c>
    </row>
    <row r="5000" spans="1:5" x14ac:dyDescent="0.25">
      <c r="A5000" s="7">
        <f>IF(E5000=1,
      SUM($E$2:E5000)-1,
"")</f>
        <v>4994</v>
      </c>
      <c r="B5000" s="6" t="s">
        <v>983</v>
      </c>
      <c r="C5000" s="14">
        <v>45238</v>
      </c>
      <c r="D5000" s="15">
        <v>127.61</v>
      </c>
      <c r="E5000" s="7">
        <f t="shared" si="78"/>
        <v>1</v>
      </c>
    </row>
    <row r="5001" spans="1:5" x14ac:dyDescent="0.25">
      <c r="A5001" s="7">
        <f>IF(E5001=1,
      SUM($E$2:E5001)-1,
"")</f>
        <v>4995</v>
      </c>
      <c r="B5001" s="6" t="s">
        <v>85</v>
      </c>
      <c r="C5001" s="14">
        <v>45036</v>
      </c>
      <c r="D5001" s="15">
        <v>56.2</v>
      </c>
      <c r="E5001" s="7">
        <f t="shared" si="78"/>
        <v>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98"/>
  <sheetViews>
    <sheetView zoomScaleNormal="100" workbookViewId="0">
      <pane xSplit="1" ySplit="9" topLeftCell="B10" activePane="bottomRight" state="frozen"/>
      <selection pane="topRight" activeCell="B1" sqref="B1"/>
      <selection pane="bottomLeft" activeCell="A2" sqref="A2"/>
      <selection pane="bottomRight" activeCell="G16" sqref="G16"/>
    </sheetView>
  </sheetViews>
  <sheetFormatPr defaultColWidth="8.7109375" defaultRowHeight="15" outlineLevelRow="1" x14ac:dyDescent="0.25"/>
  <cols>
    <col min="1" max="1" width="13.140625" style="25" customWidth="1"/>
    <col min="2" max="2" width="16.28515625" customWidth="1"/>
    <col min="3" max="3" width="11.5703125" customWidth="1"/>
    <col min="4" max="4" width="13.42578125" customWidth="1"/>
    <col min="5" max="5" width="7.5703125" customWidth="1"/>
    <col min="6" max="6" width="7.85546875" customWidth="1"/>
    <col min="7" max="7" width="8.140625" customWidth="1"/>
    <col min="8" max="8" width="11.7109375" customWidth="1"/>
    <col min="9" max="9" width="11.28515625" customWidth="1"/>
    <col min="10" max="10" width="20" customWidth="1"/>
    <col min="11" max="11" width="11.5703125" bestFit="1" customWidth="1"/>
    <col min="12" max="12" width="27.85546875" bestFit="1" customWidth="1"/>
    <col min="13" max="13" width="11.28515625" customWidth="1"/>
  </cols>
  <sheetData>
    <row r="1" spans="1:15" ht="18.75" outlineLevel="1" thickBot="1" x14ac:dyDescent="0.3">
      <c r="A1" s="60" t="s">
        <v>43</v>
      </c>
      <c r="B1" s="60"/>
      <c r="C1" s="60"/>
      <c r="D1" s="60"/>
      <c r="E1" s="60"/>
      <c r="F1" s="60"/>
      <c r="G1" s="60"/>
      <c r="H1" s="60"/>
      <c r="I1" s="61"/>
      <c r="J1" s="40" t="s">
        <v>44</v>
      </c>
      <c r="K1" s="41">
        <v>45292</v>
      </c>
      <c r="L1" s="42" t="s">
        <v>45</v>
      </c>
      <c r="M1" s="43"/>
      <c r="N1" s="43"/>
      <c r="O1" s="44"/>
    </row>
    <row r="2" spans="1:15" ht="15.75" outlineLevel="1" thickBot="1" x14ac:dyDescent="0.3">
      <c r="A2" s="5" t="s">
        <v>46</v>
      </c>
      <c r="J2" s="5" t="s">
        <v>58</v>
      </c>
    </row>
    <row r="3" spans="1:15" outlineLevel="1" x14ac:dyDescent="0.25">
      <c r="A3" s="29" t="s">
        <v>47</v>
      </c>
      <c r="B3" s="30" t="s">
        <v>48</v>
      </c>
      <c r="C3" s="30" t="s">
        <v>49</v>
      </c>
      <c r="D3" s="30" t="s">
        <v>50</v>
      </c>
      <c r="E3" s="51" t="s">
        <v>51</v>
      </c>
      <c r="F3" s="52"/>
      <c r="G3" s="52"/>
      <c r="H3" s="52"/>
      <c r="I3" s="53"/>
      <c r="J3" s="29" t="s">
        <v>59</v>
      </c>
      <c r="K3" s="30" t="s">
        <v>60</v>
      </c>
      <c r="L3" s="31" t="s">
        <v>61</v>
      </c>
    </row>
    <row r="4" spans="1:15" outlineLevel="1" x14ac:dyDescent="0.25">
      <c r="A4" s="37" t="s">
        <v>52</v>
      </c>
      <c r="B4" s="11">
        <f>QUARTILE(rfm_db_recency,1)</f>
        <v>18</v>
      </c>
      <c r="C4" s="11">
        <f>QUARTILE(rfm_db_recency,2)</f>
        <v>48</v>
      </c>
      <c r="D4" s="11">
        <f>QUARTILE(rfm_db_recency,3)</f>
        <v>96</v>
      </c>
      <c r="E4" s="57" t="s">
        <v>53</v>
      </c>
      <c r="F4" s="58"/>
      <c r="G4" s="58"/>
      <c r="H4" s="58"/>
      <c r="I4" s="59"/>
      <c r="J4" s="32" t="s">
        <v>62</v>
      </c>
      <c r="K4" s="13">
        <v>3.5</v>
      </c>
      <c r="L4" s="33" t="s">
        <v>63</v>
      </c>
    </row>
    <row r="5" spans="1:15" outlineLevel="1" x14ac:dyDescent="0.25">
      <c r="A5" s="37" t="s">
        <v>54</v>
      </c>
      <c r="B5" s="11">
        <f>QUARTILE(rfm_db_frequency,1)</f>
        <v>3</v>
      </c>
      <c r="C5" s="11">
        <f>QUARTILE(rfm_db_frequency,2)</f>
        <v>5</v>
      </c>
      <c r="D5" s="11">
        <f>QUARTILE(rfm_db_frequency,3)</f>
        <v>6</v>
      </c>
      <c r="E5" s="57" t="s">
        <v>55</v>
      </c>
      <c r="F5" s="58"/>
      <c r="G5" s="58"/>
      <c r="H5" s="58"/>
      <c r="I5" s="59"/>
      <c r="J5" s="32" t="s">
        <v>64</v>
      </c>
      <c r="K5" s="13">
        <v>2.5</v>
      </c>
      <c r="L5" s="33" t="s">
        <v>63</v>
      </c>
    </row>
    <row r="6" spans="1:15" ht="15.75" outlineLevel="1" thickBot="1" x14ac:dyDescent="0.3">
      <c r="A6" s="38" t="s">
        <v>56</v>
      </c>
      <c r="B6" s="39">
        <f>QUARTILE(rfm_db_monetary,1)</f>
        <v>319.60000000000002</v>
      </c>
      <c r="C6" s="39">
        <f>QUARTILE(rfm_db_monetary,2)</f>
        <v>485.22999999999996</v>
      </c>
      <c r="D6" s="39">
        <f>QUARTILE(rfm_db_monetary,3)</f>
        <v>655.72</v>
      </c>
      <c r="E6" s="54" t="s">
        <v>57</v>
      </c>
      <c r="F6" s="55"/>
      <c r="G6" s="55"/>
      <c r="H6" s="55"/>
      <c r="I6" s="56"/>
      <c r="J6" s="32" t="s">
        <v>65</v>
      </c>
      <c r="K6" s="13">
        <v>1.5</v>
      </c>
      <c r="L6" s="33" t="s">
        <v>63</v>
      </c>
    </row>
    <row r="7" spans="1:15" ht="15.75" outlineLevel="1" thickBot="1" x14ac:dyDescent="0.3">
      <c r="A7" s="26"/>
      <c r="B7" s="27"/>
      <c r="C7" s="27"/>
      <c r="D7" s="27"/>
      <c r="E7" s="28"/>
      <c r="F7" s="28"/>
      <c r="G7" s="28"/>
      <c r="H7" s="28"/>
      <c r="I7" s="28"/>
      <c r="J7" s="34" t="s">
        <v>66</v>
      </c>
      <c r="K7" s="35" t="s">
        <v>67</v>
      </c>
      <c r="L7" s="36" t="s">
        <v>68</v>
      </c>
    </row>
    <row r="8" spans="1:15" ht="18" x14ac:dyDescent="0.25">
      <c r="A8" s="50" t="s">
        <v>1087</v>
      </c>
      <c r="B8" s="50"/>
      <c r="C8" s="50"/>
      <c r="D8" s="50"/>
      <c r="E8" s="50"/>
      <c r="F8" s="50"/>
      <c r="G8" s="50"/>
      <c r="H8" s="50"/>
      <c r="I8" s="50"/>
      <c r="J8" s="45"/>
    </row>
    <row r="9" spans="1:15" x14ac:dyDescent="0.25">
      <c r="A9" s="46" t="s">
        <v>70</v>
      </c>
      <c r="B9" s="47" t="s">
        <v>52</v>
      </c>
      <c r="C9" s="47" t="s">
        <v>54</v>
      </c>
      <c r="D9" s="47" t="s">
        <v>56</v>
      </c>
      <c r="E9" s="48" t="s">
        <v>1063</v>
      </c>
      <c r="F9" s="48" t="s">
        <v>1064</v>
      </c>
      <c r="G9" s="48" t="s">
        <v>1065</v>
      </c>
      <c r="H9" s="49" t="s">
        <v>1066</v>
      </c>
      <c r="I9" s="49" t="s">
        <v>1067</v>
      </c>
      <c r="J9" s="49" t="s">
        <v>1068</v>
      </c>
    </row>
    <row r="10" spans="1:15" x14ac:dyDescent="0.25">
      <c r="A10" s="25" t="str" cm="1">
        <f t="array" ref="A10:A998">_xlfn._xlws.SORT(_xlfn.UNIQUE(customer_id))</f>
        <v>CUST_0000</v>
      </c>
      <c r="B10" s="16">
        <f t="shared" ref="B10:B73" si="0">analysis_date-_xlfn.MAXIFS(transaction_date,customer_id,A10,included,1)</f>
        <v>54</v>
      </c>
      <c r="C10" s="16">
        <f t="shared" ref="C10:C73" si="1">COUNTIFS(customer_id,A10,included,1)</f>
        <v>9</v>
      </c>
      <c r="D10" s="17">
        <f t="shared" ref="D10:D73" si="2">SUMIFS(transaction_amount,customer_id,A10,included,1)</f>
        <v>953.63999999999976</v>
      </c>
      <c r="E10" s="18" cm="1">
        <f t="array" ref="E10">_xlfn.IFS(
B10&lt;=recencyQ1, 4,
B10&lt;=recencyQ2, 3,
B10&lt;=recencyQ3, 2,
TRUE, 1
)</f>
        <v>2</v>
      </c>
      <c r="F10" s="18" cm="1">
        <f t="array" ref="F10">_xlfn.IFS(
C10&lt;=frequencyQ1, 1,
C10&lt;=frequencyQ2, 2,
C10&lt;=frequencyQ3, 3,
TRUE, 4)</f>
        <v>4</v>
      </c>
      <c r="G10" s="18" cm="1">
        <f t="array" ref="G10">_xlfn.IFS(
D10&lt;=monetaryQ1, 1,
D10&lt;=monetaryQ2, 2,
D10&lt;=monetaryQ3, 3,
TRUE, 4)</f>
        <v>4</v>
      </c>
      <c r="H10" s="18" t="str">
        <f t="shared" ref="H10:H73" si="3">E10&amp;F10&amp;G10</f>
        <v>244</v>
      </c>
      <c r="I10" s="19">
        <f t="shared" ref="I10:I73" si="4">AVERAGE(E10:G10)</f>
        <v>3.3333333333333335</v>
      </c>
      <c r="J10" s="7" t="str" cm="1">
        <f t="array" ref="J10">_xlfn.IFS(
I10&gt;=Best_Customers, Best_Customers_name,
I10&gt;=Loyal_Customers, Loyal_Customers_name,
I10&gt;=Average_Customers, Average_Customers_name,
TRUE, Lost_Customers_name)</f>
        <v>Loyal Customers</v>
      </c>
    </row>
    <row r="11" spans="1:15" x14ac:dyDescent="0.25">
      <c r="A11" s="25" t="str">
        <v>CUST_0001</v>
      </c>
      <c r="B11" s="16">
        <f t="shared" si="0"/>
        <v>136</v>
      </c>
      <c r="C11" s="16">
        <f t="shared" si="1"/>
        <v>6</v>
      </c>
      <c r="D11" s="17">
        <f t="shared" si="2"/>
        <v>642.47</v>
      </c>
      <c r="E11" s="18" cm="1">
        <f t="array" ref="E11">_xlfn.IFS(
B11&lt;=recencyQ1, 4,
B11&lt;=recencyQ2, 3,
B11&lt;=recencyQ3, 2,
TRUE, 1
)</f>
        <v>1</v>
      </c>
      <c r="F11" s="18" cm="1">
        <f t="array" ref="F11">_xlfn.IFS(
C11&lt;=frequencyQ1, 1,
C11&lt;=frequencyQ2, 2,
C11&lt;=frequencyQ3, 3,
TRUE, 4)</f>
        <v>3</v>
      </c>
      <c r="G11" s="18" cm="1">
        <f t="array" ref="G11">_xlfn.IFS(
D11&lt;=monetaryQ1, 1,
D11&lt;=monetaryQ2, 2,
D11&lt;=monetaryQ3, 3,
TRUE, 4)</f>
        <v>3</v>
      </c>
      <c r="H11" s="18" t="str">
        <f t="shared" si="3"/>
        <v>133</v>
      </c>
      <c r="I11" s="19">
        <f t="shared" si="4"/>
        <v>2.3333333333333335</v>
      </c>
      <c r="J11" s="7" t="str" cm="1">
        <f t="array" ref="J11">_xlfn.IFS(
I11&gt;=Best_Customers, Best_Customers_name,
I11&gt;=Loyal_Customers, Loyal_Customers_name,
I11&gt;=Average_Customers, Average_Customers_name,
TRUE, Lost_Customers_name)</f>
        <v>Average Customers</v>
      </c>
    </row>
    <row r="12" spans="1:15" x14ac:dyDescent="0.25">
      <c r="A12" s="25" t="str">
        <v>CUST_0002</v>
      </c>
      <c r="B12" s="16">
        <f t="shared" si="0"/>
        <v>3</v>
      </c>
      <c r="C12" s="16">
        <f t="shared" si="1"/>
        <v>4</v>
      </c>
      <c r="D12" s="17">
        <f t="shared" si="2"/>
        <v>349.71</v>
      </c>
      <c r="E12" s="18" cm="1">
        <f t="array" ref="E12">_xlfn.IFS(
B12&lt;=recencyQ1, 4,
B12&lt;=recencyQ2, 3,
B12&lt;=recencyQ3, 2,
TRUE, 1
)</f>
        <v>4</v>
      </c>
      <c r="F12" s="18" cm="1">
        <f t="array" ref="F12">_xlfn.IFS(
C12&lt;=frequencyQ1, 1,
C12&lt;=frequencyQ2, 2,
C12&lt;=frequencyQ3, 3,
TRUE, 4)</f>
        <v>2</v>
      </c>
      <c r="G12" s="18" cm="1">
        <f t="array" ref="G12">_xlfn.IFS(
D12&lt;=monetaryQ1, 1,
D12&lt;=monetaryQ2, 2,
D12&lt;=monetaryQ3, 3,
TRUE, 4)</f>
        <v>2</v>
      </c>
      <c r="H12" s="18" t="str">
        <f t="shared" si="3"/>
        <v>422</v>
      </c>
      <c r="I12" s="19">
        <f t="shared" si="4"/>
        <v>2.6666666666666665</v>
      </c>
      <c r="J12" s="7" t="str" cm="1">
        <f t="array" ref="J12">_xlfn.IFS(
I12&gt;=Best_Customers, Best_Customers_name,
I12&gt;=Loyal_Customers, Loyal_Customers_name,
I12&gt;=Average_Customers, Average_Customers_name,
TRUE, Lost_Customers_name)</f>
        <v>Loyal Customers</v>
      </c>
    </row>
    <row r="13" spans="1:15" x14ac:dyDescent="0.25">
      <c r="A13" s="25" t="str">
        <v>CUST_0003</v>
      </c>
      <c r="B13" s="16">
        <f t="shared" si="0"/>
        <v>72</v>
      </c>
      <c r="C13" s="16">
        <f t="shared" si="1"/>
        <v>2</v>
      </c>
      <c r="D13" s="17">
        <f t="shared" si="2"/>
        <v>247.51</v>
      </c>
      <c r="E13" s="18" cm="1">
        <f t="array" ref="E13">_xlfn.IFS(
B13&lt;=recencyQ1, 4,
B13&lt;=recencyQ2, 3,
B13&lt;=recencyQ3, 2,
TRUE, 1
)</f>
        <v>2</v>
      </c>
      <c r="F13" s="18" cm="1">
        <f t="array" ref="F13">_xlfn.IFS(
C13&lt;=frequencyQ1, 1,
C13&lt;=frequencyQ2, 2,
C13&lt;=frequencyQ3, 3,
TRUE, 4)</f>
        <v>1</v>
      </c>
      <c r="G13" s="18" cm="1">
        <f t="array" ref="G13">_xlfn.IFS(
D13&lt;=monetaryQ1, 1,
D13&lt;=monetaryQ2, 2,
D13&lt;=monetaryQ3, 3,
TRUE, 4)</f>
        <v>1</v>
      </c>
      <c r="H13" s="18" t="str">
        <f t="shared" si="3"/>
        <v>211</v>
      </c>
      <c r="I13" s="19">
        <f t="shared" si="4"/>
        <v>1.3333333333333333</v>
      </c>
      <c r="J13" s="7" t="str" cm="1">
        <f t="array" ref="J13">_xlfn.IFS(
I13&gt;=Best_Customers, Best_Customers_name,
I13&gt;=Loyal_Customers, Loyal_Customers_name,
I13&gt;=Average_Customers, Average_Customers_name,
TRUE, Lost_Customers_name)</f>
        <v>Lost Customers</v>
      </c>
    </row>
    <row r="14" spans="1:15" x14ac:dyDescent="0.25">
      <c r="A14" s="25" t="str">
        <v>CUST_0004</v>
      </c>
      <c r="B14" s="16">
        <f t="shared" si="0"/>
        <v>2</v>
      </c>
      <c r="C14" s="16">
        <f t="shared" si="1"/>
        <v>5</v>
      </c>
      <c r="D14" s="17">
        <f t="shared" si="2"/>
        <v>469.40999999999997</v>
      </c>
      <c r="E14" s="18" cm="1">
        <f t="array" ref="E14">_xlfn.IFS(
B14&lt;=recencyQ1, 4,
B14&lt;=recencyQ2, 3,
B14&lt;=recencyQ3, 2,
TRUE, 1
)</f>
        <v>4</v>
      </c>
      <c r="F14" s="18" cm="1">
        <f t="array" ref="F14">_xlfn.IFS(
C14&lt;=frequencyQ1, 1,
C14&lt;=frequencyQ2, 2,
C14&lt;=frequencyQ3, 3,
TRUE, 4)</f>
        <v>2</v>
      </c>
      <c r="G14" s="18" cm="1">
        <f t="array" ref="G14">_xlfn.IFS(
D14&lt;=monetaryQ1, 1,
D14&lt;=monetaryQ2, 2,
D14&lt;=monetaryQ3, 3,
TRUE, 4)</f>
        <v>2</v>
      </c>
      <c r="H14" s="18" t="str">
        <f t="shared" si="3"/>
        <v>422</v>
      </c>
      <c r="I14" s="19">
        <f t="shared" si="4"/>
        <v>2.6666666666666665</v>
      </c>
      <c r="J14" s="7" t="str" cm="1">
        <f t="array" ref="J14">_xlfn.IFS(
I14&gt;=Best_Customers, Best_Customers_name,
I14&gt;=Loyal_Customers, Loyal_Customers_name,
I14&gt;=Average_Customers, Average_Customers_name,
TRUE, Lost_Customers_name)</f>
        <v>Loyal Customers</v>
      </c>
    </row>
    <row r="15" spans="1:15" x14ac:dyDescent="0.25">
      <c r="A15" s="25" t="str">
        <v>CUST_0005</v>
      </c>
      <c r="B15" s="16">
        <f t="shared" si="0"/>
        <v>154</v>
      </c>
      <c r="C15" s="16">
        <f t="shared" si="1"/>
        <v>1</v>
      </c>
      <c r="D15" s="17">
        <f t="shared" si="2"/>
        <v>123.19</v>
      </c>
      <c r="E15" s="18" cm="1">
        <f t="array" ref="E15">_xlfn.IFS(
B15&lt;=recencyQ1, 4,
B15&lt;=recencyQ2, 3,
B15&lt;=recencyQ3, 2,
TRUE, 1
)</f>
        <v>1</v>
      </c>
      <c r="F15" s="18" cm="1">
        <f t="array" ref="F15">_xlfn.IFS(
C15&lt;=frequencyQ1, 1,
C15&lt;=frequencyQ2, 2,
C15&lt;=frequencyQ3, 3,
TRUE, 4)</f>
        <v>1</v>
      </c>
      <c r="G15" s="18" cm="1">
        <f t="array" ref="G15">_xlfn.IFS(
D15&lt;=monetaryQ1, 1,
D15&lt;=monetaryQ2, 2,
D15&lt;=monetaryQ3, 3,
TRUE, 4)</f>
        <v>1</v>
      </c>
      <c r="H15" s="18" t="str">
        <f t="shared" si="3"/>
        <v>111</v>
      </c>
      <c r="I15" s="19">
        <f t="shared" si="4"/>
        <v>1</v>
      </c>
      <c r="J15" s="7" t="str" cm="1">
        <f t="array" ref="J15">_xlfn.IFS(
I15&gt;=Best_Customers, Best_Customers_name,
I15&gt;=Loyal_Customers, Loyal_Customers_name,
I15&gt;=Average_Customers, Average_Customers_name,
TRUE, Lost_Customers_name)</f>
        <v>Lost Customers</v>
      </c>
    </row>
    <row r="16" spans="1:15" x14ac:dyDescent="0.25">
      <c r="A16" s="25" t="str">
        <v>CUST_0006</v>
      </c>
      <c r="B16" s="16">
        <f t="shared" si="0"/>
        <v>18</v>
      </c>
      <c r="C16" s="16">
        <f t="shared" si="1"/>
        <v>7</v>
      </c>
      <c r="D16" s="17">
        <f t="shared" si="2"/>
        <v>736.02</v>
      </c>
      <c r="E16" s="18" cm="1">
        <f t="array" ref="E16">_xlfn.IFS(
B16&lt;=recencyQ1, 4,
B16&lt;=recencyQ2, 3,
B16&lt;=recencyQ3, 2,
TRUE, 1
)</f>
        <v>4</v>
      </c>
      <c r="F16" s="18" cm="1">
        <f t="array" ref="F16">_xlfn.IFS(
C16&lt;=frequencyQ1, 1,
C16&lt;=frequencyQ2, 2,
C16&lt;=frequencyQ3, 3,
TRUE, 4)</f>
        <v>4</v>
      </c>
      <c r="G16" s="18" cm="1">
        <f t="array" ref="G16">_xlfn.IFS(
D16&lt;=monetaryQ1, 1,
D16&lt;=monetaryQ2, 2,
D16&lt;=monetaryQ3, 3,
TRUE, 4)</f>
        <v>4</v>
      </c>
      <c r="H16" s="18" t="str">
        <f t="shared" si="3"/>
        <v>444</v>
      </c>
      <c r="I16" s="19">
        <f t="shared" si="4"/>
        <v>4</v>
      </c>
      <c r="J16" s="7" t="str" cm="1">
        <f t="array" ref="J16">_xlfn.IFS(
I16&gt;=Best_Customers, Best_Customers_name,
I16&gt;=Loyal_Customers, Loyal_Customers_name,
I16&gt;=Average_Customers, Average_Customers_name,
TRUE, Lost_Customers_name)</f>
        <v>Best Customers</v>
      </c>
    </row>
    <row r="17" spans="1:10" x14ac:dyDescent="0.25">
      <c r="A17" s="25" t="str">
        <v>CUST_0007</v>
      </c>
      <c r="B17" s="16">
        <f t="shared" si="0"/>
        <v>16</v>
      </c>
      <c r="C17" s="16">
        <f t="shared" si="1"/>
        <v>7</v>
      </c>
      <c r="D17" s="17">
        <f t="shared" si="2"/>
        <v>607.12</v>
      </c>
      <c r="E17" s="18" cm="1">
        <f t="array" ref="E17">_xlfn.IFS(
B17&lt;=recencyQ1, 4,
B17&lt;=recencyQ2, 3,
B17&lt;=recencyQ3, 2,
TRUE, 1
)</f>
        <v>4</v>
      </c>
      <c r="F17" s="18" cm="1">
        <f t="array" ref="F17">_xlfn.IFS(
C17&lt;=frequencyQ1, 1,
C17&lt;=frequencyQ2, 2,
C17&lt;=frequencyQ3, 3,
TRUE, 4)</f>
        <v>4</v>
      </c>
      <c r="G17" s="18" cm="1">
        <f t="array" ref="G17">_xlfn.IFS(
D17&lt;=monetaryQ1, 1,
D17&lt;=monetaryQ2, 2,
D17&lt;=monetaryQ3, 3,
TRUE, 4)</f>
        <v>3</v>
      </c>
      <c r="H17" s="18" t="str">
        <f t="shared" si="3"/>
        <v>443</v>
      </c>
      <c r="I17" s="19">
        <f t="shared" si="4"/>
        <v>3.6666666666666665</v>
      </c>
      <c r="J17" s="7" t="str" cm="1">
        <f t="array" ref="J17">_xlfn.IFS(
I17&gt;=Best_Customers, Best_Customers_name,
I17&gt;=Loyal_Customers, Loyal_Customers_name,
I17&gt;=Average_Customers, Average_Customers_name,
TRUE, Lost_Customers_name)</f>
        <v>Best Customers</v>
      </c>
    </row>
    <row r="18" spans="1:10" x14ac:dyDescent="0.25">
      <c r="A18" s="25" t="str">
        <v>CUST_0008</v>
      </c>
      <c r="B18" s="16">
        <f t="shared" si="0"/>
        <v>66</v>
      </c>
      <c r="C18" s="16">
        <f t="shared" si="1"/>
        <v>3</v>
      </c>
      <c r="D18" s="17">
        <f t="shared" si="2"/>
        <v>408.44000000000005</v>
      </c>
      <c r="E18" s="18" cm="1">
        <f t="array" ref="E18">_xlfn.IFS(
B18&lt;=recencyQ1, 4,
B18&lt;=recencyQ2, 3,
B18&lt;=recencyQ3, 2,
TRUE, 1
)</f>
        <v>2</v>
      </c>
      <c r="F18" s="18" cm="1">
        <f t="array" ref="F18">_xlfn.IFS(
C18&lt;=frequencyQ1, 1,
C18&lt;=frequencyQ2, 2,
C18&lt;=frequencyQ3, 3,
TRUE, 4)</f>
        <v>1</v>
      </c>
      <c r="G18" s="18" cm="1">
        <f t="array" ref="G18">_xlfn.IFS(
D18&lt;=monetaryQ1, 1,
D18&lt;=monetaryQ2, 2,
D18&lt;=monetaryQ3, 3,
TRUE, 4)</f>
        <v>2</v>
      </c>
      <c r="H18" s="18" t="str">
        <f t="shared" si="3"/>
        <v>212</v>
      </c>
      <c r="I18" s="19">
        <f t="shared" si="4"/>
        <v>1.6666666666666667</v>
      </c>
      <c r="J18" s="7" t="str" cm="1">
        <f t="array" ref="J18">_xlfn.IFS(
I18&gt;=Best_Customers, Best_Customers_name,
I18&gt;=Loyal_Customers, Loyal_Customers_name,
I18&gt;=Average_Customers, Average_Customers_name,
TRUE, Lost_Customers_name)</f>
        <v>Average Customers</v>
      </c>
    </row>
    <row r="19" spans="1:10" x14ac:dyDescent="0.25">
      <c r="A19" s="25" t="str">
        <v>CUST_0009</v>
      </c>
      <c r="B19" s="16">
        <f t="shared" si="0"/>
        <v>92</v>
      </c>
      <c r="C19" s="16">
        <f t="shared" si="1"/>
        <v>6</v>
      </c>
      <c r="D19" s="17">
        <f t="shared" si="2"/>
        <v>558.69000000000005</v>
      </c>
      <c r="E19" s="18" cm="1">
        <f t="array" ref="E19">_xlfn.IFS(
B19&lt;=recencyQ1, 4,
B19&lt;=recencyQ2, 3,
B19&lt;=recencyQ3, 2,
TRUE, 1
)</f>
        <v>2</v>
      </c>
      <c r="F19" s="18" cm="1">
        <f t="array" ref="F19">_xlfn.IFS(
C19&lt;=frequencyQ1, 1,
C19&lt;=frequencyQ2, 2,
C19&lt;=frequencyQ3, 3,
TRUE, 4)</f>
        <v>3</v>
      </c>
      <c r="G19" s="18" cm="1">
        <f t="array" ref="G19">_xlfn.IFS(
D19&lt;=monetaryQ1, 1,
D19&lt;=monetaryQ2, 2,
D19&lt;=monetaryQ3, 3,
TRUE, 4)</f>
        <v>3</v>
      </c>
      <c r="H19" s="18" t="str">
        <f t="shared" si="3"/>
        <v>233</v>
      </c>
      <c r="I19" s="19">
        <f t="shared" si="4"/>
        <v>2.6666666666666665</v>
      </c>
      <c r="J19" s="7" t="str" cm="1">
        <f t="array" ref="J19">_xlfn.IFS(
I19&gt;=Best_Customers, Best_Customers_name,
I19&gt;=Loyal_Customers, Loyal_Customers_name,
I19&gt;=Average_Customers, Average_Customers_name,
TRUE, Lost_Customers_name)</f>
        <v>Loyal Customers</v>
      </c>
    </row>
    <row r="20" spans="1:10" x14ac:dyDescent="0.25">
      <c r="A20" s="25" t="str">
        <v>CUST_0010</v>
      </c>
      <c r="B20" s="16">
        <f t="shared" si="0"/>
        <v>211</v>
      </c>
      <c r="C20" s="16">
        <f t="shared" si="1"/>
        <v>4</v>
      </c>
      <c r="D20" s="17">
        <f t="shared" si="2"/>
        <v>343.58000000000004</v>
      </c>
      <c r="E20" s="18" cm="1">
        <f t="array" ref="E20">_xlfn.IFS(
B20&lt;=recencyQ1, 4,
B20&lt;=recencyQ2, 3,
B20&lt;=recencyQ3, 2,
TRUE, 1
)</f>
        <v>1</v>
      </c>
      <c r="F20" s="18" cm="1">
        <f t="array" ref="F20">_xlfn.IFS(
C20&lt;=frequencyQ1, 1,
C20&lt;=frequencyQ2, 2,
C20&lt;=frequencyQ3, 3,
TRUE, 4)</f>
        <v>2</v>
      </c>
      <c r="G20" s="18" cm="1">
        <f t="array" ref="G20">_xlfn.IFS(
D20&lt;=monetaryQ1, 1,
D20&lt;=monetaryQ2, 2,
D20&lt;=monetaryQ3, 3,
TRUE, 4)</f>
        <v>2</v>
      </c>
      <c r="H20" s="18" t="str">
        <f t="shared" si="3"/>
        <v>122</v>
      </c>
      <c r="I20" s="19">
        <f t="shared" si="4"/>
        <v>1.6666666666666667</v>
      </c>
      <c r="J20" s="7" t="str" cm="1">
        <f t="array" ref="J20">_xlfn.IFS(
I20&gt;=Best_Customers, Best_Customers_name,
I20&gt;=Loyal_Customers, Loyal_Customers_name,
I20&gt;=Average_Customers, Average_Customers_name,
TRUE, Lost_Customers_name)</f>
        <v>Average Customers</v>
      </c>
    </row>
    <row r="21" spans="1:10" x14ac:dyDescent="0.25">
      <c r="A21" s="25" t="str">
        <v>CUST_0011</v>
      </c>
      <c r="B21" s="16">
        <f t="shared" si="0"/>
        <v>133</v>
      </c>
      <c r="C21" s="16">
        <f t="shared" si="1"/>
        <v>10</v>
      </c>
      <c r="D21" s="17">
        <f t="shared" si="2"/>
        <v>1018.0799999999999</v>
      </c>
      <c r="E21" s="18" cm="1">
        <f t="array" ref="E21">_xlfn.IFS(
B21&lt;=recencyQ1, 4,
B21&lt;=recencyQ2, 3,
B21&lt;=recencyQ3, 2,
TRUE, 1
)</f>
        <v>1</v>
      </c>
      <c r="F21" s="18" cm="1">
        <f t="array" ref="F21">_xlfn.IFS(
C21&lt;=frequencyQ1, 1,
C21&lt;=frequencyQ2, 2,
C21&lt;=frequencyQ3, 3,
TRUE, 4)</f>
        <v>4</v>
      </c>
      <c r="G21" s="18" cm="1">
        <f t="array" ref="G21">_xlfn.IFS(
D21&lt;=monetaryQ1, 1,
D21&lt;=monetaryQ2, 2,
D21&lt;=monetaryQ3, 3,
TRUE, 4)</f>
        <v>4</v>
      </c>
      <c r="H21" s="18" t="str">
        <f t="shared" si="3"/>
        <v>144</v>
      </c>
      <c r="I21" s="19">
        <f t="shared" si="4"/>
        <v>3</v>
      </c>
      <c r="J21" s="7" t="str" cm="1">
        <f t="array" ref="J21">_xlfn.IFS(
I21&gt;=Best_Customers, Best_Customers_name,
I21&gt;=Loyal_Customers, Loyal_Customers_name,
I21&gt;=Average_Customers, Average_Customers_name,
TRUE, Lost_Customers_name)</f>
        <v>Loyal Customers</v>
      </c>
    </row>
    <row r="22" spans="1:10" x14ac:dyDescent="0.25">
      <c r="A22" s="25" t="str">
        <v>CUST_0012</v>
      </c>
      <c r="B22" s="16">
        <f t="shared" si="0"/>
        <v>11</v>
      </c>
      <c r="C22" s="16">
        <f t="shared" si="1"/>
        <v>5</v>
      </c>
      <c r="D22" s="17">
        <f t="shared" si="2"/>
        <v>550.54999999999995</v>
      </c>
      <c r="E22" s="18" cm="1">
        <f t="array" ref="E22">_xlfn.IFS(
B22&lt;=recencyQ1, 4,
B22&lt;=recencyQ2, 3,
B22&lt;=recencyQ3, 2,
TRUE, 1
)</f>
        <v>4</v>
      </c>
      <c r="F22" s="18" cm="1">
        <f t="array" ref="F22">_xlfn.IFS(
C22&lt;=frequencyQ1, 1,
C22&lt;=frequencyQ2, 2,
C22&lt;=frequencyQ3, 3,
TRUE, 4)</f>
        <v>2</v>
      </c>
      <c r="G22" s="18" cm="1">
        <f t="array" ref="G22">_xlfn.IFS(
D22&lt;=monetaryQ1, 1,
D22&lt;=monetaryQ2, 2,
D22&lt;=monetaryQ3, 3,
TRUE, 4)</f>
        <v>3</v>
      </c>
      <c r="H22" s="18" t="str">
        <f t="shared" si="3"/>
        <v>423</v>
      </c>
      <c r="I22" s="19">
        <f t="shared" si="4"/>
        <v>3</v>
      </c>
      <c r="J22" s="7" t="str" cm="1">
        <f t="array" ref="J22">_xlfn.IFS(
I22&gt;=Best_Customers, Best_Customers_name,
I22&gt;=Loyal_Customers, Loyal_Customers_name,
I22&gt;=Average_Customers, Average_Customers_name,
TRUE, Lost_Customers_name)</f>
        <v>Loyal Customers</v>
      </c>
    </row>
    <row r="23" spans="1:10" x14ac:dyDescent="0.25">
      <c r="A23" s="25" t="str">
        <v>CUST_0013</v>
      </c>
      <c r="B23" s="16">
        <f t="shared" si="0"/>
        <v>49</v>
      </c>
      <c r="C23" s="16">
        <f t="shared" si="1"/>
        <v>4</v>
      </c>
      <c r="D23" s="17">
        <f t="shared" si="2"/>
        <v>515.66</v>
      </c>
      <c r="E23" s="18" cm="1">
        <f t="array" ref="E23">_xlfn.IFS(
B23&lt;=recencyQ1, 4,
B23&lt;=recencyQ2, 3,
B23&lt;=recencyQ3, 2,
TRUE, 1
)</f>
        <v>2</v>
      </c>
      <c r="F23" s="18" cm="1">
        <f t="array" ref="F23">_xlfn.IFS(
C23&lt;=frequencyQ1, 1,
C23&lt;=frequencyQ2, 2,
C23&lt;=frequencyQ3, 3,
TRUE, 4)</f>
        <v>2</v>
      </c>
      <c r="G23" s="18" cm="1">
        <f t="array" ref="G23">_xlfn.IFS(
D23&lt;=monetaryQ1, 1,
D23&lt;=monetaryQ2, 2,
D23&lt;=monetaryQ3, 3,
TRUE, 4)</f>
        <v>3</v>
      </c>
      <c r="H23" s="18" t="str">
        <f t="shared" si="3"/>
        <v>223</v>
      </c>
      <c r="I23" s="19">
        <f t="shared" si="4"/>
        <v>2.3333333333333335</v>
      </c>
      <c r="J23" s="7" t="str" cm="1">
        <f t="array" ref="J23">_xlfn.IFS(
I23&gt;=Best_Customers, Best_Customers_name,
I23&gt;=Loyal_Customers, Loyal_Customers_name,
I23&gt;=Average_Customers, Average_Customers_name,
TRUE, Lost_Customers_name)</f>
        <v>Average Customers</v>
      </c>
    </row>
    <row r="24" spans="1:10" x14ac:dyDescent="0.25">
      <c r="A24" s="25" t="str">
        <v>CUST_0014</v>
      </c>
      <c r="B24" s="16">
        <f t="shared" si="0"/>
        <v>196</v>
      </c>
      <c r="C24" s="16">
        <f t="shared" si="1"/>
        <v>5</v>
      </c>
      <c r="D24" s="17">
        <f t="shared" si="2"/>
        <v>553.81999999999994</v>
      </c>
      <c r="E24" s="18" cm="1">
        <f t="array" ref="E24">_xlfn.IFS(
B24&lt;=recencyQ1, 4,
B24&lt;=recencyQ2, 3,
B24&lt;=recencyQ3, 2,
TRUE, 1
)</f>
        <v>1</v>
      </c>
      <c r="F24" s="18" cm="1">
        <f t="array" ref="F24">_xlfn.IFS(
C24&lt;=frequencyQ1, 1,
C24&lt;=frequencyQ2, 2,
C24&lt;=frequencyQ3, 3,
TRUE, 4)</f>
        <v>2</v>
      </c>
      <c r="G24" s="18" cm="1">
        <f t="array" ref="G24">_xlfn.IFS(
D24&lt;=monetaryQ1, 1,
D24&lt;=monetaryQ2, 2,
D24&lt;=monetaryQ3, 3,
TRUE, 4)</f>
        <v>3</v>
      </c>
      <c r="H24" s="18" t="str">
        <f t="shared" si="3"/>
        <v>123</v>
      </c>
      <c r="I24" s="19">
        <f t="shared" si="4"/>
        <v>2</v>
      </c>
      <c r="J24" s="7" t="str" cm="1">
        <f t="array" ref="J24">_xlfn.IFS(
I24&gt;=Best_Customers, Best_Customers_name,
I24&gt;=Loyal_Customers, Loyal_Customers_name,
I24&gt;=Average_Customers, Average_Customers_name,
TRUE, Lost_Customers_name)</f>
        <v>Average Customers</v>
      </c>
    </row>
    <row r="25" spans="1:10" x14ac:dyDescent="0.25">
      <c r="A25" s="25" t="str">
        <v>CUST_0015</v>
      </c>
      <c r="B25" s="16">
        <f t="shared" si="0"/>
        <v>12</v>
      </c>
      <c r="C25" s="16">
        <f t="shared" si="1"/>
        <v>5</v>
      </c>
      <c r="D25" s="17">
        <f t="shared" si="2"/>
        <v>588.76</v>
      </c>
      <c r="E25" s="18" cm="1">
        <f t="array" ref="E25">_xlfn.IFS(
B25&lt;=recencyQ1, 4,
B25&lt;=recencyQ2, 3,
B25&lt;=recencyQ3, 2,
TRUE, 1
)</f>
        <v>4</v>
      </c>
      <c r="F25" s="18" cm="1">
        <f t="array" ref="F25">_xlfn.IFS(
C25&lt;=frequencyQ1, 1,
C25&lt;=frequencyQ2, 2,
C25&lt;=frequencyQ3, 3,
TRUE, 4)</f>
        <v>2</v>
      </c>
      <c r="G25" s="18" cm="1">
        <f t="array" ref="G25">_xlfn.IFS(
D25&lt;=monetaryQ1, 1,
D25&lt;=monetaryQ2, 2,
D25&lt;=monetaryQ3, 3,
TRUE, 4)</f>
        <v>3</v>
      </c>
      <c r="H25" s="18" t="str">
        <f t="shared" si="3"/>
        <v>423</v>
      </c>
      <c r="I25" s="19">
        <f t="shared" si="4"/>
        <v>3</v>
      </c>
      <c r="J25" s="7" t="str" cm="1">
        <f t="array" ref="J25">_xlfn.IFS(
I25&gt;=Best_Customers, Best_Customers_name,
I25&gt;=Loyal_Customers, Loyal_Customers_name,
I25&gt;=Average_Customers, Average_Customers_name,
TRUE, Lost_Customers_name)</f>
        <v>Loyal Customers</v>
      </c>
    </row>
    <row r="26" spans="1:10" x14ac:dyDescent="0.25">
      <c r="A26" s="25" t="str">
        <v>CUST_0016</v>
      </c>
      <c r="B26" s="16">
        <f t="shared" si="0"/>
        <v>7</v>
      </c>
      <c r="C26" s="16">
        <f t="shared" si="1"/>
        <v>8</v>
      </c>
      <c r="D26" s="17">
        <f t="shared" si="2"/>
        <v>936.63</v>
      </c>
      <c r="E26" s="18" cm="1">
        <f t="array" ref="E26">_xlfn.IFS(
B26&lt;=recencyQ1, 4,
B26&lt;=recencyQ2, 3,
B26&lt;=recencyQ3, 2,
TRUE, 1
)</f>
        <v>4</v>
      </c>
      <c r="F26" s="18" cm="1">
        <f t="array" ref="F26">_xlfn.IFS(
C26&lt;=frequencyQ1, 1,
C26&lt;=frequencyQ2, 2,
C26&lt;=frequencyQ3, 3,
TRUE, 4)</f>
        <v>4</v>
      </c>
      <c r="G26" s="18" cm="1">
        <f t="array" ref="G26">_xlfn.IFS(
D26&lt;=monetaryQ1, 1,
D26&lt;=monetaryQ2, 2,
D26&lt;=monetaryQ3, 3,
TRUE, 4)</f>
        <v>4</v>
      </c>
      <c r="H26" s="18" t="str">
        <f t="shared" si="3"/>
        <v>444</v>
      </c>
      <c r="I26" s="19">
        <f t="shared" si="4"/>
        <v>4</v>
      </c>
      <c r="J26" s="7" t="str" cm="1">
        <f t="array" ref="J26">_xlfn.IFS(
I26&gt;=Best_Customers, Best_Customers_name,
I26&gt;=Loyal_Customers, Loyal_Customers_name,
I26&gt;=Average_Customers, Average_Customers_name,
TRUE, Lost_Customers_name)</f>
        <v>Best Customers</v>
      </c>
    </row>
    <row r="27" spans="1:10" x14ac:dyDescent="0.25">
      <c r="A27" s="25" t="str">
        <v>CUST_0017</v>
      </c>
      <c r="B27" s="16">
        <f t="shared" si="0"/>
        <v>175</v>
      </c>
      <c r="C27" s="16">
        <f t="shared" si="1"/>
        <v>2</v>
      </c>
      <c r="D27" s="17">
        <f t="shared" si="2"/>
        <v>251.47</v>
      </c>
      <c r="E27" s="18" cm="1">
        <f t="array" ref="E27">_xlfn.IFS(
B27&lt;=recencyQ1, 4,
B27&lt;=recencyQ2, 3,
B27&lt;=recencyQ3, 2,
TRUE, 1
)</f>
        <v>1</v>
      </c>
      <c r="F27" s="18" cm="1">
        <f t="array" ref="F27">_xlfn.IFS(
C27&lt;=frequencyQ1, 1,
C27&lt;=frequencyQ2, 2,
C27&lt;=frequencyQ3, 3,
TRUE, 4)</f>
        <v>1</v>
      </c>
      <c r="G27" s="18" cm="1">
        <f t="array" ref="G27">_xlfn.IFS(
D27&lt;=monetaryQ1, 1,
D27&lt;=monetaryQ2, 2,
D27&lt;=monetaryQ3, 3,
TRUE, 4)</f>
        <v>1</v>
      </c>
      <c r="H27" s="18" t="str">
        <f t="shared" si="3"/>
        <v>111</v>
      </c>
      <c r="I27" s="19">
        <f t="shared" si="4"/>
        <v>1</v>
      </c>
      <c r="J27" s="7" t="str" cm="1">
        <f t="array" ref="J27">_xlfn.IFS(
I27&gt;=Best_Customers, Best_Customers_name,
I27&gt;=Loyal_Customers, Loyal_Customers_name,
I27&gt;=Average_Customers, Average_Customers_name,
TRUE, Lost_Customers_name)</f>
        <v>Lost Customers</v>
      </c>
    </row>
    <row r="28" spans="1:10" x14ac:dyDescent="0.25">
      <c r="A28" s="25" t="str">
        <v>CUST_0018</v>
      </c>
      <c r="B28" s="16">
        <f t="shared" si="0"/>
        <v>50</v>
      </c>
      <c r="C28" s="16">
        <f t="shared" si="1"/>
        <v>7</v>
      </c>
      <c r="D28" s="17">
        <f t="shared" si="2"/>
        <v>628.61</v>
      </c>
      <c r="E28" s="18" cm="1">
        <f t="array" ref="E28">_xlfn.IFS(
B28&lt;=recencyQ1, 4,
B28&lt;=recencyQ2, 3,
B28&lt;=recencyQ3, 2,
TRUE, 1
)</f>
        <v>2</v>
      </c>
      <c r="F28" s="18" cm="1">
        <f t="array" ref="F28">_xlfn.IFS(
C28&lt;=frequencyQ1, 1,
C28&lt;=frequencyQ2, 2,
C28&lt;=frequencyQ3, 3,
TRUE, 4)</f>
        <v>4</v>
      </c>
      <c r="G28" s="18" cm="1">
        <f t="array" ref="G28">_xlfn.IFS(
D28&lt;=monetaryQ1, 1,
D28&lt;=monetaryQ2, 2,
D28&lt;=monetaryQ3, 3,
TRUE, 4)</f>
        <v>3</v>
      </c>
      <c r="H28" s="18" t="str">
        <f t="shared" si="3"/>
        <v>243</v>
      </c>
      <c r="I28" s="19">
        <f t="shared" si="4"/>
        <v>3</v>
      </c>
      <c r="J28" s="7" t="str" cm="1">
        <f t="array" ref="J28">_xlfn.IFS(
I28&gt;=Best_Customers, Best_Customers_name,
I28&gt;=Loyal_Customers, Loyal_Customers_name,
I28&gt;=Average_Customers, Average_Customers_name,
TRUE, Lost_Customers_name)</f>
        <v>Loyal Customers</v>
      </c>
    </row>
    <row r="29" spans="1:10" x14ac:dyDescent="0.25">
      <c r="A29" s="25" t="str">
        <v>CUST_0019</v>
      </c>
      <c r="B29" s="16">
        <f t="shared" si="0"/>
        <v>29</v>
      </c>
      <c r="C29" s="16">
        <f t="shared" si="1"/>
        <v>7</v>
      </c>
      <c r="D29" s="17">
        <f t="shared" si="2"/>
        <v>785.01</v>
      </c>
      <c r="E29" s="18" cm="1">
        <f t="array" ref="E29">_xlfn.IFS(
B29&lt;=recencyQ1, 4,
B29&lt;=recencyQ2, 3,
B29&lt;=recencyQ3, 2,
TRUE, 1
)</f>
        <v>3</v>
      </c>
      <c r="F29" s="18" cm="1">
        <f t="array" ref="F29">_xlfn.IFS(
C29&lt;=frequencyQ1, 1,
C29&lt;=frequencyQ2, 2,
C29&lt;=frequencyQ3, 3,
TRUE, 4)</f>
        <v>4</v>
      </c>
      <c r="G29" s="18" cm="1">
        <f t="array" ref="G29">_xlfn.IFS(
D29&lt;=monetaryQ1, 1,
D29&lt;=monetaryQ2, 2,
D29&lt;=monetaryQ3, 3,
TRUE, 4)</f>
        <v>4</v>
      </c>
      <c r="H29" s="18" t="str">
        <f t="shared" si="3"/>
        <v>344</v>
      </c>
      <c r="I29" s="19">
        <f t="shared" si="4"/>
        <v>3.6666666666666665</v>
      </c>
      <c r="J29" s="7" t="str" cm="1">
        <f t="array" ref="J29">_xlfn.IFS(
I29&gt;=Best_Customers, Best_Customers_name,
I29&gt;=Loyal_Customers, Loyal_Customers_name,
I29&gt;=Average_Customers, Average_Customers_name,
TRUE, Lost_Customers_name)</f>
        <v>Best Customers</v>
      </c>
    </row>
    <row r="30" spans="1:10" x14ac:dyDescent="0.25">
      <c r="A30" s="25" t="str">
        <v>CUST_0020</v>
      </c>
      <c r="B30" s="16">
        <f t="shared" si="0"/>
        <v>87</v>
      </c>
      <c r="C30" s="16">
        <f t="shared" si="1"/>
        <v>7</v>
      </c>
      <c r="D30" s="17">
        <f t="shared" si="2"/>
        <v>536.03</v>
      </c>
      <c r="E30" s="18" cm="1">
        <f t="array" ref="E30">_xlfn.IFS(
B30&lt;=recencyQ1, 4,
B30&lt;=recencyQ2, 3,
B30&lt;=recencyQ3, 2,
TRUE, 1
)</f>
        <v>2</v>
      </c>
      <c r="F30" s="18" cm="1">
        <f t="array" ref="F30">_xlfn.IFS(
C30&lt;=frequencyQ1, 1,
C30&lt;=frequencyQ2, 2,
C30&lt;=frequencyQ3, 3,
TRUE, 4)</f>
        <v>4</v>
      </c>
      <c r="G30" s="18" cm="1">
        <f t="array" ref="G30">_xlfn.IFS(
D30&lt;=monetaryQ1, 1,
D30&lt;=monetaryQ2, 2,
D30&lt;=monetaryQ3, 3,
TRUE, 4)</f>
        <v>3</v>
      </c>
      <c r="H30" s="18" t="str">
        <f t="shared" si="3"/>
        <v>243</v>
      </c>
      <c r="I30" s="19">
        <f t="shared" si="4"/>
        <v>3</v>
      </c>
      <c r="J30" s="7" t="str" cm="1">
        <f t="array" ref="J30">_xlfn.IFS(
I30&gt;=Best_Customers, Best_Customers_name,
I30&gt;=Loyal_Customers, Loyal_Customers_name,
I30&gt;=Average_Customers, Average_Customers_name,
TRUE, Lost_Customers_name)</f>
        <v>Loyal Customers</v>
      </c>
    </row>
    <row r="31" spans="1:10" x14ac:dyDescent="0.25">
      <c r="A31" s="25" t="str">
        <v>CUST_0021</v>
      </c>
      <c r="B31" s="16">
        <f t="shared" si="0"/>
        <v>29</v>
      </c>
      <c r="C31" s="16">
        <f t="shared" si="1"/>
        <v>7</v>
      </c>
      <c r="D31" s="17">
        <f t="shared" si="2"/>
        <v>797.19999999999993</v>
      </c>
      <c r="E31" s="18" cm="1">
        <f t="array" ref="E31">_xlfn.IFS(
B31&lt;=recencyQ1, 4,
B31&lt;=recencyQ2, 3,
B31&lt;=recencyQ3, 2,
TRUE, 1
)</f>
        <v>3</v>
      </c>
      <c r="F31" s="18" cm="1">
        <f t="array" ref="F31">_xlfn.IFS(
C31&lt;=frequencyQ1, 1,
C31&lt;=frequencyQ2, 2,
C31&lt;=frequencyQ3, 3,
TRUE, 4)</f>
        <v>4</v>
      </c>
      <c r="G31" s="18" cm="1">
        <f t="array" ref="G31">_xlfn.IFS(
D31&lt;=monetaryQ1, 1,
D31&lt;=monetaryQ2, 2,
D31&lt;=monetaryQ3, 3,
TRUE, 4)</f>
        <v>4</v>
      </c>
      <c r="H31" s="18" t="str">
        <f t="shared" si="3"/>
        <v>344</v>
      </c>
      <c r="I31" s="19">
        <f t="shared" si="4"/>
        <v>3.6666666666666665</v>
      </c>
      <c r="J31" s="7" t="str" cm="1">
        <f t="array" ref="J31">_xlfn.IFS(
I31&gt;=Best_Customers, Best_Customers_name,
I31&gt;=Loyal_Customers, Loyal_Customers_name,
I31&gt;=Average_Customers, Average_Customers_name,
TRUE, Lost_Customers_name)</f>
        <v>Best Customers</v>
      </c>
    </row>
    <row r="32" spans="1:10" x14ac:dyDescent="0.25">
      <c r="A32" s="25" t="str">
        <v>CUST_0022</v>
      </c>
      <c r="B32" s="16">
        <f t="shared" si="0"/>
        <v>10</v>
      </c>
      <c r="C32" s="16">
        <f t="shared" si="1"/>
        <v>6</v>
      </c>
      <c r="D32" s="17">
        <f t="shared" si="2"/>
        <v>544.19000000000005</v>
      </c>
      <c r="E32" s="18" cm="1">
        <f t="array" ref="E32">_xlfn.IFS(
B32&lt;=recencyQ1, 4,
B32&lt;=recencyQ2, 3,
B32&lt;=recencyQ3, 2,
TRUE, 1
)</f>
        <v>4</v>
      </c>
      <c r="F32" s="18" cm="1">
        <f t="array" ref="F32">_xlfn.IFS(
C32&lt;=frequencyQ1, 1,
C32&lt;=frequencyQ2, 2,
C32&lt;=frequencyQ3, 3,
TRUE, 4)</f>
        <v>3</v>
      </c>
      <c r="G32" s="18" cm="1">
        <f t="array" ref="G32">_xlfn.IFS(
D32&lt;=monetaryQ1, 1,
D32&lt;=monetaryQ2, 2,
D32&lt;=monetaryQ3, 3,
TRUE, 4)</f>
        <v>3</v>
      </c>
      <c r="H32" s="18" t="str">
        <f t="shared" si="3"/>
        <v>433</v>
      </c>
      <c r="I32" s="19">
        <f t="shared" si="4"/>
        <v>3.3333333333333335</v>
      </c>
      <c r="J32" s="7" t="str" cm="1">
        <f t="array" ref="J32">_xlfn.IFS(
I32&gt;=Best_Customers, Best_Customers_name,
I32&gt;=Loyal_Customers, Loyal_Customers_name,
I32&gt;=Average_Customers, Average_Customers_name,
TRUE, Lost_Customers_name)</f>
        <v>Loyal Customers</v>
      </c>
    </row>
    <row r="33" spans="1:10" x14ac:dyDescent="0.25">
      <c r="A33" s="25" t="str">
        <v>CUST_0023</v>
      </c>
      <c r="B33" s="16">
        <f t="shared" si="0"/>
        <v>215</v>
      </c>
      <c r="C33" s="16">
        <f t="shared" si="1"/>
        <v>1</v>
      </c>
      <c r="D33" s="17">
        <f t="shared" si="2"/>
        <v>48.55</v>
      </c>
      <c r="E33" s="18" cm="1">
        <f t="array" ref="E33">_xlfn.IFS(
B33&lt;=recencyQ1, 4,
B33&lt;=recencyQ2, 3,
B33&lt;=recencyQ3, 2,
TRUE, 1
)</f>
        <v>1</v>
      </c>
      <c r="F33" s="18" cm="1">
        <f t="array" ref="F33">_xlfn.IFS(
C33&lt;=frequencyQ1, 1,
C33&lt;=frequencyQ2, 2,
C33&lt;=frequencyQ3, 3,
TRUE, 4)</f>
        <v>1</v>
      </c>
      <c r="G33" s="18" cm="1">
        <f t="array" ref="G33">_xlfn.IFS(
D33&lt;=monetaryQ1, 1,
D33&lt;=monetaryQ2, 2,
D33&lt;=monetaryQ3, 3,
TRUE, 4)</f>
        <v>1</v>
      </c>
      <c r="H33" s="18" t="str">
        <f t="shared" si="3"/>
        <v>111</v>
      </c>
      <c r="I33" s="19">
        <f t="shared" si="4"/>
        <v>1</v>
      </c>
      <c r="J33" s="7" t="str" cm="1">
        <f t="array" ref="J33">_xlfn.IFS(
I33&gt;=Best_Customers, Best_Customers_name,
I33&gt;=Loyal_Customers, Loyal_Customers_name,
I33&gt;=Average_Customers, Average_Customers_name,
TRUE, Lost_Customers_name)</f>
        <v>Lost Customers</v>
      </c>
    </row>
    <row r="34" spans="1:10" x14ac:dyDescent="0.25">
      <c r="A34" s="25" t="str">
        <v>CUST_0024</v>
      </c>
      <c r="B34" s="16">
        <f t="shared" si="0"/>
        <v>28</v>
      </c>
      <c r="C34" s="16">
        <f t="shared" si="1"/>
        <v>6</v>
      </c>
      <c r="D34" s="17">
        <f t="shared" si="2"/>
        <v>562.41</v>
      </c>
      <c r="E34" s="18" cm="1">
        <f t="array" ref="E34">_xlfn.IFS(
B34&lt;=recencyQ1, 4,
B34&lt;=recencyQ2, 3,
B34&lt;=recencyQ3, 2,
TRUE, 1
)</f>
        <v>3</v>
      </c>
      <c r="F34" s="18" cm="1">
        <f t="array" ref="F34">_xlfn.IFS(
C34&lt;=frequencyQ1, 1,
C34&lt;=frequencyQ2, 2,
C34&lt;=frequencyQ3, 3,
TRUE, 4)</f>
        <v>3</v>
      </c>
      <c r="G34" s="18" cm="1">
        <f t="array" ref="G34">_xlfn.IFS(
D34&lt;=monetaryQ1, 1,
D34&lt;=monetaryQ2, 2,
D34&lt;=monetaryQ3, 3,
TRUE, 4)</f>
        <v>3</v>
      </c>
      <c r="H34" s="18" t="str">
        <f t="shared" si="3"/>
        <v>333</v>
      </c>
      <c r="I34" s="19">
        <f t="shared" si="4"/>
        <v>3</v>
      </c>
      <c r="J34" s="7" t="str" cm="1">
        <f t="array" ref="J34">_xlfn.IFS(
I34&gt;=Best_Customers, Best_Customers_name,
I34&gt;=Loyal_Customers, Loyal_Customers_name,
I34&gt;=Average_Customers, Average_Customers_name,
TRUE, Lost_Customers_name)</f>
        <v>Loyal Customers</v>
      </c>
    </row>
    <row r="35" spans="1:10" x14ac:dyDescent="0.25">
      <c r="A35" s="25" t="str">
        <v>CUST_0025</v>
      </c>
      <c r="B35" s="16">
        <f t="shared" si="0"/>
        <v>161</v>
      </c>
      <c r="C35" s="16">
        <f t="shared" si="1"/>
        <v>5</v>
      </c>
      <c r="D35" s="17">
        <f t="shared" si="2"/>
        <v>424.76</v>
      </c>
      <c r="E35" s="18" cm="1">
        <f t="array" ref="E35">_xlfn.IFS(
B35&lt;=recencyQ1, 4,
B35&lt;=recencyQ2, 3,
B35&lt;=recencyQ3, 2,
TRUE, 1
)</f>
        <v>1</v>
      </c>
      <c r="F35" s="18" cm="1">
        <f t="array" ref="F35">_xlfn.IFS(
C35&lt;=frequencyQ1, 1,
C35&lt;=frequencyQ2, 2,
C35&lt;=frequencyQ3, 3,
TRUE, 4)</f>
        <v>2</v>
      </c>
      <c r="G35" s="18" cm="1">
        <f t="array" ref="G35">_xlfn.IFS(
D35&lt;=monetaryQ1, 1,
D35&lt;=monetaryQ2, 2,
D35&lt;=monetaryQ3, 3,
TRUE, 4)</f>
        <v>2</v>
      </c>
      <c r="H35" s="18" t="str">
        <f t="shared" si="3"/>
        <v>122</v>
      </c>
      <c r="I35" s="19">
        <f t="shared" si="4"/>
        <v>1.6666666666666667</v>
      </c>
      <c r="J35" s="7" t="str" cm="1">
        <f t="array" ref="J35">_xlfn.IFS(
I35&gt;=Best_Customers, Best_Customers_name,
I35&gt;=Loyal_Customers, Loyal_Customers_name,
I35&gt;=Average_Customers, Average_Customers_name,
TRUE, Lost_Customers_name)</f>
        <v>Average Customers</v>
      </c>
    </row>
    <row r="36" spans="1:10" x14ac:dyDescent="0.25">
      <c r="A36" s="25" t="str">
        <v>CUST_0026</v>
      </c>
      <c r="B36" s="16">
        <f t="shared" si="0"/>
        <v>108</v>
      </c>
      <c r="C36" s="16">
        <f t="shared" si="1"/>
        <v>3</v>
      </c>
      <c r="D36" s="17">
        <f t="shared" si="2"/>
        <v>275.36</v>
      </c>
      <c r="E36" s="18" cm="1">
        <f t="array" ref="E36">_xlfn.IFS(
B36&lt;=recencyQ1, 4,
B36&lt;=recencyQ2, 3,
B36&lt;=recencyQ3, 2,
TRUE, 1
)</f>
        <v>1</v>
      </c>
      <c r="F36" s="18" cm="1">
        <f t="array" ref="F36">_xlfn.IFS(
C36&lt;=frequencyQ1, 1,
C36&lt;=frequencyQ2, 2,
C36&lt;=frequencyQ3, 3,
TRUE, 4)</f>
        <v>1</v>
      </c>
      <c r="G36" s="18" cm="1">
        <f t="array" ref="G36">_xlfn.IFS(
D36&lt;=monetaryQ1, 1,
D36&lt;=monetaryQ2, 2,
D36&lt;=monetaryQ3, 3,
TRUE, 4)</f>
        <v>1</v>
      </c>
      <c r="H36" s="18" t="str">
        <f t="shared" si="3"/>
        <v>111</v>
      </c>
      <c r="I36" s="19">
        <f t="shared" si="4"/>
        <v>1</v>
      </c>
      <c r="J36" s="7" t="str" cm="1">
        <f t="array" ref="J36">_xlfn.IFS(
I36&gt;=Best_Customers, Best_Customers_name,
I36&gt;=Loyal_Customers, Loyal_Customers_name,
I36&gt;=Average_Customers, Average_Customers_name,
TRUE, Lost_Customers_name)</f>
        <v>Lost Customers</v>
      </c>
    </row>
    <row r="37" spans="1:10" x14ac:dyDescent="0.25">
      <c r="A37" s="25" t="str">
        <v>CUST_0027</v>
      </c>
      <c r="B37" s="16">
        <f t="shared" si="0"/>
        <v>2</v>
      </c>
      <c r="C37" s="16">
        <f t="shared" si="1"/>
        <v>6</v>
      </c>
      <c r="D37" s="17">
        <f t="shared" si="2"/>
        <v>547.86</v>
      </c>
      <c r="E37" s="18" cm="1">
        <f t="array" ref="E37">_xlfn.IFS(
B37&lt;=recencyQ1, 4,
B37&lt;=recencyQ2, 3,
B37&lt;=recencyQ3, 2,
TRUE, 1
)</f>
        <v>4</v>
      </c>
      <c r="F37" s="18" cm="1">
        <f t="array" ref="F37">_xlfn.IFS(
C37&lt;=frequencyQ1, 1,
C37&lt;=frequencyQ2, 2,
C37&lt;=frequencyQ3, 3,
TRUE, 4)</f>
        <v>3</v>
      </c>
      <c r="G37" s="18" cm="1">
        <f t="array" ref="G37">_xlfn.IFS(
D37&lt;=monetaryQ1, 1,
D37&lt;=monetaryQ2, 2,
D37&lt;=monetaryQ3, 3,
TRUE, 4)</f>
        <v>3</v>
      </c>
      <c r="H37" s="18" t="str">
        <f t="shared" si="3"/>
        <v>433</v>
      </c>
      <c r="I37" s="19">
        <f t="shared" si="4"/>
        <v>3.3333333333333335</v>
      </c>
      <c r="J37" s="7" t="str" cm="1">
        <f t="array" ref="J37">_xlfn.IFS(
I37&gt;=Best_Customers, Best_Customers_name,
I37&gt;=Loyal_Customers, Loyal_Customers_name,
I37&gt;=Average_Customers, Average_Customers_name,
TRUE, Lost_Customers_name)</f>
        <v>Loyal Customers</v>
      </c>
    </row>
    <row r="38" spans="1:10" x14ac:dyDescent="0.25">
      <c r="A38" s="25" t="str">
        <v>CUST_0028</v>
      </c>
      <c r="B38" s="16">
        <f t="shared" si="0"/>
        <v>71</v>
      </c>
      <c r="C38" s="16">
        <f t="shared" si="1"/>
        <v>7</v>
      </c>
      <c r="D38" s="17">
        <f t="shared" si="2"/>
        <v>695.60000000000014</v>
      </c>
      <c r="E38" s="18" cm="1">
        <f t="array" ref="E38">_xlfn.IFS(
B38&lt;=recencyQ1, 4,
B38&lt;=recencyQ2, 3,
B38&lt;=recencyQ3, 2,
TRUE, 1
)</f>
        <v>2</v>
      </c>
      <c r="F38" s="18" cm="1">
        <f t="array" ref="F38">_xlfn.IFS(
C38&lt;=frequencyQ1, 1,
C38&lt;=frequencyQ2, 2,
C38&lt;=frequencyQ3, 3,
TRUE, 4)</f>
        <v>4</v>
      </c>
      <c r="G38" s="18" cm="1">
        <f t="array" ref="G38">_xlfn.IFS(
D38&lt;=monetaryQ1, 1,
D38&lt;=monetaryQ2, 2,
D38&lt;=monetaryQ3, 3,
TRUE, 4)</f>
        <v>4</v>
      </c>
      <c r="H38" s="18" t="str">
        <f t="shared" si="3"/>
        <v>244</v>
      </c>
      <c r="I38" s="19">
        <f t="shared" si="4"/>
        <v>3.3333333333333335</v>
      </c>
      <c r="J38" s="7" t="str" cm="1">
        <f t="array" ref="J38">_xlfn.IFS(
I38&gt;=Best_Customers, Best_Customers_name,
I38&gt;=Loyal_Customers, Loyal_Customers_name,
I38&gt;=Average_Customers, Average_Customers_name,
TRUE, Lost_Customers_name)</f>
        <v>Loyal Customers</v>
      </c>
    </row>
    <row r="39" spans="1:10" x14ac:dyDescent="0.25">
      <c r="A39" s="25" t="str">
        <v>CUST_0029</v>
      </c>
      <c r="B39" s="16">
        <f t="shared" si="0"/>
        <v>2</v>
      </c>
      <c r="C39" s="16">
        <f t="shared" si="1"/>
        <v>2</v>
      </c>
      <c r="D39" s="17">
        <f t="shared" si="2"/>
        <v>228.54000000000002</v>
      </c>
      <c r="E39" s="18" cm="1">
        <f t="array" ref="E39">_xlfn.IFS(
B39&lt;=recencyQ1, 4,
B39&lt;=recencyQ2, 3,
B39&lt;=recencyQ3, 2,
TRUE, 1
)</f>
        <v>4</v>
      </c>
      <c r="F39" s="18" cm="1">
        <f t="array" ref="F39">_xlfn.IFS(
C39&lt;=frequencyQ1, 1,
C39&lt;=frequencyQ2, 2,
C39&lt;=frequencyQ3, 3,
TRUE, 4)</f>
        <v>1</v>
      </c>
      <c r="G39" s="18" cm="1">
        <f t="array" ref="G39">_xlfn.IFS(
D39&lt;=monetaryQ1, 1,
D39&lt;=monetaryQ2, 2,
D39&lt;=monetaryQ3, 3,
TRUE, 4)</f>
        <v>1</v>
      </c>
      <c r="H39" s="18" t="str">
        <f t="shared" si="3"/>
        <v>411</v>
      </c>
      <c r="I39" s="19">
        <f t="shared" si="4"/>
        <v>2</v>
      </c>
      <c r="J39" s="7" t="str" cm="1">
        <f t="array" ref="J39">_xlfn.IFS(
I39&gt;=Best_Customers, Best_Customers_name,
I39&gt;=Loyal_Customers, Loyal_Customers_name,
I39&gt;=Average_Customers, Average_Customers_name,
TRUE, Lost_Customers_name)</f>
        <v>Average Customers</v>
      </c>
    </row>
    <row r="40" spans="1:10" x14ac:dyDescent="0.25">
      <c r="A40" s="25" t="str">
        <v>CUST_0030</v>
      </c>
      <c r="B40" s="16">
        <f t="shared" si="0"/>
        <v>57</v>
      </c>
      <c r="C40" s="16">
        <f t="shared" si="1"/>
        <v>2</v>
      </c>
      <c r="D40" s="17">
        <f t="shared" si="2"/>
        <v>229.22000000000003</v>
      </c>
      <c r="E40" s="18" cm="1">
        <f t="array" ref="E40">_xlfn.IFS(
B40&lt;=recencyQ1, 4,
B40&lt;=recencyQ2, 3,
B40&lt;=recencyQ3, 2,
TRUE, 1
)</f>
        <v>2</v>
      </c>
      <c r="F40" s="18" cm="1">
        <f t="array" ref="F40">_xlfn.IFS(
C40&lt;=frequencyQ1, 1,
C40&lt;=frequencyQ2, 2,
C40&lt;=frequencyQ3, 3,
TRUE, 4)</f>
        <v>1</v>
      </c>
      <c r="G40" s="18" cm="1">
        <f t="array" ref="G40">_xlfn.IFS(
D40&lt;=monetaryQ1, 1,
D40&lt;=monetaryQ2, 2,
D40&lt;=monetaryQ3, 3,
TRUE, 4)</f>
        <v>1</v>
      </c>
      <c r="H40" s="18" t="str">
        <f t="shared" si="3"/>
        <v>211</v>
      </c>
      <c r="I40" s="19">
        <f t="shared" si="4"/>
        <v>1.3333333333333333</v>
      </c>
      <c r="J40" s="7" t="str" cm="1">
        <f t="array" ref="J40">_xlfn.IFS(
I40&gt;=Best_Customers, Best_Customers_name,
I40&gt;=Loyal_Customers, Loyal_Customers_name,
I40&gt;=Average_Customers, Average_Customers_name,
TRUE, Lost_Customers_name)</f>
        <v>Lost Customers</v>
      </c>
    </row>
    <row r="41" spans="1:10" x14ac:dyDescent="0.25">
      <c r="A41" s="25" t="str">
        <v>CUST_0031</v>
      </c>
      <c r="B41" s="16">
        <f t="shared" si="0"/>
        <v>180</v>
      </c>
      <c r="C41" s="16">
        <f t="shared" si="1"/>
        <v>2</v>
      </c>
      <c r="D41" s="17">
        <f t="shared" si="2"/>
        <v>256.39999999999998</v>
      </c>
      <c r="E41" s="18" cm="1">
        <f t="array" ref="E41">_xlfn.IFS(
B41&lt;=recencyQ1, 4,
B41&lt;=recencyQ2, 3,
B41&lt;=recencyQ3, 2,
TRUE, 1
)</f>
        <v>1</v>
      </c>
      <c r="F41" s="18" cm="1">
        <f t="array" ref="F41">_xlfn.IFS(
C41&lt;=frequencyQ1, 1,
C41&lt;=frequencyQ2, 2,
C41&lt;=frequencyQ3, 3,
TRUE, 4)</f>
        <v>1</v>
      </c>
      <c r="G41" s="18" cm="1">
        <f t="array" ref="G41">_xlfn.IFS(
D41&lt;=monetaryQ1, 1,
D41&lt;=monetaryQ2, 2,
D41&lt;=monetaryQ3, 3,
TRUE, 4)</f>
        <v>1</v>
      </c>
      <c r="H41" s="18" t="str">
        <f t="shared" si="3"/>
        <v>111</v>
      </c>
      <c r="I41" s="19">
        <f t="shared" si="4"/>
        <v>1</v>
      </c>
      <c r="J41" s="7" t="str" cm="1">
        <f t="array" ref="J41">_xlfn.IFS(
I41&gt;=Best_Customers, Best_Customers_name,
I41&gt;=Loyal_Customers, Loyal_Customers_name,
I41&gt;=Average_Customers, Average_Customers_name,
TRUE, Lost_Customers_name)</f>
        <v>Lost Customers</v>
      </c>
    </row>
    <row r="42" spans="1:10" x14ac:dyDescent="0.25">
      <c r="A42" s="25" t="str">
        <v>CUST_0032</v>
      </c>
      <c r="B42" s="16">
        <f t="shared" si="0"/>
        <v>115</v>
      </c>
      <c r="C42" s="16">
        <f t="shared" si="1"/>
        <v>3</v>
      </c>
      <c r="D42" s="17">
        <f t="shared" si="2"/>
        <v>129.96</v>
      </c>
      <c r="E42" s="18" cm="1">
        <f t="array" ref="E42">_xlfn.IFS(
B42&lt;=recencyQ1, 4,
B42&lt;=recencyQ2, 3,
B42&lt;=recencyQ3, 2,
TRUE, 1
)</f>
        <v>1</v>
      </c>
      <c r="F42" s="18" cm="1">
        <f t="array" ref="F42">_xlfn.IFS(
C42&lt;=frequencyQ1, 1,
C42&lt;=frequencyQ2, 2,
C42&lt;=frequencyQ3, 3,
TRUE, 4)</f>
        <v>1</v>
      </c>
      <c r="G42" s="18" cm="1">
        <f t="array" ref="G42">_xlfn.IFS(
D42&lt;=monetaryQ1, 1,
D42&lt;=monetaryQ2, 2,
D42&lt;=monetaryQ3, 3,
TRUE, 4)</f>
        <v>1</v>
      </c>
      <c r="H42" s="18" t="str">
        <f t="shared" si="3"/>
        <v>111</v>
      </c>
      <c r="I42" s="19">
        <f t="shared" si="4"/>
        <v>1</v>
      </c>
      <c r="J42" s="7" t="str" cm="1">
        <f t="array" ref="J42">_xlfn.IFS(
I42&gt;=Best_Customers, Best_Customers_name,
I42&gt;=Loyal_Customers, Loyal_Customers_name,
I42&gt;=Average_Customers, Average_Customers_name,
TRUE, Lost_Customers_name)</f>
        <v>Lost Customers</v>
      </c>
    </row>
    <row r="43" spans="1:10" x14ac:dyDescent="0.25">
      <c r="A43" s="25" t="str">
        <v>CUST_0033</v>
      </c>
      <c r="B43" s="16">
        <f t="shared" si="0"/>
        <v>219</v>
      </c>
      <c r="C43" s="16">
        <f t="shared" si="1"/>
        <v>3</v>
      </c>
      <c r="D43" s="17">
        <f t="shared" si="2"/>
        <v>227.25</v>
      </c>
      <c r="E43" s="18" cm="1">
        <f t="array" ref="E43">_xlfn.IFS(
B43&lt;=recencyQ1, 4,
B43&lt;=recencyQ2, 3,
B43&lt;=recencyQ3, 2,
TRUE, 1
)</f>
        <v>1</v>
      </c>
      <c r="F43" s="18" cm="1">
        <f t="array" ref="F43">_xlfn.IFS(
C43&lt;=frequencyQ1, 1,
C43&lt;=frequencyQ2, 2,
C43&lt;=frequencyQ3, 3,
TRUE, 4)</f>
        <v>1</v>
      </c>
      <c r="G43" s="18" cm="1">
        <f t="array" ref="G43">_xlfn.IFS(
D43&lt;=monetaryQ1, 1,
D43&lt;=monetaryQ2, 2,
D43&lt;=monetaryQ3, 3,
TRUE, 4)</f>
        <v>1</v>
      </c>
      <c r="H43" s="18" t="str">
        <f t="shared" si="3"/>
        <v>111</v>
      </c>
      <c r="I43" s="19">
        <f t="shared" si="4"/>
        <v>1</v>
      </c>
      <c r="J43" s="7" t="str" cm="1">
        <f t="array" ref="J43">_xlfn.IFS(
I43&gt;=Best_Customers, Best_Customers_name,
I43&gt;=Loyal_Customers, Loyal_Customers_name,
I43&gt;=Average_Customers, Average_Customers_name,
TRUE, Lost_Customers_name)</f>
        <v>Lost Customers</v>
      </c>
    </row>
    <row r="44" spans="1:10" x14ac:dyDescent="0.25">
      <c r="A44" s="25" t="str">
        <v>CUST_0034</v>
      </c>
      <c r="B44" s="16">
        <f t="shared" si="0"/>
        <v>55</v>
      </c>
      <c r="C44" s="16">
        <f t="shared" si="1"/>
        <v>7</v>
      </c>
      <c r="D44" s="17">
        <f t="shared" si="2"/>
        <v>632.11</v>
      </c>
      <c r="E44" s="18" cm="1">
        <f t="array" ref="E44">_xlfn.IFS(
B44&lt;=recencyQ1, 4,
B44&lt;=recencyQ2, 3,
B44&lt;=recencyQ3, 2,
TRUE, 1
)</f>
        <v>2</v>
      </c>
      <c r="F44" s="18" cm="1">
        <f t="array" ref="F44">_xlfn.IFS(
C44&lt;=frequencyQ1, 1,
C44&lt;=frequencyQ2, 2,
C44&lt;=frequencyQ3, 3,
TRUE, 4)</f>
        <v>4</v>
      </c>
      <c r="G44" s="18" cm="1">
        <f t="array" ref="G44">_xlfn.IFS(
D44&lt;=monetaryQ1, 1,
D44&lt;=monetaryQ2, 2,
D44&lt;=monetaryQ3, 3,
TRUE, 4)</f>
        <v>3</v>
      </c>
      <c r="H44" s="18" t="str">
        <f t="shared" si="3"/>
        <v>243</v>
      </c>
      <c r="I44" s="19">
        <f t="shared" si="4"/>
        <v>3</v>
      </c>
      <c r="J44" s="7" t="str" cm="1">
        <f t="array" ref="J44">_xlfn.IFS(
I44&gt;=Best_Customers, Best_Customers_name,
I44&gt;=Loyal_Customers, Loyal_Customers_name,
I44&gt;=Average_Customers, Average_Customers_name,
TRUE, Lost_Customers_name)</f>
        <v>Loyal Customers</v>
      </c>
    </row>
    <row r="45" spans="1:10" x14ac:dyDescent="0.25">
      <c r="A45" s="25" t="str">
        <v>CUST_0035</v>
      </c>
      <c r="B45" s="16">
        <f t="shared" si="0"/>
        <v>6</v>
      </c>
      <c r="C45" s="16">
        <f t="shared" si="1"/>
        <v>4</v>
      </c>
      <c r="D45" s="17">
        <f t="shared" si="2"/>
        <v>317.7</v>
      </c>
      <c r="E45" s="18" cm="1">
        <f t="array" ref="E45">_xlfn.IFS(
B45&lt;=recencyQ1, 4,
B45&lt;=recencyQ2, 3,
B45&lt;=recencyQ3, 2,
TRUE, 1
)</f>
        <v>4</v>
      </c>
      <c r="F45" s="18" cm="1">
        <f t="array" ref="F45">_xlfn.IFS(
C45&lt;=frequencyQ1, 1,
C45&lt;=frequencyQ2, 2,
C45&lt;=frequencyQ3, 3,
TRUE, 4)</f>
        <v>2</v>
      </c>
      <c r="G45" s="18" cm="1">
        <f t="array" ref="G45">_xlfn.IFS(
D45&lt;=monetaryQ1, 1,
D45&lt;=monetaryQ2, 2,
D45&lt;=monetaryQ3, 3,
TRUE, 4)</f>
        <v>1</v>
      </c>
      <c r="H45" s="18" t="str">
        <f t="shared" si="3"/>
        <v>421</v>
      </c>
      <c r="I45" s="19">
        <f t="shared" si="4"/>
        <v>2.3333333333333335</v>
      </c>
      <c r="J45" s="7" t="str" cm="1">
        <f t="array" ref="J45">_xlfn.IFS(
I45&gt;=Best_Customers, Best_Customers_name,
I45&gt;=Loyal_Customers, Loyal_Customers_name,
I45&gt;=Average_Customers, Average_Customers_name,
TRUE, Lost_Customers_name)</f>
        <v>Average Customers</v>
      </c>
    </row>
    <row r="46" spans="1:10" x14ac:dyDescent="0.25">
      <c r="A46" s="25" t="str">
        <v>CUST_0036</v>
      </c>
      <c r="B46" s="16">
        <f t="shared" si="0"/>
        <v>23</v>
      </c>
      <c r="C46" s="16">
        <f t="shared" si="1"/>
        <v>5</v>
      </c>
      <c r="D46" s="17">
        <f t="shared" si="2"/>
        <v>469.41</v>
      </c>
      <c r="E46" s="18" cm="1">
        <f t="array" ref="E46">_xlfn.IFS(
B46&lt;=recencyQ1, 4,
B46&lt;=recencyQ2, 3,
B46&lt;=recencyQ3, 2,
TRUE, 1
)</f>
        <v>3</v>
      </c>
      <c r="F46" s="18" cm="1">
        <f t="array" ref="F46">_xlfn.IFS(
C46&lt;=frequencyQ1, 1,
C46&lt;=frequencyQ2, 2,
C46&lt;=frequencyQ3, 3,
TRUE, 4)</f>
        <v>2</v>
      </c>
      <c r="G46" s="18" cm="1">
        <f t="array" ref="G46">_xlfn.IFS(
D46&lt;=monetaryQ1, 1,
D46&lt;=monetaryQ2, 2,
D46&lt;=monetaryQ3, 3,
TRUE, 4)</f>
        <v>2</v>
      </c>
      <c r="H46" s="18" t="str">
        <f t="shared" si="3"/>
        <v>322</v>
      </c>
      <c r="I46" s="19">
        <f t="shared" si="4"/>
        <v>2.3333333333333335</v>
      </c>
      <c r="J46" s="7" t="str" cm="1">
        <f t="array" ref="J46">_xlfn.IFS(
I46&gt;=Best_Customers, Best_Customers_name,
I46&gt;=Loyal_Customers, Loyal_Customers_name,
I46&gt;=Average_Customers, Average_Customers_name,
TRUE, Lost_Customers_name)</f>
        <v>Average Customers</v>
      </c>
    </row>
    <row r="47" spans="1:10" x14ac:dyDescent="0.25">
      <c r="A47" s="25" t="str">
        <v>CUST_0037</v>
      </c>
      <c r="B47" s="16">
        <f t="shared" si="0"/>
        <v>100</v>
      </c>
      <c r="C47" s="16">
        <f t="shared" si="1"/>
        <v>3</v>
      </c>
      <c r="D47" s="17">
        <f t="shared" si="2"/>
        <v>272.08</v>
      </c>
      <c r="E47" s="18" cm="1">
        <f t="array" ref="E47">_xlfn.IFS(
B47&lt;=recencyQ1, 4,
B47&lt;=recencyQ2, 3,
B47&lt;=recencyQ3, 2,
TRUE, 1
)</f>
        <v>1</v>
      </c>
      <c r="F47" s="18" cm="1">
        <f t="array" ref="F47">_xlfn.IFS(
C47&lt;=frequencyQ1, 1,
C47&lt;=frequencyQ2, 2,
C47&lt;=frequencyQ3, 3,
TRUE, 4)</f>
        <v>1</v>
      </c>
      <c r="G47" s="18" cm="1">
        <f t="array" ref="G47">_xlfn.IFS(
D47&lt;=monetaryQ1, 1,
D47&lt;=monetaryQ2, 2,
D47&lt;=monetaryQ3, 3,
TRUE, 4)</f>
        <v>1</v>
      </c>
      <c r="H47" s="18" t="str">
        <f t="shared" si="3"/>
        <v>111</v>
      </c>
      <c r="I47" s="19">
        <f t="shared" si="4"/>
        <v>1</v>
      </c>
      <c r="J47" s="7" t="str" cm="1">
        <f t="array" ref="J47">_xlfn.IFS(
I47&gt;=Best_Customers, Best_Customers_name,
I47&gt;=Loyal_Customers, Loyal_Customers_name,
I47&gt;=Average_Customers, Average_Customers_name,
TRUE, Lost_Customers_name)</f>
        <v>Lost Customers</v>
      </c>
    </row>
    <row r="48" spans="1:10" x14ac:dyDescent="0.25">
      <c r="A48" s="25" t="str">
        <v>CUST_0038</v>
      </c>
      <c r="B48" s="16">
        <f t="shared" si="0"/>
        <v>12</v>
      </c>
      <c r="C48" s="16">
        <f t="shared" si="1"/>
        <v>12</v>
      </c>
      <c r="D48" s="17">
        <f t="shared" si="2"/>
        <v>1498.53</v>
      </c>
      <c r="E48" s="18" cm="1">
        <f t="array" ref="E48">_xlfn.IFS(
B48&lt;=recencyQ1, 4,
B48&lt;=recencyQ2, 3,
B48&lt;=recencyQ3, 2,
TRUE, 1
)</f>
        <v>4</v>
      </c>
      <c r="F48" s="18" cm="1">
        <f t="array" ref="F48">_xlfn.IFS(
C48&lt;=frequencyQ1, 1,
C48&lt;=frequencyQ2, 2,
C48&lt;=frequencyQ3, 3,
TRUE, 4)</f>
        <v>4</v>
      </c>
      <c r="G48" s="18" cm="1">
        <f t="array" ref="G48">_xlfn.IFS(
D48&lt;=monetaryQ1, 1,
D48&lt;=monetaryQ2, 2,
D48&lt;=monetaryQ3, 3,
TRUE, 4)</f>
        <v>4</v>
      </c>
      <c r="H48" s="18" t="str">
        <f t="shared" si="3"/>
        <v>444</v>
      </c>
      <c r="I48" s="19">
        <f t="shared" si="4"/>
        <v>4</v>
      </c>
      <c r="J48" s="7" t="str" cm="1">
        <f t="array" ref="J48">_xlfn.IFS(
I48&gt;=Best_Customers, Best_Customers_name,
I48&gt;=Loyal_Customers, Loyal_Customers_name,
I48&gt;=Average_Customers, Average_Customers_name,
TRUE, Lost_Customers_name)</f>
        <v>Best Customers</v>
      </c>
    </row>
    <row r="49" spans="1:10" x14ac:dyDescent="0.25">
      <c r="A49" s="25" t="str">
        <v>CUST_0039</v>
      </c>
      <c r="B49" s="16">
        <f t="shared" si="0"/>
        <v>194</v>
      </c>
      <c r="C49" s="16">
        <f t="shared" si="1"/>
        <v>6</v>
      </c>
      <c r="D49" s="17">
        <f t="shared" si="2"/>
        <v>570.3900000000001</v>
      </c>
      <c r="E49" s="18" cm="1">
        <f t="array" ref="E49">_xlfn.IFS(
B49&lt;=recencyQ1, 4,
B49&lt;=recencyQ2, 3,
B49&lt;=recencyQ3, 2,
TRUE, 1
)</f>
        <v>1</v>
      </c>
      <c r="F49" s="18" cm="1">
        <f t="array" ref="F49">_xlfn.IFS(
C49&lt;=frequencyQ1, 1,
C49&lt;=frequencyQ2, 2,
C49&lt;=frequencyQ3, 3,
TRUE, 4)</f>
        <v>3</v>
      </c>
      <c r="G49" s="18" cm="1">
        <f t="array" ref="G49">_xlfn.IFS(
D49&lt;=monetaryQ1, 1,
D49&lt;=monetaryQ2, 2,
D49&lt;=monetaryQ3, 3,
TRUE, 4)</f>
        <v>3</v>
      </c>
      <c r="H49" s="18" t="str">
        <f t="shared" si="3"/>
        <v>133</v>
      </c>
      <c r="I49" s="19">
        <f t="shared" si="4"/>
        <v>2.3333333333333335</v>
      </c>
      <c r="J49" s="7" t="str" cm="1">
        <f t="array" ref="J49">_xlfn.IFS(
I49&gt;=Best_Customers, Best_Customers_name,
I49&gt;=Loyal_Customers, Loyal_Customers_name,
I49&gt;=Average_Customers, Average_Customers_name,
TRUE, Lost_Customers_name)</f>
        <v>Average Customers</v>
      </c>
    </row>
    <row r="50" spans="1:10" x14ac:dyDescent="0.25">
      <c r="A50" s="25" t="str">
        <v>CUST_0040</v>
      </c>
      <c r="B50" s="16">
        <f t="shared" si="0"/>
        <v>83</v>
      </c>
      <c r="C50" s="16">
        <f t="shared" si="1"/>
        <v>9</v>
      </c>
      <c r="D50" s="17">
        <f t="shared" si="2"/>
        <v>958.31999999999994</v>
      </c>
      <c r="E50" s="18" cm="1">
        <f t="array" ref="E50">_xlfn.IFS(
B50&lt;=recencyQ1, 4,
B50&lt;=recencyQ2, 3,
B50&lt;=recencyQ3, 2,
TRUE, 1
)</f>
        <v>2</v>
      </c>
      <c r="F50" s="18" cm="1">
        <f t="array" ref="F50">_xlfn.IFS(
C50&lt;=frequencyQ1, 1,
C50&lt;=frequencyQ2, 2,
C50&lt;=frequencyQ3, 3,
TRUE, 4)</f>
        <v>4</v>
      </c>
      <c r="G50" s="18" cm="1">
        <f t="array" ref="G50">_xlfn.IFS(
D50&lt;=monetaryQ1, 1,
D50&lt;=monetaryQ2, 2,
D50&lt;=monetaryQ3, 3,
TRUE, 4)</f>
        <v>4</v>
      </c>
      <c r="H50" s="18" t="str">
        <f t="shared" si="3"/>
        <v>244</v>
      </c>
      <c r="I50" s="19">
        <f t="shared" si="4"/>
        <v>3.3333333333333335</v>
      </c>
      <c r="J50" s="7" t="str" cm="1">
        <f t="array" ref="J50">_xlfn.IFS(
I50&gt;=Best_Customers, Best_Customers_name,
I50&gt;=Loyal_Customers, Loyal_Customers_name,
I50&gt;=Average_Customers, Average_Customers_name,
TRUE, Lost_Customers_name)</f>
        <v>Loyal Customers</v>
      </c>
    </row>
    <row r="51" spans="1:10" x14ac:dyDescent="0.25">
      <c r="A51" s="25" t="str">
        <v>CUST_0041</v>
      </c>
      <c r="B51" s="16">
        <f t="shared" si="0"/>
        <v>37</v>
      </c>
      <c r="C51" s="16">
        <f t="shared" si="1"/>
        <v>5</v>
      </c>
      <c r="D51" s="17">
        <f t="shared" si="2"/>
        <v>577.11</v>
      </c>
      <c r="E51" s="18" cm="1">
        <f t="array" ref="E51">_xlfn.IFS(
B51&lt;=recencyQ1, 4,
B51&lt;=recencyQ2, 3,
B51&lt;=recencyQ3, 2,
TRUE, 1
)</f>
        <v>3</v>
      </c>
      <c r="F51" s="18" cm="1">
        <f t="array" ref="F51">_xlfn.IFS(
C51&lt;=frequencyQ1, 1,
C51&lt;=frequencyQ2, 2,
C51&lt;=frequencyQ3, 3,
TRUE, 4)</f>
        <v>2</v>
      </c>
      <c r="G51" s="18" cm="1">
        <f t="array" ref="G51">_xlfn.IFS(
D51&lt;=monetaryQ1, 1,
D51&lt;=monetaryQ2, 2,
D51&lt;=monetaryQ3, 3,
TRUE, 4)</f>
        <v>3</v>
      </c>
      <c r="H51" s="18" t="str">
        <f t="shared" si="3"/>
        <v>323</v>
      </c>
      <c r="I51" s="19">
        <f t="shared" si="4"/>
        <v>2.6666666666666665</v>
      </c>
      <c r="J51" s="7" t="str" cm="1">
        <f t="array" ref="J51">_xlfn.IFS(
I51&gt;=Best_Customers, Best_Customers_name,
I51&gt;=Loyal_Customers, Loyal_Customers_name,
I51&gt;=Average_Customers, Average_Customers_name,
TRUE, Lost_Customers_name)</f>
        <v>Loyal Customers</v>
      </c>
    </row>
    <row r="52" spans="1:10" x14ac:dyDescent="0.25">
      <c r="A52" s="25" t="str">
        <v>CUST_0042</v>
      </c>
      <c r="B52" s="16">
        <f t="shared" si="0"/>
        <v>61</v>
      </c>
      <c r="C52" s="16">
        <f t="shared" si="1"/>
        <v>6</v>
      </c>
      <c r="D52" s="17">
        <f t="shared" si="2"/>
        <v>649.98</v>
      </c>
      <c r="E52" s="18" cm="1">
        <f t="array" ref="E52">_xlfn.IFS(
B52&lt;=recencyQ1, 4,
B52&lt;=recencyQ2, 3,
B52&lt;=recencyQ3, 2,
TRUE, 1
)</f>
        <v>2</v>
      </c>
      <c r="F52" s="18" cm="1">
        <f t="array" ref="F52">_xlfn.IFS(
C52&lt;=frequencyQ1, 1,
C52&lt;=frequencyQ2, 2,
C52&lt;=frequencyQ3, 3,
TRUE, 4)</f>
        <v>3</v>
      </c>
      <c r="G52" s="18" cm="1">
        <f t="array" ref="G52">_xlfn.IFS(
D52&lt;=monetaryQ1, 1,
D52&lt;=monetaryQ2, 2,
D52&lt;=monetaryQ3, 3,
TRUE, 4)</f>
        <v>3</v>
      </c>
      <c r="H52" s="18" t="str">
        <f t="shared" si="3"/>
        <v>233</v>
      </c>
      <c r="I52" s="19">
        <f t="shared" si="4"/>
        <v>2.6666666666666665</v>
      </c>
      <c r="J52" s="7" t="str" cm="1">
        <f t="array" ref="J52">_xlfn.IFS(
I52&gt;=Best_Customers, Best_Customers_name,
I52&gt;=Loyal_Customers, Loyal_Customers_name,
I52&gt;=Average_Customers, Average_Customers_name,
TRUE, Lost_Customers_name)</f>
        <v>Loyal Customers</v>
      </c>
    </row>
    <row r="53" spans="1:10" x14ac:dyDescent="0.25">
      <c r="A53" s="25" t="str">
        <v>CUST_0043</v>
      </c>
      <c r="B53" s="16">
        <f t="shared" si="0"/>
        <v>177</v>
      </c>
      <c r="C53" s="16">
        <f t="shared" si="1"/>
        <v>3</v>
      </c>
      <c r="D53" s="17">
        <f t="shared" si="2"/>
        <v>271.58</v>
      </c>
      <c r="E53" s="18" cm="1">
        <f t="array" ref="E53">_xlfn.IFS(
B53&lt;=recencyQ1, 4,
B53&lt;=recencyQ2, 3,
B53&lt;=recencyQ3, 2,
TRUE, 1
)</f>
        <v>1</v>
      </c>
      <c r="F53" s="18" cm="1">
        <f t="array" ref="F53">_xlfn.IFS(
C53&lt;=frequencyQ1, 1,
C53&lt;=frequencyQ2, 2,
C53&lt;=frequencyQ3, 3,
TRUE, 4)</f>
        <v>1</v>
      </c>
      <c r="G53" s="18" cm="1">
        <f t="array" ref="G53">_xlfn.IFS(
D53&lt;=monetaryQ1, 1,
D53&lt;=monetaryQ2, 2,
D53&lt;=monetaryQ3, 3,
TRUE, 4)</f>
        <v>1</v>
      </c>
      <c r="H53" s="18" t="str">
        <f t="shared" si="3"/>
        <v>111</v>
      </c>
      <c r="I53" s="19">
        <f t="shared" si="4"/>
        <v>1</v>
      </c>
      <c r="J53" s="7" t="str" cm="1">
        <f t="array" ref="J53">_xlfn.IFS(
I53&gt;=Best_Customers, Best_Customers_name,
I53&gt;=Loyal_Customers, Loyal_Customers_name,
I53&gt;=Average_Customers, Average_Customers_name,
TRUE, Lost_Customers_name)</f>
        <v>Lost Customers</v>
      </c>
    </row>
    <row r="54" spans="1:10" x14ac:dyDescent="0.25">
      <c r="A54" s="25" t="str">
        <v>CUST_0044</v>
      </c>
      <c r="B54" s="16">
        <f t="shared" si="0"/>
        <v>346</v>
      </c>
      <c r="C54" s="16">
        <f t="shared" si="1"/>
        <v>1</v>
      </c>
      <c r="D54" s="17">
        <f t="shared" si="2"/>
        <v>76.77</v>
      </c>
      <c r="E54" s="18" cm="1">
        <f t="array" ref="E54">_xlfn.IFS(
B54&lt;=recencyQ1, 4,
B54&lt;=recencyQ2, 3,
B54&lt;=recencyQ3, 2,
TRUE, 1
)</f>
        <v>1</v>
      </c>
      <c r="F54" s="18" cm="1">
        <f t="array" ref="F54">_xlfn.IFS(
C54&lt;=frequencyQ1, 1,
C54&lt;=frequencyQ2, 2,
C54&lt;=frequencyQ3, 3,
TRUE, 4)</f>
        <v>1</v>
      </c>
      <c r="G54" s="18" cm="1">
        <f t="array" ref="G54">_xlfn.IFS(
D54&lt;=monetaryQ1, 1,
D54&lt;=monetaryQ2, 2,
D54&lt;=monetaryQ3, 3,
TRUE, 4)</f>
        <v>1</v>
      </c>
      <c r="H54" s="18" t="str">
        <f t="shared" si="3"/>
        <v>111</v>
      </c>
      <c r="I54" s="19">
        <f t="shared" si="4"/>
        <v>1</v>
      </c>
      <c r="J54" s="7" t="str" cm="1">
        <f t="array" ref="J54">_xlfn.IFS(
I54&gt;=Best_Customers, Best_Customers_name,
I54&gt;=Loyal_Customers, Loyal_Customers_name,
I54&gt;=Average_Customers, Average_Customers_name,
TRUE, Lost_Customers_name)</f>
        <v>Lost Customers</v>
      </c>
    </row>
    <row r="55" spans="1:10" x14ac:dyDescent="0.25">
      <c r="A55" s="25" t="str">
        <v>CUST_0045</v>
      </c>
      <c r="B55" s="16">
        <f t="shared" si="0"/>
        <v>76</v>
      </c>
      <c r="C55" s="16">
        <f t="shared" si="1"/>
        <v>4</v>
      </c>
      <c r="D55" s="17">
        <f t="shared" si="2"/>
        <v>428.25</v>
      </c>
      <c r="E55" s="18" cm="1">
        <f t="array" ref="E55">_xlfn.IFS(
B55&lt;=recencyQ1, 4,
B55&lt;=recencyQ2, 3,
B55&lt;=recencyQ3, 2,
TRUE, 1
)</f>
        <v>2</v>
      </c>
      <c r="F55" s="18" cm="1">
        <f t="array" ref="F55">_xlfn.IFS(
C55&lt;=frequencyQ1, 1,
C55&lt;=frequencyQ2, 2,
C55&lt;=frequencyQ3, 3,
TRUE, 4)</f>
        <v>2</v>
      </c>
      <c r="G55" s="18" cm="1">
        <f t="array" ref="G55">_xlfn.IFS(
D55&lt;=monetaryQ1, 1,
D55&lt;=monetaryQ2, 2,
D55&lt;=monetaryQ3, 3,
TRUE, 4)</f>
        <v>2</v>
      </c>
      <c r="H55" s="18" t="str">
        <f t="shared" si="3"/>
        <v>222</v>
      </c>
      <c r="I55" s="19">
        <f t="shared" si="4"/>
        <v>2</v>
      </c>
      <c r="J55" s="7" t="str" cm="1">
        <f t="array" ref="J55">_xlfn.IFS(
I55&gt;=Best_Customers, Best_Customers_name,
I55&gt;=Loyal_Customers, Loyal_Customers_name,
I55&gt;=Average_Customers, Average_Customers_name,
TRUE, Lost_Customers_name)</f>
        <v>Average Customers</v>
      </c>
    </row>
    <row r="56" spans="1:10" x14ac:dyDescent="0.25">
      <c r="A56" s="25" t="str">
        <v>CUST_0046</v>
      </c>
      <c r="B56" s="16">
        <f t="shared" si="0"/>
        <v>42</v>
      </c>
      <c r="C56" s="16">
        <f t="shared" si="1"/>
        <v>9</v>
      </c>
      <c r="D56" s="17">
        <f t="shared" si="2"/>
        <v>795.95999999999992</v>
      </c>
      <c r="E56" s="18" cm="1">
        <f t="array" ref="E56">_xlfn.IFS(
B56&lt;=recencyQ1, 4,
B56&lt;=recencyQ2, 3,
B56&lt;=recencyQ3, 2,
TRUE, 1
)</f>
        <v>3</v>
      </c>
      <c r="F56" s="18" cm="1">
        <f t="array" ref="F56">_xlfn.IFS(
C56&lt;=frequencyQ1, 1,
C56&lt;=frequencyQ2, 2,
C56&lt;=frequencyQ3, 3,
TRUE, 4)</f>
        <v>4</v>
      </c>
      <c r="G56" s="18" cm="1">
        <f t="array" ref="G56">_xlfn.IFS(
D56&lt;=monetaryQ1, 1,
D56&lt;=monetaryQ2, 2,
D56&lt;=monetaryQ3, 3,
TRUE, 4)</f>
        <v>4</v>
      </c>
      <c r="H56" s="18" t="str">
        <f t="shared" si="3"/>
        <v>344</v>
      </c>
      <c r="I56" s="19">
        <f t="shared" si="4"/>
        <v>3.6666666666666665</v>
      </c>
      <c r="J56" s="7" t="str" cm="1">
        <f t="array" ref="J56">_xlfn.IFS(
I56&gt;=Best_Customers, Best_Customers_name,
I56&gt;=Loyal_Customers, Loyal_Customers_name,
I56&gt;=Average_Customers, Average_Customers_name,
TRUE, Lost_Customers_name)</f>
        <v>Best Customers</v>
      </c>
    </row>
    <row r="57" spans="1:10" x14ac:dyDescent="0.25">
      <c r="A57" s="25" t="str">
        <v>CUST_0047</v>
      </c>
      <c r="B57" s="16">
        <f t="shared" si="0"/>
        <v>52</v>
      </c>
      <c r="C57" s="16">
        <f t="shared" si="1"/>
        <v>3</v>
      </c>
      <c r="D57" s="17">
        <f t="shared" si="2"/>
        <v>295.59000000000003</v>
      </c>
      <c r="E57" s="18" cm="1">
        <f t="array" ref="E57">_xlfn.IFS(
B57&lt;=recencyQ1, 4,
B57&lt;=recencyQ2, 3,
B57&lt;=recencyQ3, 2,
TRUE, 1
)</f>
        <v>2</v>
      </c>
      <c r="F57" s="18" cm="1">
        <f t="array" ref="F57">_xlfn.IFS(
C57&lt;=frequencyQ1, 1,
C57&lt;=frequencyQ2, 2,
C57&lt;=frequencyQ3, 3,
TRUE, 4)</f>
        <v>1</v>
      </c>
      <c r="G57" s="18" cm="1">
        <f t="array" ref="G57">_xlfn.IFS(
D57&lt;=monetaryQ1, 1,
D57&lt;=monetaryQ2, 2,
D57&lt;=monetaryQ3, 3,
TRUE, 4)</f>
        <v>1</v>
      </c>
      <c r="H57" s="18" t="str">
        <f t="shared" si="3"/>
        <v>211</v>
      </c>
      <c r="I57" s="19">
        <f t="shared" si="4"/>
        <v>1.3333333333333333</v>
      </c>
      <c r="J57" s="7" t="str" cm="1">
        <f t="array" ref="J57">_xlfn.IFS(
I57&gt;=Best_Customers, Best_Customers_name,
I57&gt;=Loyal_Customers, Loyal_Customers_name,
I57&gt;=Average_Customers, Average_Customers_name,
TRUE, Lost_Customers_name)</f>
        <v>Lost Customers</v>
      </c>
    </row>
    <row r="58" spans="1:10" x14ac:dyDescent="0.25">
      <c r="A58" s="25" t="str">
        <v>CUST_0048</v>
      </c>
      <c r="B58" s="16">
        <f t="shared" si="0"/>
        <v>40</v>
      </c>
      <c r="C58" s="16">
        <f t="shared" si="1"/>
        <v>6</v>
      </c>
      <c r="D58" s="17">
        <f t="shared" si="2"/>
        <v>576.22</v>
      </c>
      <c r="E58" s="18" cm="1">
        <f t="array" ref="E58">_xlfn.IFS(
B58&lt;=recencyQ1, 4,
B58&lt;=recencyQ2, 3,
B58&lt;=recencyQ3, 2,
TRUE, 1
)</f>
        <v>3</v>
      </c>
      <c r="F58" s="18" cm="1">
        <f t="array" ref="F58">_xlfn.IFS(
C58&lt;=frequencyQ1, 1,
C58&lt;=frequencyQ2, 2,
C58&lt;=frequencyQ3, 3,
TRUE, 4)</f>
        <v>3</v>
      </c>
      <c r="G58" s="18" cm="1">
        <f t="array" ref="G58">_xlfn.IFS(
D58&lt;=monetaryQ1, 1,
D58&lt;=monetaryQ2, 2,
D58&lt;=monetaryQ3, 3,
TRUE, 4)</f>
        <v>3</v>
      </c>
      <c r="H58" s="18" t="str">
        <f t="shared" si="3"/>
        <v>333</v>
      </c>
      <c r="I58" s="19">
        <f t="shared" si="4"/>
        <v>3</v>
      </c>
      <c r="J58" s="7" t="str" cm="1">
        <f t="array" ref="J58">_xlfn.IFS(
I58&gt;=Best_Customers, Best_Customers_name,
I58&gt;=Loyal_Customers, Loyal_Customers_name,
I58&gt;=Average_Customers, Average_Customers_name,
TRUE, Lost_Customers_name)</f>
        <v>Loyal Customers</v>
      </c>
    </row>
    <row r="59" spans="1:10" x14ac:dyDescent="0.25">
      <c r="A59" s="25" t="str">
        <v>CUST_0049</v>
      </c>
      <c r="B59" s="16">
        <f t="shared" si="0"/>
        <v>67</v>
      </c>
      <c r="C59" s="16">
        <f t="shared" si="1"/>
        <v>2</v>
      </c>
      <c r="D59" s="17">
        <f t="shared" si="2"/>
        <v>254.39</v>
      </c>
      <c r="E59" s="18" cm="1">
        <f t="array" ref="E59">_xlfn.IFS(
B59&lt;=recencyQ1, 4,
B59&lt;=recencyQ2, 3,
B59&lt;=recencyQ3, 2,
TRUE, 1
)</f>
        <v>2</v>
      </c>
      <c r="F59" s="18" cm="1">
        <f t="array" ref="F59">_xlfn.IFS(
C59&lt;=frequencyQ1, 1,
C59&lt;=frequencyQ2, 2,
C59&lt;=frequencyQ3, 3,
TRUE, 4)</f>
        <v>1</v>
      </c>
      <c r="G59" s="18" cm="1">
        <f t="array" ref="G59">_xlfn.IFS(
D59&lt;=monetaryQ1, 1,
D59&lt;=monetaryQ2, 2,
D59&lt;=monetaryQ3, 3,
TRUE, 4)</f>
        <v>1</v>
      </c>
      <c r="H59" s="18" t="str">
        <f t="shared" si="3"/>
        <v>211</v>
      </c>
      <c r="I59" s="19">
        <f t="shared" si="4"/>
        <v>1.3333333333333333</v>
      </c>
      <c r="J59" s="7" t="str" cm="1">
        <f t="array" ref="J59">_xlfn.IFS(
I59&gt;=Best_Customers, Best_Customers_name,
I59&gt;=Loyal_Customers, Loyal_Customers_name,
I59&gt;=Average_Customers, Average_Customers_name,
TRUE, Lost_Customers_name)</f>
        <v>Lost Customers</v>
      </c>
    </row>
    <row r="60" spans="1:10" x14ac:dyDescent="0.25">
      <c r="A60" s="25" t="str">
        <v>CUST_0050</v>
      </c>
      <c r="B60" s="16">
        <f t="shared" si="0"/>
        <v>50</v>
      </c>
      <c r="C60" s="16">
        <f t="shared" si="1"/>
        <v>6</v>
      </c>
      <c r="D60" s="17">
        <f t="shared" si="2"/>
        <v>746.83</v>
      </c>
      <c r="E60" s="18" cm="1">
        <f t="array" ref="E60">_xlfn.IFS(
B60&lt;=recencyQ1, 4,
B60&lt;=recencyQ2, 3,
B60&lt;=recencyQ3, 2,
TRUE, 1
)</f>
        <v>2</v>
      </c>
      <c r="F60" s="18" cm="1">
        <f t="array" ref="F60">_xlfn.IFS(
C60&lt;=frequencyQ1, 1,
C60&lt;=frequencyQ2, 2,
C60&lt;=frequencyQ3, 3,
TRUE, 4)</f>
        <v>3</v>
      </c>
      <c r="G60" s="18" cm="1">
        <f t="array" ref="G60">_xlfn.IFS(
D60&lt;=monetaryQ1, 1,
D60&lt;=monetaryQ2, 2,
D60&lt;=monetaryQ3, 3,
TRUE, 4)</f>
        <v>4</v>
      </c>
      <c r="H60" s="18" t="str">
        <f t="shared" si="3"/>
        <v>234</v>
      </c>
      <c r="I60" s="19">
        <f t="shared" si="4"/>
        <v>3</v>
      </c>
      <c r="J60" s="7" t="str" cm="1">
        <f t="array" ref="J60">_xlfn.IFS(
I60&gt;=Best_Customers, Best_Customers_name,
I60&gt;=Loyal_Customers, Loyal_Customers_name,
I60&gt;=Average_Customers, Average_Customers_name,
TRUE, Lost_Customers_name)</f>
        <v>Loyal Customers</v>
      </c>
    </row>
    <row r="61" spans="1:10" x14ac:dyDescent="0.25">
      <c r="A61" s="25" t="str">
        <v>CUST_0052</v>
      </c>
      <c r="B61" s="16">
        <f t="shared" si="0"/>
        <v>85</v>
      </c>
      <c r="C61" s="16">
        <f t="shared" si="1"/>
        <v>6</v>
      </c>
      <c r="D61" s="17">
        <f t="shared" si="2"/>
        <v>491.79</v>
      </c>
      <c r="E61" s="18" cm="1">
        <f t="array" ref="E61">_xlfn.IFS(
B61&lt;=recencyQ1, 4,
B61&lt;=recencyQ2, 3,
B61&lt;=recencyQ3, 2,
TRUE, 1
)</f>
        <v>2</v>
      </c>
      <c r="F61" s="18" cm="1">
        <f t="array" ref="F61">_xlfn.IFS(
C61&lt;=frequencyQ1, 1,
C61&lt;=frequencyQ2, 2,
C61&lt;=frequencyQ3, 3,
TRUE, 4)</f>
        <v>3</v>
      </c>
      <c r="G61" s="18" cm="1">
        <f t="array" ref="G61">_xlfn.IFS(
D61&lt;=monetaryQ1, 1,
D61&lt;=monetaryQ2, 2,
D61&lt;=monetaryQ3, 3,
TRUE, 4)</f>
        <v>3</v>
      </c>
      <c r="H61" s="18" t="str">
        <f t="shared" si="3"/>
        <v>233</v>
      </c>
      <c r="I61" s="19">
        <f t="shared" si="4"/>
        <v>2.6666666666666665</v>
      </c>
      <c r="J61" s="7" t="str" cm="1">
        <f t="array" ref="J61">_xlfn.IFS(
I61&gt;=Best_Customers, Best_Customers_name,
I61&gt;=Loyal_Customers, Loyal_Customers_name,
I61&gt;=Average_Customers, Average_Customers_name,
TRUE, Lost_Customers_name)</f>
        <v>Loyal Customers</v>
      </c>
    </row>
    <row r="62" spans="1:10" x14ac:dyDescent="0.25">
      <c r="A62" s="25" t="str">
        <v>CUST_0053</v>
      </c>
      <c r="B62" s="16">
        <f t="shared" si="0"/>
        <v>55</v>
      </c>
      <c r="C62" s="16">
        <f t="shared" si="1"/>
        <v>5</v>
      </c>
      <c r="D62" s="17">
        <f t="shared" si="2"/>
        <v>374.94000000000005</v>
      </c>
      <c r="E62" s="18" cm="1">
        <f t="array" ref="E62">_xlfn.IFS(
B62&lt;=recencyQ1, 4,
B62&lt;=recencyQ2, 3,
B62&lt;=recencyQ3, 2,
TRUE, 1
)</f>
        <v>2</v>
      </c>
      <c r="F62" s="18" cm="1">
        <f t="array" ref="F62">_xlfn.IFS(
C62&lt;=frequencyQ1, 1,
C62&lt;=frequencyQ2, 2,
C62&lt;=frequencyQ3, 3,
TRUE, 4)</f>
        <v>2</v>
      </c>
      <c r="G62" s="18" cm="1">
        <f t="array" ref="G62">_xlfn.IFS(
D62&lt;=monetaryQ1, 1,
D62&lt;=monetaryQ2, 2,
D62&lt;=monetaryQ3, 3,
TRUE, 4)</f>
        <v>2</v>
      </c>
      <c r="H62" s="18" t="str">
        <f t="shared" si="3"/>
        <v>222</v>
      </c>
      <c r="I62" s="19">
        <f t="shared" si="4"/>
        <v>2</v>
      </c>
      <c r="J62" s="7" t="str" cm="1">
        <f t="array" ref="J62">_xlfn.IFS(
I62&gt;=Best_Customers, Best_Customers_name,
I62&gt;=Loyal_Customers, Loyal_Customers_name,
I62&gt;=Average_Customers, Average_Customers_name,
TRUE, Lost_Customers_name)</f>
        <v>Average Customers</v>
      </c>
    </row>
    <row r="63" spans="1:10" x14ac:dyDescent="0.25">
      <c r="A63" s="25" t="str">
        <v>CUST_0054</v>
      </c>
      <c r="B63" s="16">
        <f t="shared" si="0"/>
        <v>68</v>
      </c>
      <c r="C63" s="16">
        <f t="shared" si="1"/>
        <v>5</v>
      </c>
      <c r="D63" s="17">
        <f t="shared" si="2"/>
        <v>570.02</v>
      </c>
      <c r="E63" s="18" cm="1">
        <f t="array" ref="E63">_xlfn.IFS(
B63&lt;=recencyQ1, 4,
B63&lt;=recencyQ2, 3,
B63&lt;=recencyQ3, 2,
TRUE, 1
)</f>
        <v>2</v>
      </c>
      <c r="F63" s="18" cm="1">
        <f t="array" ref="F63">_xlfn.IFS(
C63&lt;=frequencyQ1, 1,
C63&lt;=frequencyQ2, 2,
C63&lt;=frequencyQ3, 3,
TRUE, 4)</f>
        <v>2</v>
      </c>
      <c r="G63" s="18" cm="1">
        <f t="array" ref="G63">_xlfn.IFS(
D63&lt;=monetaryQ1, 1,
D63&lt;=monetaryQ2, 2,
D63&lt;=monetaryQ3, 3,
TRUE, 4)</f>
        <v>3</v>
      </c>
      <c r="H63" s="18" t="str">
        <f t="shared" si="3"/>
        <v>223</v>
      </c>
      <c r="I63" s="19">
        <f t="shared" si="4"/>
        <v>2.3333333333333335</v>
      </c>
      <c r="J63" s="7" t="str" cm="1">
        <f t="array" ref="J63">_xlfn.IFS(
I63&gt;=Best_Customers, Best_Customers_name,
I63&gt;=Loyal_Customers, Loyal_Customers_name,
I63&gt;=Average_Customers, Average_Customers_name,
TRUE, Lost_Customers_name)</f>
        <v>Average Customers</v>
      </c>
    </row>
    <row r="64" spans="1:10" x14ac:dyDescent="0.25">
      <c r="A64" s="25" t="str">
        <v>CUST_0055</v>
      </c>
      <c r="B64" s="16">
        <f t="shared" si="0"/>
        <v>90</v>
      </c>
      <c r="C64" s="16">
        <f t="shared" si="1"/>
        <v>3</v>
      </c>
      <c r="D64" s="17">
        <f t="shared" si="2"/>
        <v>286.3</v>
      </c>
      <c r="E64" s="18" cm="1">
        <f t="array" ref="E64">_xlfn.IFS(
B64&lt;=recencyQ1, 4,
B64&lt;=recencyQ2, 3,
B64&lt;=recencyQ3, 2,
TRUE, 1
)</f>
        <v>2</v>
      </c>
      <c r="F64" s="18" cm="1">
        <f t="array" ref="F64">_xlfn.IFS(
C64&lt;=frequencyQ1, 1,
C64&lt;=frequencyQ2, 2,
C64&lt;=frequencyQ3, 3,
TRUE, 4)</f>
        <v>1</v>
      </c>
      <c r="G64" s="18" cm="1">
        <f t="array" ref="G64">_xlfn.IFS(
D64&lt;=monetaryQ1, 1,
D64&lt;=monetaryQ2, 2,
D64&lt;=monetaryQ3, 3,
TRUE, 4)</f>
        <v>1</v>
      </c>
      <c r="H64" s="18" t="str">
        <f t="shared" si="3"/>
        <v>211</v>
      </c>
      <c r="I64" s="19">
        <f t="shared" si="4"/>
        <v>1.3333333333333333</v>
      </c>
      <c r="J64" s="7" t="str" cm="1">
        <f t="array" ref="J64">_xlfn.IFS(
I64&gt;=Best_Customers, Best_Customers_name,
I64&gt;=Loyal_Customers, Loyal_Customers_name,
I64&gt;=Average_Customers, Average_Customers_name,
TRUE, Lost_Customers_name)</f>
        <v>Lost Customers</v>
      </c>
    </row>
    <row r="65" spans="1:10" x14ac:dyDescent="0.25">
      <c r="A65" s="25" t="str">
        <v>CUST_0056</v>
      </c>
      <c r="B65" s="16">
        <f t="shared" si="0"/>
        <v>37</v>
      </c>
      <c r="C65" s="16">
        <f t="shared" si="1"/>
        <v>3</v>
      </c>
      <c r="D65" s="17">
        <f t="shared" si="2"/>
        <v>246.01</v>
      </c>
      <c r="E65" s="18" cm="1">
        <f t="array" ref="E65">_xlfn.IFS(
B65&lt;=recencyQ1, 4,
B65&lt;=recencyQ2, 3,
B65&lt;=recencyQ3, 2,
TRUE, 1
)</f>
        <v>3</v>
      </c>
      <c r="F65" s="18" cm="1">
        <f t="array" ref="F65">_xlfn.IFS(
C65&lt;=frequencyQ1, 1,
C65&lt;=frequencyQ2, 2,
C65&lt;=frequencyQ3, 3,
TRUE, 4)</f>
        <v>1</v>
      </c>
      <c r="G65" s="18" cm="1">
        <f t="array" ref="G65">_xlfn.IFS(
D65&lt;=monetaryQ1, 1,
D65&lt;=monetaryQ2, 2,
D65&lt;=monetaryQ3, 3,
TRUE, 4)</f>
        <v>1</v>
      </c>
      <c r="H65" s="18" t="str">
        <f t="shared" si="3"/>
        <v>311</v>
      </c>
      <c r="I65" s="19">
        <f t="shared" si="4"/>
        <v>1.6666666666666667</v>
      </c>
      <c r="J65" s="7" t="str" cm="1">
        <f t="array" ref="J65">_xlfn.IFS(
I65&gt;=Best_Customers, Best_Customers_name,
I65&gt;=Loyal_Customers, Loyal_Customers_name,
I65&gt;=Average_Customers, Average_Customers_name,
TRUE, Lost_Customers_name)</f>
        <v>Average Customers</v>
      </c>
    </row>
    <row r="66" spans="1:10" x14ac:dyDescent="0.25">
      <c r="A66" s="25" t="str">
        <v>CUST_0057</v>
      </c>
      <c r="B66" s="16">
        <f t="shared" si="0"/>
        <v>34</v>
      </c>
      <c r="C66" s="16">
        <f t="shared" si="1"/>
        <v>6</v>
      </c>
      <c r="D66" s="17">
        <f t="shared" si="2"/>
        <v>561.85</v>
      </c>
      <c r="E66" s="18" cm="1">
        <f t="array" ref="E66">_xlfn.IFS(
B66&lt;=recencyQ1, 4,
B66&lt;=recencyQ2, 3,
B66&lt;=recencyQ3, 2,
TRUE, 1
)</f>
        <v>3</v>
      </c>
      <c r="F66" s="18" cm="1">
        <f t="array" ref="F66">_xlfn.IFS(
C66&lt;=frequencyQ1, 1,
C66&lt;=frequencyQ2, 2,
C66&lt;=frequencyQ3, 3,
TRUE, 4)</f>
        <v>3</v>
      </c>
      <c r="G66" s="18" cm="1">
        <f t="array" ref="G66">_xlfn.IFS(
D66&lt;=monetaryQ1, 1,
D66&lt;=monetaryQ2, 2,
D66&lt;=monetaryQ3, 3,
TRUE, 4)</f>
        <v>3</v>
      </c>
      <c r="H66" s="18" t="str">
        <f t="shared" si="3"/>
        <v>333</v>
      </c>
      <c r="I66" s="19">
        <f t="shared" si="4"/>
        <v>3</v>
      </c>
      <c r="J66" s="7" t="str" cm="1">
        <f t="array" ref="J66">_xlfn.IFS(
I66&gt;=Best_Customers, Best_Customers_name,
I66&gt;=Loyal_Customers, Loyal_Customers_name,
I66&gt;=Average_Customers, Average_Customers_name,
TRUE, Lost_Customers_name)</f>
        <v>Loyal Customers</v>
      </c>
    </row>
    <row r="67" spans="1:10" x14ac:dyDescent="0.25">
      <c r="A67" s="25" t="str">
        <v>CUST_0058</v>
      </c>
      <c r="B67" s="16">
        <f t="shared" si="0"/>
        <v>4</v>
      </c>
      <c r="C67" s="16">
        <f t="shared" si="1"/>
        <v>5</v>
      </c>
      <c r="D67" s="17">
        <f t="shared" si="2"/>
        <v>640.69000000000005</v>
      </c>
      <c r="E67" s="18" cm="1">
        <f t="array" ref="E67">_xlfn.IFS(
B67&lt;=recencyQ1, 4,
B67&lt;=recencyQ2, 3,
B67&lt;=recencyQ3, 2,
TRUE, 1
)</f>
        <v>4</v>
      </c>
      <c r="F67" s="18" cm="1">
        <f t="array" ref="F67">_xlfn.IFS(
C67&lt;=frequencyQ1, 1,
C67&lt;=frequencyQ2, 2,
C67&lt;=frequencyQ3, 3,
TRUE, 4)</f>
        <v>2</v>
      </c>
      <c r="G67" s="18" cm="1">
        <f t="array" ref="G67">_xlfn.IFS(
D67&lt;=monetaryQ1, 1,
D67&lt;=monetaryQ2, 2,
D67&lt;=monetaryQ3, 3,
TRUE, 4)</f>
        <v>3</v>
      </c>
      <c r="H67" s="18" t="str">
        <f t="shared" si="3"/>
        <v>423</v>
      </c>
      <c r="I67" s="19">
        <f t="shared" si="4"/>
        <v>3</v>
      </c>
      <c r="J67" s="7" t="str" cm="1">
        <f t="array" ref="J67">_xlfn.IFS(
I67&gt;=Best_Customers, Best_Customers_name,
I67&gt;=Loyal_Customers, Loyal_Customers_name,
I67&gt;=Average_Customers, Average_Customers_name,
TRUE, Lost_Customers_name)</f>
        <v>Loyal Customers</v>
      </c>
    </row>
    <row r="68" spans="1:10" x14ac:dyDescent="0.25">
      <c r="A68" s="25" t="str">
        <v>CUST_0059</v>
      </c>
      <c r="B68" s="16">
        <f t="shared" si="0"/>
        <v>58</v>
      </c>
      <c r="C68" s="16">
        <f t="shared" si="1"/>
        <v>4</v>
      </c>
      <c r="D68" s="17">
        <f t="shared" si="2"/>
        <v>325.33000000000004</v>
      </c>
      <c r="E68" s="18" cm="1">
        <f t="array" ref="E68">_xlfn.IFS(
B68&lt;=recencyQ1, 4,
B68&lt;=recencyQ2, 3,
B68&lt;=recencyQ3, 2,
TRUE, 1
)</f>
        <v>2</v>
      </c>
      <c r="F68" s="18" cm="1">
        <f t="array" ref="F68">_xlfn.IFS(
C68&lt;=frequencyQ1, 1,
C68&lt;=frequencyQ2, 2,
C68&lt;=frequencyQ3, 3,
TRUE, 4)</f>
        <v>2</v>
      </c>
      <c r="G68" s="18" cm="1">
        <f t="array" ref="G68">_xlfn.IFS(
D68&lt;=monetaryQ1, 1,
D68&lt;=monetaryQ2, 2,
D68&lt;=monetaryQ3, 3,
TRUE, 4)</f>
        <v>2</v>
      </c>
      <c r="H68" s="18" t="str">
        <f t="shared" si="3"/>
        <v>222</v>
      </c>
      <c r="I68" s="19">
        <f t="shared" si="4"/>
        <v>2</v>
      </c>
      <c r="J68" s="7" t="str" cm="1">
        <f t="array" ref="J68">_xlfn.IFS(
I68&gt;=Best_Customers, Best_Customers_name,
I68&gt;=Loyal_Customers, Loyal_Customers_name,
I68&gt;=Average_Customers, Average_Customers_name,
TRUE, Lost_Customers_name)</f>
        <v>Average Customers</v>
      </c>
    </row>
    <row r="69" spans="1:10" x14ac:dyDescent="0.25">
      <c r="A69" s="25" t="str">
        <v>CUST_0060</v>
      </c>
      <c r="B69" s="16">
        <f t="shared" si="0"/>
        <v>62</v>
      </c>
      <c r="C69" s="16">
        <f t="shared" si="1"/>
        <v>3</v>
      </c>
      <c r="D69" s="17">
        <f t="shared" si="2"/>
        <v>211.16</v>
      </c>
      <c r="E69" s="18" cm="1">
        <f t="array" ref="E69">_xlfn.IFS(
B69&lt;=recencyQ1, 4,
B69&lt;=recencyQ2, 3,
B69&lt;=recencyQ3, 2,
TRUE, 1
)</f>
        <v>2</v>
      </c>
      <c r="F69" s="18" cm="1">
        <f t="array" ref="F69">_xlfn.IFS(
C69&lt;=frequencyQ1, 1,
C69&lt;=frequencyQ2, 2,
C69&lt;=frequencyQ3, 3,
TRUE, 4)</f>
        <v>1</v>
      </c>
      <c r="G69" s="18" cm="1">
        <f t="array" ref="G69">_xlfn.IFS(
D69&lt;=monetaryQ1, 1,
D69&lt;=monetaryQ2, 2,
D69&lt;=monetaryQ3, 3,
TRUE, 4)</f>
        <v>1</v>
      </c>
      <c r="H69" s="18" t="str">
        <f t="shared" si="3"/>
        <v>211</v>
      </c>
      <c r="I69" s="19">
        <f t="shared" si="4"/>
        <v>1.3333333333333333</v>
      </c>
      <c r="J69" s="7" t="str" cm="1">
        <f t="array" ref="J69">_xlfn.IFS(
I69&gt;=Best_Customers, Best_Customers_name,
I69&gt;=Loyal_Customers, Loyal_Customers_name,
I69&gt;=Average_Customers, Average_Customers_name,
TRUE, Lost_Customers_name)</f>
        <v>Lost Customers</v>
      </c>
    </row>
    <row r="70" spans="1:10" x14ac:dyDescent="0.25">
      <c r="A70" s="25" t="str">
        <v>CUST_0061</v>
      </c>
      <c r="B70" s="16">
        <f t="shared" si="0"/>
        <v>14</v>
      </c>
      <c r="C70" s="16">
        <f t="shared" si="1"/>
        <v>4</v>
      </c>
      <c r="D70" s="17">
        <f t="shared" si="2"/>
        <v>387.09999999999997</v>
      </c>
      <c r="E70" s="18" cm="1">
        <f t="array" ref="E70">_xlfn.IFS(
B70&lt;=recencyQ1, 4,
B70&lt;=recencyQ2, 3,
B70&lt;=recencyQ3, 2,
TRUE, 1
)</f>
        <v>4</v>
      </c>
      <c r="F70" s="18" cm="1">
        <f t="array" ref="F70">_xlfn.IFS(
C70&lt;=frequencyQ1, 1,
C70&lt;=frequencyQ2, 2,
C70&lt;=frequencyQ3, 3,
TRUE, 4)</f>
        <v>2</v>
      </c>
      <c r="G70" s="18" cm="1">
        <f t="array" ref="G70">_xlfn.IFS(
D70&lt;=monetaryQ1, 1,
D70&lt;=monetaryQ2, 2,
D70&lt;=monetaryQ3, 3,
TRUE, 4)</f>
        <v>2</v>
      </c>
      <c r="H70" s="18" t="str">
        <f t="shared" si="3"/>
        <v>422</v>
      </c>
      <c r="I70" s="19">
        <f t="shared" si="4"/>
        <v>2.6666666666666665</v>
      </c>
      <c r="J70" s="7" t="str" cm="1">
        <f t="array" ref="J70">_xlfn.IFS(
I70&gt;=Best_Customers, Best_Customers_name,
I70&gt;=Loyal_Customers, Loyal_Customers_name,
I70&gt;=Average_Customers, Average_Customers_name,
TRUE, Lost_Customers_name)</f>
        <v>Loyal Customers</v>
      </c>
    </row>
    <row r="71" spans="1:10" x14ac:dyDescent="0.25">
      <c r="A71" s="25" t="str">
        <v>CUST_0062</v>
      </c>
      <c r="B71" s="16">
        <f t="shared" si="0"/>
        <v>25</v>
      </c>
      <c r="C71" s="16">
        <f t="shared" si="1"/>
        <v>7</v>
      </c>
      <c r="D71" s="17">
        <f t="shared" si="2"/>
        <v>682.93</v>
      </c>
      <c r="E71" s="18" cm="1">
        <f t="array" ref="E71">_xlfn.IFS(
B71&lt;=recencyQ1, 4,
B71&lt;=recencyQ2, 3,
B71&lt;=recencyQ3, 2,
TRUE, 1
)</f>
        <v>3</v>
      </c>
      <c r="F71" s="18" cm="1">
        <f t="array" ref="F71">_xlfn.IFS(
C71&lt;=frequencyQ1, 1,
C71&lt;=frequencyQ2, 2,
C71&lt;=frequencyQ3, 3,
TRUE, 4)</f>
        <v>4</v>
      </c>
      <c r="G71" s="18" cm="1">
        <f t="array" ref="G71">_xlfn.IFS(
D71&lt;=monetaryQ1, 1,
D71&lt;=monetaryQ2, 2,
D71&lt;=monetaryQ3, 3,
TRUE, 4)</f>
        <v>4</v>
      </c>
      <c r="H71" s="18" t="str">
        <f t="shared" si="3"/>
        <v>344</v>
      </c>
      <c r="I71" s="19">
        <f t="shared" si="4"/>
        <v>3.6666666666666665</v>
      </c>
      <c r="J71" s="7" t="str" cm="1">
        <f t="array" ref="J71">_xlfn.IFS(
I71&gt;=Best_Customers, Best_Customers_name,
I71&gt;=Loyal_Customers, Loyal_Customers_name,
I71&gt;=Average_Customers, Average_Customers_name,
TRUE, Lost_Customers_name)</f>
        <v>Best Customers</v>
      </c>
    </row>
    <row r="72" spans="1:10" x14ac:dyDescent="0.25">
      <c r="A72" s="25" t="str">
        <v>CUST_0063</v>
      </c>
      <c r="B72" s="16">
        <f t="shared" si="0"/>
        <v>255</v>
      </c>
      <c r="C72" s="16">
        <f t="shared" si="1"/>
        <v>2</v>
      </c>
      <c r="D72" s="17">
        <f t="shared" si="2"/>
        <v>176.9</v>
      </c>
      <c r="E72" s="18" cm="1">
        <f t="array" ref="E72">_xlfn.IFS(
B72&lt;=recencyQ1, 4,
B72&lt;=recencyQ2, 3,
B72&lt;=recencyQ3, 2,
TRUE, 1
)</f>
        <v>1</v>
      </c>
      <c r="F72" s="18" cm="1">
        <f t="array" ref="F72">_xlfn.IFS(
C72&lt;=frequencyQ1, 1,
C72&lt;=frequencyQ2, 2,
C72&lt;=frequencyQ3, 3,
TRUE, 4)</f>
        <v>1</v>
      </c>
      <c r="G72" s="18" cm="1">
        <f t="array" ref="G72">_xlfn.IFS(
D72&lt;=monetaryQ1, 1,
D72&lt;=monetaryQ2, 2,
D72&lt;=monetaryQ3, 3,
TRUE, 4)</f>
        <v>1</v>
      </c>
      <c r="H72" s="18" t="str">
        <f t="shared" si="3"/>
        <v>111</v>
      </c>
      <c r="I72" s="19">
        <f t="shared" si="4"/>
        <v>1</v>
      </c>
      <c r="J72" s="7" t="str" cm="1">
        <f t="array" ref="J72">_xlfn.IFS(
I72&gt;=Best_Customers, Best_Customers_name,
I72&gt;=Loyal_Customers, Loyal_Customers_name,
I72&gt;=Average_Customers, Average_Customers_name,
TRUE, Lost_Customers_name)</f>
        <v>Lost Customers</v>
      </c>
    </row>
    <row r="73" spans="1:10" x14ac:dyDescent="0.25">
      <c r="A73" s="25" t="str">
        <v>CUST_0064</v>
      </c>
      <c r="B73" s="16">
        <f t="shared" si="0"/>
        <v>15</v>
      </c>
      <c r="C73" s="16">
        <f t="shared" si="1"/>
        <v>6</v>
      </c>
      <c r="D73" s="17">
        <f t="shared" si="2"/>
        <v>654.17999999999995</v>
      </c>
      <c r="E73" s="18" cm="1">
        <f t="array" ref="E73">_xlfn.IFS(
B73&lt;=recencyQ1, 4,
B73&lt;=recencyQ2, 3,
B73&lt;=recencyQ3, 2,
TRUE, 1
)</f>
        <v>4</v>
      </c>
      <c r="F73" s="18" cm="1">
        <f t="array" ref="F73">_xlfn.IFS(
C73&lt;=frequencyQ1, 1,
C73&lt;=frequencyQ2, 2,
C73&lt;=frequencyQ3, 3,
TRUE, 4)</f>
        <v>3</v>
      </c>
      <c r="G73" s="18" cm="1">
        <f t="array" ref="G73">_xlfn.IFS(
D73&lt;=monetaryQ1, 1,
D73&lt;=monetaryQ2, 2,
D73&lt;=monetaryQ3, 3,
TRUE, 4)</f>
        <v>3</v>
      </c>
      <c r="H73" s="18" t="str">
        <f t="shared" si="3"/>
        <v>433</v>
      </c>
      <c r="I73" s="19">
        <f t="shared" si="4"/>
        <v>3.3333333333333335</v>
      </c>
      <c r="J73" s="7" t="str" cm="1">
        <f t="array" ref="J73">_xlfn.IFS(
I73&gt;=Best_Customers, Best_Customers_name,
I73&gt;=Loyal_Customers, Loyal_Customers_name,
I73&gt;=Average_Customers, Average_Customers_name,
TRUE, Lost_Customers_name)</f>
        <v>Loyal Customers</v>
      </c>
    </row>
    <row r="74" spans="1:10" x14ac:dyDescent="0.25">
      <c r="A74" s="25" t="str">
        <v>CUST_0065</v>
      </c>
      <c r="B74" s="16">
        <f t="shared" ref="B74:B137" si="5">analysis_date-_xlfn.MAXIFS(transaction_date,customer_id,A74,included,1)</f>
        <v>6</v>
      </c>
      <c r="C74" s="16">
        <f t="shared" ref="C74:C137" si="6">COUNTIFS(customer_id,A74,included,1)</f>
        <v>6</v>
      </c>
      <c r="D74" s="17">
        <f t="shared" ref="D74:D137" si="7">SUMIFS(transaction_amount,customer_id,A74,included,1)</f>
        <v>623.30999999999995</v>
      </c>
      <c r="E74" s="18" cm="1">
        <f t="array" ref="E74">_xlfn.IFS(
B74&lt;=recencyQ1, 4,
B74&lt;=recencyQ2, 3,
B74&lt;=recencyQ3, 2,
TRUE, 1
)</f>
        <v>4</v>
      </c>
      <c r="F74" s="18" cm="1">
        <f t="array" ref="F74">_xlfn.IFS(
C74&lt;=frequencyQ1, 1,
C74&lt;=frequencyQ2, 2,
C74&lt;=frequencyQ3, 3,
TRUE, 4)</f>
        <v>3</v>
      </c>
      <c r="G74" s="18" cm="1">
        <f t="array" ref="G74">_xlfn.IFS(
D74&lt;=monetaryQ1, 1,
D74&lt;=monetaryQ2, 2,
D74&lt;=monetaryQ3, 3,
TRUE, 4)</f>
        <v>3</v>
      </c>
      <c r="H74" s="18" t="str">
        <f t="shared" ref="H74:H137" si="8">E74&amp;F74&amp;G74</f>
        <v>433</v>
      </c>
      <c r="I74" s="19">
        <f t="shared" ref="I74:I137" si="9">AVERAGE(E74:G74)</f>
        <v>3.3333333333333335</v>
      </c>
      <c r="J74" s="7" t="str" cm="1">
        <f t="array" ref="J74">_xlfn.IFS(
I74&gt;=Best_Customers, Best_Customers_name,
I74&gt;=Loyal_Customers, Loyal_Customers_name,
I74&gt;=Average_Customers, Average_Customers_name,
TRUE, Lost_Customers_name)</f>
        <v>Loyal Customers</v>
      </c>
    </row>
    <row r="75" spans="1:10" x14ac:dyDescent="0.25">
      <c r="A75" s="25" t="str">
        <v>CUST_0066</v>
      </c>
      <c r="B75" s="16">
        <f t="shared" si="5"/>
        <v>126</v>
      </c>
      <c r="C75" s="16">
        <f t="shared" si="6"/>
        <v>3</v>
      </c>
      <c r="D75" s="17">
        <f t="shared" si="7"/>
        <v>293.72000000000003</v>
      </c>
      <c r="E75" s="18" cm="1">
        <f t="array" ref="E75">_xlfn.IFS(
B75&lt;=recencyQ1, 4,
B75&lt;=recencyQ2, 3,
B75&lt;=recencyQ3, 2,
TRUE, 1
)</f>
        <v>1</v>
      </c>
      <c r="F75" s="18" cm="1">
        <f t="array" ref="F75">_xlfn.IFS(
C75&lt;=frequencyQ1, 1,
C75&lt;=frequencyQ2, 2,
C75&lt;=frequencyQ3, 3,
TRUE, 4)</f>
        <v>1</v>
      </c>
      <c r="G75" s="18" cm="1">
        <f t="array" ref="G75">_xlfn.IFS(
D75&lt;=monetaryQ1, 1,
D75&lt;=monetaryQ2, 2,
D75&lt;=monetaryQ3, 3,
TRUE, 4)</f>
        <v>1</v>
      </c>
      <c r="H75" s="18" t="str">
        <f t="shared" si="8"/>
        <v>111</v>
      </c>
      <c r="I75" s="19">
        <f t="shared" si="9"/>
        <v>1</v>
      </c>
      <c r="J75" s="7" t="str" cm="1">
        <f t="array" ref="J75">_xlfn.IFS(
I75&gt;=Best_Customers, Best_Customers_name,
I75&gt;=Loyal_Customers, Loyal_Customers_name,
I75&gt;=Average_Customers, Average_Customers_name,
TRUE, Lost_Customers_name)</f>
        <v>Lost Customers</v>
      </c>
    </row>
    <row r="76" spans="1:10" x14ac:dyDescent="0.25">
      <c r="A76" s="25" t="str">
        <v>CUST_0067</v>
      </c>
      <c r="B76" s="16">
        <f t="shared" si="5"/>
        <v>36</v>
      </c>
      <c r="C76" s="16">
        <f t="shared" si="6"/>
        <v>3</v>
      </c>
      <c r="D76" s="17">
        <f t="shared" si="7"/>
        <v>394.82</v>
      </c>
      <c r="E76" s="18" cm="1">
        <f t="array" ref="E76">_xlfn.IFS(
B76&lt;=recencyQ1, 4,
B76&lt;=recencyQ2, 3,
B76&lt;=recencyQ3, 2,
TRUE, 1
)</f>
        <v>3</v>
      </c>
      <c r="F76" s="18" cm="1">
        <f t="array" ref="F76">_xlfn.IFS(
C76&lt;=frequencyQ1, 1,
C76&lt;=frequencyQ2, 2,
C76&lt;=frequencyQ3, 3,
TRUE, 4)</f>
        <v>1</v>
      </c>
      <c r="G76" s="18" cm="1">
        <f t="array" ref="G76">_xlfn.IFS(
D76&lt;=monetaryQ1, 1,
D76&lt;=monetaryQ2, 2,
D76&lt;=monetaryQ3, 3,
TRUE, 4)</f>
        <v>2</v>
      </c>
      <c r="H76" s="18" t="str">
        <f t="shared" si="8"/>
        <v>312</v>
      </c>
      <c r="I76" s="19">
        <f t="shared" si="9"/>
        <v>2</v>
      </c>
      <c r="J76" s="7" t="str" cm="1">
        <f t="array" ref="J76">_xlfn.IFS(
I76&gt;=Best_Customers, Best_Customers_name,
I76&gt;=Loyal_Customers, Loyal_Customers_name,
I76&gt;=Average_Customers, Average_Customers_name,
TRUE, Lost_Customers_name)</f>
        <v>Average Customers</v>
      </c>
    </row>
    <row r="77" spans="1:10" x14ac:dyDescent="0.25">
      <c r="A77" s="25" t="str">
        <v>CUST_0068</v>
      </c>
      <c r="B77" s="16">
        <f t="shared" si="5"/>
        <v>32</v>
      </c>
      <c r="C77" s="16">
        <f t="shared" si="6"/>
        <v>7</v>
      </c>
      <c r="D77" s="17">
        <f t="shared" si="7"/>
        <v>768.96999999999991</v>
      </c>
      <c r="E77" s="18" cm="1">
        <f t="array" ref="E77">_xlfn.IFS(
B77&lt;=recencyQ1, 4,
B77&lt;=recencyQ2, 3,
B77&lt;=recencyQ3, 2,
TRUE, 1
)</f>
        <v>3</v>
      </c>
      <c r="F77" s="18" cm="1">
        <f t="array" ref="F77">_xlfn.IFS(
C77&lt;=frequencyQ1, 1,
C77&lt;=frequencyQ2, 2,
C77&lt;=frequencyQ3, 3,
TRUE, 4)</f>
        <v>4</v>
      </c>
      <c r="G77" s="18" cm="1">
        <f t="array" ref="G77">_xlfn.IFS(
D77&lt;=monetaryQ1, 1,
D77&lt;=monetaryQ2, 2,
D77&lt;=monetaryQ3, 3,
TRUE, 4)</f>
        <v>4</v>
      </c>
      <c r="H77" s="18" t="str">
        <f t="shared" si="8"/>
        <v>344</v>
      </c>
      <c r="I77" s="19">
        <f t="shared" si="9"/>
        <v>3.6666666666666665</v>
      </c>
      <c r="J77" s="7" t="str" cm="1">
        <f t="array" ref="J77">_xlfn.IFS(
I77&gt;=Best_Customers, Best_Customers_name,
I77&gt;=Loyal_Customers, Loyal_Customers_name,
I77&gt;=Average_Customers, Average_Customers_name,
TRUE, Lost_Customers_name)</f>
        <v>Best Customers</v>
      </c>
    </row>
    <row r="78" spans="1:10" x14ac:dyDescent="0.25">
      <c r="A78" s="25" t="str">
        <v>CUST_0069</v>
      </c>
      <c r="B78" s="16">
        <f t="shared" si="5"/>
        <v>104</v>
      </c>
      <c r="C78" s="16">
        <f t="shared" si="6"/>
        <v>4</v>
      </c>
      <c r="D78" s="17">
        <f t="shared" si="7"/>
        <v>427.08</v>
      </c>
      <c r="E78" s="18" cm="1">
        <f t="array" ref="E78">_xlfn.IFS(
B78&lt;=recencyQ1, 4,
B78&lt;=recencyQ2, 3,
B78&lt;=recencyQ3, 2,
TRUE, 1
)</f>
        <v>1</v>
      </c>
      <c r="F78" s="18" cm="1">
        <f t="array" ref="F78">_xlfn.IFS(
C78&lt;=frequencyQ1, 1,
C78&lt;=frequencyQ2, 2,
C78&lt;=frequencyQ3, 3,
TRUE, 4)</f>
        <v>2</v>
      </c>
      <c r="G78" s="18" cm="1">
        <f t="array" ref="G78">_xlfn.IFS(
D78&lt;=monetaryQ1, 1,
D78&lt;=monetaryQ2, 2,
D78&lt;=monetaryQ3, 3,
TRUE, 4)</f>
        <v>2</v>
      </c>
      <c r="H78" s="18" t="str">
        <f t="shared" si="8"/>
        <v>122</v>
      </c>
      <c r="I78" s="19">
        <f t="shared" si="9"/>
        <v>1.6666666666666667</v>
      </c>
      <c r="J78" s="7" t="str" cm="1">
        <f t="array" ref="J78">_xlfn.IFS(
I78&gt;=Best_Customers, Best_Customers_name,
I78&gt;=Loyal_Customers, Loyal_Customers_name,
I78&gt;=Average_Customers, Average_Customers_name,
TRUE, Lost_Customers_name)</f>
        <v>Average Customers</v>
      </c>
    </row>
    <row r="79" spans="1:10" x14ac:dyDescent="0.25">
      <c r="A79" s="25" t="str">
        <v>CUST_0071</v>
      </c>
      <c r="B79" s="16">
        <f t="shared" si="5"/>
        <v>32</v>
      </c>
      <c r="C79" s="16">
        <f t="shared" si="6"/>
        <v>4</v>
      </c>
      <c r="D79" s="17">
        <f t="shared" si="7"/>
        <v>420.41</v>
      </c>
      <c r="E79" s="18" cm="1">
        <f t="array" ref="E79">_xlfn.IFS(
B79&lt;=recencyQ1, 4,
B79&lt;=recencyQ2, 3,
B79&lt;=recencyQ3, 2,
TRUE, 1
)</f>
        <v>3</v>
      </c>
      <c r="F79" s="18" cm="1">
        <f t="array" ref="F79">_xlfn.IFS(
C79&lt;=frequencyQ1, 1,
C79&lt;=frequencyQ2, 2,
C79&lt;=frequencyQ3, 3,
TRUE, 4)</f>
        <v>2</v>
      </c>
      <c r="G79" s="18" cm="1">
        <f t="array" ref="G79">_xlfn.IFS(
D79&lt;=monetaryQ1, 1,
D79&lt;=monetaryQ2, 2,
D79&lt;=monetaryQ3, 3,
TRUE, 4)</f>
        <v>2</v>
      </c>
      <c r="H79" s="18" t="str">
        <f t="shared" si="8"/>
        <v>322</v>
      </c>
      <c r="I79" s="19">
        <f t="shared" si="9"/>
        <v>2.3333333333333335</v>
      </c>
      <c r="J79" s="7" t="str" cm="1">
        <f t="array" ref="J79">_xlfn.IFS(
I79&gt;=Best_Customers, Best_Customers_name,
I79&gt;=Loyal_Customers, Loyal_Customers_name,
I79&gt;=Average_Customers, Average_Customers_name,
TRUE, Lost_Customers_name)</f>
        <v>Average Customers</v>
      </c>
    </row>
    <row r="80" spans="1:10" x14ac:dyDescent="0.25">
      <c r="A80" s="25" t="str">
        <v>CUST_0072</v>
      </c>
      <c r="B80" s="16">
        <f t="shared" si="5"/>
        <v>37</v>
      </c>
      <c r="C80" s="16">
        <f t="shared" si="6"/>
        <v>7</v>
      </c>
      <c r="D80" s="17">
        <f t="shared" si="7"/>
        <v>741.30000000000007</v>
      </c>
      <c r="E80" s="18" cm="1">
        <f t="array" ref="E80">_xlfn.IFS(
B80&lt;=recencyQ1, 4,
B80&lt;=recencyQ2, 3,
B80&lt;=recencyQ3, 2,
TRUE, 1
)</f>
        <v>3</v>
      </c>
      <c r="F80" s="18" cm="1">
        <f t="array" ref="F80">_xlfn.IFS(
C80&lt;=frequencyQ1, 1,
C80&lt;=frequencyQ2, 2,
C80&lt;=frequencyQ3, 3,
TRUE, 4)</f>
        <v>4</v>
      </c>
      <c r="G80" s="18" cm="1">
        <f t="array" ref="G80">_xlfn.IFS(
D80&lt;=monetaryQ1, 1,
D80&lt;=monetaryQ2, 2,
D80&lt;=monetaryQ3, 3,
TRUE, 4)</f>
        <v>4</v>
      </c>
      <c r="H80" s="18" t="str">
        <f t="shared" si="8"/>
        <v>344</v>
      </c>
      <c r="I80" s="19">
        <f t="shared" si="9"/>
        <v>3.6666666666666665</v>
      </c>
      <c r="J80" s="7" t="str" cm="1">
        <f t="array" ref="J80">_xlfn.IFS(
I80&gt;=Best_Customers, Best_Customers_name,
I80&gt;=Loyal_Customers, Loyal_Customers_name,
I80&gt;=Average_Customers, Average_Customers_name,
TRUE, Lost_Customers_name)</f>
        <v>Best Customers</v>
      </c>
    </row>
    <row r="81" spans="1:10" x14ac:dyDescent="0.25">
      <c r="A81" s="25" t="str">
        <v>CUST_0073</v>
      </c>
      <c r="B81" s="16">
        <f t="shared" si="5"/>
        <v>167</v>
      </c>
      <c r="C81" s="16">
        <f t="shared" si="6"/>
        <v>2</v>
      </c>
      <c r="D81" s="17">
        <f t="shared" si="7"/>
        <v>221.01</v>
      </c>
      <c r="E81" s="18" cm="1">
        <f t="array" ref="E81">_xlfn.IFS(
B81&lt;=recencyQ1, 4,
B81&lt;=recencyQ2, 3,
B81&lt;=recencyQ3, 2,
TRUE, 1
)</f>
        <v>1</v>
      </c>
      <c r="F81" s="18" cm="1">
        <f t="array" ref="F81">_xlfn.IFS(
C81&lt;=frequencyQ1, 1,
C81&lt;=frequencyQ2, 2,
C81&lt;=frequencyQ3, 3,
TRUE, 4)</f>
        <v>1</v>
      </c>
      <c r="G81" s="18" cm="1">
        <f t="array" ref="G81">_xlfn.IFS(
D81&lt;=monetaryQ1, 1,
D81&lt;=monetaryQ2, 2,
D81&lt;=monetaryQ3, 3,
TRUE, 4)</f>
        <v>1</v>
      </c>
      <c r="H81" s="18" t="str">
        <f t="shared" si="8"/>
        <v>111</v>
      </c>
      <c r="I81" s="19">
        <f t="shared" si="9"/>
        <v>1</v>
      </c>
      <c r="J81" s="7" t="str" cm="1">
        <f t="array" ref="J81">_xlfn.IFS(
I81&gt;=Best_Customers, Best_Customers_name,
I81&gt;=Loyal_Customers, Loyal_Customers_name,
I81&gt;=Average_Customers, Average_Customers_name,
TRUE, Lost_Customers_name)</f>
        <v>Lost Customers</v>
      </c>
    </row>
    <row r="82" spans="1:10" x14ac:dyDescent="0.25">
      <c r="A82" s="25" t="str">
        <v>CUST_0074</v>
      </c>
      <c r="B82" s="16">
        <f t="shared" si="5"/>
        <v>24</v>
      </c>
      <c r="C82" s="16">
        <f t="shared" si="6"/>
        <v>11</v>
      </c>
      <c r="D82" s="17">
        <f t="shared" si="7"/>
        <v>1016.7</v>
      </c>
      <c r="E82" s="18" cm="1">
        <f t="array" ref="E82">_xlfn.IFS(
B82&lt;=recencyQ1, 4,
B82&lt;=recencyQ2, 3,
B82&lt;=recencyQ3, 2,
TRUE, 1
)</f>
        <v>3</v>
      </c>
      <c r="F82" s="18" cm="1">
        <f t="array" ref="F82">_xlfn.IFS(
C82&lt;=frequencyQ1, 1,
C82&lt;=frequencyQ2, 2,
C82&lt;=frequencyQ3, 3,
TRUE, 4)</f>
        <v>4</v>
      </c>
      <c r="G82" s="18" cm="1">
        <f t="array" ref="G82">_xlfn.IFS(
D82&lt;=monetaryQ1, 1,
D82&lt;=monetaryQ2, 2,
D82&lt;=monetaryQ3, 3,
TRUE, 4)</f>
        <v>4</v>
      </c>
      <c r="H82" s="18" t="str">
        <f t="shared" si="8"/>
        <v>344</v>
      </c>
      <c r="I82" s="19">
        <f t="shared" si="9"/>
        <v>3.6666666666666665</v>
      </c>
      <c r="J82" s="7" t="str" cm="1">
        <f t="array" ref="J82">_xlfn.IFS(
I82&gt;=Best_Customers, Best_Customers_name,
I82&gt;=Loyal_Customers, Loyal_Customers_name,
I82&gt;=Average_Customers, Average_Customers_name,
TRUE, Lost_Customers_name)</f>
        <v>Best Customers</v>
      </c>
    </row>
    <row r="83" spans="1:10" x14ac:dyDescent="0.25">
      <c r="A83" s="25" t="str">
        <v>CUST_0075</v>
      </c>
      <c r="B83" s="16">
        <f t="shared" si="5"/>
        <v>60</v>
      </c>
      <c r="C83" s="16">
        <f t="shared" si="6"/>
        <v>5</v>
      </c>
      <c r="D83" s="17">
        <f t="shared" si="7"/>
        <v>549.79</v>
      </c>
      <c r="E83" s="18" cm="1">
        <f t="array" ref="E83">_xlfn.IFS(
B83&lt;=recencyQ1, 4,
B83&lt;=recencyQ2, 3,
B83&lt;=recencyQ3, 2,
TRUE, 1
)</f>
        <v>2</v>
      </c>
      <c r="F83" s="18" cm="1">
        <f t="array" ref="F83">_xlfn.IFS(
C83&lt;=frequencyQ1, 1,
C83&lt;=frequencyQ2, 2,
C83&lt;=frequencyQ3, 3,
TRUE, 4)</f>
        <v>2</v>
      </c>
      <c r="G83" s="18" cm="1">
        <f t="array" ref="G83">_xlfn.IFS(
D83&lt;=monetaryQ1, 1,
D83&lt;=monetaryQ2, 2,
D83&lt;=monetaryQ3, 3,
TRUE, 4)</f>
        <v>3</v>
      </c>
      <c r="H83" s="18" t="str">
        <f t="shared" si="8"/>
        <v>223</v>
      </c>
      <c r="I83" s="19">
        <f t="shared" si="9"/>
        <v>2.3333333333333335</v>
      </c>
      <c r="J83" s="7" t="str" cm="1">
        <f t="array" ref="J83">_xlfn.IFS(
I83&gt;=Best_Customers, Best_Customers_name,
I83&gt;=Loyal_Customers, Loyal_Customers_name,
I83&gt;=Average_Customers, Average_Customers_name,
TRUE, Lost_Customers_name)</f>
        <v>Average Customers</v>
      </c>
    </row>
    <row r="84" spans="1:10" x14ac:dyDescent="0.25">
      <c r="A84" s="25" t="str">
        <v>CUST_0076</v>
      </c>
      <c r="B84" s="16">
        <f t="shared" si="5"/>
        <v>103</v>
      </c>
      <c r="C84" s="16">
        <f t="shared" si="6"/>
        <v>2</v>
      </c>
      <c r="D84" s="17">
        <f t="shared" si="7"/>
        <v>163.72</v>
      </c>
      <c r="E84" s="18" cm="1">
        <f t="array" ref="E84">_xlfn.IFS(
B84&lt;=recencyQ1, 4,
B84&lt;=recencyQ2, 3,
B84&lt;=recencyQ3, 2,
TRUE, 1
)</f>
        <v>1</v>
      </c>
      <c r="F84" s="18" cm="1">
        <f t="array" ref="F84">_xlfn.IFS(
C84&lt;=frequencyQ1, 1,
C84&lt;=frequencyQ2, 2,
C84&lt;=frequencyQ3, 3,
TRUE, 4)</f>
        <v>1</v>
      </c>
      <c r="G84" s="18" cm="1">
        <f t="array" ref="G84">_xlfn.IFS(
D84&lt;=monetaryQ1, 1,
D84&lt;=monetaryQ2, 2,
D84&lt;=monetaryQ3, 3,
TRUE, 4)</f>
        <v>1</v>
      </c>
      <c r="H84" s="18" t="str">
        <f t="shared" si="8"/>
        <v>111</v>
      </c>
      <c r="I84" s="19">
        <f t="shared" si="9"/>
        <v>1</v>
      </c>
      <c r="J84" s="7" t="str" cm="1">
        <f t="array" ref="J84">_xlfn.IFS(
I84&gt;=Best_Customers, Best_Customers_name,
I84&gt;=Loyal_Customers, Loyal_Customers_name,
I84&gt;=Average_Customers, Average_Customers_name,
TRUE, Lost_Customers_name)</f>
        <v>Lost Customers</v>
      </c>
    </row>
    <row r="85" spans="1:10" x14ac:dyDescent="0.25">
      <c r="A85" s="25" t="str">
        <v>CUST_0077</v>
      </c>
      <c r="B85" s="16">
        <f t="shared" si="5"/>
        <v>48</v>
      </c>
      <c r="C85" s="16">
        <f t="shared" si="6"/>
        <v>6</v>
      </c>
      <c r="D85" s="17">
        <f t="shared" si="7"/>
        <v>716.08</v>
      </c>
      <c r="E85" s="18" cm="1">
        <f t="array" ref="E85">_xlfn.IFS(
B85&lt;=recencyQ1, 4,
B85&lt;=recencyQ2, 3,
B85&lt;=recencyQ3, 2,
TRUE, 1
)</f>
        <v>3</v>
      </c>
      <c r="F85" s="18" cm="1">
        <f t="array" ref="F85">_xlfn.IFS(
C85&lt;=frequencyQ1, 1,
C85&lt;=frequencyQ2, 2,
C85&lt;=frequencyQ3, 3,
TRUE, 4)</f>
        <v>3</v>
      </c>
      <c r="G85" s="18" cm="1">
        <f t="array" ref="G85">_xlfn.IFS(
D85&lt;=monetaryQ1, 1,
D85&lt;=monetaryQ2, 2,
D85&lt;=monetaryQ3, 3,
TRUE, 4)</f>
        <v>4</v>
      </c>
      <c r="H85" s="18" t="str">
        <f t="shared" si="8"/>
        <v>334</v>
      </c>
      <c r="I85" s="19">
        <f t="shared" si="9"/>
        <v>3.3333333333333335</v>
      </c>
      <c r="J85" s="7" t="str" cm="1">
        <f t="array" ref="J85">_xlfn.IFS(
I85&gt;=Best_Customers, Best_Customers_name,
I85&gt;=Loyal_Customers, Loyal_Customers_name,
I85&gt;=Average_Customers, Average_Customers_name,
TRUE, Lost_Customers_name)</f>
        <v>Loyal Customers</v>
      </c>
    </row>
    <row r="86" spans="1:10" x14ac:dyDescent="0.25">
      <c r="A86" s="25" t="str">
        <v>CUST_0078</v>
      </c>
      <c r="B86" s="16">
        <f t="shared" si="5"/>
        <v>16</v>
      </c>
      <c r="C86" s="16">
        <f t="shared" si="6"/>
        <v>4</v>
      </c>
      <c r="D86" s="17">
        <f t="shared" si="7"/>
        <v>317.33</v>
      </c>
      <c r="E86" s="18" cm="1">
        <f t="array" ref="E86">_xlfn.IFS(
B86&lt;=recencyQ1, 4,
B86&lt;=recencyQ2, 3,
B86&lt;=recencyQ3, 2,
TRUE, 1
)</f>
        <v>4</v>
      </c>
      <c r="F86" s="18" cm="1">
        <f t="array" ref="F86">_xlfn.IFS(
C86&lt;=frequencyQ1, 1,
C86&lt;=frequencyQ2, 2,
C86&lt;=frequencyQ3, 3,
TRUE, 4)</f>
        <v>2</v>
      </c>
      <c r="G86" s="18" cm="1">
        <f t="array" ref="G86">_xlfn.IFS(
D86&lt;=monetaryQ1, 1,
D86&lt;=monetaryQ2, 2,
D86&lt;=monetaryQ3, 3,
TRUE, 4)</f>
        <v>1</v>
      </c>
      <c r="H86" s="18" t="str">
        <f t="shared" si="8"/>
        <v>421</v>
      </c>
      <c r="I86" s="19">
        <f t="shared" si="9"/>
        <v>2.3333333333333335</v>
      </c>
      <c r="J86" s="7" t="str" cm="1">
        <f t="array" ref="J86">_xlfn.IFS(
I86&gt;=Best_Customers, Best_Customers_name,
I86&gt;=Loyal_Customers, Loyal_Customers_name,
I86&gt;=Average_Customers, Average_Customers_name,
TRUE, Lost_Customers_name)</f>
        <v>Average Customers</v>
      </c>
    </row>
    <row r="87" spans="1:10" x14ac:dyDescent="0.25">
      <c r="A87" s="25" t="str">
        <v>CUST_0079</v>
      </c>
      <c r="B87" s="16">
        <f t="shared" si="5"/>
        <v>48</v>
      </c>
      <c r="C87" s="16">
        <f t="shared" si="6"/>
        <v>2</v>
      </c>
      <c r="D87" s="17">
        <f t="shared" si="7"/>
        <v>90.37</v>
      </c>
      <c r="E87" s="18" cm="1">
        <f t="array" ref="E87">_xlfn.IFS(
B87&lt;=recencyQ1, 4,
B87&lt;=recencyQ2, 3,
B87&lt;=recencyQ3, 2,
TRUE, 1
)</f>
        <v>3</v>
      </c>
      <c r="F87" s="18" cm="1">
        <f t="array" ref="F87">_xlfn.IFS(
C87&lt;=frequencyQ1, 1,
C87&lt;=frequencyQ2, 2,
C87&lt;=frequencyQ3, 3,
TRUE, 4)</f>
        <v>1</v>
      </c>
      <c r="G87" s="18" cm="1">
        <f t="array" ref="G87">_xlfn.IFS(
D87&lt;=monetaryQ1, 1,
D87&lt;=monetaryQ2, 2,
D87&lt;=monetaryQ3, 3,
TRUE, 4)</f>
        <v>1</v>
      </c>
      <c r="H87" s="18" t="str">
        <f t="shared" si="8"/>
        <v>311</v>
      </c>
      <c r="I87" s="19">
        <f t="shared" si="9"/>
        <v>1.6666666666666667</v>
      </c>
      <c r="J87" s="7" t="str" cm="1">
        <f t="array" ref="J87">_xlfn.IFS(
I87&gt;=Best_Customers, Best_Customers_name,
I87&gt;=Loyal_Customers, Loyal_Customers_name,
I87&gt;=Average_Customers, Average_Customers_name,
TRUE, Lost_Customers_name)</f>
        <v>Average Customers</v>
      </c>
    </row>
    <row r="88" spans="1:10" x14ac:dyDescent="0.25">
      <c r="A88" s="25" t="str">
        <v>CUST_0080</v>
      </c>
      <c r="B88" s="16">
        <f t="shared" si="5"/>
        <v>2</v>
      </c>
      <c r="C88" s="16">
        <f t="shared" si="6"/>
        <v>5</v>
      </c>
      <c r="D88" s="17">
        <f t="shared" si="7"/>
        <v>473.99</v>
      </c>
      <c r="E88" s="18" cm="1">
        <f t="array" ref="E88">_xlfn.IFS(
B88&lt;=recencyQ1, 4,
B88&lt;=recencyQ2, 3,
B88&lt;=recencyQ3, 2,
TRUE, 1
)</f>
        <v>4</v>
      </c>
      <c r="F88" s="18" cm="1">
        <f t="array" ref="F88">_xlfn.IFS(
C88&lt;=frequencyQ1, 1,
C88&lt;=frequencyQ2, 2,
C88&lt;=frequencyQ3, 3,
TRUE, 4)</f>
        <v>2</v>
      </c>
      <c r="G88" s="18" cm="1">
        <f t="array" ref="G88">_xlfn.IFS(
D88&lt;=monetaryQ1, 1,
D88&lt;=monetaryQ2, 2,
D88&lt;=monetaryQ3, 3,
TRUE, 4)</f>
        <v>2</v>
      </c>
      <c r="H88" s="18" t="str">
        <f t="shared" si="8"/>
        <v>422</v>
      </c>
      <c r="I88" s="19">
        <f t="shared" si="9"/>
        <v>2.6666666666666665</v>
      </c>
      <c r="J88" s="7" t="str" cm="1">
        <f t="array" ref="J88">_xlfn.IFS(
I88&gt;=Best_Customers, Best_Customers_name,
I88&gt;=Loyal_Customers, Loyal_Customers_name,
I88&gt;=Average_Customers, Average_Customers_name,
TRUE, Lost_Customers_name)</f>
        <v>Loyal Customers</v>
      </c>
    </row>
    <row r="89" spans="1:10" x14ac:dyDescent="0.25">
      <c r="A89" s="25" t="str">
        <v>CUST_0081</v>
      </c>
      <c r="B89" s="16">
        <f t="shared" si="5"/>
        <v>98</v>
      </c>
      <c r="C89" s="16">
        <f t="shared" si="6"/>
        <v>4</v>
      </c>
      <c r="D89" s="17">
        <f t="shared" si="7"/>
        <v>416.55000000000007</v>
      </c>
      <c r="E89" s="18" cm="1">
        <f t="array" ref="E89">_xlfn.IFS(
B89&lt;=recencyQ1, 4,
B89&lt;=recencyQ2, 3,
B89&lt;=recencyQ3, 2,
TRUE, 1
)</f>
        <v>1</v>
      </c>
      <c r="F89" s="18" cm="1">
        <f t="array" ref="F89">_xlfn.IFS(
C89&lt;=frequencyQ1, 1,
C89&lt;=frequencyQ2, 2,
C89&lt;=frequencyQ3, 3,
TRUE, 4)</f>
        <v>2</v>
      </c>
      <c r="G89" s="18" cm="1">
        <f t="array" ref="G89">_xlfn.IFS(
D89&lt;=monetaryQ1, 1,
D89&lt;=monetaryQ2, 2,
D89&lt;=monetaryQ3, 3,
TRUE, 4)</f>
        <v>2</v>
      </c>
      <c r="H89" s="18" t="str">
        <f t="shared" si="8"/>
        <v>122</v>
      </c>
      <c r="I89" s="19">
        <f t="shared" si="9"/>
        <v>1.6666666666666667</v>
      </c>
      <c r="J89" s="7" t="str" cm="1">
        <f t="array" ref="J89">_xlfn.IFS(
I89&gt;=Best_Customers, Best_Customers_name,
I89&gt;=Loyal_Customers, Loyal_Customers_name,
I89&gt;=Average_Customers, Average_Customers_name,
TRUE, Lost_Customers_name)</f>
        <v>Average Customers</v>
      </c>
    </row>
    <row r="90" spans="1:10" x14ac:dyDescent="0.25">
      <c r="A90" s="25" t="str">
        <v>CUST_0082</v>
      </c>
      <c r="B90" s="16">
        <f t="shared" si="5"/>
        <v>143</v>
      </c>
      <c r="C90" s="16">
        <f t="shared" si="6"/>
        <v>4</v>
      </c>
      <c r="D90" s="17">
        <f t="shared" si="7"/>
        <v>448.26</v>
      </c>
      <c r="E90" s="18" cm="1">
        <f t="array" ref="E90">_xlfn.IFS(
B90&lt;=recencyQ1, 4,
B90&lt;=recencyQ2, 3,
B90&lt;=recencyQ3, 2,
TRUE, 1
)</f>
        <v>1</v>
      </c>
      <c r="F90" s="18" cm="1">
        <f t="array" ref="F90">_xlfn.IFS(
C90&lt;=frequencyQ1, 1,
C90&lt;=frequencyQ2, 2,
C90&lt;=frequencyQ3, 3,
TRUE, 4)</f>
        <v>2</v>
      </c>
      <c r="G90" s="18" cm="1">
        <f t="array" ref="G90">_xlfn.IFS(
D90&lt;=monetaryQ1, 1,
D90&lt;=monetaryQ2, 2,
D90&lt;=monetaryQ3, 3,
TRUE, 4)</f>
        <v>2</v>
      </c>
      <c r="H90" s="18" t="str">
        <f t="shared" si="8"/>
        <v>122</v>
      </c>
      <c r="I90" s="19">
        <f t="shared" si="9"/>
        <v>1.6666666666666667</v>
      </c>
      <c r="J90" s="7" t="str" cm="1">
        <f t="array" ref="J90">_xlfn.IFS(
I90&gt;=Best_Customers, Best_Customers_name,
I90&gt;=Loyal_Customers, Loyal_Customers_name,
I90&gt;=Average_Customers, Average_Customers_name,
TRUE, Lost_Customers_name)</f>
        <v>Average Customers</v>
      </c>
    </row>
    <row r="91" spans="1:10" x14ac:dyDescent="0.25">
      <c r="A91" s="25" t="str">
        <v>CUST_0083</v>
      </c>
      <c r="B91" s="16">
        <f t="shared" si="5"/>
        <v>54</v>
      </c>
      <c r="C91" s="16">
        <f t="shared" si="6"/>
        <v>10</v>
      </c>
      <c r="D91" s="17">
        <f t="shared" si="7"/>
        <v>1108.3900000000001</v>
      </c>
      <c r="E91" s="18" cm="1">
        <f t="array" ref="E91">_xlfn.IFS(
B91&lt;=recencyQ1, 4,
B91&lt;=recencyQ2, 3,
B91&lt;=recencyQ3, 2,
TRUE, 1
)</f>
        <v>2</v>
      </c>
      <c r="F91" s="18" cm="1">
        <f t="array" ref="F91">_xlfn.IFS(
C91&lt;=frequencyQ1, 1,
C91&lt;=frequencyQ2, 2,
C91&lt;=frequencyQ3, 3,
TRUE, 4)</f>
        <v>4</v>
      </c>
      <c r="G91" s="18" cm="1">
        <f t="array" ref="G91">_xlfn.IFS(
D91&lt;=monetaryQ1, 1,
D91&lt;=monetaryQ2, 2,
D91&lt;=monetaryQ3, 3,
TRUE, 4)</f>
        <v>4</v>
      </c>
      <c r="H91" s="18" t="str">
        <f t="shared" si="8"/>
        <v>244</v>
      </c>
      <c r="I91" s="19">
        <f t="shared" si="9"/>
        <v>3.3333333333333335</v>
      </c>
      <c r="J91" s="7" t="str" cm="1">
        <f t="array" ref="J91">_xlfn.IFS(
I91&gt;=Best_Customers, Best_Customers_name,
I91&gt;=Loyal_Customers, Loyal_Customers_name,
I91&gt;=Average_Customers, Average_Customers_name,
TRUE, Lost_Customers_name)</f>
        <v>Loyal Customers</v>
      </c>
    </row>
    <row r="92" spans="1:10" x14ac:dyDescent="0.25">
      <c r="A92" s="25" t="str">
        <v>CUST_0084</v>
      </c>
      <c r="B92" s="16">
        <f t="shared" si="5"/>
        <v>311</v>
      </c>
      <c r="C92" s="16">
        <f t="shared" si="6"/>
        <v>3</v>
      </c>
      <c r="D92" s="17">
        <f t="shared" si="7"/>
        <v>276.94</v>
      </c>
      <c r="E92" s="18" cm="1">
        <f t="array" ref="E92">_xlfn.IFS(
B92&lt;=recencyQ1, 4,
B92&lt;=recencyQ2, 3,
B92&lt;=recencyQ3, 2,
TRUE, 1
)</f>
        <v>1</v>
      </c>
      <c r="F92" s="18" cm="1">
        <f t="array" ref="F92">_xlfn.IFS(
C92&lt;=frequencyQ1, 1,
C92&lt;=frequencyQ2, 2,
C92&lt;=frequencyQ3, 3,
TRUE, 4)</f>
        <v>1</v>
      </c>
      <c r="G92" s="18" cm="1">
        <f t="array" ref="G92">_xlfn.IFS(
D92&lt;=monetaryQ1, 1,
D92&lt;=monetaryQ2, 2,
D92&lt;=monetaryQ3, 3,
TRUE, 4)</f>
        <v>1</v>
      </c>
      <c r="H92" s="18" t="str">
        <f t="shared" si="8"/>
        <v>111</v>
      </c>
      <c r="I92" s="19">
        <f t="shared" si="9"/>
        <v>1</v>
      </c>
      <c r="J92" s="7" t="str" cm="1">
        <f t="array" ref="J92">_xlfn.IFS(
I92&gt;=Best_Customers, Best_Customers_name,
I92&gt;=Loyal_Customers, Loyal_Customers_name,
I92&gt;=Average_Customers, Average_Customers_name,
TRUE, Lost_Customers_name)</f>
        <v>Lost Customers</v>
      </c>
    </row>
    <row r="93" spans="1:10" x14ac:dyDescent="0.25">
      <c r="A93" s="25" t="str">
        <v>CUST_0085</v>
      </c>
      <c r="B93" s="16">
        <f t="shared" si="5"/>
        <v>3</v>
      </c>
      <c r="C93" s="16">
        <f t="shared" si="6"/>
        <v>7</v>
      </c>
      <c r="D93" s="17">
        <f t="shared" si="7"/>
        <v>831.6</v>
      </c>
      <c r="E93" s="18" cm="1">
        <f t="array" ref="E93">_xlfn.IFS(
B93&lt;=recencyQ1, 4,
B93&lt;=recencyQ2, 3,
B93&lt;=recencyQ3, 2,
TRUE, 1
)</f>
        <v>4</v>
      </c>
      <c r="F93" s="18" cm="1">
        <f t="array" ref="F93">_xlfn.IFS(
C93&lt;=frequencyQ1, 1,
C93&lt;=frequencyQ2, 2,
C93&lt;=frequencyQ3, 3,
TRUE, 4)</f>
        <v>4</v>
      </c>
      <c r="G93" s="18" cm="1">
        <f t="array" ref="G93">_xlfn.IFS(
D93&lt;=monetaryQ1, 1,
D93&lt;=monetaryQ2, 2,
D93&lt;=monetaryQ3, 3,
TRUE, 4)</f>
        <v>4</v>
      </c>
      <c r="H93" s="18" t="str">
        <f t="shared" si="8"/>
        <v>444</v>
      </c>
      <c r="I93" s="19">
        <f t="shared" si="9"/>
        <v>4</v>
      </c>
      <c r="J93" s="7" t="str" cm="1">
        <f t="array" ref="J93">_xlfn.IFS(
I93&gt;=Best_Customers, Best_Customers_name,
I93&gt;=Loyal_Customers, Loyal_Customers_name,
I93&gt;=Average_Customers, Average_Customers_name,
TRUE, Lost_Customers_name)</f>
        <v>Best Customers</v>
      </c>
    </row>
    <row r="94" spans="1:10" x14ac:dyDescent="0.25">
      <c r="A94" s="25" t="str">
        <v>CUST_0086</v>
      </c>
      <c r="B94" s="16">
        <f t="shared" si="5"/>
        <v>24</v>
      </c>
      <c r="C94" s="16">
        <f t="shared" si="6"/>
        <v>6</v>
      </c>
      <c r="D94" s="17">
        <f t="shared" si="7"/>
        <v>612.37000000000012</v>
      </c>
      <c r="E94" s="18" cm="1">
        <f t="array" ref="E94">_xlfn.IFS(
B94&lt;=recencyQ1, 4,
B94&lt;=recencyQ2, 3,
B94&lt;=recencyQ3, 2,
TRUE, 1
)</f>
        <v>3</v>
      </c>
      <c r="F94" s="18" cm="1">
        <f t="array" ref="F94">_xlfn.IFS(
C94&lt;=frequencyQ1, 1,
C94&lt;=frequencyQ2, 2,
C94&lt;=frequencyQ3, 3,
TRUE, 4)</f>
        <v>3</v>
      </c>
      <c r="G94" s="18" cm="1">
        <f t="array" ref="G94">_xlfn.IFS(
D94&lt;=monetaryQ1, 1,
D94&lt;=monetaryQ2, 2,
D94&lt;=monetaryQ3, 3,
TRUE, 4)</f>
        <v>3</v>
      </c>
      <c r="H94" s="18" t="str">
        <f t="shared" si="8"/>
        <v>333</v>
      </c>
      <c r="I94" s="19">
        <f t="shared" si="9"/>
        <v>3</v>
      </c>
      <c r="J94" s="7" t="str" cm="1">
        <f t="array" ref="J94">_xlfn.IFS(
I94&gt;=Best_Customers, Best_Customers_name,
I94&gt;=Loyal_Customers, Loyal_Customers_name,
I94&gt;=Average_Customers, Average_Customers_name,
TRUE, Lost_Customers_name)</f>
        <v>Loyal Customers</v>
      </c>
    </row>
    <row r="95" spans="1:10" x14ac:dyDescent="0.25">
      <c r="A95" s="25" t="str">
        <v>CUST_0087</v>
      </c>
      <c r="B95" s="16">
        <f t="shared" si="5"/>
        <v>29</v>
      </c>
      <c r="C95" s="16">
        <f t="shared" si="6"/>
        <v>4</v>
      </c>
      <c r="D95" s="17">
        <f t="shared" si="7"/>
        <v>419.81</v>
      </c>
      <c r="E95" s="18" cm="1">
        <f t="array" ref="E95">_xlfn.IFS(
B95&lt;=recencyQ1, 4,
B95&lt;=recencyQ2, 3,
B95&lt;=recencyQ3, 2,
TRUE, 1
)</f>
        <v>3</v>
      </c>
      <c r="F95" s="18" cm="1">
        <f t="array" ref="F95">_xlfn.IFS(
C95&lt;=frequencyQ1, 1,
C95&lt;=frequencyQ2, 2,
C95&lt;=frequencyQ3, 3,
TRUE, 4)</f>
        <v>2</v>
      </c>
      <c r="G95" s="18" cm="1">
        <f t="array" ref="G95">_xlfn.IFS(
D95&lt;=monetaryQ1, 1,
D95&lt;=monetaryQ2, 2,
D95&lt;=monetaryQ3, 3,
TRUE, 4)</f>
        <v>2</v>
      </c>
      <c r="H95" s="18" t="str">
        <f t="shared" si="8"/>
        <v>322</v>
      </c>
      <c r="I95" s="19">
        <f t="shared" si="9"/>
        <v>2.3333333333333335</v>
      </c>
      <c r="J95" s="7" t="str" cm="1">
        <f t="array" ref="J95">_xlfn.IFS(
I95&gt;=Best_Customers, Best_Customers_name,
I95&gt;=Loyal_Customers, Loyal_Customers_name,
I95&gt;=Average_Customers, Average_Customers_name,
TRUE, Lost_Customers_name)</f>
        <v>Average Customers</v>
      </c>
    </row>
    <row r="96" spans="1:10" x14ac:dyDescent="0.25">
      <c r="A96" s="25" t="str">
        <v>CUST_0088</v>
      </c>
      <c r="B96" s="16">
        <f t="shared" si="5"/>
        <v>78</v>
      </c>
      <c r="C96" s="16">
        <f t="shared" si="6"/>
        <v>5</v>
      </c>
      <c r="D96" s="17">
        <f t="shared" si="7"/>
        <v>576.01</v>
      </c>
      <c r="E96" s="18" cm="1">
        <f t="array" ref="E96">_xlfn.IFS(
B96&lt;=recencyQ1, 4,
B96&lt;=recencyQ2, 3,
B96&lt;=recencyQ3, 2,
TRUE, 1
)</f>
        <v>2</v>
      </c>
      <c r="F96" s="18" cm="1">
        <f t="array" ref="F96">_xlfn.IFS(
C96&lt;=frequencyQ1, 1,
C96&lt;=frequencyQ2, 2,
C96&lt;=frequencyQ3, 3,
TRUE, 4)</f>
        <v>2</v>
      </c>
      <c r="G96" s="18" cm="1">
        <f t="array" ref="G96">_xlfn.IFS(
D96&lt;=monetaryQ1, 1,
D96&lt;=monetaryQ2, 2,
D96&lt;=monetaryQ3, 3,
TRUE, 4)</f>
        <v>3</v>
      </c>
      <c r="H96" s="18" t="str">
        <f t="shared" si="8"/>
        <v>223</v>
      </c>
      <c r="I96" s="19">
        <f t="shared" si="9"/>
        <v>2.3333333333333335</v>
      </c>
      <c r="J96" s="7" t="str" cm="1">
        <f t="array" ref="J96">_xlfn.IFS(
I96&gt;=Best_Customers, Best_Customers_name,
I96&gt;=Loyal_Customers, Loyal_Customers_name,
I96&gt;=Average_Customers, Average_Customers_name,
TRUE, Lost_Customers_name)</f>
        <v>Average Customers</v>
      </c>
    </row>
    <row r="97" spans="1:10" x14ac:dyDescent="0.25">
      <c r="A97" s="25" t="str">
        <v>CUST_0089</v>
      </c>
      <c r="B97" s="16">
        <f t="shared" si="5"/>
        <v>58</v>
      </c>
      <c r="C97" s="16">
        <f t="shared" si="6"/>
        <v>5</v>
      </c>
      <c r="D97" s="17">
        <f t="shared" si="7"/>
        <v>519.41999999999996</v>
      </c>
      <c r="E97" s="18" cm="1">
        <f t="array" ref="E97">_xlfn.IFS(
B97&lt;=recencyQ1, 4,
B97&lt;=recencyQ2, 3,
B97&lt;=recencyQ3, 2,
TRUE, 1
)</f>
        <v>2</v>
      </c>
      <c r="F97" s="18" cm="1">
        <f t="array" ref="F97">_xlfn.IFS(
C97&lt;=frequencyQ1, 1,
C97&lt;=frequencyQ2, 2,
C97&lt;=frequencyQ3, 3,
TRUE, 4)</f>
        <v>2</v>
      </c>
      <c r="G97" s="18" cm="1">
        <f t="array" ref="G97">_xlfn.IFS(
D97&lt;=monetaryQ1, 1,
D97&lt;=monetaryQ2, 2,
D97&lt;=monetaryQ3, 3,
TRUE, 4)</f>
        <v>3</v>
      </c>
      <c r="H97" s="18" t="str">
        <f t="shared" si="8"/>
        <v>223</v>
      </c>
      <c r="I97" s="19">
        <f t="shared" si="9"/>
        <v>2.3333333333333335</v>
      </c>
      <c r="J97" s="7" t="str" cm="1">
        <f t="array" ref="J97">_xlfn.IFS(
I97&gt;=Best_Customers, Best_Customers_name,
I97&gt;=Loyal_Customers, Loyal_Customers_name,
I97&gt;=Average_Customers, Average_Customers_name,
TRUE, Lost_Customers_name)</f>
        <v>Average Customers</v>
      </c>
    </row>
    <row r="98" spans="1:10" x14ac:dyDescent="0.25">
      <c r="A98" s="25" t="str">
        <v>CUST_0090</v>
      </c>
      <c r="B98" s="16">
        <f t="shared" si="5"/>
        <v>280</v>
      </c>
      <c r="C98" s="16">
        <f t="shared" si="6"/>
        <v>2</v>
      </c>
      <c r="D98" s="17">
        <f t="shared" si="7"/>
        <v>177.17000000000002</v>
      </c>
      <c r="E98" s="18" cm="1">
        <f t="array" ref="E98">_xlfn.IFS(
B98&lt;=recencyQ1, 4,
B98&lt;=recencyQ2, 3,
B98&lt;=recencyQ3, 2,
TRUE, 1
)</f>
        <v>1</v>
      </c>
      <c r="F98" s="18" cm="1">
        <f t="array" ref="F98">_xlfn.IFS(
C98&lt;=frequencyQ1, 1,
C98&lt;=frequencyQ2, 2,
C98&lt;=frequencyQ3, 3,
TRUE, 4)</f>
        <v>1</v>
      </c>
      <c r="G98" s="18" cm="1">
        <f t="array" ref="G98">_xlfn.IFS(
D98&lt;=monetaryQ1, 1,
D98&lt;=monetaryQ2, 2,
D98&lt;=monetaryQ3, 3,
TRUE, 4)</f>
        <v>1</v>
      </c>
      <c r="H98" s="18" t="str">
        <f t="shared" si="8"/>
        <v>111</v>
      </c>
      <c r="I98" s="19">
        <f t="shared" si="9"/>
        <v>1</v>
      </c>
      <c r="J98" s="7" t="str" cm="1">
        <f t="array" ref="J98">_xlfn.IFS(
I98&gt;=Best_Customers, Best_Customers_name,
I98&gt;=Loyal_Customers, Loyal_Customers_name,
I98&gt;=Average_Customers, Average_Customers_name,
TRUE, Lost_Customers_name)</f>
        <v>Lost Customers</v>
      </c>
    </row>
    <row r="99" spans="1:10" x14ac:dyDescent="0.25">
      <c r="A99" s="25" t="str">
        <v>CUST_0091</v>
      </c>
      <c r="B99" s="16">
        <f t="shared" si="5"/>
        <v>92</v>
      </c>
      <c r="C99" s="16">
        <f t="shared" si="6"/>
        <v>6</v>
      </c>
      <c r="D99" s="17">
        <f t="shared" si="7"/>
        <v>548.43000000000006</v>
      </c>
      <c r="E99" s="18" cm="1">
        <f t="array" ref="E99">_xlfn.IFS(
B99&lt;=recencyQ1, 4,
B99&lt;=recencyQ2, 3,
B99&lt;=recencyQ3, 2,
TRUE, 1
)</f>
        <v>2</v>
      </c>
      <c r="F99" s="18" cm="1">
        <f t="array" ref="F99">_xlfn.IFS(
C99&lt;=frequencyQ1, 1,
C99&lt;=frequencyQ2, 2,
C99&lt;=frequencyQ3, 3,
TRUE, 4)</f>
        <v>3</v>
      </c>
      <c r="G99" s="18" cm="1">
        <f t="array" ref="G99">_xlfn.IFS(
D99&lt;=monetaryQ1, 1,
D99&lt;=monetaryQ2, 2,
D99&lt;=monetaryQ3, 3,
TRUE, 4)</f>
        <v>3</v>
      </c>
      <c r="H99" s="18" t="str">
        <f t="shared" si="8"/>
        <v>233</v>
      </c>
      <c r="I99" s="19">
        <f t="shared" si="9"/>
        <v>2.6666666666666665</v>
      </c>
      <c r="J99" s="7" t="str" cm="1">
        <f t="array" ref="J99">_xlfn.IFS(
I99&gt;=Best_Customers, Best_Customers_name,
I99&gt;=Loyal_Customers, Loyal_Customers_name,
I99&gt;=Average_Customers, Average_Customers_name,
TRUE, Lost_Customers_name)</f>
        <v>Loyal Customers</v>
      </c>
    </row>
    <row r="100" spans="1:10" x14ac:dyDescent="0.25">
      <c r="A100" s="25" t="str">
        <v>CUST_0092</v>
      </c>
      <c r="B100" s="16">
        <f t="shared" si="5"/>
        <v>27</v>
      </c>
      <c r="C100" s="16">
        <f t="shared" si="6"/>
        <v>3</v>
      </c>
      <c r="D100" s="17">
        <f t="shared" si="7"/>
        <v>316.95000000000005</v>
      </c>
      <c r="E100" s="18" cm="1">
        <f t="array" ref="E100">_xlfn.IFS(
B100&lt;=recencyQ1, 4,
B100&lt;=recencyQ2, 3,
B100&lt;=recencyQ3, 2,
TRUE, 1
)</f>
        <v>3</v>
      </c>
      <c r="F100" s="18" cm="1">
        <f t="array" ref="F100">_xlfn.IFS(
C100&lt;=frequencyQ1, 1,
C100&lt;=frequencyQ2, 2,
C100&lt;=frequencyQ3, 3,
TRUE, 4)</f>
        <v>1</v>
      </c>
      <c r="G100" s="18" cm="1">
        <f t="array" ref="G100">_xlfn.IFS(
D100&lt;=monetaryQ1, 1,
D100&lt;=monetaryQ2, 2,
D100&lt;=monetaryQ3, 3,
TRUE, 4)</f>
        <v>1</v>
      </c>
      <c r="H100" s="18" t="str">
        <f t="shared" si="8"/>
        <v>311</v>
      </c>
      <c r="I100" s="19">
        <f t="shared" si="9"/>
        <v>1.6666666666666667</v>
      </c>
      <c r="J100" s="7" t="str" cm="1">
        <f t="array" ref="J100">_xlfn.IFS(
I100&gt;=Best_Customers, Best_Customers_name,
I100&gt;=Loyal_Customers, Loyal_Customers_name,
I100&gt;=Average_Customers, Average_Customers_name,
TRUE, Lost_Customers_name)</f>
        <v>Average Customers</v>
      </c>
    </row>
    <row r="101" spans="1:10" x14ac:dyDescent="0.25">
      <c r="A101" s="25" t="str">
        <v>CUST_0093</v>
      </c>
      <c r="B101" s="16">
        <f t="shared" si="5"/>
        <v>49</v>
      </c>
      <c r="C101" s="16">
        <f t="shared" si="6"/>
        <v>1</v>
      </c>
      <c r="D101" s="17">
        <f t="shared" si="7"/>
        <v>145.69999999999999</v>
      </c>
      <c r="E101" s="18" cm="1">
        <f t="array" ref="E101">_xlfn.IFS(
B101&lt;=recencyQ1, 4,
B101&lt;=recencyQ2, 3,
B101&lt;=recencyQ3, 2,
TRUE, 1
)</f>
        <v>2</v>
      </c>
      <c r="F101" s="18" cm="1">
        <f t="array" ref="F101">_xlfn.IFS(
C101&lt;=frequencyQ1, 1,
C101&lt;=frequencyQ2, 2,
C101&lt;=frequencyQ3, 3,
TRUE, 4)</f>
        <v>1</v>
      </c>
      <c r="G101" s="18" cm="1">
        <f t="array" ref="G101">_xlfn.IFS(
D101&lt;=monetaryQ1, 1,
D101&lt;=monetaryQ2, 2,
D101&lt;=monetaryQ3, 3,
TRUE, 4)</f>
        <v>1</v>
      </c>
      <c r="H101" s="18" t="str">
        <f t="shared" si="8"/>
        <v>211</v>
      </c>
      <c r="I101" s="19">
        <f t="shared" si="9"/>
        <v>1.3333333333333333</v>
      </c>
      <c r="J101" s="7" t="str" cm="1">
        <f t="array" ref="J101">_xlfn.IFS(
I101&gt;=Best_Customers, Best_Customers_name,
I101&gt;=Loyal_Customers, Loyal_Customers_name,
I101&gt;=Average_Customers, Average_Customers_name,
TRUE, Lost_Customers_name)</f>
        <v>Lost Customers</v>
      </c>
    </row>
    <row r="102" spans="1:10" x14ac:dyDescent="0.25">
      <c r="A102" s="25" t="str">
        <v>CUST_0094</v>
      </c>
      <c r="B102" s="16">
        <f t="shared" si="5"/>
        <v>10</v>
      </c>
      <c r="C102" s="16">
        <f t="shared" si="6"/>
        <v>5</v>
      </c>
      <c r="D102" s="17">
        <f t="shared" si="7"/>
        <v>540.59</v>
      </c>
      <c r="E102" s="18" cm="1">
        <f t="array" ref="E102">_xlfn.IFS(
B102&lt;=recencyQ1, 4,
B102&lt;=recencyQ2, 3,
B102&lt;=recencyQ3, 2,
TRUE, 1
)</f>
        <v>4</v>
      </c>
      <c r="F102" s="18" cm="1">
        <f t="array" ref="F102">_xlfn.IFS(
C102&lt;=frequencyQ1, 1,
C102&lt;=frequencyQ2, 2,
C102&lt;=frequencyQ3, 3,
TRUE, 4)</f>
        <v>2</v>
      </c>
      <c r="G102" s="18" cm="1">
        <f t="array" ref="G102">_xlfn.IFS(
D102&lt;=monetaryQ1, 1,
D102&lt;=monetaryQ2, 2,
D102&lt;=monetaryQ3, 3,
TRUE, 4)</f>
        <v>3</v>
      </c>
      <c r="H102" s="18" t="str">
        <f t="shared" si="8"/>
        <v>423</v>
      </c>
      <c r="I102" s="19">
        <f t="shared" si="9"/>
        <v>3</v>
      </c>
      <c r="J102" s="7" t="str" cm="1">
        <f t="array" ref="J102">_xlfn.IFS(
I102&gt;=Best_Customers, Best_Customers_name,
I102&gt;=Loyal_Customers, Loyal_Customers_name,
I102&gt;=Average_Customers, Average_Customers_name,
TRUE, Lost_Customers_name)</f>
        <v>Loyal Customers</v>
      </c>
    </row>
    <row r="103" spans="1:10" x14ac:dyDescent="0.25">
      <c r="A103" s="25" t="str">
        <v>CUST_0095</v>
      </c>
      <c r="B103" s="16">
        <f t="shared" si="5"/>
        <v>94</v>
      </c>
      <c r="C103" s="16">
        <f t="shared" si="6"/>
        <v>4</v>
      </c>
      <c r="D103" s="17">
        <f t="shared" si="7"/>
        <v>419.89</v>
      </c>
      <c r="E103" s="18" cm="1">
        <f t="array" ref="E103">_xlfn.IFS(
B103&lt;=recencyQ1, 4,
B103&lt;=recencyQ2, 3,
B103&lt;=recencyQ3, 2,
TRUE, 1
)</f>
        <v>2</v>
      </c>
      <c r="F103" s="18" cm="1">
        <f t="array" ref="F103">_xlfn.IFS(
C103&lt;=frequencyQ1, 1,
C103&lt;=frequencyQ2, 2,
C103&lt;=frequencyQ3, 3,
TRUE, 4)</f>
        <v>2</v>
      </c>
      <c r="G103" s="18" cm="1">
        <f t="array" ref="G103">_xlfn.IFS(
D103&lt;=monetaryQ1, 1,
D103&lt;=monetaryQ2, 2,
D103&lt;=monetaryQ3, 3,
TRUE, 4)</f>
        <v>2</v>
      </c>
      <c r="H103" s="18" t="str">
        <f t="shared" si="8"/>
        <v>222</v>
      </c>
      <c r="I103" s="19">
        <f t="shared" si="9"/>
        <v>2</v>
      </c>
      <c r="J103" s="7" t="str" cm="1">
        <f t="array" ref="J103">_xlfn.IFS(
I103&gt;=Best_Customers, Best_Customers_name,
I103&gt;=Loyal_Customers, Loyal_Customers_name,
I103&gt;=Average_Customers, Average_Customers_name,
TRUE, Lost_Customers_name)</f>
        <v>Average Customers</v>
      </c>
    </row>
    <row r="104" spans="1:10" x14ac:dyDescent="0.25">
      <c r="A104" s="25" t="str">
        <v>CUST_0096</v>
      </c>
      <c r="B104" s="16">
        <f t="shared" si="5"/>
        <v>34</v>
      </c>
      <c r="C104" s="16">
        <f t="shared" si="6"/>
        <v>3</v>
      </c>
      <c r="D104" s="17">
        <f t="shared" si="7"/>
        <v>268.12</v>
      </c>
      <c r="E104" s="18" cm="1">
        <f t="array" ref="E104">_xlfn.IFS(
B104&lt;=recencyQ1, 4,
B104&lt;=recencyQ2, 3,
B104&lt;=recencyQ3, 2,
TRUE, 1
)</f>
        <v>3</v>
      </c>
      <c r="F104" s="18" cm="1">
        <f t="array" ref="F104">_xlfn.IFS(
C104&lt;=frequencyQ1, 1,
C104&lt;=frequencyQ2, 2,
C104&lt;=frequencyQ3, 3,
TRUE, 4)</f>
        <v>1</v>
      </c>
      <c r="G104" s="18" cm="1">
        <f t="array" ref="G104">_xlfn.IFS(
D104&lt;=monetaryQ1, 1,
D104&lt;=monetaryQ2, 2,
D104&lt;=monetaryQ3, 3,
TRUE, 4)</f>
        <v>1</v>
      </c>
      <c r="H104" s="18" t="str">
        <f t="shared" si="8"/>
        <v>311</v>
      </c>
      <c r="I104" s="19">
        <f t="shared" si="9"/>
        <v>1.6666666666666667</v>
      </c>
      <c r="J104" s="7" t="str" cm="1">
        <f t="array" ref="J104">_xlfn.IFS(
I104&gt;=Best_Customers, Best_Customers_name,
I104&gt;=Loyal_Customers, Loyal_Customers_name,
I104&gt;=Average_Customers, Average_Customers_name,
TRUE, Lost_Customers_name)</f>
        <v>Average Customers</v>
      </c>
    </row>
    <row r="105" spans="1:10" x14ac:dyDescent="0.25">
      <c r="A105" s="25" t="str">
        <v>CUST_0097</v>
      </c>
      <c r="B105" s="16">
        <f t="shared" si="5"/>
        <v>29</v>
      </c>
      <c r="C105" s="16">
        <f t="shared" si="6"/>
        <v>4</v>
      </c>
      <c r="D105" s="17">
        <f t="shared" si="7"/>
        <v>428.02</v>
      </c>
      <c r="E105" s="18" cm="1">
        <f t="array" ref="E105">_xlfn.IFS(
B105&lt;=recencyQ1, 4,
B105&lt;=recencyQ2, 3,
B105&lt;=recencyQ3, 2,
TRUE, 1
)</f>
        <v>3</v>
      </c>
      <c r="F105" s="18" cm="1">
        <f t="array" ref="F105">_xlfn.IFS(
C105&lt;=frequencyQ1, 1,
C105&lt;=frequencyQ2, 2,
C105&lt;=frequencyQ3, 3,
TRUE, 4)</f>
        <v>2</v>
      </c>
      <c r="G105" s="18" cm="1">
        <f t="array" ref="G105">_xlfn.IFS(
D105&lt;=monetaryQ1, 1,
D105&lt;=monetaryQ2, 2,
D105&lt;=monetaryQ3, 3,
TRUE, 4)</f>
        <v>2</v>
      </c>
      <c r="H105" s="18" t="str">
        <f t="shared" si="8"/>
        <v>322</v>
      </c>
      <c r="I105" s="19">
        <f t="shared" si="9"/>
        <v>2.3333333333333335</v>
      </c>
      <c r="J105" s="7" t="str" cm="1">
        <f t="array" ref="J105">_xlfn.IFS(
I105&gt;=Best_Customers, Best_Customers_name,
I105&gt;=Loyal_Customers, Loyal_Customers_name,
I105&gt;=Average_Customers, Average_Customers_name,
TRUE, Lost_Customers_name)</f>
        <v>Average Customers</v>
      </c>
    </row>
    <row r="106" spans="1:10" x14ac:dyDescent="0.25">
      <c r="A106" s="25" t="str">
        <v>CUST_0098</v>
      </c>
      <c r="B106" s="16">
        <f t="shared" si="5"/>
        <v>12</v>
      </c>
      <c r="C106" s="16">
        <f t="shared" si="6"/>
        <v>12</v>
      </c>
      <c r="D106" s="17">
        <f t="shared" si="7"/>
        <v>1141.0899999999999</v>
      </c>
      <c r="E106" s="18" cm="1">
        <f t="array" ref="E106">_xlfn.IFS(
B106&lt;=recencyQ1, 4,
B106&lt;=recencyQ2, 3,
B106&lt;=recencyQ3, 2,
TRUE, 1
)</f>
        <v>4</v>
      </c>
      <c r="F106" s="18" cm="1">
        <f t="array" ref="F106">_xlfn.IFS(
C106&lt;=frequencyQ1, 1,
C106&lt;=frequencyQ2, 2,
C106&lt;=frequencyQ3, 3,
TRUE, 4)</f>
        <v>4</v>
      </c>
      <c r="G106" s="18" cm="1">
        <f t="array" ref="G106">_xlfn.IFS(
D106&lt;=monetaryQ1, 1,
D106&lt;=monetaryQ2, 2,
D106&lt;=monetaryQ3, 3,
TRUE, 4)</f>
        <v>4</v>
      </c>
      <c r="H106" s="18" t="str">
        <f t="shared" si="8"/>
        <v>444</v>
      </c>
      <c r="I106" s="19">
        <f t="shared" si="9"/>
        <v>4</v>
      </c>
      <c r="J106" s="7" t="str" cm="1">
        <f t="array" ref="J106">_xlfn.IFS(
I106&gt;=Best_Customers, Best_Customers_name,
I106&gt;=Loyal_Customers, Loyal_Customers_name,
I106&gt;=Average_Customers, Average_Customers_name,
TRUE, Lost_Customers_name)</f>
        <v>Best Customers</v>
      </c>
    </row>
    <row r="107" spans="1:10" x14ac:dyDescent="0.25">
      <c r="A107" s="25" t="str">
        <v>CUST_0099</v>
      </c>
      <c r="B107" s="16">
        <f t="shared" si="5"/>
        <v>114</v>
      </c>
      <c r="C107" s="16">
        <f t="shared" si="6"/>
        <v>3</v>
      </c>
      <c r="D107" s="17">
        <f t="shared" si="7"/>
        <v>196.39</v>
      </c>
      <c r="E107" s="18" cm="1">
        <f t="array" ref="E107">_xlfn.IFS(
B107&lt;=recencyQ1, 4,
B107&lt;=recencyQ2, 3,
B107&lt;=recencyQ3, 2,
TRUE, 1
)</f>
        <v>1</v>
      </c>
      <c r="F107" s="18" cm="1">
        <f t="array" ref="F107">_xlfn.IFS(
C107&lt;=frequencyQ1, 1,
C107&lt;=frequencyQ2, 2,
C107&lt;=frequencyQ3, 3,
TRUE, 4)</f>
        <v>1</v>
      </c>
      <c r="G107" s="18" cm="1">
        <f t="array" ref="G107">_xlfn.IFS(
D107&lt;=monetaryQ1, 1,
D107&lt;=monetaryQ2, 2,
D107&lt;=monetaryQ3, 3,
TRUE, 4)</f>
        <v>1</v>
      </c>
      <c r="H107" s="18" t="str">
        <f t="shared" si="8"/>
        <v>111</v>
      </c>
      <c r="I107" s="19">
        <f t="shared" si="9"/>
        <v>1</v>
      </c>
      <c r="J107" s="7" t="str" cm="1">
        <f t="array" ref="J107">_xlfn.IFS(
I107&gt;=Best_Customers, Best_Customers_name,
I107&gt;=Loyal_Customers, Loyal_Customers_name,
I107&gt;=Average_Customers, Average_Customers_name,
TRUE, Lost_Customers_name)</f>
        <v>Lost Customers</v>
      </c>
    </row>
    <row r="108" spans="1:10" x14ac:dyDescent="0.25">
      <c r="A108" s="25" t="str">
        <v>CUST_0100</v>
      </c>
      <c r="B108" s="16">
        <f t="shared" si="5"/>
        <v>18</v>
      </c>
      <c r="C108" s="16">
        <f t="shared" si="6"/>
        <v>4</v>
      </c>
      <c r="D108" s="17">
        <f t="shared" si="7"/>
        <v>355.86</v>
      </c>
      <c r="E108" s="18" cm="1">
        <f t="array" ref="E108">_xlfn.IFS(
B108&lt;=recencyQ1, 4,
B108&lt;=recencyQ2, 3,
B108&lt;=recencyQ3, 2,
TRUE, 1
)</f>
        <v>4</v>
      </c>
      <c r="F108" s="18" cm="1">
        <f t="array" ref="F108">_xlfn.IFS(
C108&lt;=frequencyQ1, 1,
C108&lt;=frequencyQ2, 2,
C108&lt;=frequencyQ3, 3,
TRUE, 4)</f>
        <v>2</v>
      </c>
      <c r="G108" s="18" cm="1">
        <f t="array" ref="G108">_xlfn.IFS(
D108&lt;=monetaryQ1, 1,
D108&lt;=monetaryQ2, 2,
D108&lt;=monetaryQ3, 3,
TRUE, 4)</f>
        <v>2</v>
      </c>
      <c r="H108" s="18" t="str">
        <f t="shared" si="8"/>
        <v>422</v>
      </c>
      <c r="I108" s="19">
        <f t="shared" si="9"/>
        <v>2.6666666666666665</v>
      </c>
      <c r="J108" s="7" t="str" cm="1">
        <f t="array" ref="J108">_xlfn.IFS(
I108&gt;=Best_Customers, Best_Customers_name,
I108&gt;=Loyal_Customers, Loyal_Customers_name,
I108&gt;=Average_Customers, Average_Customers_name,
TRUE, Lost_Customers_name)</f>
        <v>Loyal Customers</v>
      </c>
    </row>
    <row r="109" spans="1:10" x14ac:dyDescent="0.25">
      <c r="A109" s="25" t="str">
        <v>CUST_0101</v>
      </c>
      <c r="B109" s="16">
        <f t="shared" si="5"/>
        <v>23</v>
      </c>
      <c r="C109" s="16">
        <f t="shared" si="6"/>
        <v>7</v>
      </c>
      <c r="D109" s="17">
        <f t="shared" si="7"/>
        <v>697.97</v>
      </c>
      <c r="E109" s="18" cm="1">
        <f t="array" ref="E109">_xlfn.IFS(
B109&lt;=recencyQ1, 4,
B109&lt;=recencyQ2, 3,
B109&lt;=recencyQ3, 2,
TRUE, 1
)</f>
        <v>3</v>
      </c>
      <c r="F109" s="18" cm="1">
        <f t="array" ref="F109">_xlfn.IFS(
C109&lt;=frequencyQ1, 1,
C109&lt;=frequencyQ2, 2,
C109&lt;=frequencyQ3, 3,
TRUE, 4)</f>
        <v>4</v>
      </c>
      <c r="G109" s="18" cm="1">
        <f t="array" ref="G109">_xlfn.IFS(
D109&lt;=monetaryQ1, 1,
D109&lt;=monetaryQ2, 2,
D109&lt;=monetaryQ3, 3,
TRUE, 4)</f>
        <v>4</v>
      </c>
      <c r="H109" s="18" t="str">
        <f t="shared" si="8"/>
        <v>344</v>
      </c>
      <c r="I109" s="19">
        <f t="shared" si="9"/>
        <v>3.6666666666666665</v>
      </c>
      <c r="J109" s="7" t="str" cm="1">
        <f t="array" ref="J109">_xlfn.IFS(
I109&gt;=Best_Customers, Best_Customers_name,
I109&gt;=Loyal_Customers, Loyal_Customers_name,
I109&gt;=Average_Customers, Average_Customers_name,
TRUE, Lost_Customers_name)</f>
        <v>Best Customers</v>
      </c>
    </row>
    <row r="110" spans="1:10" x14ac:dyDescent="0.25">
      <c r="A110" s="25" t="str">
        <v>CUST_0102</v>
      </c>
      <c r="B110" s="16">
        <f t="shared" si="5"/>
        <v>119</v>
      </c>
      <c r="C110" s="16">
        <f t="shared" si="6"/>
        <v>5</v>
      </c>
      <c r="D110" s="17">
        <f t="shared" si="7"/>
        <v>507.55</v>
      </c>
      <c r="E110" s="18" cm="1">
        <f t="array" ref="E110">_xlfn.IFS(
B110&lt;=recencyQ1, 4,
B110&lt;=recencyQ2, 3,
B110&lt;=recencyQ3, 2,
TRUE, 1
)</f>
        <v>1</v>
      </c>
      <c r="F110" s="18" cm="1">
        <f t="array" ref="F110">_xlfn.IFS(
C110&lt;=frequencyQ1, 1,
C110&lt;=frequencyQ2, 2,
C110&lt;=frequencyQ3, 3,
TRUE, 4)</f>
        <v>2</v>
      </c>
      <c r="G110" s="18" cm="1">
        <f t="array" ref="G110">_xlfn.IFS(
D110&lt;=monetaryQ1, 1,
D110&lt;=monetaryQ2, 2,
D110&lt;=monetaryQ3, 3,
TRUE, 4)</f>
        <v>3</v>
      </c>
      <c r="H110" s="18" t="str">
        <f t="shared" si="8"/>
        <v>123</v>
      </c>
      <c r="I110" s="19">
        <f t="shared" si="9"/>
        <v>2</v>
      </c>
      <c r="J110" s="7" t="str" cm="1">
        <f t="array" ref="J110">_xlfn.IFS(
I110&gt;=Best_Customers, Best_Customers_name,
I110&gt;=Loyal_Customers, Loyal_Customers_name,
I110&gt;=Average_Customers, Average_Customers_name,
TRUE, Lost_Customers_name)</f>
        <v>Average Customers</v>
      </c>
    </row>
    <row r="111" spans="1:10" x14ac:dyDescent="0.25">
      <c r="A111" s="25" t="str">
        <v>CUST_0103</v>
      </c>
      <c r="B111" s="16">
        <f t="shared" si="5"/>
        <v>33</v>
      </c>
      <c r="C111" s="16">
        <f t="shared" si="6"/>
        <v>8</v>
      </c>
      <c r="D111" s="17">
        <f t="shared" si="7"/>
        <v>597.06999999999994</v>
      </c>
      <c r="E111" s="18" cm="1">
        <f t="array" ref="E111">_xlfn.IFS(
B111&lt;=recencyQ1, 4,
B111&lt;=recencyQ2, 3,
B111&lt;=recencyQ3, 2,
TRUE, 1
)</f>
        <v>3</v>
      </c>
      <c r="F111" s="18" cm="1">
        <f t="array" ref="F111">_xlfn.IFS(
C111&lt;=frequencyQ1, 1,
C111&lt;=frequencyQ2, 2,
C111&lt;=frequencyQ3, 3,
TRUE, 4)</f>
        <v>4</v>
      </c>
      <c r="G111" s="18" cm="1">
        <f t="array" ref="G111">_xlfn.IFS(
D111&lt;=monetaryQ1, 1,
D111&lt;=monetaryQ2, 2,
D111&lt;=monetaryQ3, 3,
TRUE, 4)</f>
        <v>3</v>
      </c>
      <c r="H111" s="18" t="str">
        <f t="shared" si="8"/>
        <v>343</v>
      </c>
      <c r="I111" s="19">
        <f t="shared" si="9"/>
        <v>3.3333333333333335</v>
      </c>
      <c r="J111" s="7" t="str" cm="1">
        <f t="array" ref="J111">_xlfn.IFS(
I111&gt;=Best_Customers, Best_Customers_name,
I111&gt;=Loyal_Customers, Loyal_Customers_name,
I111&gt;=Average_Customers, Average_Customers_name,
TRUE, Lost_Customers_name)</f>
        <v>Loyal Customers</v>
      </c>
    </row>
    <row r="112" spans="1:10" x14ac:dyDescent="0.25">
      <c r="A112" s="25" t="str">
        <v>CUST_0104</v>
      </c>
      <c r="B112" s="16">
        <f t="shared" si="5"/>
        <v>111</v>
      </c>
      <c r="C112" s="16">
        <f t="shared" si="6"/>
        <v>3</v>
      </c>
      <c r="D112" s="17">
        <f t="shared" si="7"/>
        <v>342.70000000000005</v>
      </c>
      <c r="E112" s="18" cm="1">
        <f t="array" ref="E112">_xlfn.IFS(
B112&lt;=recencyQ1, 4,
B112&lt;=recencyQ2, 3,
B112&lt;=recencyQ3, 2,
TRUE, 1
)</f>
        <v>1</v>
      </c>
      <c r="F112" s="18" cm="1">
        <f t="array" ref="F112">_xlfn.IFS(
C112&lt;=frequencyQ1, 1,
C112&lt;=frequencyQ2, 2,
C112&lt;=frequencyQ3, 3,
TRUE, 4)</f>
        <v>1</v>
      </c>
      <c r="G112" s="18" cm="1">
        <f t="array" ref="G112">_xlfn.IFS(
D112&lt;=monetaryQ1, 1,
D112&lt;=monetaryQ2, 2,
D112&lt;=monetaryQ3, 3,
TRUE, 4)</f>
        <v>2</v>
      </c>
      <c r="H112" s="18" t="str">
        <f t="shared" si="8"/>
        <v>112</v>
      </c>
      <c r="I112" s="19">
        <f t="shared" si="9"/>
        <v>1.3333333333333333</v>
      </c>
      <c r="J112" s="7" t="str" cm="1">
        <f t="array" ref="J112">_xlfn.IFS(
I112&gt;=Best_Customers, Best_Customers_name,
I112&gt;=Loyal_Customers, Loyal_Customers_name,
I112&gt;=Average_Customers, Average_Customers_name,
TRUE, Lost_Customers_name)</f>
        <v>Lost Customers</v>
      </c>
    </row>
    <row r="113" spans="1:10" x14ac:dyDescent="0.25">
      <c r="A113" s="25" t="str">
        <v>CUST_0105</v>
      </c>
      <c r="B113" s="16">
        <f t="shared" si="5"/>
        <v>7</v>
      </c>
      <c r="C113" s="16">
        <f t="shared" si="6"/>
        <v>6</v>
      </c>
      <c r="D113" s="17">
        <f t="shared" si="7"/>
        <v>686.09</v>
      </c>
      <c r="E113" s="18" cm="1">
        <f t="array" ref="E113">_xlfn.IFS(
B113&lt;=recencyQ1, 4,
B113&lt;=recencyQ2, 3,
B113&lt;=recencyQ3, 2,
TRUE, 1
)</f>
        <v>4</v>
      </c>
      <c r="F113" s="18" cm="1">
        <f t="array" ref="F113">_xlfn.IFS(
C113&lt;=frequencyQ1, 1,
C113&lt;=frequencyQ2, 2,
C113&lt;=frequencyQ3, 3,
TRUE, 4)</f>
        <v>3</v>
      </c>
      <c r="G113" s="18" cm="1">
        <f t="array" ref="G113">_xlfn.IFS(
D113&lt;=monetaryQ1, 1,
D113&lt;=monetaryQ2, 2,
D113&lt;=monetaryQ3, 3,
TRUE, 4)</f>
        <v>4</v>
      </c>
      <c r="H113" s="18" t="str">
        <f t="shared" si="8"/>
        <v>434</v>
      </c>
      <c r="I113" s="19">
        <f t="shared" si="9"/>
        <v>3.6666666666666665</v>
      </c>
      <c r="J113" s="7" t="str" cm="1">
        <f t="array" ref="J113">_xlfn.IFS(
I113&gt;=Best_Customers, Best_Customers_name,
I113&gt;=Loyal_Customers, Loyal_Customers_name,
I113&gt;=Average_Customers, Average_Customers_name,
TRUE, Lost_Customers_name)</f>
        <v>Best Customers</v>
      </c>
    </row>
    <row r="114" spans="1:10" x14ac:dyDescent="0.25">
      <c r="A114" s="25" t="str">
        <v>CUST_0106</v>
      </c>
      <c r="B114" s="16">
        <f t="shared" si="5"/>
        <v>40</v>
      </c>
      <c r="C114" s="16">
        <f t="shared" si="6"/>
        <v>5</v>
      </c>
      <c r="D114" s="17">
        <f t="shared" si="7"/>
        <v>534.42000000000007</v>
      </c>
      <c r="E114" s="18" cm="1">
        <f t="array" ref="E114">_xlfn.IFS(
B114&lt;=recencyQ1, 4,
B114&lt;=recencyQ2, 3,
B114&lt;=recencyQ3, 2,
TRUE, 1
)</f>
        <v>3</v>
      </c>
      <c r="F114" s="18" cm="1">
        <f t="array" ref="F114">_xlfn.IFS(
C114&lt;=frequencyQ1, 1,
C114&lt;=frequencyQ2, 2,
C114&lt;=frequencyQ3, 3,
TRUE, 4)</f>
        <v>2</v>
      </c>
      <c r="G114" s="18" cm="1">
        <f t="array" ref="G114">_xlfn.IFS(
D114&lt;=monetaryQ1, 1,
D114&lt;=monetaryQ2, 2,
D114&lt;=monetaryQ3, 3,
TRUE, 4)</f>
        <v>3</v>
      </c>
      <c r="H114" s="18" t="str">
        <f t="shared" si="8"/>
        <v>323</v>
      </c>
      <c r="I114" s="19">
        <f t="shared" si="9"/>
        <v>2.6666666666666665</v>
      </c>
      <c r="J114" s="7" t="str" cm="1">
        <f t="array" ref="J114">_xlfn.IFS(
I114&gt;=Best_Customers, Best_Customers_name,
I114&gt;=Loyal_Customers, Loyal_Customers_name,
I114&gt;=Average_Customers, Average_Customers_name,
TRUE, Lost_Customers_name)</f>
        <v>Loyal Customers</v>
      </c>
    </row>
    <row r="115" spans="1:10" x14ac:dyDescent="0.25">
      <c r="A115" s="25" t="str">
        <v>CUST_0107</v>
      </c>
      <c r="B115" s="16">
        <f t="shared" si="5"/>
        <v>12</v>
      </c>
      <c r="C115" s="16">
        <f t="shared" si="6"/>
        <v>5</v>
      </c>
      <c r="D115" s="17">
        <f t="shared" si="7"/>
        <v>548.56999999999994</v>
      </c>
      <c r="E115" s="18" cm="1">
        <f t="array" ref="E115">_xlfn.IFS(
B115&lt;=recencyQ1, 4,
B115&lt;=recencyQ2, 3,
B115&lt;=recencyQ3, 2,
TRUE, 1
)</f>
        <v>4</v>
      </c>
      <c r="F115" s="18" cm="1">
        <f t="array" ref="F115">_xlfn.IFS(
C115&lt;=frequencyQ1, 1,
C115&lt;=frequencyQ2, 2,
C115&lt;=frequencyQ3, 3,
TRUE, 4)</f>
        <v>2</v>
      </c>
      <c r="G115" s="18" cm="1">
        <f t="array" ref="G115">_xlfn.IFS(
D115&lt;=monetaryQ1, 1,
D115&lt;=monetaryQ2, 2,
D115&lt;=monetaryQ3, 3,
TRUE, 4)</f>
        <v>3</v>
      </c>
      <c r="H115" s="18" t="str">
        <f t="shared" si="8"/>
        <v>423</v>
      </c>
      <c r="I115" s="19">
        <f t="shared" si="9"/>
        <v>3</v>
      </c>
      <c r="J115" s="7" t="str" cm="1">
        <f t="array" ref="J115">_xlfn.IFS(
I115&gt;=Best_Customers, Best_Customers_name,
I115&gt;=Loyal_Customers, Loyal_Customers_name,
I115&gt;=Average_Customers, Average_Customers_name,
TRUE, Lost_Customers_name)</f>
        <v>Loyal Customers</v>
      </c>
    </row>
    <row r="116" spans="1:10" x14ac:dyDescent="0.25">
      <c r="A116" s="25" t="str">
        <v>CUST_0108</v>
      </c>
      <c r="B116" s="16">
        <f t="shared" si="5"/>
        <v>49</v>
      </c>
      <c r="C116" s="16">
        <f t="shared" si="6"/>
        <v>8</v>
      </c>
      <c r="D116" s="17">
        <f t="shared" si="7"/>
        <v>746.97</v>
      </c>
      <c r="E116" s="18" cm="1">
        <f t="array" ref="E116">_xlfn.IFS(
B116&lt;=recencyQ1, 4,
B116&lt;=recencyQ2, 3,
B116&lt;=recencyQ3, 2,
TRUE, 1
)</f>
        <v>2</v>
      </c>
      <c r="F116" s="18" cm="1">
        <f t="array" ref="F116">_xlfn.IFS(
C116&lt;=frequencyQ1, 1,
C116&lt;=frequencyQ2, 2,
C116&lt;=frequencyQ3, 3,
TRUE, 4)</f>
        <v>4</v>
      </c>
      <c r="G116" s="18" cm="1">
        <f t="array" ref="G116">_xlfn.IFS(
D116&lt;=monetaryQ1, 1,
D116&lt;=monetaryQ2, 2,
D116&lt;=monetaryQ3, 3,
TRUE, 4)</f>
        <v>4</v>
      </c>
      <c r="H116" s="18" t="str">
        <f t="shared" si="8"/>
        <v>244</v>
      </c>
      <c r="I116" s="19">
        <f t="shared" si="9"/>
        <v>3.3333333333333335</v>
      </c>
      <c r="J116" s="7" t="str" cm="1">
        <f t="array" ref="J116">_xlfn.IFS(
I116&gt;=Best_Customers, Best_Customers_name,
I116&gt;=Loyal_Customers, Loyal_Customers_name,
I116&gt;=Average_Customers, Average_Customers_name,
TRUE, Lost_Customers_name)</f>
        <v>Loyal Customers</v>
      </c>
    </row>
    <row r="117" spans="1:10" x14ac:dyDescent="0.25">
      <c r="A117" s="25" t="str">
        <v>CUST_0109</v>
      </c>
      <c r="B117" s="16">
        <f t="shared" si="5"/>
        <v>336</v>
      </c>
      <c r="C117" s="16">
        <f t="shared" si="6"/>
        <v>1</v>
      </c>
      <c r="D117" s="17">
        <f t="shared" si="7"/>
        <v>85.96</v>
      </c>
      <c r="E117" s="18" cm="1">
        <f t="array" ref="E117">_xlfn.IFS(
B117&lt;=recencyQ1, 4,
B117&lt;=recencyQ2, 3,
B117&lt;=recencyQ3, 2,
TRUE, 1
)</f>
        <v>1</v>
      </c>
      <c r="F117" s="18" cm="1">
        <f t="array" ref="F117">_xlfn.IFS(
C117&lt;=frequencyQ1, 1,
C117&lt;=frequencyQ2, 2,
C117&lt;=frequencyQ3, 3,
TRUE, 4)</f>
        <v>1</v>
      </c>
      <c r="G117" s="18" cm="1">
        <f t="array" ref="G117">_xlfn.IFS(
D117&lt;=monetaryQ1, 1,
D117&lt;=monetaryQ2, 2,
D117&lt;=monetaryQ3, 3,
TRUE, 4)</f>
        <v>1</v>
      </c>
      <c r="H117" s="18" t="str">
        <f t="shared" si="8"/>
        <v>111</v>
      </c>
      <c r="I117" s="19">
        <f t="shared" si="9"/>
        <v>1</v>
      </c>
      <c r="J117" s="7" t="str" cm="1">
        <f t="array" ref="J117">_xlfn.IFS(
I117&gt;=Best_Customers, Best_Customers_name,
I117&gt;=Loyal_Customers, Loyal_Customers_name,
I117&gt;=Average_Customers, Average_Customers_name,
TRUE, Lost_Customers_name)</f>
        <v>Lost Customers</v>
      </c>
    </row>
    <row r="118" spans="1:10" x14ac:dyDescent="0.25">
      <c r="A118" s="25" t="str">
        <v>CUST_0110</v>
      </c>
      <c r="B118" s="16">
        <f t="shared" si="5"/>
        <v>63</v>
      </c>
      <c r="C118" s="16">
        <f t="shared" si="6"/>
        <v>7</v>
      </c>
      <c r="D118" s="17">
        <f t="shared" si="7"/>
        <v>719.98</v>
      </c>
      <c r="E118" s="18" cm="1">
        <f t="array" ref="E118">_xlfn.IFS(
B118&lt;=recencyQ1, 4,
B118&lt;=recencyQ2, 3,
B118&lt;=recencyQ3, 2,
TRUE, 1
)</f>
        <v>2</v>
      </c>
      <c r="F118" s="18" cm="1">
        <f t="array" ref="F118">_xlfn.IFS(
C118&lt;=frequencyQ1, 1,
C118&lt;=frequencyQ2, 2,
C118&lt;=frequencyQ3, 3,
TRUE, 4)</f>
        <v>4</v>
      </c>
      <c r="G118" s="18" cm="1">
        <f t="array" ref="G118">_xlfn.IFS(
D118&lt;=monetaryQ1, 1,
D118&lt;=monetaryQ2, 2,
D118&lt;=monetaryQ3, 3,
TRUE, 4)</f>
        <v>4</v>
      </c>
      <c r="H118" s="18" t="str">
        <f t="shared" si="8"/>
        <v>244</v>
      </c>
      <c r="I118" s="19">
        <f t="shared" si="9"/>
        <v>3.3333333333333335</v>
      </c>
      <c r="J118" s="7" t="str" cm="1">
        <f t="array" ref="J118">_xlfn.IFS(
I118&gt;=Best_Customers, Best_Customers_name,
I118&gt;=Loyal_Customers, Loyal_Customers_name,
I118&gt;=Average_Customers, Average_Customers_name,
TRUE, Lost_Customers_name)</f>
        <v>Loyal Customers</v>
      </c>
    </row>
    <row r="119" spans="1:10" x14ac:dyDescent="0.25">
      <c r="A119" s="25" t="str">
        <v>CUST_0111</v>
      </c>
      <c r="B119" s="16">
        <f t="shared" si="5"/>
        <v>8</v>
      </c>
      <c r="C119" s="16">
        <f t="shared" si="6"/>
        <v>3</v>
      </c>
      <c r="D119" s="17">
        <f t="shared" si="7"/>
        <v>346.67</v>
      </c>
      <c r="E119" s="18" cm="1">
        <f t="array" ref="E119">_xlfn.IFS(
B119&lt;=recencyQ1, 4,
B119&lt;=recencyQ2, 3,
B119&lt;=recencyQ3, 2,
TRUE, 1
)</f>
        <v>4</v>
      </c>
      <c r="F119" s="18" cm="1">
        <f t="array" ref="F119">_xlfn.IFS(
C119&lt;=frequencyQ1, 1,
C119&lt;=frequencyQ2, 2,
C119&lt;=frequencyQ3, 3,
TRUE, 4)</f>
        <v>1</v>
      </c>
      <c r="G119" s="18" cm="1">
        <f t="array" ref="G119">_xlfn.IFS(
D119&lt;=monetaryQ1, 1,
D119&lt;=monetaryQ2, 2,
D119&lt;=monetaryQ3, 3,
TRUE, 4)</f>
        <v>2</v>
      </c>
      <c r="H119" s="18" t="str">
        <f t="shared" si="8"/>
        <v>412</v>
      </c>
      <c r="I119" s="19">
        <f t="shared" si="9"/>
        <v>2.3333333333333335</v>
      </c>
      <c r="J119" s="7" t="str" cm="1">
        <f t="array" ref="J119">_xlfn.IFS(
I119&gt;=Best_Customers, Best_Customers_name,
I119&gt;=Loyal_Customers, Loyal_Customers_name,
I119&gt;=Average_Customers, Average_Customers_name,
TRUE, Lost_Customers_name)</f>
        <v>Average Customers</v>
      </c>
    </row>
    <row r="120" spans="1:10" x14ac:dyDescent="0.25">
      <c r="A120" s="25" t="str">
        <v>CUST_0112</v>
      </c>
      <c r="B120" s="16">
        <f t="shared" si="5"/>
        <v>48</v>
      </c>
      <c r="C120" s="16">
        <f t="shared" si="6"/>
        <v>12</v>
      </c>
      <c r="D120" s="17">
        <f t="shared" si="7"/>
        <v>979.93</v>
      </c>
      <c r="E120" s="18" cm="1">
        <f t="array" ref="E120">_xlfn.IFS(
B120&lt;=recencyQ1, 4,
B120&lt;=recencyQ2, 3,
B120&lt;=recencyQ3, 2,
TRUE, 1
)</f>
        <v>3</v>
      </c>
      <c r="F120" s="18" cm="1">
        <f t="array" ref="F120">_xlfn.IFS(
C120&lt;=frequencyQ1, 1,
C120&lt;=frequencyQ2, 2,
C120&lt;=frequencyQ3, 3,
TRUE, 4)</f>
        <v>4</v>
      </c>
      <c r="G120" s="18" cm="1">
        <f t="array" ref="G120">_xlfn.IFS(
D120&lt;=monetaryQ1, 1,
D120&lt;=monetaryQ2, 2,
D120&lt;=monetaryQ3, 3,
TRUE, 4)</f>
        <v>4</v>
      </c>
      <c r="H120" s="18" t="str">
        <f t="shared" si="8"/>
        <v>344</v>
      </c>
      <c r="I120" s="19">
        <f t="shared" si="9"/>
        <v>3.6666666666666665</v>
      </c>
      <c r="J120" s="7" t="str" cm="1">
        <f t="array" ref="J120">_xlfn.IFS(
I120&gt;=Best_Customers, Best_Customers_name,
I120&gt;=Loyal_Customers, Loyal_Customers_name,
I120&gt;=Average_Customers, Average_Customers_name,
TRUE, Lost_Customers_name)</f>
        <v>Best Customers</v>
      </c>
    </row>
    <row r="121" spans="1:10" x14ac:dyDescent="0.25">
      <c r="A121" s="25" t="str">
        <v>CUST_0113</v>
      </c>
      <c r="B121" s="16">
        <f t="shared" si="5"/>
        <v>70</v>
      </c>
      <c r="C121" s="16">
        <f t="shared" si="6"/>
        <v>5</v>
      </c>
      <c r="D121" s="17">
        <f t="shared" si="7"/>
        <v>617.59999999999991</v>
      </c>
      <c r="E121" s="18" cm="1">
        <f t="array" ref="E121">_xlfn.IFS(
B121&lt;=recencyQ1, 4,
B121&lt;=recencyQ2, 3,
B121&lt;=recencyQ3, 2,
TRUE, 1
)</f>
        <v>2</v>
      </c>
      <c r="F121" s="18" cm="1">
        <f t="array" ref="F121">_xlfn.IFS(
C121&lt;=frequencyQ1, 1,
C121&lt;=frequencyQ2, 2,
C121&lt;=frequencyQ3, 3,
TRUE, 4)</f>
        <v>2</v>
      </c>
      <c r="G121" s="18" cm="1">
        <f t="array" ref="G121">_xlfn.IFS(
D121&lt;=monetaryQ1, 1,
D121&lt;=monetaryQ2, 2,
D121&lt;=monetaryQ3, 3,
TRUE, 4)</f>
        <v>3</v>
      </c>
      <c r="H121" s="18" t="str">
        <f t="shared" si="8"/>
        <v>223</v>
      </c>
      <c r="I121" s="19">
        <f t="shared" si="9"/>
        <v>2.3333333333333335</v>
      </c>
      <c r="J121" s="7" t="str" cm="1">
        <f t="array" ref="J121">_xlfn.IFS(
I121&gt;=Best_Customers, Best_Customers_name,
I121&gt;=Loyal_Customers, Loyal_Customers_name,
I121&gt;=Average_Customers, Average_Customers_name,
TRUE, Lost_Customers_name)</f>
        <v>Average Customers</v>
      </c>
    </row>
    <row r="122" spans="1:10" x14ac:dyDescent="0.25">
      <c r="A122" s="25" t="str">
        <v>CUST_0114</v>
      </c>
      <c r="B122" s="16">
        <f t="shared" si="5"/>
        <v>78</v>
      </c>
      <c r="C122" s="16">
        <f t="shared" si="6"/>
        <v>4</v>
      </c>
      <c r="D122" s="17">
        <f t="shared" si="7"/>
        <v>386.46999999999997</v>
      </c>
      <c r="E122" s="18" cm="1">
        <f t="array" ref="E122">_xlfn.IFS(
B122&lt;=recencyQ1, 4,
B122&lt;=recencyQ2, 3,
B122&lt;=recencyQ3, 2,
TRUE, 1
)</f>
        <v>2</v>
      </c>
      <c r="F122" s="18" cm="1">
        <f t="array" ref="F122">_xlfn.IFS(
C122&lt;=frequencyQ1, 1,
C122&lt;=frequencyQ2, 2,
C122&lt;=frequencyQ3, 3,
TRUE, 4)</f>
        <v>2</v>
      </c>
      <c r="G122" s="18" cm="1">
        <f t="array" ref="G122">_xlfn.IFS(
D122&lt;=monetaryQ1, 1,
D122&lt;=monetaryQ2, 2,
D122&lt;=monetaryQ3, 3,
TRUE, 4)</f>
        <v>2</v>
      </c>
      <c r="H122" s="18" t="str">
        <f t="shared" si="8"/>
        <v>222</v>
      </c>
      <c r="I122" s="19">
        <f t="shared" si="9"/>
        <v>2</v>
      </c>
      <c r="J122" s="7" t="str" cm="1">
        <f t="array" ref="J122">_xlfn.IFS(
I122&gt;=Best_Customers, Best_Customers_name,
I122&gt;=Loyal_Customers, Loyal_Customers_name,
I122&gt;=Average_Customers, Average_Customers_name,
TRUE, Lost_Customers_name)</f>
        <v>Average Customers</v>
      </c>
    </row>
    <row r="123" spans="1:10" x14ac:dyDescent="0.25">
      <c r="A123" s="25" t="str">
        <v>CUST_0115</v>
      </c>
      <c r="B123" s="16">
        <f t="shared" si="5"/>
        <v>68</v>
      </c>
      <c r="C123" s="16">
        <f t="shared" si="6"/>
        <v>4</v>
      </c>
      <c r="D123" s="17">
        <f t="shared" si="7"/>
        <v>327.18000000000006</v>
      </c>
      <c r="E123" s="18" cm="1">
        <f t="array" ref="E123">_xlfn.IFS(
B123&lt;=recencyQ1, 4,
B123&lt;=recencyQ2, 3,
B123&lt;=recencyQ3, 2,
TRUE, 1
)</f>
        <v>2</v>
      </c>
      <c r="F123" s="18" cm="1">
        <f t="array" ref="F123">_xlfn.IFS(
C123&lt;=frequencyQ1, 1,
C123&lt;=frequencyQ2, 2,
C123&lt;=frequencyQ3, 3,
TRUE, 4)</f>
        <v>2</v>
      </c>
      <c r="G123" s="18" cm="1">
        <f t="array" ref="G123">_xlfn.IFS(
D123&lt;=monetaryQ1, 1,
D123&lt;=monetaryQ2, 2,
D123&lt;=monetaryQ3, 3,
TRUE, 4)</f>
        <v>2</v>
      </c>
      <c r="H123" s="18" t="str">
        <f t="shared" si="8"/>
        <v>222</v>
      </c>
      <c r="I123" s="19">
        <f t="shared" si="9"/>
        <v>2</v>
      </c>
      <c r="J123" s="7" t="str" cm="1">
        <f t="array" ref="J123">_xlfn.IFS(
I123&gt;=Best_Customers, Best_Customers_name,
I123&gt;=Loyal_Customers, Loyal_Customers_name,
I123&gt;=Average_Customers, Average_Customers_name,
TRUE, Lost_Customers_name)</f>
        <v>Average Customers</v>
      </c>
    </row>
    <row r="124" spans="1:10" x14ac:dyDescent="0.25">
      <c r="A124" s="25" t="str">
        <v>CUST_0116</v>
      </c>
      <c r="B124" s="16">
        <f t="shared" si="5"/>
        <v>5</v>
      </c>
      <c r="C124" s="16">
        <f t="shared" si="6"/>
        <v>9</v>
      </c>
      <c r="D124" s="17">
        <f t="shared" si="7"/>
        <v>960.54</v>
      </c>
      <c r="E124" s="18" cm="1">
        <f t="array" ref="E124">_xlfn.IFS(
B124&lt;=recencyQ1, 4,
B124&lt;=recencyQ2, 3,
B124&lt;=recencyQ3, 2,
TRUE, 1
)</f>
        <v>4</v>
      </c>
      <c r="F124" s="18" cm="1">
        <f t="array" ref="F124">_xlfn.IFS(
C124&lt;=frequencyQ1, 1,
C124&lt;=frequencyQ2, 2,
C124&lt;=frequencyQ3, 3,
TRUE, 4)</f>
        <v>4</v>
      </c>
      <c r="G124" s="18" cm="1">
        <f t="array" ref="G124">_xlfn.IFS(
D124&lt;=monetaryQ1, 1,
D124&lt;=monetaryQ2, 2,
D124&lt;=monetaryQ3, 3,
TRUE, 4)</f>
        <v>4</v>
      </c>
      <c r="H124" s="18" t="str">
        <f t="shared" si="8"/>
        <v>444</v>
      </c>
      <c r="I124" s="19">
        <f t="shared" si="9"/>
        <v>4</v>
      </c>
      <c r="J124" s="7" t="str" cm="1">
        <f t="array" ref="J124">_xlfn.IFS(
I124&gt;=Best_Customers, Best_Customers_name,
I124&gt;=Loyal_Customers, Loyal_Customers_name,
I124&gt;=Average_Customers, Average_Customers_name,
TRUE, Lost_Customers_name)</f>
        <v>Best Customers</v>
      </c>
    </row>
    <row r="125" spans="1:10" x14ac:dyDescent="0.25">
      <c r="A125" s="25" t="str">
        <v>CUST_0117</v>
      </c>
      <c r="B125" s="16">
        <f t="shared" si="5"/>
        <v>1</v>
      </c>
      <c r="C125" s="16">
        <f t="shared" si="6"/>
        <v>9</v>
      </c>
      <c r="D125" s="17">
        <f t="shared" si="7"/>
        <v>783.34999999999991</v>
      </c>
      <c r="E125" s="18" cm="1">
        <f t="array" ref="E125">_xlfn.IFS(
B125&lt;=recencyQ1, 4,
B125&lt;=recencyQ2, 3,
B125&lt;=recencyQ3, 2,
TRUE, 1
)</f>
        <v>4</v>
      </c>
      <c r="F125" s="18" cm="1">
        <f t="array" ref="F125">_xlfn.IFS(
C125&lt;=frequencyQ1, 1,
C125&lt;=frequencyQ2, 2,
C125&lt;=frequencyQ3, 3,
TRUE, 4)</f>
        <v>4</v>
      </c>
      <c r="G125" s="18" cm="1">
        <f t="array" ref="G125">_xlfn.IFS(
D125&lt;=monetaryQ1, 1,
D125&lt;=monetaryQ2, 2,
D125&lt;=monetaryQ3, 3,
TRUE, 4)</f>
        <v>4</v>
      </c>
      <c r="H125" s="18" t="str">
        <f t="shared" si="8"/>
        <v>444</v>
      </c>
      <c r="I125" s="19">
        <f t="shared" si="9"/>
        <v>4</v>
      </c>
      <c r="J125" s="7" t="str" cm="1">
        <f t="array" ref="J125">_xlfn.IFS(
I125&gt;=Best_Customers, Best_Customers_name,
I125&gt;=Loyal_Customers, Loyal_Customers_name,
I125&gt;=Average_Customers, Average_Customers_name,
TRUE, Lost_Customers_name)</f>
        <v>Best Customers</v>
      </c>
    </row>
    <row r="126" spans="1:10" x14ac:dyDescent="0.25">
      <c r="A126" s="25" t="str">
        <v>CUST_0118</v>
      </c>
      <c r="B126" s="16">
        <f t="shared" si="5"/>
        <v>104</v>
      </c>
      <c r="C126" s="16">
        <f t="shared" si="6"/>
        <v>6</v>
      </c>
      <c r="D126" s="17">
        <f t="shared" si="7"/>
        <v>555.75000000000011</v>
      </c>
      <c r="E126" s="18" cm="1">
        <f t="array" ref="E126">_xlfn.IFS(
B126&lt;=recencyQ1, 4,
B126&lt;=recencyQ2, 3,
B126&lt;=recencyQ3, 2,
TRUE, 1
)</f>
        <v>1</v>
      </c>
      <c r="F126" s="18" cm="1">
        <f t="array" ref="F126">_xlfn.IFS(
C126&lt;=frequencyQ1, 1,
C126&lt;=frequencyQ2, 2,
C126&lt;=frequencyQ3, 3,
TRUE, 4)</f>
        <v>3</v>
      </c>
      <c r="G126" s="18" cm="1">
        <f t="array" ref="G126">_xlfn.IFS(
D126&lt;=monetaryQ1, 1,
D126&lt;=monetaryQ2, 2,
D126&lt;=monetaryQ3, 3,
TRUE, 4)</f>
        <v>3</v>
      </c>
      <c r="H126" s="18" t="str">
        <f t="shared" si="8"/>
        <v>133</v>
      </c>
      <c r="I126" s="19">
        <f t="shared" si="9"/>
        <v>2.3333333333333335</v>
      </c>
      <c r="J126" s="7" t="str" cm="1">
        <f t="array" ref="J126">_xlfn.IFS(
I126&gt;=Best_Customers, Best_Customers_name,
I126&gt;=Loyal_Customers, Loyal_Customers_name,
I126&gt;=Average_Customers, Average_Customers_name,
TRUE, Lost_Customers_name)</f>
        <v>Average Customers</v>
      </c>
    </row>
    <row r="127" spans="1:10" x14ac:dyDescent="0.25">
      <c r="A127" s="25" t="str">
        <v>CUST_0119</v>
      </c>
      <c r="B127" s="16">
        <f t="shared" si="5"/>
        <v>92</v>
      </c>
      <c r="C127" s="16">
        <f t="shared" si="6"/>
        <v>7</v>
      </c>
      <c r="D127" s="17">
        <f t="shared" si="7"/>
        <v>764.30000000000007</v>
      </c>
      <c r="E127" s="18" cm="1">
        <f t="array" ref="E127">_xlfn.IFS(
B127&lt;=recencyQ1, 4,
B127&lt;=recencyQ2, 3,
B127&lt;=recencyQ3, 2,
TRUE, 1
)</f>
        <v>2</v>
      </c>
      <c r="F127" s="18" cm="1">
        <f t="array" ref="F127">_xlfn.IFS(
C127&lt;=frequencyQ1, 1,
C127&lt;=frequencyQ2, 2,
C127&lt;=frequencyQ3, 3,
TRUE, 4)</f>
        <v>4</v>
      </c>
      <c r="G127" s="18" cm="1">
        <f t="array" ref="G127">_xlfn.IFS(
D127&lt;=monetaryQ1, 1,
D127&lt;=monetaryQ2, 2,
D127&lt;=monetaryQ3, 3,
TRUE, 4)</f>
        <v>4</v>
      </c>
      <c r="H127" s="18" t="str">
        <f t="shared" si="8"/>
        <v>244</v>
      </c>
      <c r="I127" s="19">
        <f t="shared" si="9"/>
        <v>3.3333333333333335</v>
      </c>
      <c r="J127" s="7" t="str" cm="1">
        <f t="array" ref="J127">_xlfn.IFS(
I127&gt;=Best_Customers, Best_Customers_name,
I127&gt;=Loyal_Customers, Loyal_Customers_name,
I127&gt;=Average_Customers, Average_Customers_name,
TRUE, Lost_Customers_name)</f>
        <v>Loyal Customers</v>
      </c>
    </row>
    <row r="128" spans="1:10" x14ac:dyDescent="0.25">
      <c r="A128" s="25" t="str">
        <v>CUST_0120</v>
      </c>
      <c r="B128" s="16">
        <f t="shared" si="5"/>
        <v>139</v>
      </c>
      <c r="C128" s="16">
        <f t="shared" si="6"/>
        <v>2</v>
      </c>
      <c r="D128" s="17">
        <f t="shared" si="7"/>
        <v>238.06</v>
      </c>
      <c r="E128" s="18" cm="1">
        <f t="array" ref="E128">_xlfn.IFS(
B128&lt;=recencyQ1, 4,
B128&lt;=recencyQ2, 3,
B128&lt;=recencyQ3, 2,
TRUE, 1
)</f>
        <v>1</v>
      </c>
      <c r="F128" s="18" cm="1">
        <f t="array" ref="F128">_xlfn.IFS(
C128&lt;=frequencyQ1, 1,
C128&lt;=frequencyQ2, 2,
C128&lt;=frequencyQ3, 3,
TRUE, 4)</f>
        <v>1</v>
      </c>
      <c r="G128" s="18" cm="1">
        <f t="array" ref="G128">_xlfn.IFS(
D128&lt;=monetaryQ1, 1,
D128&lt;=monetaryQ2, 2,
D128&lt;=monetaryQ3, 3,
TRUE, 4)</f>
        <v>1</v>
      </c>
      <c r="H128" s="18" t="str">
        <f t="shared" si="8"/>
        <v>111</v>
      </c>
      <c r="I128" s="19">
        <f t="shared" si="9"/>
        <v>1</v>
      </c>
      <c r="J128" s="7" t="str" cm="1">
        <f t="array" ref="J128">_xlfn.IFS(
I128&gt;=Best_Customers, Best_Customers_name,
I128&gt;=Loyal_Customers, Loyal_Customers_name,
I128&gt;=Average_Customers, Average_Customers_name,
TRUE, Lost_Customers_name)</f>
        <v>Lost Customers</v>
      </c>
    </row>
    <row r="129" spans="1:10" x14ac:dyDescent="0.25">
      <c r="A129" s="25" t="str">
        <v>CUST_0121</v>
      </c>
      <c r="B129" s="16">
        <f t="shared" si="5"/>
        <v>88</v>
      </c>
      <c r="C129" s="16">
        <f t="shared" si="6"/>
        <v>6</v>
      </c>
      <c r="D129" s="17">
        <f t="shared" si="7"/>
        <v>451.46</v>
      </c>
      <c r="E129" s="18" cm="1">
        <f t="array" ref="E129">_xlfn.IFS(
B129&lt;=recencyQ1, 4,
B129&lt;=recencyQ2, 3,
B129&lt;=recencyQ3, 2,
TRUE, 1
)</f>
        <v>2</v>
      </c>
      <c r="F129" s="18" cm="1">
        <f t="array" ref="F129">_xlfn.IFS(
C129&lt;=frequencyQ1, 1,
C129&lt;=frequencyQ2, 2,
C129&lt;=frequencyQ3, 3,
TRUE, 4)</f>
        <v>3</v>
      </c>
      <c r="G129" s="18" cm="1">
        <f t="array" ref="G129">_xlfn.IFS(
D129&lt;=monetaryQ1, 1,
D129&lt;=monetaryQ2, 2,
D129&lt;=monetaryQ3, 3,
TRUE, 4)</f>
        <v>2</v>
      </c>
      <c r="H129" s="18" t="str">
        <f t="shared" si="8"/>
        <v>232</v>
      </c>
      <c r="I129" s="19">
        <f t="shared" si="9"/>
        <v>2.3333333333333335</v>
      </c>
      <c r="J129" s="7" t="str" cm="1">
        <f t="array" ref="J129">_xlfn.IFS(
I129&gt;=Best_Customers, Best_Customers_name,
I129&gt;=Loyal_Customers, Loyal_Customers_name,
I129&gt;=Average_Customers, Average_Customers_name,
TRUE, Lost_Customers_name)</f>
        <v>Average Customers</v>
      </c>
    </row>
    <row r="130" spans="1:10" x14ac:dyDescent="0.25">
      <c r="A130" s="25" t="str">
        <v>CUST_0122</v>
      </c>
      <c r="B130" s="16">
        <f t="shared" si="5"/>
        <v>221</v>
      </c>
      <c r="C130" s="16">
        <f t="shared" si="6"/>
        <v>2</v>
      </c>
      <c r="D130" s="17">
        <f t="shared" si="7"/>
        <v>221.54000000000002</v>
      </c>
      <c r="E130" s="18" cm="1">
        <f t="array" ref="E130">_xlfn.IFS(
B130&lt;=recencyQ1, 4,
B130&lt;=recencyQ2, 3,
B130&lt;=recencyQ3, 2,
TRUE, 1
)</f>
        <v>1</v>
      </c>
      <c r="F130" s="18" cm="1">
        <f t="array" ref="F130">_xlfn.IFS(
C130&lt;=frequencyQ1, 1,
C130&lt;=frequencyQ2, 2,
C130&lt;=frequencyQ3, 3,
TRUE, 4)</f>
        <v>1</v>
      </c>
      <c r="G130" s="18" cm="1">
        <f t="array" ref="G130">_xlfn.IFS(
D130&lt;=monetaryQ1, 1,
D130&lt;=monetaryQ2, 2,
D130&lt;=monetaryQ3, 3,
TRUE, 4)</f>
        <v>1</v>
      </c>
      <c r="H130" s="18" t="str">
        <f t="shared" si="8"/>
        <v>111</v>
      </c>
      <c r="I130" s="19">
        <f t="shared" si="9"/>
        <v>1</v>
      </c>
      <c r="J130" s="7" t="str" cm="1">
        <f t="array" ref="J130">_xlfn.IFS(
I130&gt;=Best_Customers, Best_Customers_name,
I130&gt;=Loyal_Customers, Loyal_Customers_name,
I130&gt;=Average_Customers, Average_Customers_name,
TRUE, Lost_Customers_name)</f>
        <v>Lost Customers</v>
      </c>
    </row>
    <row r="131" spans="1:10" x14ac:dyDescent="0.25">
      <c r="A131" s="25" t="str">
        <v>CUST_0123</v>
      </c>
      <c r="B131" s="16">
        <f t="shared" si="5"/>
        <v>44</v>
      </c>
      <c r="C131" s="16">
        <f t="shared" si="6"/>
        <v>8</v>
      </c>
      <c r="D131" s="17">
        <f t="shared" si="7"/>
        <v>800.43</v>
      </c>
      <c r="E131" s="18" cm="1">
        <f t="array" ref="E131">_xlfn.IFS(
B131&lt;=recencyQ1, 4,
B131&lt;=recencyQ2, 3,
B131&lt;=recencyQ3, 2,
TRUE, 1
)</f>
        <v>3</v>
      </c>
      <c r="F131" s="18" cm="1">
        <f t="array" ref="F131">_xlfn.IFS(
C131&lt;=frequencyQ1, 1,
C131&lt;=frequencyQ2, 2,
C131&lt;=frequencyQ3, 3,
TRUE, 4)</f>
        <v>4</v>
      </c>
      <c r="G131" s="18" cm="1">
        <f t="array" ref="G131">_xlfn.IFS(
D131&lt;=monetaryQ1, 1,
D131&lt;=monetaryQ2, 2,
D131&lt;=monetaryQ3, 3,
TRUE, 4)</f>
        <v>4</v>
      </c>
      <c r="H131" s="18" t="str">
        <f t="shared" si="8"/>
        <v>344</v>
      </c>
      <c r="I131" s="19">
        <f t="shared" si="9"/>
        <v>3.6666666666666665</v>
      </c>
      <c r="J131" s="7" t="str" cm="1">
        <f t="array" ref="J131">_xlfn.IFS(
I131&gt;=Best_Customers, Best_Customers_name,
I131&gt;=Loyal_Customers, Loyal_Customers_name,
I131&gt;=Average_Customers, Average_Customers_name,
TRUE, Lost_Customers_name)</f>
        <v>Best Customers</v>
      </c>
    </row>
    <row r="132" spans="1:10" x14ac:dyDescent="0.25">
      <c r="A132" s="25" t="str">
        <v>CUST_0124</v>
      </c>
      <c r="B132" s="16">
        <f t="shared" si="5"/>
        <v>49</v>
      </c>
      <c r="C132" s="16">
        <f t="shared" si="6"/>
        <v>3</v>
      </c>
      <c r="D132" s="17">
        <f t="shared" si="7"/>
        <v>236.73000000000002</v>
      </c>
      <c r="E132" s="18" cm="1">
        <f t="array" ref="E132">_xlfn.IFS(
B132&lt;=recencyQ1, 4,
B132&lt;=recencyQ2, 3,
B132&lt;=recencyQ3, 2,
TRUE, 1
)</f>
        <v>2</v>
      </c>
      <c r="F132" s="18" cm="1">
        <f t="array" ref="F132">_xlfn.IFS(
C132&lt;=frequencyQ1, 1,
C132&lt;=frequencyQ2, 2,
C132&lt;=frequencyQ3, 3,
TRUE, 4)</f>
        <v>1</v>
      </c>
      <c r="G132" s="18" cm="1">
        <f t="array" ref="G132">_xlfn.IFS(
D132&lt;=monetaryQ1, 1,
D132&lt;=monetaryQ2, 2,
D132&lt;=monetaryQ3, 3,
TRUE, 4)</f>
        <v>1</v>
      </c>
      <c r="H132" s="18" t="str">
        <f t="shared" si="8"/>
        <v>211</v>
      </c>
      <c r="I132" s="19">
        <f t="shared" si="9"/>
        <v>1.3333333333333333</v>
      </c>
      <c r="J132" s="7" t="str" cm="1">
        <f t="array" ref="J132">_xlfn.IFS(
I132&gt;=Best_Customers, Best_Customers_name,
I132&gt;=Loyal_Customers, Loyal_Customers_name,
I132&gt;=Average_Customers, Average_Customers_name,
TRUE, Lost_Customers_name)</f>
        <v>Lost Customers</v>
      </c>
    </row>
    <row r="133" spans="1:10" x14ac:dyDescent="0.25">
      <c r="A133" s="25" t="str">
        <v>CUST_0125</v>
      </c>
      <c r="B133" s="16">
        <f t="shared" si="5"/>
        <v>169</v>
      </c>
      <c r="C133" s="16">
        <f t="shared" si="6"/>
        <v>6</v>
      </c>
      <c r="D133" s="17">
        <f t="shared" si="7"/>
        <v>649.84000000000015</v>
      </c>
      <c r="E133" s="18" cm="1">
        <f t="array" ref="E133">_xlfn.IFS(
B133&lt;=recencyQ1, 4,
B133&lt;=recencyQ2, 3,
B133&lt;=recencyQ3, 2,
TRUE, 1
)</f>
        <v>1</v>
      </c>
      <c r="F133" s="18" cm="1">
        <f t="array" ref="F133">_xlfn.IFS(
C133&lt;=frequencyQ1, 1,
C133&lt;=frequencyQ2, 2,
C133&lt;=frequencyQ3, 3,
TRUE, 4)</f>
        <v>3</v>
      </c>
      <c r="G133" s="18" cm="1">
        <f t="array" ref="G133">_xlfn.IFS(
D133&lt;=monetaryQ1, 1,
D133&lt;=monetaryQ2, 2,
D133&lt;=monetaryQ3, 3,
TRUE, 4)</f>
        <v>3</v>
      </c>
      <c r="H133" s="18" t="str">
        <f t="shared" si="8"/>
        <v>133</v>
      </c>
      <c r="I133" s="19">
        <f t="shared" si="9"/>
        <v>2.3333333333333335</v>
      </c>
      <c r="J133" s="7" t="str" cm="1">
        <f t="array" ref="J133">_xlfn.IFS(
I133&gt;=Best_Customers, Best_Customers_name,
I133&gt;=Loyal_Customers, Loyal_Customers_name,
I133&gt;=Average_Customers, Average_Customers_name,
TRUE, Lost_Customers_name)</f>
        <v>Average Customers</v>
      </c>
    </row>
    <row r="134" spans="1:10" x14ac:dyDescent="0.25">
      <c r="A134" s="25" t="str">
        <v>CUST_0126</v>
      </c>
      <c r="B134" s="16">
        <f t="shared" si="5"/>
        <v>11</v>
      </c>
      <c r="C134" s="16">
        <f t="shared" si="6"/>
        <v>7</v>
      </c>
      <c r="D134" s="17">
        <f t="shared" si="7"/>
        <v>754.5</v>
      </c>
      <c r="E134" s="18" cm="1">
        <f t="array" ref="E134">_xlfn.IFS(
B134&lt;=recencyQ1, 4,
B134&lt;=recencyQ2, 3,
B134&lt;=recencyQ3, 2,
TRUE, 1
)</f>
        <v>4</v>
      </c>
      <c r="F134" s="18" cm="1">
        <f t="array" ref="F134">_xlfn.IFS(
C134&lt;=frequencyQ1, 1,
C134&lt;=frequencyQ2, 2,
C134&lt;=frequencyQ3, 3,
TRUE, 4)</f>
        <v>4</v>
      </c>
      <c r="G134" s="18" cm="1">
        <f t="array" ref="G134">_xlfn.IFS(
D134&lt;=monetaryQ1, 1,
D134&lt;=monetaryQ2, 2,
D134&lt;=monetaryQ3, 3,
TRUE, 4)</f>
        <v>4</v>
      </c>
      <c r="H134" s="18" t="str">
        <f t="shared" si="8"/>
        <v>444</v>
      </c>
      <c r="I134" s="19">
        <f t="shared" si="9"/>
        <v>4</v>
      </c>
      <c r="J134" s="7" t="str" cm="1">
        <f t="array" ref="J134">_xlfn.IFS(
I134&gt;=Best_Customers, Best_Customers_name,
I134&gt;=Loyal_Customers, Loyal_Customers_name,
I134&gt;=Average_Customers, Average_Customers_name,
TRUE, Lost_Customers_name)</f>
        <v>Best Customers</v>
      </c>
    </row>
    <row r="135" spans="1:10" x14ac:dyDescent="0.25">
      <c r="A135" s="25" t="str">
        <v>CUST_0127</v>
      </c>
      <c r="B135" s="16">
        <f t="shared" si="5"/>
        <v>53</v>
      </c>
      <c r="C135" s="16">
        <f t="shared" si="6"/>
        <v>6</v>
      </c>
      <c r="D135" s="17">
        <f t="shared" si="7"/>
        <v>583.3599999999999</v>
      </c>
      <c r="E135" s="18" cm="1">
        <f t="array" ref="E135">_xlfn.IFS(
B135&lt;=recencyQ1, 4,
B135&lt;=recencyQ2, 3,
B135&lt;=recencyQ3, 2,
TRUE, 1
)</f>
        <v>2</v>
      </c>
      <c r="F135" s="18" cm="1">
        <f t="array" ref="F135">_xlfn.IFS(
C135&lt;=frequencyQ1, 1,
C135&lt;=frequencyQ2, 2,
C135&lt;=frequencyQ3, 3,
TRUE, 4)</f>
        <v>3</v>
      </c>
      <c r="G135" s="18" cm="1">
        <f t="array" ref="G135">_xlfn.IFS(
D135&lt;=monetaryQ1, 1,
D135&lt;=monetaryQ2, 2,
D135&lt;=monetaryQ3, 3,
TRUE, 4)</f>
        <v>3</v>
      </c>
      <c r="H135" s="18" t="str">
        <f t="shared" si="8"/>
        <v>233</v>
      </c>
      <c r="I135" s="19">
        <f t="shared" si="9"/>
        <v>2.6666666666666665</v>
      </c>
      <c r="J135" s="7" t="str" cm="1">
        <f t="array" ref="J135">_xlfn.IFS(
I135&gt;=Best_Customers, Best_Customers_name,
I135&gt;=Loyal_Customers, Loyal_Customers_name,
I135&gt;=Average_Customers, Average_Customers_name,
TRUE, Lost_Customers_name)</f>
        <v>Loyal Customers</v>
      </c>
    </row>
    <row r="136" spans="1:10" x14ac:dyDescent="0.25">
      <c r="A136" s="25" t="str">
        <v>CUST_0128</v>
      </c>
      <c r="B136" s="16">
        <f t="shared" si="5"/>
        <v>76</v>
      </c>
      <c r="C136" s="16">
        <f t="shared" si="6"/>
        <v>6</v>
      </c>
      <c r="D136" s="17">
        <f t="shared" si="7"/>
        <v>554.58999999999992</v>
      </c>
      <c r="E136" s="18" cm="1">
        <f t="array" ref="E136">_xlfn.IFS(
B136&lt;=recencyQ1, 4,
B136&lt;=recencyQ2, 3,
B136&lt;=recencyQ3, 2,
TRUE, 1
)</f>
        <v>2</v>
      </c>
      <c r="F136" s="18" cm="1">
        <f t="array" ref="F136">_xlfn.IFS(
C136&lt;=frequencyQ1, 1,
C136&lt;=frequencyQ2, 2,
C136&lt;=frequencyQ3, 3,
TRUE, 4)</f>
        <v>3</v>
      </c>
      <c r="G136" s="18" cm="1">
        <f t="array" ref="G136">_xlfn.IFS(
D136&lt;=monetaryQ1, 1,
D136&lt;=monetaryQ2, 2,
D136&lt;=monetaryQ3, 3,
TRUE, 4)</f>
        <v>3</v>
      </c>
      <c r="H136" s="18" t="str">
        <f t="shared" si="8"/>
        <v>233</v>
      </c>
      <c r="I136" s="19">
        <f t="shared" si="9"/>
        <v>2.6666666666666665</v>
      </c>
      <c r="J136" s="7" t="str" cm="1">
        <f t="array" ref="J136">_xlfn.IFS(
I136&gt;=Best_Customers, Best_Customers_name,
I136&gt;=Loyal_Customers, Loyal_Customers_name,
I136&gt;=Average_Customers, Average_Customers_name,
TRUE, Lost_Customers_name)</f>
        <v>Loyal Customers</v>
      </c>
    </row>
    <row r="137" spans="1:10" x14ac:dyDescent="0.25">
      <c r="A137" s="25" t="str">
        <v>CUST_0129</v>
      </c>
      <c r="B137" s="16">
        <f t="shared" si="5"/>
        <v>24</v>
      </c>
      <c r="C137" s="16">
        <f t="shared" si="6"/>
        <v>9</v>
      </c>
      <c r="D137" s="17">
        <f t="shared" si="7"/>
        <v>915.4899999999999</v>
      </c>
      <c r="E137" s="18" cm="1">
        <f t="array" ref="E137">_xlfn.IFS(
B137&lt;=recencyQ1, 4,
B137&lt;=recencyQ2, 3,
B137&lt;=recencyQ3, 2,
TRUE, 1
)</f>
        <v>3</v>
      </c>
      <c r="F137" s="18" cm="1">
        <f t="array" ref="F137">_xlfn.IFS(
C137&lt;=frequencyQ1, 1,
C137&lt;=frequencyQ2, 2,
C137&lt;=frequencyQ3, 3,
TRUE, 4)</f>
        <v>4</v>
      </c>
      <c r="G137" s="18" cm="1">
        <f t="array" ref="G137">_xlfn.IFS(
D137&lt;=monetaryQ1, 1,
D137&lt;=monetaryQ2, 2,
D137&lt;=monetaryQ3, 3,
TRUE, 4)</f>
        <v>4</v>
      </c>
      <c r="H137" s="18" t="str">
        <f t="shared" si="8"/>
        <v>344</v>
      </c>
      <c r="I137" s="19">
        <f t="shared" si="9"/>
        <v>3.6666666666666665</v>
      </c>
      <c r="J137" s="7" t="str" cm="1">
        <f t="array" ref="J137">_xlfn.IFS(
I137&gt;=Best_Customers, Best_Customers_name,
I137&gt;=Loyal_Customers, Loyal_Customers_name,
I137&gt;=Average_Customers, Average_Customers_name,
TRUE, Lost_Customers_name)</f>
        <v>Best Customers</v>
      </c>
    </row>
    <row r="138" spans="1:10" x14ac:dyDescent="0.25">
      <c r="A138" s="25" t="str">
        <v>CUST_0130</v>
      </c>
      <c r="B138" s="16">
        <f t="shared" ref="B138:B201" si="10">analysis_date-_xlfn.MAXIFS(transaction_date,customer_id,A138,included,1)</f>
        <v>13</v>
      </c>
      <c r="C138" s="16">
        <f t="shared" ref="C138:C201" si="11">COUNTIFS(customer_id,A138,included,1)</f>
        <v>8</v>
      </c>
      <c r="D138" s="17">
        <f t="shared" ref="D138:D201" si="12">SUMIFS(transaction_amount,customer_id,A138,included,1)</f>
        <v>729.98</v>
      </c>
      <c r="E138" s="18" cm="1">
        <f t="array" ref="E138">_xlfn.IFS(
B138&lt;=recencyQ1, 4,
B138&lt;=recencyQ2, 3,
B138&lt;=recencyQ3, 2,
TRUE, 1
)</f>
        <v>4</v>
      </c>
      <c r="F138" s="18" cm="1">
        <f t="array" ref="F138">_xlfn.IFS(
C138&lt;=frequencyQ1, 1,
C138&lt;=frequencyQ2, 2,
C138&lt;=frequencyQ3, 3,
TRUE, 4)</f>
        <v>4</v>
      </c>
      <c r="G138" s="18" cm="1">
        <f t="array" ref="G138">_xlfn.IFS(
D138&lt;=monetaryQ1, 1,
D138&lt;=monetaryQ2, 2,
D138&lt;=monetaryQ3, 3,
TRUE, 4)</f>
        <v>4</v>
      </c>
      <c r="H138" s="18" t="str">
        <f t="shared" ref="H138:H201" si="13">E138&amp;F138&amp;G138</f>
        <v>444</v>
      </c>
      <c r="I138" s="19">
        <f t="shared" ref="I138:I201" si="14">AVERAGE(E138:G138)</f>
        <v>4</v>
      </c>
      <c r="J138" s="7" t="str" cm="1">
        <f t="array" ref="J138">_xlfn.IFS(
I138&gt;=Best_Customers, Best_Customers_name,
I138&gt;=Loyal_Customers, Loyal_Customers_name,
I138&gt;=Average_Customers, Average_Customers_name,
TRUE, Lost_Customers_name)</f>
        <v>Best Customers</v>
      </c>
    </row>
    <row r="139" spans="1:10" x14ac:dyDescent="0.25">
      <c r="A139" s="25" t="str">
        <v>CUST_0131</v>
      </c>
      <c r="B139" s="16">
        <f t="shared" si="10"/>
        <v>23</v>
      </c>
      <c r="C139" s="16">
        <f t="shared" si="11"/>
        <v>5</v>
      </c>
      <c r="D139" s="17">
        <f t="shared" si="12"/>
        <v>471.63000000000005</v>
      </c>
      <c r="E139" s="18" cm="1">
        <f t="array" ref="E139">_xlfn.IFS(
B139&lt;=recencyQ1, 4,
B139&lt;=recencyQ2, 3,
B139&lt;=recencyQ3, 2,
TRUE, 1
)</f>
        <v>3</v>
      </c>
      <c r="F139" s="18" cm="1">
        <f t="array" ref="F139">_xlfn.IFS(
C139&lt;=frequencyQ1, 1,
C139&lt;=frequencyQ2, 2,
C139&lt;=frequencyQ3, 3,
TRUE, 4)</f>
        <v>2</v>
      </c>
      <c r="G139" s="18" cm="1">
        <f t="array" ref="G139">_xlfn.IFS(
D139&lt;=monetaryQ1, 1,
D139&lt;=monetaryQ2, 2,
D139&lt;=monetaryQ3, 3,
TRUE, 4)</f>
        <v>2</v>
      </c>
      <c r="H139" s="18" t="str">
        <f t="shared" si="13"/>
        <v>322</v>
      </c>
      <c r="I139" s="19">
        <f t="shared" si="14"/>
        <v>2.3333333333333335</v>
      </c>
      <c r="J139" s="7" t="str" cm="1">
        <f t="array" ref="J139">_xlfn.IFS(
I139&gt;=Best_Customers, Best_Customers_name,
I139&gt;=Loyal_Customers, Loyal_Customers_name,
I139&gt;=Average_Customers, Average_Customers_name,
TRUE, Lost_Customers_name)</f>
        <v>Average Customers</v>
      </c>
    </row>
    <row r="140" spans="1:10" x14ac:dyDescent="0.25">
      <c r="A140" s="25" t="str">
        <v>CUST_0132</v>
      </c>
      <c r="B140" s="16">
        <f t="shared" si="10"/>
        <v>0</v>
      </c>
      <c r="C140" s="16">
        <f t="shared" si="11"/>
        <v>6</v>
      </c>
      <c r="D140" s="17">
        <f t="shared" si="12"/>
        <v>673.58</v>
      </c>
      <c r="E140" s="18" cm="1">
        <f t="array" ref="E140">_xlfn.IFS(
B140&lt;=recencyQ1, 4,
B140&lt;=recencyQ2, 3,
B140&lt;=recencyQ3, 2,
TRUE, 1
)</f>
        <v>4</v>
      </c>
      <c r="F140" s="18" cm="1">
        <f t="array" ref="F140">_xlfn.IFS(
C140&lt;=frequencyQ1, 1,
C140&lt;=frequencyQ2, 2,
C140&lt;=frequencyQ3, 3,
TRUE, 4)</f>
        <v>3</v>
      </c>
      <c r="G140" s="18" cm="1">
        <f t="array" ref="G140">_xlfn.IFS(
D140&lt;=monetaryQ1, 1,
D140&lt;=monetaryQ2, 2,
D140&lt;=monetaryQ3, 3,
TRUE, 4)</f>
        <v>4</v>
      </c>
      <c r="H140" s="18" t="str">
        <f t="shared" si="13"/>
        <v>434</v>
      </c>
      <c r="I140" s="19">
        <f t="shared" si="14"/>
        <v>3.6666666666666665</v>
      </c>
      <c r="J140" s="7" t="str" cm="1">
        <f t="array" ref="J140">_xlfn.IFS(
I140&gt;=Best_Customers, Best_Customers_name,
I140&gt;=Loyal_Customers, Loyal_Customers_name,
I140&gt;=Average_Customers, Average_Customers_name,
TRUE, Lost_Customers_name)</f>
        <v>Best Customers</v>
      </c>
    </row>
    <row r="141" spans="1:10" x14ac:dyDescent="0.25">
      <c r="A141" s="25" t="str">
        <v>CUST_0133</v>
      </c>
      <c r="B141" s="16">
        <f t="shared" si="10"/>
        <v>108</v>
      </c>
      <c r="C141" s="16">
        <f t="shared" si="11"/>
        <v>3</v>
      </c>
      <c r="D141" s="17">
        <f t="shared" si="12"/>
        <v>202.46999999999997</v>
      </c>
      <c r="E141" s="18" cm="1">
        <f t="array" ref="E141">_xlfn.IFS(
B141&lt;=recencyQ1, 4,
B141&lt;=recencyQ2, 3,
B141&lt;=recencyQ3, 2,
TRUE, 1
)</f>
        <v>1</v>
      </c>
      <c r="F141" s="18" cm="1">
        <f t="array" ref="F141">_xlfn.IFS(
C141&lt;=frequencyQ1, 1,
C141&lt;=frequencyQ2, 2,
C141&lt;=frequencyQ3, 3,
TRUE, 4)</f>
        <v>1</v>
      </c>
      <c r="G141" s="18" cm="1">
        <f t="array" ref="G141">_xlfn.IFS(
D141&lt;=monetaryQ1, 1,
D141&lt;=monetaryQ2, 2,
D141&lt;=monetaryQ3, 3,
TRUE, 4)</f>
        <v>1</v>
      </c>
      <c r="H141" s="18" t="str">
        <f t="shared" si="13"/>
        <v>111</v>
      </c>
      <c r="I141" s="19">
        <f t="shared" si="14"/>
        <v>1</v>
      </c>
      <c r="J141" s="7" t="str" cm="1">
        <f t="array" ref="J141">_xlfn.IFS(
I141&gt;=Best_Customers, Best_Customers_name,
I141&gt;=Loyal_Customers, Loyal_Customers_name,
I141&gt;=Average_Customers, Average_Customers_name,
TRUE, Lost_Customers_name)</f>
        <v>Lost Customers</v>
      </c>
    </row>
    <row r="142" spans="1:10" x14ac:dyDescent="0.25">
      <c r="A142" s="25" t="str">
        <v>CUST_0134</v>
      </c>
      <c r="B142" s="16">
        <f t="shared" si="10"/>
        <v>12</v>
      </c>
      <c r="C142" s="16">
        <f t="shared" si="11"/>
        <v>2</v>
      </c>
      <c r="D142" s="17">
        <f t="shared" si="12"/>
        <v>255.48999999999998</v>
      </c>
      <c r="E142" s="18" cm="1">
        <f t="array" ref="E142">_xlfn.IFS(
B142&lt;=recencyQ1, 4,
B142&lt;=recencyQ2, 3,
B142&lt;=recencyQ3, 2,
TRUE, 1
)</f>
        <v>4</v>
      </c>
      <c r="F142" s="18" cm="1">
        <f t="array" ref="F142">_xlfn.IFS(
C142&lt;=frequencyQ1, 1,
C142&lt;=frequencyQ2, 2,
C142&lt;=frequencyQ3, 3,
TRUE, 4)</f>
        <v>1</v>
      </c>
      <c r="G142" s="18" cm="1">
        <f t="array" ref="G142">_xlfn.IFS(
D142&lt;=monetaryQ1, 1,
D142&lt;=monetaryQ2, 2,
D142&lt;=monetaryQ3, 3,
TRUE, 4)</f>
        <v>1</v>
      </c>
      <c r="H142" s="18" t="str">
        <f t="shared" si="13"/>
        <v>411</v>
      </c>
      <c r="I142" s="19">
        <f t="shared" si="14"/>
        <v>2</v>
      </c>
      <c r="J142" s="7" t="str" cm="1">
        <f t="array" ref="J142">_xlfn.IFS(
I142&gt;=Best_Customers, Best_Customers_name,
I142&gt;=Loyal_Customers, Loyal_Customers_name,
I142&gt;=Average_Customers, Average_Customers_name,
TRUE, Lost_Customers_name)</f>
        <v>Average Customers</v>
      </c>
    </row>
    <row r="143" spans="1:10" x14ac:dyDescent="0.25">
      <c r="A143" s="25" t="str">
        <v>CUST_0135</v>
      </c>
      <c r="B143" s="16">
        <f t="shared" si="10"/>
        <v>197</v>
      </c>
      <c r="C143" s="16">
        <f t="shared" si="11"/>
        <v>2</v>
      </c>
      <c r="D143" s="17">
        <f t="shared" si="12"/>
        <v>120.92</v>
      </c>
      <c r="E143" s="18" cm="1">
        <f t="array" ref="E143">_xlfn.IFS(
B143&lt;=recencyQ1, 4,
B143&lt;=recencyQ2, 3,
B143&lt;=recencyQ3, 2,
TRUE, 1
)</f>
        <v>1</v>
      </c>
      <c r="F143" s="18" cm="1">
        <f t="array" ref="F143">_xlfn.IFS(
C143&lt;=frequencyQ1, 1,
C143&lt;=frequencyQ2, 2,
C143&lt;=frequencyQ3, 3,
TRUE, 4)</f>
        <v>1</v>
      </c>
      <c r="G143" s="18" cm="1">
        <f t="array" ref="G143">_xlfn.IFS(
D143&lt;=monetaryQ1, 1,
D143&lt;=monetaryQ2, 2,
D143&lt;=monetaryQ3, 3,
TRUE, 4)</f>
        <v>1</v>
      </c>
      <c r="H143" s="18" t="str">
        <f t="shared" si="13"/>
        <v>111</v>
      </c>
      <c r="I143" s="19">
        <f t="shared" si="14"/>
        <v>1</v>
      </c>
      <c r="J143" s="7" t="str" cm="1">
        <f t="array" ref="J143">_xlfn.IFS(
I143&gt;=Best_Customers, Best_Customers_name,
I143&gt;=Loyal_Customers, Loyal_Customers_name,
I143&gt;=Average_Customers, Average_Customers_name,
TRUE, Lost_Customers_name)</f>
        <v>Lost Customers</v>
      </c>
    </row>
    <row r="144" spans="1:10" x14ac:dyDescent="0.25">
      <c r="A144" s="25" t="str">
        <v>CUST_0136</v>
      </c>
      <c r="B144" s="16">
        <f t="shared" si="10"/>
        <v>148</v>
      </c>
      <c r="C144" s="16">
        <f t="shared" si="11"/>
        <v>5</v>
      </c>
      <c r="D144" s="17">
        <f t="shared" si="12"/>
        <v>491.36</v>
      </c>
      <c r="E144" s="18" cm="1">
        <f t="array" ref="E144">_xlfn.IFS(
B144&lt;=recencyQ1, 4,
B144&lt;=recencyQ2, 3,
B144&lt;=recencyQ3, 2,
TRUE, 1
)</f>
        <v>1</v>
      </c>
      <c r="F144" s="18" cm="1">
        <f t="array" ref="F144">_xlfn.IFS(
C144&lt;=frequencyQ1, 1,
C144&lt;=frequencyQ2, 2,
C144&lt;=frequencyQ3, 3,
TRUE, 4)</f>
        <v>2</v>
      </c>
      <c r="G144" s="18" cm="1">
        <f t="array" ref="G144">_xlfn.IFS(
D144&lt;=monetaryQ1, 1,
D144&lt;=monetaryQ2, 2,
D144&lt;=monetaryQ3, 3,
TRUE, 4)</f>
        <v>3</v>
      </c>
      <c r="H144" s="18" t="str">
        <f t="shared" si="13"/>
        <v>123</v>
      </c>
      <c r="I144" s="19">
        <f t="shared" si="14"/>
        <v>2</v>
      </c>
      <c r="J144" s="7" t="str" cm="1">
        <f t="array" ref="J144">_xlfn.IFS(
I144&gt;=Best_Customers, Best_Customers_name,
I144&gt;=Loyal_Customers, Loyal_Customers_name,
I144&gt;=Average_Customers, Average_Customers_name,
TRUE, Lost_Customers_name)</f>
        <v>Average Customers</v>
      </c>
    </row>
    <row r="145" spans="1:10" x14ac:dyDescent="0.25">
      <c r="A145" s="25" t="str">
        <v>CUST_0137</v>
      </c>
      <c r="B145" s="16">
        <f t="shared" si="10"/>
        <v>93</v>
      </c>
      <c r="C145" s="16">
        <f t="shared" si="11"/>
        <v>3</v>
      </c>
      <c r="D145" s="17">
        <f t="shared" si="12"/>
        <v>331.27</v>
      </c>
      <c r="E145" s="18" cm="1">
        <f t="array" ref="E145">_xlfn.IFS(
B145&lt;=recencyQ1, 4,
B145&lt;=recencyQ2, 3,
B145&lt;=recencyQ3, 2,
TRUE, 1
)</f>
        <v>2</v>
      </c>
      <c r="F145" s="18" cm="1">
        <f t="array" ref="F145">_xlfn.IFS(
C145&lt;=frequencyQ1, 1,
C145&lt;=frequencyQ2, 2,
C145&lt;=frequencyQ3, 3,
TRUE, 4)</f>
        <v>1</v>
      </c>
      <c r="G145" s="18" cm="1">
        <f t="array" ref="G145">_xlfn.IFS(
D145&lt;=monetaryQ1, 1,
D145&lt;=monetaryQ2, 2,
D145&lt;=monetaryQ3, 3,
TRUE, 4)</f>
        <v>2</v>
      </c>
      <c r="H145" s="18" t="str">
        <f t="shared" si="13"/>
        <v>212</v>
      </c>
      <c r="I145" s="19">
        <f t="shared" si="14"/>
        <v>1.6666666666666667</v>
      </c>
      <c r="J145" s="7" t="str" cm="1">
        <f t="array" ref="J145">_xlfn.IFS(
I145&gt;=Best_Customers, Best_Customers_name,
I145&gt;=Loyal_Customers, Loyal_Customers_name,
I145&gt;=Average_Customers, Average_Customers_name,
TRUE, Lost_Customers_name)</f>
        <v>Average Customers</v>
      </c>
    </row>
    <row r="146" spans="1:10" x14ac:dyDescent="0.25">
      <c r="A146" s="25" t="str">
        <v>CUST_0138</v>
      </c>
      <c r="B146" s="16">
        <f t="shared" si="10"/>
        <v>28</v>
      </c>
      <c r="C146" s="16">
        <f t="shared" si="11"/>
        <v>4</v>
      </c>
      <c r="D146" s="17">
        <f t="shared" si="12"/>
        <v>466.11999999999995</v>
      </c>
      <c r="E146" s="18" cm="1">
        <f t="array" ref="E146">_xlfn.IFS(
B146&lt;=recencyQ1, 4,
B146&lt;=recencyQ2, 3,
B146&lt;=recencyQ3, 2,
TRUE, 1
)</f>
        <v>3</v>
      </c>
      <c r="F146" s="18" cm="1">
        <f t="array" ref="F146">_xlfn.IFS(
C146&lt;=frequencyQ1, 1,
C146&lt;=frequencyQ2, 2,
C146&lt;=frequencyQ3, 3,
TRUE, 4)</f>
        <v>2</v>
      </c>
      <c r="G146" s="18" cm="1">
        <f t="array" ref="G146">_xlfn.IFS(
D146&lt;=monetaryQ1, 1,
D146&lt;=monetaryQ2, 2,
D146&lt;=monetaryQ3, 3,
TRUE, 4)</f>
        <v>2</v>
      </c>
      <c r="H146" s="18" t="str">
        <f t="shared" si="13"/>
        <v>322</v>
      </c>
      <c r="I146" s="19">
        <f t="shared" si="14"/>
        <v>2.3333333333333335</v>
      </c>
      <c r="J146" s="7" t="str" cm="1">
        <f t="array" ref="J146">_xlfn.IFS(
I146&gt;=Best_Customers, Best_Customers_name,
I146&gt;=Loyal_Customers, Loyal_Customers_name,
I146&gt;=Average_Customers, Average_Customers_name,
TRUE, Lost_Customers_name)</f>
        <v>Average Customers</v>
      </c>
    </row>
    <row r="147" spans="1:10" x14ac:dyDescent="0.25">
      <c r="A147" s="25" t="str">
        <v>CUST_0139</v>
      </c>
      <c r="B147" s="16">
        <f t="shared" si="10"/>
        <v>148</v>
      </c>
      <c r="C147" s="16">
        <f t="shared" si="11"/>
        <v>3</v>
      </c>
      <c r="D147" s="17">
        <f t="shared" si="12"/>
        <v>236.48</v>
      </c>
      <c r="E147" s="18" cm="1">
        <f t="array" ref="E147">_xlfn.IFS(
B147&lt;=recencyQ1, 4,
B147&lt;=recencyQ2, 3,
B147&lt;=recencyQ3, 2,
TRUE, 1
)</f>
        <v>1</v>
      </c>
      <c r="F147" s="18" cm="1">
        <f t="array" ref="F147">_xlfn.IFS(
C147&lt;=frequencyQ1, 1,
C147&lt;=frequencyQ2, 2,
C147&lt;=frequencyQ3, 3,
TRUE, 4)</f>
        <v>1</v>
      </c>
      <c r="G147" s="18" cm="1">
        <f t="array" ref="G147">_xlfn.IFS(
D147&lt;=monetaryQ1, 1,
D147&lt;=monetaryQ2, 2,
D147&lt;=monetaryQ3, 3,
TRUE, 4)</f>
        <v>1</v>
      </c>
      <c r="H147" s="18" t="str">
        <f t="shared" si="13"/>
        <v>111</v>
      </c>
      <c r="I147" s="19">
        <f t="shared" si="14"/>
        <v>1</v>
      </c>
      <c r="J147" s="7" t="str" cm="1">
        <f t="array" ref="J147">_xlfn.IFS(
I147&gt;=Best_Customers, Best_Customers_name,
I147&gt;=Loyal_Customers, Loyal_Customers_name,
I147&gt;=Average_Customers, Average_Customers_name,
TRUE, Lost_Customers_name)</f>
        <v>Lost Customers</v>
      </c>
    </row>
    <row r="148" spans="1:10" x14ac:dyDescent="0.25">
      <c r="A148" s="25" t="str">
        <v>CUST_0140</v>
      </c>
      <c r="B148" s="16">
        <f t="shared" si="10"/>
        <v>105</v>
      </c>
      <c r="C148" s="16">
        <f t="shared" si="11"/>
        <v>6</v>
      </c>
      <c r="D148" s="17">
        <f t="shared" si="12"/>
        <v>686.59999999999991</v>
      </c>
      <c r="E148" s="18" cm="1">
        <f t="array" ref="E148">_xlfn.IFS(
B148&lt;=recencyQ1, 4,
B148&lt;=recencyQ2, 3,
B148&lt;=recencyQ3, 2,
TRUE, 1
)</f>
        <v>1</v>
      </c>
      <c r="F148" s="18" cm="1">
        <f t="array" ref="F148">_xlfn.IFS(
C148&lt;=frequencyQ1, 1,
C148&lt;=frequencyQ2, 2,
C148&lt;=frequencyQ3, 3,
TRUE, 4)</f>
        <v>3</v>
      </c>
      <c r="G148" s="18" cm="1">
        <f t="array" ref="G148">_xlfn.IFS(
D148&lt;=monetaryQ1, 1,
D148&lt;=monetaryQ2, 2,
D148&lt;=monetaryQ3, 3,
TRUE, 4)</f>
        <v>4</v>
      </c>
      <c r="H148" s="18" t="str">
        <f t="shared" si="13"/>
        <v>134</v>
      </c>
      <c r="I148" s="19">
        <f t="shared" si="14"/>
        <v>2.6666666666666665</v>
      </c>
      <c r="J148" s="7" t="str" cm="1">
        <f t="array" ref="J148">_xlfn.IFS(
I148&gt;=Best_Customers, Best_Customers_name,
I148&gt;=Loyal_Customers, Loyal_Customers_name,
I148&gt;=Average_Customers, Average_Customers_name,
TRUE, Lost_Customers_name)</f>
        <v>Loyal Customers</v>
      </c>
    </row>
    <row r="149" spans="1:10" x14ac:dyDescent="0.25">
      <c r="A149" s="25" t="str">
        <v>CUST_0141</v>
      </c>
      <c r="B149" s="16">
        <f t="shared" si="10"/>
        <v>187</v>
      </c>
      <c r="C149" s="16">
        <f t="shared" si="11"/>
        <v>4</v>
      </c>
      <c r="D149" s="17">
        <f t="shared" si="12"/>
        <v>319.51</v>
      </c>
      <c r="E149" s="18" cm="1">
        <f t="array" ref="E149">_xlfn.IFS(
B149&lt;=recencyQ1, 4,
B149&lt;=recencyQ2, 3,
B149&lt;=recencyQ3, 2,
TRUE, 1
)</f>
        <v>1</v>
      </c>
      <c r="F149" s="18" cm="1">
        <f t="array" ref="F149">_xlfn.IFS(
C149&lt;=frequencyQ1, 1,
C149&lt;=frequencyQ2, 2,
C149&lt;=frequencyQ3, 3,
TRUE, 4)</f>
        <v>2</v>
      </c>
      <c r="G149" s="18" cm="1">
        <f t="array" ref="G149">_xlfn.IFS(
D149&lt;=monetaryQ1, 1,
D149&lt;=monetaryQ2, 2,
D149&lt;=monetaryQ3, 3,
TRUE, 4)</f>
        <v>1</v>
      </c>
      <c r="H149" s="18" t="str">
        <f t="shared" si="13"/>
        <v>121</v>
      </c>
      <c r="I149" s="19">
        <f t="shared" si="14"/>
        <v>1.3333333333333333</v>
      </c>
      <c r="J149" s="7" t="str" cm="1">
        <f t="array" ref="J149">_xlfn.IFS(
I149&gt;=Best_Customers, Best_Customers_name,
I149&gt;=Loyal_Customers, Loyal_Customers_name,
I149&gt;=Average_Customers, Average_Customers_name,
TRUE, Lost_Customers_name)</f>
        <v>Lost Customers</v>
      </c>
    </row>
    <row r="150" spans="1:10" x14ac:dyDescent="0.25">
      <c r="A150" s="25" t="str">
        <v>CUST_0142</v>
      </c>
      <c r="B150" s="16">
        <f t="shared" si="10"/>
        <v>74</v>
      </c>
      <c r="C150" s="16">
        <f t="shared" si="11"/>
        <v>7</v>
      </c>
      <c r="D150" s="17">
        <f t="shared" si="12"/>
        <v>744.68</v>
      </c>
      <c r="E150" s="18" cm="1">
        <f t="array" ref="E150">_xlfn.IFS(
B150&lt;=recencyQ1, 4,
B150&lt;=recencyQ2, 3,
B150&lt;=recencyQ3, 2,
TRUE, 1
)</f>
        <v>2</v>
      </c>
      <c r="F150" s="18" cm="1">
        <f t="array" ref="F150">_xlfn.IFS(
C150&lt;=frequencyQ1, 1,
C150&lt;=frequencyQ2, 2,
C150&lt;=frequencyQ3, 3,
TRUE, 4)</f>
        <v>4</v>
      </c>
      <c r="G150" s="18" cm="1">
        <f t="array" ref="G150">_xlfn.IFS(
D150&lt;=monetaryQ1, 1,
D150&lt;=monetaryQ2, 2,
D150&lt;=monetaryQ3, 3,
TRUE, 4)</f>
        <v>4</v>
      </c>
      <c r="H150" s="18" t="str">
        <f t="shared" si="13"/>
        <v>244</v>
      </c>
      <c r="I150" s="19">
        <f t="shared" si="14"/>
        <v>3.3333333333333335</v>
      </c>
      <c r="J150" s="7" t="str" cm="1">
        <f t="array" ref="J150">_xlfn.IFS(
I150&gt;=Best_Customers, Best_Customers_name,
I150&gt;=Loyal_Customers, Loyal_Customers_name,
I150&gt;=Average_Customers, Average_Customers_name,
TRUE, Lost_Customers_name)</f>
        <v>Loyal Customers</v>
      </c>
    </row>
    <row r="151" spans="1:10" x14ac:dyDescent="0.25">
      <c r="A151" s="25" t="str">
        <v>CUST_0143</v>
      </c>
      <c r="B151" s="16">
        <f t="shared" si="10"/>
        <v>0</v>
      </c>
      <c r="C151" s="16">
        <f t="shared" si="11"/>
        <v>7</v>
      </c>
      <c r="D151" s="17">
        <f t="shared" si="12"/>
        <v>718.51</v>
      </c>
      <c r="E151" s="18" cm="1">
        <f t="array" ref="E151">_xlfn.IFS(
B151&lt;=recencyQ1, 4,
B151&lt;=recencyQ2, 3,
B151&lt;=recencyQ3, 2,
TRUE, 1
)</f>
        <v>4</v>
      </c>
      <c r="F151" s="18" cm="1">
        <f t="array" ref="F151">_xlfn.IFS(
C151&lt;=frequencyQ1, 1,
C151&lt;=frequencyQ2, 2,
C151&lt;=frequencyQ3, 3,
TRUE, 4)</f>
        <v>4</v>
      </c>
      <c r="G151" s="18" cm="1">
        <f t="array" ref="G151">_xlfn.IFS(
D151&lt;=monetaryQ1, 1,
D151&lt;=monetaryQ2, 2,
D151&lt;=monetaryQ3, 3,
TRUE, 4)</f>
        <v>4</v>
      </c>
      <c r="H151" s="18" t="str">
        <f t="shared" si="13"/>
        <v>444</v>
      </c>
      <c r="I151" s="19">
        <f t="shared" si="14"/>
        <v>4</v>
      </c>
      <c r="J151" s="7" t="str" cm="1">
        <f t="array" ref="J151">_xlfn.IFS(
I151&gt;=Best_Customers, Best_Customers_name,
I151&gt;=Loyal_Customers, Loyal_Customers_name,
I151&gt;=Average_Customers, Average_Customers_name,
TRUE, Lost_Customers_name)</f>
        <v>Best Customers</v>
      </c>
    </row>
    <row r="152" spans="1:10" x14ac:dyDescent="0.25">
      <c r="A152" s="25" t="str">
        <v>CUST_0144</v>
      </c>
      <c r="B152" s="16">
        <f t="shared" si="10"/>
        <v>11</v>
      </c>
      <c r="C152" s="16">
        <f t="shared" si="11"/>
        <v>7</v>
      </c>
      <c r="D152" s="17">
        <f t="shared" si="12"/>
        <v>748.75</v>
      </c>
      <c r="E152" s="18" cm="1">
        <f t="array" ref="E152">_xlfn.IFS(
B152&lt;=recencyQ1, 4,
B152&lt;=recencyQ2, 3,
B152&lt;=recencyQ3, 2,
TRUE, 1
)</f>
        <v>4</v>
      </c>
      <c r="F152" s="18" cm="1">
        <f t="array" ref="F152">_xlfn.IFS(
C152&lt;=frequencyQ1, 1,
C152&lt;=frequencyQ2, 2,
C152&lt;=frequencyQ3, 3,
TRUE, 4)</f>
        <v>4</v>
      </c>
      <c r="G152" s="18" cm="1">
        <f t="array" ref="G152">_xlfn.IFS(
D152&lt;=monetaryQ1, 1,
D152&lt;=monetaryQ2, 2,
D152&lt;=monetaryQ3, 3,
TRUE, 4)</f>
        <v>4</v>
      </c>
      <c r="H152" s="18" t="str">
        <f t="shared" si="13"/>
        <v>444</v>
      </c>
      <c r="I152" s="19">
        <f t="shared" si="14"/>
        <v>4</v>
      </c>
      <c r="J152" s="7" t="str" cm="1">
        <f t="array" ref="J152">_xlfn.IFS(
I152&gt;=Best_Customers, Best_Customers_name,
I152&gt;=Loyal_Customers, Loyal_Customers_name,
I152&gt;=Average_Customers, Average_Customers_name,
TRUE, Lost_Customers_name)</f>
        <v>Best Customers</v>
      </c>
    </row>
    <row r="153" spans="1:10" x14ac:dyDescent="0.25">
      <c r="A153" s="25" t="str">
        <v>CUST_0145</v>
      </c>
      <c r="B153" s="16">
        <f t="shared" si="10"/>
        <v>105</v>
      </c>
      <c r="C153" s="16">
        <f t="shared" si="11"/>
        <v>6</v>
      </c>
      <c r="D153" s="17">
        <f t="shared" si="12"/>
        <v>629.91</v>
      </c>
      <c r="E153" s="18" cm="1">
        <f t="array" ref="E153">_xlfn.IFS(
B153&lt;=recencyQ1, 4,
B153&lt;=recencyQ2, 3,
B153&lt;=recencyQ3, 2,
TRUE, 1
)</f>
        <v>1</v>
      </c>
      <c r="F153" s="18" cm="1">
        <f t="array" ref="F153">_xlfn.IFS(
C153&lt;=frequencyQ1, 1,
C153&lt;=frequencyQ2, 2,
C153&lt;=frequencyQ3, 3,
TRUE, 4)</f>
        <v>3</v>
      </c>
      <c r="G153" s="18" cm="1">
        <f t="array" ref="G153">_xlfn.IFS(
D153&lt;=monetaryQ1, 1,
D153&lt;=monetaryQ2, 2,
D153&lt;=monetaryQ3, 3,
TRUE, 4)</f>
        <v>3</v>
      </c>
      <c r="H153" s="18" t="str">
        <f t="shared" si="13"/>
        <v>133</v>
      </c>
      <c r="I153" s="19">
        <f t="shared" si="14"/>
        <v>2.3333333333333335</v>
      </c>
      <c r="J153" s="7" t="str" cm="1">
        <f t="array" ref="J153">_xlfn.IFS(
I153&gt;=Best_Customers, Best_Customers_name,
I153&gt;=Loyal_Customers, Loyal_Customers_name,
I153&gt;=Average_Customers, Average_Customers_name,
TRUE, Lost_Customers_name)</f>
        <v>Average Customers</v>
      </c>
    </row>
    <row r="154" spans="1:10" x14ac:dyDescent="0.25">
      <c r="A154" s="25" t="str">
        <v>CUST_0146</v>
      </c>
      <c r="B154" s="16">
        <f t="shared" si="10"/>
        <v>98</v>
      </c>
      <c r="C154" s="16">
        <f t="shared" si="11"/>
        <v>7</v>
      </c>
      <c r="D154" s="17">
        <f t="shared" si="12"/>
        <v>650.27</v>
      </c>
      <c r="E154" s="18" cm="1">
        <f t="array" ref="E154">_xlfn.IFS(
B154&lt;=recencyQ1, 4,
B154&lt;=recencyQ2, 3,
B154&lt;=recencyQ3, 2,
TRUE, 1
)</f>
        <v>1</v>
      </c>
      <c r="F154" s="18" cm="1">
        <f t="array" ref="F154">_xlfn.IFS(
C154&lt;=frequencyQ1, 1,
C154&lt;=frequencyQ2, 2,
C154&lt;=frequencyQ3, 3,
TRUE, 4)</f>
        <v>4</v>
      </c>
      <c r="G154" s="18" cm="1">
        <f t="array" ref="G154">_xlfn.IFS(
D154&lt;=monetaryQ1, 1,
D154&lt;=monetaryQ2, 2,
D154&lt;=monetaryQ3, 3,
TRUE, 4)</f>
        <v>3</v>
      </c>
      <c r="H154" s="18" t="str">
        <f t="shared" si="13"/>
        <v>143</v>
      </c>
      <c r="I154" s="19">
        <f t="shared" si="14"/>
        <v>2.6666666666666665</v>
      </c>
      <c r="J154" s="7" t="str" cm="1">
        <f t="array" ref="J154">_xlfn.IFS(
I154&gt;=Best_Customers, Best_Customers_name,
I154&gt;=Loyal_Customers, Loyal_Customers_name,
I154&gt;=Average_Customers, Average_Customers_name,
TRUE, Lost_Customers_name)</f>
        <v>Loyal Customers</v>
      </c>
    </row>
    <row r="155" spans="1:10" x14ac:dyDescent="0.25">
      <c r="A155" s="25" t="str">
        <v>CUST_0147</v>
      </c>
      <c r="B155" s="16">
        <f t="shared" si="10"/>
        <v>24</v>
      </c>
      <c r="C155" s="16">
        <f t="shared" si="11"/>
        <v>6</v>
      </c>
      <c r="D155" s="17">
        <f t="shared" si="12"/>
        <v>488.78999999999996</v>
      </c>
      <c r="E155" s="18" cm="1">
        <f t="array" ref="E155">_xlfn.IFS(
B155&lt;=recencyQ1, 4,
B155&lt;=recencyQ2, 3,
B155&lt;=recencyQ3, 2,
TRUE, 1
)</f>
        <v>3</v>
      </c>
      <c r="F155" s="18" cm="1">
        <f t="array" ref="F155">_xlfn.IFS(
C155&lt;=frequencyQ1, 1,
C155&lt;=frequencyQ2, 2,
C155&lt;=frequencyQ3, 3,
TRUE, 4)</f>
        <v>3</v>
      </c>
      <c r="G155" s="18" cm="1">
        <f t="array" ref="G155">_xlfn.IFS(
D155&lt;=monetaryQ1, 1,
D155&lt;=monetaryQ2, 2,
D155&lt;=monetaryQ3, 3,
TRUE, 4)</f>
        <v>3</v>
      </c>
      <c r="H155" s="18" t="str">
        <f t="shared" si="13"/>
        <v>333</v>
      </c>
      <c r="I155" s="19">
        <f t="shared" si="14"/>
        <v>3</v>
      </c>
      <c r="J155" s="7" t="str" cm="1">
        <f t="array" ref="J155">_xlfn.IFS(
I155&gt;=Best_Customers, Best_Customers_name,
I155&gt;=Loyal_Customers, Loyal_Customers_name,
I155&gt;=Average_Customers, Average_Customers_name,
TRUE, Lost_Customers_name)</f>
        <v>Loyal Customers</v>
      </c>
    </row>
    <row r="156" spans="1:10" x14ac:dyDescent="0.25">
      <c r="A156" s="25" t="str">
        <v>CUST_0148</v>
      </c>
      <c r="B156" s="16">
        <f t="shared" si="10"/>
        <v>45</v>
      </c>
      <c r="C156" s="16">
        <f t="shared" si="11"/>
        <v>7</v>
      </c>
      <c r="D156" s="17">
        <f t="shared" si="12"/>
        <v>809</v>
      </c>
      <c r="E156" s="18" cm="1">
        <f t="array" ref="E156">_xlfn.IFS(
B156&lt;=recencyQ1, 4,
B156&lt;=recencyQ2, 3,
B156&lt;=recencyQ3, 2,
TRUE, 1
)</f>
        <v>3</v>
      </c>
      <c r="F156" s="18" cm="1">
        <f t="array" ref="F156">_xlfn.IFS(
C156&lt;=frequencyQ1, 1,
C156&lt;=frequencyQ2, 2,
C156&lt;=frequencyQ3, 3,
TRUE, 4)</f>
        <v>4</v>
      </c>
      <c r="G156" s="18" cm="1">
        <f t="array" ref="G156">_xlfn.IFS(
D156&lt;=monetaryQ1, 1,
D156&lt;=monetaryQ2, 2,
D156&lt;=monetaryQ3, 3,
TRUE, 4)</f>
        <v>4</v>
      </c>
      <c r="H156" s="18" t="str">
        <f t="shared" si="13"/>
        <v>344</v>
      </c>
      <c r="I156" s="19">
        <f t="shared" si="14"/>
        <v>3.6666666666666665</v>
      </c>
      <c r="J156" s="7" t="str" cm="1">
        <f t="array" ref="J156">_xlfn.IFS(
I156&gt;=Best_Customers, Best_Customers_name,
I156&gt;=Loyal_Customers, Loyal_Customers_name,
I156&gt;=Average_Customers, Average_Customers_name,
TRUE, Lost_Customers_name)</f>
        <v>Best Customers</v>
      </c>
    </row>
    <row r="157" spans="1:10" x14ac:dyDescent="0.25">
      <c r="A157" s="25" t="str">
        <v>CUST_0149</v>
      </c>
      <c r="B157" s="16">
        <f t="shared" si="10"/>
        <v>270</v>
      </c>
      <c r="C157" s="16">
        <f t="shared" si="11"/>
        <v>1</v>
      </c>
      <c r="D157" s="17">
        <f t="shared" si="12"/>
        <v>141.09</v>
      </c>
      <c r="E157" s="18" cm="1">
        <f t="array" ref="E157">_xlfn.IFS(
B157&lt;=recencyQ1, 4,
B157&lt;=recencyQ2, 3,
B157&lt;=recencyQ3, 2,
TRUE, 1
)</f>
        <v>1</v>
      </c>
      <c r="F157" s="18" cm="1">
        <f t="array" ref="F157">_xlfn.IFS(
C157&lt;=frequencyQ1, 1,
C157&lt;=frequencyQ2, 2,
C157&lt;=frequencyQ3, 3,
TRUE, 4)</f>
        <v>1</v>
      </c>
      <c r="G157" s="18" cm="1">
        <f t="array" ref="G157">_xlfn.IFS(
D157&lt;=monetaryQ1, 1,
D157&lt;=monetaryQ2, 2,
D157&lt;=monetaryQ3, 3,
TRUE, 4)</f>
        <v>1</v>
      </c>
      <c r="H157" s="18" t="str">
        <f t="shared" si="13"/>
        <v>111</v>
      </c>
      <c r="I157" s="19">
        <f t="shared" si="14"/>
        <v>1</v>
      </c>
      <c r="J157" s="7" t="str" cm="1">
        <f t="array" ref="J157">_xlfn.IFS(
I157&gt;=Best_Customers, Best_Customers_name,
I157&gt;=Loyal_Customers, Loyal_Customers_name,
I157&gt;=Average_Customers, Average_Customers_name,
TRUE, Lost_Customers_name)</f>
        <v>Lost Customers</v>
      </c>
    </row>
    <row r="158" spans="1:10" x14ac:dyDescent="0.25">
      <c r="A158" s="25" t="str">
        <v>CUST_0150</v>
      </c>
      <c r="B158" s="16">
        <f t="shared" si="10"/>
        <v>93</v>
      </c>
      <c r="C158" s="16">
        <f t="shared" si="11"/>
        <v>4</v>
      </c>
      <c r="D158" s="17">
        <f t="shared" si="12"/>
        <v>548.66999999999996</v>
      </c>
      <c r="E158" s="18" cm="1">
        <f t="array" ref="E158">_xlfn.IFS(
B158&lt;=recencyQ1, 4,
B158&lt;=recencyQ2, 3,
B158&lt;=recencyQ3, 2,
TRUE, 1
)</f>
        <v>2</v>
      </c>
      <c r="F158" s="18" cm="1">
        <f t="array" ref="F158">_xlfn.IFS(
C158&lt;=frequencyQ1, 1,
C158&lt;=frequencyQ2, 2,
C158&lt;=frequencyQ3, 3,
TRUE, 4)</f>
        <v>2</v>
      </c>
      <c r="G158" s="18" cm="1">
        <f t="array" ref="G158">_xlfn.IFS(
D158&lt;=monetaryQ1, 1,
D158&lt;=monetaryQ2, 2,
D158&lt;=monetaryQ3, 3,
TRUE, 4)</f>
        <v>3</v>
      </c>
      <c r="H158" s="18" t="str">
        <f t="shared" si="13"/>
        <v>223</v>
      </c>
      <c r="I158" s="19">
        <f t="shared" si="14"/>
        <v>2.3333333333333335</v>
      </c>
      <c r="J158" s="7" t="str" cm="1">
        <f t="array" ref="J158">_xlfn.IFS(
I158&gt;=Best_Customers, Best_Customers_name,
I158&gt;=Loyal_Customers, Loyal_Customers_name,
I158&gt;=Average_Customers, Average_Customers_name,
TRUE, Lost_Customers_name)</f>
        <v>Average Customers</v>
      </c>
    </row>
    <row r="159" spans="1:10" x14ac:dyDescent="0.25">
      <c r="A159" s="25" t="str">
        <v>CUST_0151</v>
      </c>
      <c r="B159" s="16">
        <f t="shared" si="10"/>
        <v>17</v>
      </c>
      <c r="C159" s="16">
        <f t="shared" si="11"/>
        <v>4</v>
      </c>
      <c r="D159" s="17">
        <f t="shared" si="12"/>
        <v>317.43</v>
      </c>
      <c r="E159" s="18" cm="1">
        <f t="array" ref="E159">_xlfn.IFS(
B159&lt;=recencyQ1, 4,
B159&lt;=recencyQ2, 3,
B159&lt;=recencyQ3, 2,
TRUE, 1
)</f>
        <v>4</v>
      </c>
      <c r="F159" s="18" cm="1">
        <f t="array" ref="F159">_xlfn.IFS(
C159&lt;=frequencyQ1, 1,
C159&lt;=frequencyQ2, 2,
C159&lt;=frequencyQ3, 3,
TRUE, 4)</f>
        <v>2</v>
      </c>
      <c r="G159" s="18" cm="1">
        <f t="array" ref="G159">_xlfn.IFS(
D159&lt;=monetaryQ1, 1,
D159&lt;=monetaryQ2, 2,
D159&lt;=monetaryQ3, 3,
TRUE, 4)</f>
        <v>1</v>
      </c>
      <c r="H159" s="18" t="str">
        <f t="shared" si="13"/>
        <v>421</v>
      </c>
      <c r="I159" s="19">
        <f t="shared" si="14"/>
        <v>2.3333333333333335</v>
      </c>
      <c r="J159" s="7" t="str" cm="1">
        <f t="array" ref="J159">_xlfn.IFS(
I159&gt;=Best_Customers, Best_Customers_name,
I159&gt;=Loyal_Customers, Loyal_Customers_name,
I159&gt;=Average_Customers, Average_Customers_name,
TRUE, Lost_Customers_name)</f>
        <v>Average Customers</v>
      </c>
    </row>
    <row r="160" spans="1:10" x14ac:dyDescent="0.25">
      <c r="A160" s="25" t="str">
        <v>CUST_0152</v>
      </c>
      <c r="B160" s="16">
        <f t="shared" si="10"/>
        <v>116</v>
      </c>
      <c r="C160" s="16">
        <f t="shared" si="11"/>
        <v>5</v>
      </c>
      <c r="D160" s="17">
        <f t="shared" si="12"/>
        <v>448.28</v>
      </c>
      <c r="E160" s="18" cm="1">
        <f t="array" ref="E160">_xlfn.IFS(
B160&lt;=recencyQ1, 4,
B160&lt;=recencyQ2, 3,
B160&lt;=recencyQ3, 2,
TRUE, 1
)</f>
        <v>1</v>
      </c>
      <c r="F160" s="18" cm="1">
        <f t="array" ref="F160">_xlfn.IFS(
C160&lt;=frequencyQ1, 1,
C160&lt;=frequencyQ2, 2,
C160&lt;=frequencyQ3, 3,
TRUE, 4)</f>
        <v>2</v>
      </c>
      <c r="G160" s="18" cm="1">
        <f t="array" ref="G160">_xlfn.IFS(
D160&lt;=monetaryQ1, 1,
D160&lt;=monetaryQ2, 2,
D160&lt;=monetaryQ3, 3,
TRUE, 4)</f>
        <v>2</v>
      </c>
      <c r="H160" s="18" t="str">
        <f t="shared" si="13"/>
        <v>122</v>
      </c>
      <c r="I160" s="19">
        <f t="shared" si="14"/>
        <v>1.6666666666666667</v>
      </c>
      <c r="J160" s="7" t="str" cm="1">
        <f t="array" ref="J160">_xlfn.IFS(
I160&gt;=Best_Customers, Best_Customers_name,
I160&gt;=Loyal_Customers, Loyal_Customers_name,
I160&gt;=Average_Customers, Average_Customers_name,
TRUE, Lost_Customers_name)</f>
        <v>Average Customers</v>
      </c>
    </row>
    <row r="161" spans="1:10" x14ac:dyDescent="0.25">
      <c r="A161" s="25" t="str">
        <v>CUST_0153</v>
      </c>
      <c r="B161" s="16">
        <f t="shared" si="10"/>
        <v>0</v>
      </c>
      <c r="C161" s="16">
        <f t="shared" si="11"/>
        <v>8</v>
      </c>
      <c r="D161" s="17">
        <f t="shared" si="12"/>
        <v>969.51</v>
      </c>
      <c r="E161" s="18" cm="1">
        <f t="array" ref="E161">_xlfn.IFS(
B161&lt;=recencyQ1, 4,
B161&lt;=recencyQ2, 3,
B161&lt;=recencyQ3, 2,
TRUE, 1
)</f>
        <v>4</v>
      </c>
      <c r="F161" s="18" cm="1">
        <f t="array" ref="F161">_xlfn.IFS(
C161&lt;=frequencyQ1, 1,
C161&lt;=frequencyQ2, 2,
C161&lt;=frequencyQ3, 3,
TRUE, 4)</f>
        <v>4</v>
      </c>
      <c r="G161" s="18" cm="1">
        <f t="array" ref="G161">_xlfn.IFS(
D161&lt;=monetaryQ1, 1,
D161&lt;=monetaryQ2, 2,
D161&lt;=monetaryQ3, 3,
TRUE, 4)</f>
        <v>4</v>
      </c>
      <c r="H161" s="18" t="str">
        <f t="shared" si="13"/>
        <v>444</v>
      </c>
      <c r="I161" s="19">
        <f t="shared" si="14"/>
        <v>4</v>
      </c>
      <c r="J161" s="7" t="str" cm="1">
        <f t="array" ref="J161">_xlfn.IFS(
I161&gt;=Best_Customers, Best_Customers_name,
I161&gt;=Loyal_Customers, Loyal_Customers_name,
I161&gt;=Average_Customers, Average_Customers_name,
TRUE, Lost_Customers_name)</f>
        <v>Best Customers</v>
      </c>
    </row>
    <row r="162" spans="1:10" x14ac:dyDescent="0.25">
      <c r="A162" s="25" t="str">
        <v>CUST_0154</v>
      </c>
      <c r="B162" s="16">
        <f t="shared" si="10"/>
        <v>107</v>
      </c>
      <c r="C162" s="16">
        <f t="shared" si="11"/>
        <v>3</v>
      </c>
      <c r="D162" s="17">
        <f t="shared" si="12"/>
        <v>317.26</v>
      </c>
      <c r="E162" s="18" cm="1">
        <f t="array" ref="E162">_xlfn.IFS(
B162&lt;=recencyQ1, 4,
B162&lt;=recencyQ2, 3,
B162&lt;=recencyQ3, 2,
TRUE, 1
)</f>
        <v>1</v>
      </c>
      <c r="F162" s="18" cm="1">
        <f t="array" ref="F162">_xlfn.IFS(
C162&lt;=frequencyQ1, 1,
C162&lt;=frequencyQ2, 2,
C162&lt;=frequencyQ3, 3,
TRUE, 4)</f>
        <v>1</v>
      </c>
      <c r="G162" s="18" cm="1">
        <f t="array" ref="G162">_xlfn.IFS(
D162&lt;=monetaryQ1, 1,
D162&lt;=monetaryQ2, 2,
D162&lt;=monetaryQ3, 3,
TRUE, 4)</f>
        <v>1</v>
      </c>
      <c r="H162" s="18" t="str">
        <f t="shared" si="13"/>
        <v>111</v>
      </c>
      <c r="I162" s="19">
        <f t="shared" si="14"/>
        <v>1</v>
      </c>
      <c r="J162" s="7" t="str" cm="1">
        <f t="array" ref="J162">_xlfn.IFS(
I162&gt;=Best_Customers, Best_Customers_name,
I162&gt;=Loyal_Customers, Loyal_Customers_name,
I162&gt;=Average_Customers, Average_Customers_name,
TRUE, Lost_Customers_name)</f>
        <v>Lost Customers</v>
      </c>
    </row>
    <row r="163" spans="1:10" x14ac:dyDescent="0.25">
      <c r="A163" s="25" t="str">
        <v>CUST_0155</v>
      </c>
      <c r="B163" s="16">
        <f t="shared" si="10"/>
        <v>37</v>
      </c>
      <c r="C163" s="16">
        <f t="shared" si="11"/>
        <v>7</v>
      </c>
      <c r="D163" s="17">
        <f t="shared" si="12"/>
        <v>709.02</v>
      </c>
      <c r="E163" s="18" cm="1">
        <f t="array" ref="E163">_xlfn.IFS(
B163&lt;=recencyQ1, 4,
B163&lt;=recencyQ2, 3,
B163&lt;=recencyQ3, 2,
TRUE, 1
)</f>
        <v>3</v>
      </c>
      <c r="F163" s="18" cm="1">
        <f t="array" ref="F163">_xlfn.IFS(
C163&lt;=frequencyQ1, 1,
C163&lt;=frequencyQ2, 2,
C163&lt;=frequencyQ3, 3,
TRUE, 4)</f>
        <v>4</v>
      </c>
      <c r="G163" s="18" cm="1">
        <f t="array" ref="G163">_xlfn.IFS(
D163&lt;=monetaryQ1, 1,
D163&lt;=monetaryQ2, 2,
D163&lt;=monetaryQ3, 3,
TRUE, 4)</f>
        <v>4</v>
      </c>
      <c r="H163" s="18" t="str">
        <f t="shared" si="13"/>
        <v>344</v>
      </c>
      <c r="I163" s="19">
        <f t="shared" si="14"/>
        <v>3.6666666666666665</v>
      </c>
      <c r="J163" s="7" t="str" cm="1">
        <f t="array" ref="J163">_xlfn.IFS(
I163&gt;=Best_Customers, Best_Customers_name,
I163&gt;=Loyal_Customers, Loyal_Customers_name,
I163&gt;=Average_Customers, Average_Customers_name,
TRUE, Lost_Customers_name)</f>
        <v>Best Customers</v>
      </c>
    </row>
    <row r="164" spans="1:10" x14ac:dyDescent="0.25">
      <c r="A164" s="25" t="str">
        <v>CUST_0156</v>
      </c>
      <c r="B164" s="16">
        <f t="shared" si="10"/>
        <v>165</v>
      </c>
      <c r="C164" s="16">
        <f t="shared" si="11"/>
        <v>5</v>
      </c>
      <c r="D164" s="17">
        <f t="shared" si="12"/>
        <v>452.39000000000004</v>
      </c>
      <c r="E164" s="18" cm="1">
        <f t="array" ref="E164">_xlfn.IFS(
B164&lt;=recencyQ1, 4,
B164&lt;=recencyQ2, 3,
B164&lt;=recencyQ3, 2,
TRUE, 1
)</f>
        <v>1</v>
      </c>
      <c r="F164" s="18" cm="1">
        <f t="array" ref="F164">_xlfn.IFS(
C164&lt;=frequencyQ1, 1,
C164&lt;=frequencyQ2, 2,
C164&lt;=frequencyQ3, 3,
TRUE, 4)</f>
        <v>2</v>
      </c>
      <c r="G164" s="18" cm="1">
        <f t="array" ref="G164">_xlfn.IFS(
D164&lt;=monetaryQ1, 1,
D164&lt;=monetaryQ2, 2,
D164&lt;=monetaryQ3, 3,
TRUE, 4)</f>
        <v>2</v>
      </c>
      <c r="H164" s="18" t="str">
        <f t="shared" si="13"/>
        <v>122</v>
      </c>
      <c r="I164" s="19">
        <f t="shared" si="14"/>
        <v>1.6666666666666667</v>
      </c>
      <c r="J164" s="7" t="str" cm="1">
        <f t="array" ref="J164">_xlfn.IFS(
I164&gt;=Best_Customers, Best_Customers_name,
I164&gt;=Loyal_Customers, Loyal_Customers_name,
I164&gt;=Average_Customers, Average_Customers_name,
TRUE, Lost_Customers_name)</f>
        <v>Average Customers</v>
      </c>
    </row>
    <row r="165" spans="1:10" x14ac:dyDescent="0.25">
      <c r="A165" s="25" t="str">
        <v>CUST_0157</v>
      </c>
      <c r="B165" s="16">
        <f t="shared" si="10"/>
        <v>25</v>
      </c>
      <c r="C165" s="16">
        <f t="shared" si="11"/>
        <v>3</v>
      </c>
      <c r="D165" s="17">
        <f t="shared" si="12"/>
        <v>231.89000000000001</v>
      </c>
      <c r="E165" s="18" cm="1">
        <f t="array" ref="E165">_xlfn.IFS(
B165&lt;=recencyQ1, 4,
B165&lt;=recencyQ2, 3,
B165&lt;=recencyQ3, 2,
TRUE, 1
)</f>
        <v>3</v>
      </c>
      <c r="F165" s="18" cm="1">
        <f t="array" ref="F165">_xlfn.IFS(
C165&lt;=frequencyQ1, 1,
C165&lt;=frequencyQ2, 2,
C165&lt;=frequencyQ3, 3,
TRUE, 4)</f>
        <v>1</v>
      </c>
      <c r="G165" s="18" cm="1">
        <f t="array" ref="G165">_xlfn.IFS(
D165&lt;=monetaryQ1, 1,
D165&lt;=monetaryQ2, 2,
D165&lt;=monetaryQ3, 3,
TRUE, 4)</f>
        <v>1</v>
      </c>
      <c r="H165" s="18" t="str">
        <f t="shared" si="13"/>
        <v>311</v>
      </c>
      <c r="I165" s="19">
        <f t="shared" si="14"/>
        <v>1.6666666666666667</v>
      </c>
      <c r="J165" s="7" t="str" cm="1">
        <f t="array" ref="J165">_xlfn.IFS(
I165&gt;=Best_Customers, Best_Customers_name,
I165&gt;=Loyal_Customers, Loyal_Customers_name,
I165&gt;=Average_Customers, Average_Customers_name,
TRUE, Lost_Customers_name)</f>
        <v>Average Customers</v>
      </c>
    </row>
    <row r="166" spans="1:10" x14ac:dyDescent="0.25">
      <c r="A166" s="25" t="str">
        <v>CUST_0158</v>
      </c>
      <c r="B166" s="16">
        <f t="shared" si="10"/>
        <v>83</v>
      </c>
      <c r="C166" s="16">
        <f t="shared" si="11"/>
        <v>6</v>
      </c>
      <c r="D166" s="17">
        <f t="shared" si="12"/>
        <v>663.91</v>
      </c>
      <c r="E166" s="18" cm="1">
        <f t="array" ref="E166">_xlfn.IFS(
B166&lt;=recencyQ1, 4,
B166&lt;=recencyQ2, 3,
B166&lt;=recencyQ3, 2,
TRUE, 1
)</f>
        <v>2</v>
      </c>
      <c r="F166" s="18" cm="1">
        <f t="array" ref="F166">_xlfn.IFS(
C166&lt;=frequencyQ1, 1,
C166&lt;=frequencyQ2, 2,
C166&lt;=frequencyQ3, 3,
TRUE, 4)</f>
        <v>3</v>
      </c>
      <c r="G166" s="18" cm="1">
        <f t="array" ref="G166">_xlfn.IFS(
D166&lt;=monetaryQ1, 1,
D166&lt;=monetaryQ2, 2,
D166&lt;=monetaryQ3, 3,
TRUE, 4)</f>
        <v>4</v>
      </c>
      <c r="H166" s="18" t="str">
        <f t="shared" si="13"/>
        <v>234</v>
      </c>
      <c r="I166" s="19">
        <f t="shared" si="14"/>
        <v>3</v>
      </c>
      <c r="J166" s="7" t="str" cm="1">
        <f t="array" ref="J166">_xlfn.IFS(
I166&gt;=Best_Customers, Best_Customers_name,
I166&gt;=Loyal_Customers, Loyal_Customers_name,
I166&gt;=Average_Customers, Average_Customers_name,
TRUE, Lost_Customers_name)</f>
        <v>Loyal Customers</v>
      </c>
    </row>
    <row r="167" spans="1:10" x14ac:dyDescent="0.25">
      <c r="A167" s="25" t="str">
        <v>CUST_0159</v>
      </c>
      <c r="B167" s="16">
        <f t="shared" si="10"/>
        <v>56</v>
      </c>
      <c r="C167" s="16">
        <f t="shared" si="11"/>
        <v>7</v>
      </c>
      <c r="D167" s="17">
        <f t="shared" si="12"/>
        <v>932.56999999999994</v>
      </c>
      <c r="E167" s="18" cm="1">
        <f t="array" ref="E167">_xlfn.IFS(
B167&lt;=recencyQ1, 4,
B167&lt;=recencyQ2, 3,
B167&lt;=recencyQ3, 2,
TRUE, 1
)</f>
        <v>2</v>
      </c>
      <c r="F167" s="18" cm="1">
        <f t="array" ref="F167">_xlfn.IFS(
C167&lt;=frequencyQ1, 1,
C167&lt;=frequencyQ2, 2,
C167&lt;=frequencyQ3, 3,
TRUE, 4)</f>
        <v>4</v>
      </c>
      <c r="G167" s="18" cm="1">
        <f t="array" ref="G167">_xlfn.IFS(
D167&lt;=monetaryQ1, 1,
D167&lt;=monetaryQ2, 2,
D167&lt;=monetaryQ3, 3,
TRUE, 4)</f>
        <v>4</v>
      </c>
      <c r="H167" s="18" t="str">
        <f t="shared" si="13"/>
        <v>244</v>
      </c>
      <c r="I167" s="19">
        <f t="shared" si="14"/>
        <v>3.3333333333333335</v>
      </c>
      <c r="J167" s="7" t="str" cm="1">
        <f t="array" ref="J167">_xlfn.IFS(
I167&gt;=Best_Customers, Best_Customers_name,
I167&gt;=Loyal_Customers, Loyal_Customers_name,
I167&gt;=Average_Customers, Average_Customers_name,
TRUE, Lost_Customers_name)</f>
        <v>Loyal Customers</v>
      </c>
    </row>
    <row r="168" spans="1:10" x14ac:dyDescent="0.25">
      <c r="A168" s="25" t="str">
        <v>CUST_0160</v>
      </c>
      <c r="B168" s="16">
        <f t="shared" si="10"/>
        <v>52</v>
      </c>
      <c r="C168" s="16">
        <f t="shared" si="11"/>
        <v>10</v>
      </c>
      <c r="D168" s="17">
        <f t="shared" si="12"/>
        <v>1081.75</v>
      </c>
      <c r="E168" s="18" cm="1">
        <f t="array" ref="E168">_xlfn.IFS(
B168&lt;=recencyQ1, 4,
B168&lt;=recencyQ2, 3,
B168&lt;=recencyQ3, 2,
TRUE, 1
)</f>
        <v>2</v>
      </c>
      <c r="F168" s="18" cm="1">
        <f t="array" ref="F168">_xlfn.IFS(
C168&lt;=frequencyQ1, 1,
C168&lt;=frequencyQ2, 2,
C168&lt;=frequencyQ3, 3,
TRUE, 4)</f>
        <v>4</v>
      </c>
      <c r="G168" s="18" cm="1">
        <f t="array" ref="G168">_xlfn.IFS(
D168&lt;=monetaryQ1, 1,
D168&lt;=monetaryQ2, 2,
D168&lt;=monetaryQ3, 3,
TRUE, 4)</f>
        <v>4</v>
      </c>
      <c r="H168" s="18" t="str">
        <f t="shared" si="13"/>
        <v>244</v>
      </c>
      <c r="I168" s="19">
        <f t="shared" si="14"/>
        <v>3.3333333333333335</v>
      </c>
      <c r="J168" s="7" t="str" cm="1">
        <f t="array" ref="J168">_xlfn.IFS(
I168&gt;=Best_Customers, Best_Customers_name,
I168&gt;=Loyal_Customers, Loyal_Customers_name,
I168&gt;=Average_Customers, Average_Customers_name,
TRUE, Lost_Customers_name)</f>
        <v>Loyal Customers</v>
      </c>
    </row>
    <row r="169" spans="1:10" x14ac:dyDescent="0.25">
      <c r="A169" s="25" t="str">
        <v>CUST_0161</v>
      </c>
      <c r="B169" s="16">
        <f t="shared" si="10"/>
        <v>34</v>
      </c>
      <c r="C169" s="16">
        <f t="shared" si="11"/>
        <v>7</v>
      </c>
      <c r="D169" s="17">
        <f t="shared" si="12"/>
        <v>554.33000000000004</v>
      </c>
      <c r="E169" s="18" cm="1">
        <f t="array" ref="E169">_xlfn.IFS(
B169&lt;=recencyQ1, 4,
B169&lt;=recencyQ2, 3,
B169&lt;=recencyQ3, 2,
TRUE, 1
)</f>
        <v>3</v>
      </c>
      <c r="F169" s="18" cm="1">
        <f t="array" ref="F169">_xlfn.IFS(
C169&lt;=frequencyQ1, 1,
C169&lt;=frequencyQ2, 2,
C169&lt;=frequencyQ3, 3,
TRUE, 4)</f>
        <v>4</v>
      </c>
      <c r="G169" s="18" cm="1">
        <f t="array" ref="G169">_xlfn.IFS(
D169&lt;=monetaryQ1, 1,
D169&lt;=monetaryQ2, 2,
D169&lt;=monetaryQ3, 3,
TRUE, 4)</f>
        <v>3</v>
      </c>
      <c r="H169" s="18" t="str">
        <f t="shared" si="13"/>
        <v>343</v>
      </c>
      <c r="I169" s="19">
        <f t="shared" si="14"/>
        <v>3.3333333333333335</v>
      </c>
      <c r="J169" s="7" t="str" cm="1">
        <f t="array" ref="J169">_xlfn.IFS(
I169&gt;=Best_Customers, Best_Customers_name,
I169&gt;=Loyal_Customers, Loyal_Customers_name,
I169&gt;=Average_Customers, Average_Customers_name,
TRUE, Lost_Customers_name)</f>
        <v>Loyal Customers</v>
      </c>
    </row>
    <row r="170" spans="1:10" x14ac:dyDescent="0.25">
      <c r="A170" s="25" t="str">
        <v>CUST_0162</v>
      </c>
      <c r="B170" s="16">
        <f t="shared" si="10"/>
        <v>0</v>
      </c>
      <c r="C170" s="16">
        <f t="shared" si="11"/>
        <v>7</v>
      </c>
      <c r="D170" s="17">
        <f t="shared" si="12"/>
        <v>822.54</v>
      </c>
      <c r="E170" s="18" cm="1">
        <f t="array" ref="E170">_xlfn.IFS(
B170&lt;=recencyQ1, 4,
B170&lt;=recencyQ2, 3,
B170&lt;=recencyQ3, 2,
TRUE, 1
)</f>
        <v>4</v>
      </c>
      <c r="F170" s="18" cm="1">
        <f t="array" ref="F170">_xlfn.IFS(
C170&lt;=frequencyQ1, 1,
C170&lt;=frequencyQ2, 2,
C170&lt;=frequencyQ3, 3,
TRUE, 4)</f>
        <v>4</v>
      </c>
      <c r="G170" s="18" cm="1">
        <f t="array" ref="G170">_xlfn.IFS(
D170&lt;=monetaryQ1, 1,
D170&lt;=monetaryQ2, 2,
D170&lt;=monetaryQ3, 3,
TRUE, 4)</f>
        <v>4</v>
      </c>
      <c r="H170" s="18" t="str">
        <f t="shared" si="13"/>
        <v>444</v>
      </c>
      <c r="I170" s="19">
        <f t="shared" si="14"/>
        <v>4</v>
      </c>
      <c r="J170" s="7" t="str" cm="1">
        <f t="array" ref="J170">_xlfn.IFS(
I170&gt;=Best_Customers, Best_Customers_name,
I170&gt;=Loyal_Customers, Loyal_Customers_name,
I170&gt;=Average_Customers, Average_Customers_name,
TRUE, Lost_Customers_name)</f>
        <v>Best Customers</v>
      </c>
    </row>
    <row r="171" spans="1:10" x14ac:dyDescent="0.25">
      <c r="A171" s="25" t="str">
        <v>CUST_0163</v>
      </c>
      <c r="B171" s="16">
        <f t="shared" si="10"/>
        <v>28</v>
      </c>
      <c r="C171" s="16">
        <f t="shared" si="11"/>
        <v>4</v>
      </c>
      <c r="D171" s="17">
        <f t="shared" si="12"/>
        <v>347.14</v>
      </c>
      <c r="E171" s="18" cm="1">
        <f t="array" ref="E171">_xlfn.IFS(
B171&lt;=recencyQ1, 4,
B171&lt;=recencyQ2, 3,
B171&lt;=recencyQ3, 2,
TRUE, 1
)</f>
        <v>3</v>
      </c>
      <c r="F171" s="18" cm="1">
        <f t="array" ref="F171">_xlfn.IFS(
C171&lt;=frequencyQ1, 1,
C171&lt;=frequencyQ2, 2,
C171&lt;=frequencyQ3, 3,
TRUE, 4)</f>
        <v>2</v>
      </c>
      <c r="G171" s="18" cm="1">
        <f t="array" ref="G171">_xlfn.IFS(
D171&lt;=monetaryQ1, 1,
D171&lt;=monetaryQ2, 2,
D171&lt;=monetaryQ3, 3,
TRUE, 4)</f>
        <v>2</v>
      </c>
      <c r="H171" s="18" t="str">
        <f t="shared" si="13"/>
        <v>322</v>
      </c>
      <c r="I171" s="19">
        <f t="shared" si="14"/>
        <v>2.3333333333333335</v>
      </c>
      <c r="J171" s="7" t="str" cm="1">
        <f t="array" ref="J171">_xlfn.IFS(
I171&gt;=Best_Customers, Best_Customers_name,
I171&gt;=Loyal_Customers, Loyal_Customers_name,
I171&gt;=Average_Customers, Average_Customers_name,
TRUE, Lost_Customers_name)</f>
        <v>Average Customers</v>
      </c>
    </row>
    <row r="172" spans="1:10" x14ac:dyDescent="0.25">
      <c r="A172" s="25" t="str">
        <v>CUST_0164</v>
      </c>
      <c r="B172" s="16">
        <f t="shared" si="10"/>
        <v>31</v>
      </c>
      <c r="C172" s="16">
        <f t="shared" si="11"/>
        <v>7</v>
      </c>
      <c r="D172" s="17">
        <f t="shared" si="12"/>
        <v>510.81</v>
      </c>
      <c r="E172" s="18" cm="1">
        <f t="array" ref="E172">_xlfn.IFS(
B172&lt;=recencyQ1, 4,
B172&lt;=recencyQ2, 3,
B172&lt;=recencyQ3, 2,
TRUE, 1
)</f>
        <v>3</v>
      </c>
      <c r="F172" s="18" cm="1">
        <f t="array" ref="F172">_xlfn.IFS(
C172&lt;=frequencyQ1, 1,
C172&lt;=frequencyQ2, 2,
C172&lt;=frequencyQ3, 3,
TRUE, 4)</f>
        <v>4</v>
      </c>
      <c r="G172" s="18" cm="1">
        <f t="array" ref="G172">_xlfn.IFS(
D172&lt;=monetaryQ1, 1,
D172&lt;=monetaryQ2, 2,
D172&lt;=monetaryQ3, 3,
TRUE, 4)</f>
        <v>3</v>
      </c>
      <c r="H172" s="18" t="str">
        <f t="shared" si="13"/>
        <v>343</v>
      </c>
      <c r="I172" s="19">
        <f t="shared" si="14"/>
        <v>3.3333333333333335</v>
      </c>
      <c r="J172" s="7" t="str" cm="1">
        <f t="array" ref="J172">_xlfn.IFS(
I172&gt;=Best_Customers, Best_Customers_name,
I172&gt;=Loyal_Customers, Loyal_Customers_name,
I172&gt;=Average_Customers, Average_Customers_name,
TRUE, Lost_Customers_name)</f>
        <v>Loyal Customers</v>
      </c>
    </row>
    <row r="173" spans="1:10" x14ac:dyDescent="0.25">
      <c r="A173" s="25" t="str">
        <v>CUST_0165</v>
      </c>
      <c r="B173" s="16">
        <f t="shared" si="10"/>
        <v>28</v>
      </c>
      <c r="C173" s="16">
        <f t="shared" si="11"/>
        <v>3</v>
      </c>
      <c r="D173" s="17">
        <f t="shared" si="12"/>
        <v>259.74</v>
      </c>
      <c r="E173" s="18" cm="1">
        <f t="array" ref="E173">_xlfn.IFS(
B173&lt;=recencyQ1, 4,
B173&lt;=recencyQ2, 3,
B173&lt;=recencyQ3, 2,
TRUE, 1
)</f>
        <v>3</v>
      </c>
      <c r="F173" s="18" cm="1">
        <f t="array" ref="F173">_xlfn.IFS(
C173&lt;=frequencyQ1, 1,
C173&lt;=frequencyQ2, 2,
C173&lt;=frequencyQ3, 3,
TRUE, 4)</f>
        <v>1</v>
      </c>
      <c r="G173" s="18" cm="1">
        <f t="array" ref="G173">_xlfn.IFS(
D173&lt;=monetaryQ1, 1,
D173&lt;=monetaryQ2, 2,
D173&lt;=monetaryQ3, 3,
TRUE, 4)</f>
        <v>1</v>
      </c>
      <c r="H173" s="18" t="str">
        <f t="shared" si="13"/>
        <v>311</v>
      </c>
      <c r="I173" s="19">
        <f t="shared" si="14"/>
        <v>1.6666666666666667</v>
      </c>
      <c r="J173" s="7" t="str" cm="1">
        <f t="array" ref="J173">_xlfn.IFS(
I173&gt;=Best_Customers, Best_Customers_name,
I173&gt;=Loyal_Customers, Loyal_Customers_name,
I173&gt;=Average_Customers, Average_Customers_name,
TRUE, Lost_Customers_name)</f>
        <v>Average Customers</v>
      </c>
    </row>
    <row r="174" spans="1:10" x14ac:dyDescent="0.25">
      <c r="A174" s="25" t="str">
        <v>CUST_0166</v>
      </c>
      <c r="B174" s="16">
        <f t="shared" si="10"/>
        <v>31</v>
      </c>
      <c r="C174" s="16">
        <f t="shared" si="11"/>
        <v>5</v>
      </c>
      <c r="D174" s="17">
        <f t="shared" si="12"/>
        <v>549.61</v>
      </c>
      <c r="E174" s="18" cm="1">
        <f t="array" ref="E174">_xlfn.IFS(
B174&lt;=recencyQ1, 4,
B174&lt;=recencyQ2, 3,
B174&lt;=recencyQ3, 2,
TRUE, 1
)</f>
        <v>3</v>
      </c>
      <c r="F174" s="18" cm="1">
        <f t="array" ref="F174">_xlfn.IFS(
C174&lt;=frequencyQ1, 1,
C174&lt;=frequencyQ2, 2,
C174&lt;=frequencyQ3, 3,
TRUE, 4)</f>
        <v>2</v>
      </c>
      <c r="G174" s="18" cm="1">
        <f t="array" ref="G174">_xlfn.IFS(
D174&lt;=monetaryQ1, 1,
D174&lt;=monetaryQ2, 2,
D174&lt;=monetaryQ3, 3,
TRUE, 4)</f>
        <v>3</v>
      </c>
      <c r="H174" s="18" t="str">
        <f t="shared" si="13"/>
        <v>323</v>
      </c>
      <c r="I174" s="19">
        <f t="shared" si="14"/>
        <v>2.6666666666666665</v>
      </c>
      <c r="J174" s="7" t="str" cm="1">
        <f t="array" ref="J174">_xlfn.IFS(
I174&gt;=Best_Customers, Best_Customers_name,
I174&gt;=Loyal_Customers, Loyal_Customers_name,
I174&gt;=Average_Customers, Average_Customers_name,
TRUE, Lost_Customers_name)</f>
        <v>Loyal Customers</v>
      </c>
    </row>
    <row r="175" spans="1:10" x14ac:dyDescent="0.25">
      <c r="A175" s="25" t="str">
        <v>CUST_0167</v>
      </c>
      <c r="B175" s="16">
        <f t="shared" si="10"/>
        <v>1</v>
      </c>
      <c r="C175" s="16">
        <f t="shared" si="11"/>
        <v>6</v>
      </c>
      <c r="D175" s="17">
        <f t="shared" si="12"/>
        <v>689.14</v>
      </c>
      <c r="E175" s="18" cm="1">
        <f t="array" ref="E175">_xlfn.IFS(
B175&lt;=recencyQ1, 4,
B175&lt;=recencyQ2, 3,
B175&lt;=recencyQ3, 2,
TRUE, 1
)</f>
        <v>4</v>
      </c>
      <c r="F175" s="18" cm="1">
        <f t="array" ref="F175">_xlfn.IFS(
C175&lt;=frequencyQ1, 1,
C175&lt;=frequencyQ2, 2,
C175&lt;=frequencyQ3, 3,
TRUE, 4)</f>
        <v>3</v>
      </c>
      <c r="G175" s="18" cm="1">
        <f t="array" ref="G175">_xlfn.IFS(
D175&lt;=monetaryQ1, 1,
D175&lt;=monetaryQ2, 2,
D175&lt;=monetaryQ3, 3,
TRUE, 4)</f>
        <v>4</v>
      </c>
      <c r="H175" s="18" t="str">
        <f t="shared" si="13"/>
        <v>434</v>
      </c>
      <c r="I175" s="19">
        <f t="shared" si="14"/>
        <v>3.6666666666666665</v>
      </c>
      <c r="J175" s="7" t="str" cm="1">
        <f t="array" ref="J175">_xlfn.IFS(
I175&gt;=Best_Customers, Best_Customers_name,
I175&gt;=Loyal_Customers, Loyal_Customers_name,
I175&gt;=Average_Customers, Average_Customers_name,
TRUE, Lost_Customers_name)</f>
        <v>Best Customers</v>
      </c>
    </row>
    <row r="176" spans="1:10" x14ac:dyDescent="0.25">
      <c r="A176" s="25" t="str">
        <v>CUST_0168</v>
      </c>
      <c r="B176" s="16">
        <f t="shared" si="10"/>
        <v>219</v>
      </c>
      <c r="C176" s="16">
        <f t="shared" si="11"/>
        <v>1</v>
      </c>
      <c r="D176" s="17">
        <f t="shared" si="12"/>
        <v>105.73</v>
      </c>
      <c r="E176" s="18" cm="1">
        <f t="array" ref="E176">_xlfn.IFS(
B176&lt;=recencyQ1, 4,
B176&lt;=recencyQ2, 3,
B176&lt;=recencyQ3, 2,
TRUE, 1
)</f>
        <v>1</v>
      </c>
      <c r="F176" s="18" cm="1">
        <f t="array" ref="F176">_xlfn.IFS(
C176&lt;=frequencyQ1, 1,
C176&lt;=frequencyQ2, 2,
C176&lt;=frequencyQ3, 3,
TRUE, 4)</f>
        <v>1</v>
      </c>
      <c r="G176" s="18" cm="1">
        <f t="array" ref="G176">_xlfn.IFS(
D176&lt;=monetaryQ1, 1,
D176&lt;=monetaryQ2, 2,
D176&lt;=monetaryQ3, 3,
TRUE, 4)</f>
        <v>1</v>
      </c>
      <c r="H176" s="18" t="str">
        <f t="shared" si="13"/>
        <v>111</v>
      </c>
      <c r="I176" s="19">
        <f t="shared" si="14"/>
        <v>1</v>
      </c>
      <c r="J176" s="7" t="str" cm="1">
        <f t="array" ref="J176">_xlfn.IFS(
I176&gt;=Best_Customers, Best_Customers_name,
I176&gt;=Loyal_Customers, Loyal_Customers_name,
I176&gt;=Average_Customers, Average_Customers_name,
TRUE, Lost_Customers_name)</f>
        <v>Lost Customers</v>
      </c>
    </row>
    <row r="177" spans="1:10" x14ac:dyDescent="0.25">
      <c r="A177" s="25" t="str">
        <v>CUST_0169</v>
      </c>
      <c r="B177" s="16">
        <f t="shared" si="10"/>
        <v>147</v>
      </c>
      <c r="C177" s="16">
        <f t="shared" si="11"/>
        <v>5</v>
      </c>
      <c r="D177" s="17">
        <f t="shared" si="12"/>
        <v>508.46000000000004</v>
      </c>
      <c r="E177" s="18" cm="1">
        <f t="array" ref="E177">_xlfn.IFS(
B177&lt;=recencyQ1, 4,
B177&lt;=recencyQ2, 3,
B177&lt;=recencyQ3, 2,
TRUE, 1
)</f>
        <v>1</v>
      </c>
      <c r="F177" s="18" cm="1">
        <f t="array" ref="F177">_xlfn.IFS(
C177&lt;=frequencyQ1, 1,
C177&lt;=frequencyQ2, 2,
C177&lt;=frequencyQ3, 3,
TRUE, 4)</f>
        <v>2</v>
      </c>
      <c r="G177" s="18" cm="1">
        <f t="array" ref="G177">_xlfn.IFS(
D177&lt;=monetaryQ1, 1,
D177&lt;=monetaryQ2, 2,
D177&lt;=monetaryQ3, 3,
TRUE, 4)</f>
        <v>3</v>
      </c>
      <c r="H177" s="18" t="str">
        <f t="shared" si="13"/>
        <v>123</v>
      </c>
      <c r="I177" s="19">
        <f t="shared" si="14"/>
        <v>2</v>
      </c>
      <c r="J177" s="7" t="str" cm="1">
        <f t="array" ref="J177">_xlfn.IFS(
I177&gt;=Best_Customers, Best_Customers_name,
I177&gt;=Loyal_Customers, Loyal_Customers_name,
I177&gt;=Average_Customers, Average_Customers_name,
TRUE, Lost_Customers_name)</f>
        <v>Average Customers</v>
      </c>
    </row>
    <row r="178" spans="1:10" x14ac:dyDescent="0.25">
      <c r="A178" s="25" t="str">
        <v>CUST_0170</v>
      </c>
      <c r="B178" s="16">
        <f t="shared" si="10"/>
        <v>32</v>
      </c>
      <c r="C178" s="16">
        <f t="shared" si="11"/>
        <v>2</v>
      </c>
      <c r="D178" s="17">
        <f t="shared" si="12"/>
        <v>246.37</v>
      </c>
      <c r="E178" s="18" cm="1">
        <f t="array" ref="E178">_xlfn.IFS(
B178&lt;=recencyQ1, 4,
B178&lt;=recencyQ2, 3,
B178&lt;=recencyQ3, 2,
TRUE, 1
)</f>
        <v>3</v>
      </c>
      <c r="F178" s="18" cm="1">
        <f t="array" ref="F178">_xlfn.IFS(
C178&lt;=frequencyQ1, 1,
C178&lt;=frequencyQ2, 2,
C178&lt;=frequencyQ3, 3,
TRUE, 4)</f>
        <v>1</v>
      </c>
      <c r="G178" s="18" cm="1">
        <f t="array" ref="G178">_xlfn.IFS(
D178&lt;=monetaryQ1, 1,
D178&lt;=monetaryQ2, 2,
D178&lt;=monetaryQ3, 3,
TRUE, 4)</f>
        <v>1</v>
      </c>
      <c r="H178" s="18" t="str">
        <f t="shared" si="13"/>
        <v>311</v>
      </c>
      <c r="I178" s="19">
        <f t="shared" si="14"/>
        <v>1.6666666666666667</v>
      </c>
      <c r="J178" s="7" t="str" cm="1">
        <f t="array" ref="J178">_xlfn.IFS(
I178&gt;=Best_Customers, Best_Customers_name,
I178&gt;=Loyal_Customers, Loyal_Customers_name,
I178&gt;=Average_Customers, Average_Customers_name,
TRUE, Lost_Customers_name)</f>
        <v>Average Customers</v>
      </c>
    </row>
    <row r="179" spans="1:10" x14ac:dyDescent="0.25">
      <c r="A179" s="25" t="str">
        <v>CUST_0171</v>
      </c>
      <c r="B179" s="16">
        <f t="shared" si="10"/>
        <v>47</v>
      </c>
      <c r="C179" s="16">
        <f t="shared" si="11"/>
        <v>7</v>
      </c>
      <c r="D179" s="17">
        <f t="shared" si="12"/>
        <v>719.31999999999994</v>
      </c>
      <c r="E179" s="18" cm="1">
        <f t="array" ref="E179">_xlfn.IFS(
B179&lt;=recencyQ1, 4,
B179&lt;=recencyQ2, 3,
B179&lt;=recencyQ3, 2,
TRUE, 1
)</f>
        <v>3</v>
      </c>
      <c r="F179" s="18" cm="1">
        <f t="array" ref="F179">_xlfn.IFS(
C179&lt;=frequencyQ1, 1,
C179&lt;=frequencyQ2, 2,
C179&lt;=frequencyQ3, 3,
TRUE, 4)</f>
        <v>4</v>
      </c>
      <c r="G179" s="18" cm="1">
        <f t="array" ref="G179">_xlfn.IFS(
D179&lt;=monetaryQ1, 1,
D179&lt;=monetaryQ2, 2,
D179&lt;=monetaryQ3, 3,
TRUE, 4)</f>
        <v>4</v>
      </c>
      <c r="H179" s="18" t="str">
        <f t="shared" si="13"/>
        <v>344</v>
      </c>
      <c r="I179" s="19">
        <f t="shared" si="14"/>
        <v>3.6666666666666665</v>
      </c>
      <c r="J179" s="7" t="str" cm="1">
        <f t="array" ref="J179">_xlfn.IFS(
I179&gt;=Best_Customers, Best_Customers_name,
I179&gt;=Loyal_Customers, Loyal_Customers_name,
I179&gt;=Average_Customers, Average_Customers_name,
TRUE, Lost_Customers_name)</f>
        <v>Best Customers</v>
      </c>
    </row>
    <row r="180" spans="1:10" x14ac:dyDescent="0.25">
      <c r="A180" s="25" t="str">
        <v>CUST_0172</v>
      </c>
      <c r="B180" s="16">
        <f t="shared" si="10"/>
        <v>13</v>
      </c>
      <c r="C180" s="16">
        <f t="shared" si="11"/>
        <v>7</v>
      </c>
      <c r="D180" s="17">
        <f t="shared" si="12"/>
        <v>649.6</v>
      </c>
      <c r="E180" s="18" cm="1">
        <f t="array" ref="E180">_xlfn.IFS(
B180&lt;=recencyQ1, 4,
B180&lt;=recencyQ2, 3,
B180&lt;=recencyQ3, 2,
TRUE, 1
)</f>
        <v>4</v>
      </c>
      <c r="F180" s="18" cm="1">
        <f t="array" ref="F180">_xlfn.IFS(
C180&lt;=frequencyQ1, 1,
C180&lt;=frequencyQ2, 2,
C180&lt;=frequencyQ3, 3,
TRUE, 4)</f>
        <v>4</v>
      </c>
      <c r="G180" s="18" cm="1">
        <f t="array" ref="G180">_xlfn.IFS(
D180&lt;=monetaryQ1, 1,
D180&lt;=monetaryQ2, 2,
D180&lt;=monetaryQ3, 3,
TRUE, 4)</f>
        <v>3</v>
      </c>
      <c r="H180" s="18" t="str">
        <f t="shared" si="13"/>
        <v>443</v>
      </c>
      <c r="I180" s="19">
        <f t="shared" si="14"/>
        <v>3.6666666666666665</v>
      </c>
      <c r="J180" s="7" t="str" cm="1">
        <f t="array" ref="J180">_xlfn.IFS(
I180&gt;=Best_Customers, Best_Customers_name,
I180&gt;=Loyal_Customers, Loyal_Customers_name,
I180&gt;=Average_Customers, Average_Customers_name,
TRUE, Lost_Customers_name)</f>
        <v>Best Customers</v>
      </c>
    </row>
    <row r="181" spans="1:10" x14ac:dyDescent="0.25">
      <c r="A181" s="25" t="str">
        <v>CUST_0173</v>
      </c>
      <c r="B181" s="16">
        <f t="shared" si="10"/>
        <v>17</v>
      </c>
      <c r="C181" s="16">
        <f t="shared" si="11"/>
        <v>3</v>
      </c>
      <c r="D181" s="17">
        <f t="shared" si="12"/>
        <v>374.57</v>
      </c>
      <c r="E181" s="18" cm="1">
        <f t="array" ref="E181">_xlfn.IFS(
B181&lt;=recencyQ1, 4,
B181&lt;=recencyQ2, 3,
B181&lt;=recencyQ3, 2,
TRUE, 1
)</f>
        <v>4</v>
      </c>
      <c r="F181" s="18" cm="1">
        <f t="array" ref="F181">_xlfn.IFS(
C181&lt;=frequencyQ1, 1,
C181&lt;=frequencyQ2, 2,
C181&lt;=frequencyQ3, 3,
TRUE, 4)</f>
        <v>1</v>
      </c>
      <c r="G181" s="18" cm="1">
        <f t="array" ref="G181">_xlfn.IFS(
D181&lt;=monetaryQ1, 1,
D181&lt;=monetaryQ2, 2,
D181&lt;=monetaryQ3, 3,
TRUE, 4)</f>
        <v>2</v>
      </c>
      <c r="H181" s="18" t="str">
        <f t="shared" si="13"/>
        <v>412</v>
      </c>
      <c r="I181" s="19">
        <f t="shared" si="14"/>
        <v>2.3333333333333335</v>
      </c>
      <c r="J181" s="7" t="str" cm="1">
        <f t="array" ref="J181">_xlfn.IFS(
I181&gt;=Best_Customers, Best_Customers_name,
I181&gt;=Loyal_Customers, Loyal_Customers_name,
I181&gt;=Average_Customers, Average_Customers_name,
TRUE, Lost_Customers_name)</f>
        <v>Average Customers</v>
      </c>
    </row>
    <row r="182" spans="1:10" x14ac:dyDescent="0.25">
      <c r="A182" s="25" t="str">
        <v>CUST_0174</v>
      </c>
      <c r="B182" s="16">
        <f t="shared" si="10"/>
        <v>88</v>
      </c>
      <c r="C182" s="16">
        <f t="shared" si="11"/>
        <v>2</v>
      </c>
      <c r="D182" s="17">
        <f t="shared" si="12"/>
        <v>197.35</v>
      </c>
      <c r="E182" s="18" cm="1">
        <f t="array" ref="E182">_xlfn.IFS(
B182&lt;=recencyQ1, 4,
B182&lt;=recencyQ2, 3,
B182&lt;=recencyQ3, 2,
TRUE, 1
)</f>
        <v>2</v>
      </c>
      <c r="F182" s="18" cm="1">
        <f t="array" ref="F182">_xlfn.IFS(
C182&lt;=frequencyQ1, 1,
C182&lt;=frequencyQ2, 2,
C182&lt;=frequencyQ3, 3,
TRUE, 4)</f>
        <v>1</v>
      </c>
      <c r="G182" s="18" cm="1">
        <f t="array" ref="G182">_xlfn.IFS(
D182&lt;=monetaryQ1, 1,
D182&lt;=monetaryQ2, 2,
D182&lt;=monetaryQ3, 3,
TRUE, 4)</f>
        <v>1</v>
      </c>
      <c r="H182" s="18" t="str">
        <f t="shared" si="13"/>
        <v>211</v>
      </c>
      <c r="I182" s="19">
        <f t="shared" si="14"/>
        <v>1.3333333333333333</v>
      </c>
      <c r="J182" s="7" t="str" cm="1">
        <f t="array" ref="J182">_xlfn.IFS(
I182&gt;=Best_Customers, Best_Customers_name,
I182&gt;=Loyal_Customers, Loyal_Customers_name,
I182&gt;=Average_Customers, Average_Customers_name,
TRUE, Lost_Customers_name)</f>
        <v>Lost Customers</v>
      </c>
    </row>
    <row r="183" spans="1:10" x14ac:dyDescent="0.25">
      <c r="A183" s="25" t="str">
        <v>CUST_0175</v>
      </c>
      <c r="B183" s="16">
        <f t="shared" si="10"/>
        <v>1</v>
      </c>
      <c r="C183" s="16">
        <f t="shared" si="11"/>
        <v>3</v>
      </c>
      <c r="D183" s="17">
        <f t="shared" si="12"/>
        <v>256.34999999999997</v>
      </c>
      <c r="E183" s="18" cm="1">
        <f t="array" ref="E183">_xlfn.IFS(
B183&lt;=recencyQ1, 4,
B183&lt;=recencyQ2, 3,
B183&lt;=recencyQ3, 2,
TRUE, 1
)</f>
        <v>4</v>
      </c>
      <c r="F183" s="18" cm="1">
        <f t="array" ref="F183">_xlfn.IFS(
C183&lt;=frequencyQ1, 1,
C183&lt;=frequencyQ2, 2,
C183&lt;=frequencyQ3, 3,
TRUE, 4)</f>
        <v>1</v>
      </c>
      <c r="G183" s="18" cm="1">
        <f t="array" ref="G183">_xlfn.IFS(
D183&lt;=monetaryQ1, 1,
D183&lt;=monetaryQ2, 2,
D183&lt;=monetaryQ3, 3,
TRUE, 4)</f>
        <v>1</v>
      </c>
      <c r="H183" s="18" t="str">
        <f t="shared" si="13"/>
        <v>411</v>
      </c>
      <c r="I183" s="19">
        <f t="shared" si="14"/>
        <v>2</v>
      </c>
      <c r="J183" s="7" t="str" cm="1">
        <f t="array" ref="J183">_xlfn.IFS(
I183&gt;=Best_Customers, Best_Customers_name,
I183&gt;=Loyal_Customers, Loyal_Customers_name,
I183&gt;=Average_Customers, Average_Customers_name,
TRUE, Lost_Customers_name)</f>
        <v>Average Customers</v>
      </c>
    </row>
    <row r="184" spans="1:10" x14ac:dyDescent="0.25">
      <c r="A184" s="25" t="str">
        <v>CUST_0176</v>
      </c>
      <c r="B184" s="16">
        <f t="shared" si="10"/>
        <v>95</v>
      </c>
      <c r="C184" s="16">
        <f t="shared" si="11"/>
        <v>4</v>
      </c>
      <c r="D184" s="17">
        <f t="shared" si="12"/>
        <v>451.79999999999995</v>
      </c>
      <c r="E184" s="18" cm="1">
        <f t="array" ref="E184">_xlfn.IFS(
B184&lt;=recencyQ1, 4,
B184&lt;=recencyQ2, 3,
B184&lt;=recencyQ3, 2,
TRUE, 1
)</f>
        <v>2</v>
      </c>
      <c r="F184" s="18" cm="1">
        <f t="array" ref="F184">_xlfn.IFS(
C184&lt;=frequencyQ1, 1,
C184&lt;=frequencyQ2, 2,
C184&lt;=frequencyQ3, 3,
TRUE, 4)</f>
        <v>2</v>
      </c>
      <c r="G184" s="18" cm="1">
        <f t="array" ref="G184">_xlfn.IFS(
D184&lt;=monetaryQ1, 1,
D184&lt;=monetaryQ2, 2,
D184&lt;=monetaryQ3, 3,
TRUE, 4)</f>
        <v>2</v>
      </c>
      <c r="H184" s="18" t="str">
        <f t="shared" si="13"/>
        <v>222</v>
      </c>
      <c r="I184" s="19">
        <f t="shared" si="14"/>
        <v>2</v>
      </c>
      <c r="J184" s="7" t="str" cm="1">
        <f t="array" ref="J184">_xlfn.IFS(
I184&gt;=Best_Customers, Best_Customers_name,
I184&gt;=Loyal_Customers, Loyal_Customers_name,
I184&gt;=Average_Customers, Average_Customers_name,
TRUE, Lost_Customers_name)</f>
        <v>Average Customers</v>
      </c>
    </row>
    <row r="185" spans="1:10" x14ac:dyDescent="0.25">
      <c r="A185" s="25" t="str">
        <v>CUST_0177</v>
      </c>
      <c r="B185" s="16">
        <f t="shared" si="10"/>
        <v>18</v>
      </c>
      <c r="C185" s="16">
        <f t="shared" si="11"/>
        <v>5</v>
      </c>
      <c r="D185" s="17">
        <f t="shared" si="12"/>
        <v>460.26</v>
      </c>
      <c r="E185" s="18" cm="1">
        <f t="array" ref="E185">_xlfn.IFS(
B185&lt;=recencyQ1, 4,
B185&lt;=recencyQ2, 3,
B185&lt;=recencyQ3, 2,
TRUE, 1
)</f>
        <v>4</v>
      </c>
      <c r="F185" s="18" cm="1">
        <f t="array" ref="F185">_xlfn.IFS(
C185&lt;=frequencyQ1, 1,
C185&lt;=frequencyQ2, 2,
C185&lt;=frequencyQ3, 3,
TRUE, 4)</f>
        <v>2</v>
      </c>
      <c r="G185" s="18" cm="1">
        <f t="array" ref="G185">_xlfn.IFS(
D185&lt;=monetaryQ1, 1,
D185&lt;=monetaryQ2, 2,
D185&lt;=monetaryQ3, 3,
TRUE, 4)</f>
        <v>2</v>
      </c>
      <c r="H185" s="18" t="str">
        <f t="shared" si="13"/>
        <v>422</v>
      </c>
      <c r="I185" s="19">
        <f t="shared" si="14"/>
        <v>2.6666666666666665</v>
      </c>
      <c r="J185" s="7" t="str" cm="1">
        <f t="array" ref="J185">_xlfn.IFS(
I185&gt;=Best_Customers, Best_Customers_name,
I185&gt;=Loyal_Customers, Loyal_Customers_name,
I185&gt;=Average_Customers, Average_Customers_name,
TRUE, Lost_Customers_name)</f>
        <v>Loyal Customers</v>
      </c>
    </row>
    <row r="186" spans="1:10" x14ac:dyDescent="0.25">
      <c r="A186" s="25" t="str">
        <v>CUST_0178</v>
      </c>
      <c r="B186" s="16">
        <f t="shared" si="10"/>
        <v>221</v>
      </c>
      <c r="C186" s="16">
        <f t="shared" si="11"/>
        <v>3</v>
      </c>
      <c r="D186" s="17">
        <f t="shared" si="12"/>
        <v>217.96</v>
      </c>
      <c r="E186" s="18" cm="1">
        <f t="array" ref="E186">_xlfn.IFS(
B186&lt;=recencyQ1, 4,
B186&lt;=recencyQ2, 3,
B186&lt;=recencyQ3, 2,
TRUE, 1
)</f>
        <v>1</v>
      </c>
      <c r="F186" s="18" cm="1">
        <f t="array" ref="F186">_xlfn.IFS(
C186&lt;=frequencyQ1, 1,
C186&lt;=frequencyQ2, 2,
C186&lt;=frequencyQ3, 3,
TRUE, 4)</f>
        <v>1</v>
      </c>
      <c r="G186" s="18" cm="1">
        <f t="array" ref="G186">_xlfn.IFS(
D186&lt;=monetaryQ1, 1,
D186&lt;=monetaryQ2, 2,
D186&lt;=monetaryQ3, 3,
TRUE, 4)</f>
        <v>1</v>
      </c>
      <c r="H186" s="18" t="str">
        <f t="shared" si="13"/>
        <v>111</v>
      </c>
      <c r="I186" s="19">
        <f t="shared" si="14"/>
        <v>1</v>
      </c>
      <c r="J186" s="7" t="str" cm="1">
        <f t="array" ref="J186">_xlfn.IFS(
I186&gt;=Best_Customers, Best_Customers_name,
I186&gt;=Loyal_Customers, Loyal_Customers_name,
I186&gt;=Average_Customers, Average_Customers_name,
TRUE, Lost_Customers_name)</f>
        <v>Lost Customers</v>
      </c>
    </row>
    <row r="187" spans="1:10" x14ac:dyDescent="0.25">
      <c r="A187" s="25" t="str">
        <v>CUST_0179</v>
      </c>
      <c r="B187" s="16">
        <f t="shared" si="10"/>
        <v>56</v>
      </c>
      <c r="C187" s="16">
        <f t="shared" si="11"/>
        <v>3</v>
      </c>
      <c r="D187" s="17">
        <f t="shared" si="12"/>
        <v>329.68</v>
      </c>
      <c r="E187" s="18" cm="1">
        <f t="array" ref="E187">_xlfn.IFS(
B187&lt;=recencyQ1, 4,
B187&lt;=recencyQ2, 3,
B187&lt;=recencyQ3, 2,
TRUE, 1
)</f>
        <v>2</v>
      </c>
      <c r="F187" s="18" cm="1">
        <f t="array" ref="F187">_xlfn.IFS(
C187&lt;=frequencyQ1, 1,
C187&lt;=frequencyQ2, 2,
C187&lt;=frequencyQ3, 3,
TRUE, 4)</f>
        <v>1</v>
      </c>
      <c r="G187" s="18" cm="1">
        <f t="array" ref="G187">_xlfn.IFS(
D187&lt;=monetaryQ1, 1,
D187&lt;=monetaryQ2, 2,
D187&lt;=monetaryQ3, 3,
TRUE, 4)</f>
        <v>2</v>
      </c>
      <c r="H187" s="18" t="str">
        <f t="shared" si="13"/>
        <v>212</v>
      </c>
      <c r="I187" s="19">
        <f t="shared" si="14"/>
        <v>1.6666666666666667</v>
      </c>
      <c r="J187" s="7" t="str" cm="1">
        <f t="array" ref="J187">_xlfn.IFS(
I187&gt;=Best_Customers, Best_Customers_name,
I187&gt;=Loyal_Customers, Loyal_Customers_name,
I187&gt;=Average_Customers, Average_Customers_name,
TRUE, Lost_Customers_name)</f>
        <v>Average Customers</v>
      </c>
    </row>
    <row r="188" spans="1:10" x14ac:dyDescent="0.25">
      <c r="A188" s="25" t="str">
        <v>CUST_0180</v>
      </c>
      <c r="B188" s="16">
        <f t="shared" si="10"/>
        <v>180</v>
      </c>
      <c r="C188" s="16">
        <f t="shared" si="11"/>
        <v>1</v>
      </c>
      <c r="D188" s="17">
        <f t="shared" si="12"/>
        <v>132.72999999999999</v>
      </c>
      <c r="E188" s="18" cm="1">
        <f t="array" ref="E188">_xlfn.IFS(
B188&lt;=recencyQ1, 4,
B188&lt;=recencyQ2, 3,
B188&lt;=recencyQ3, 2,
TRUE, 1
)</f>
        <v>1</v>
      </c>
      <c r="F188" s="18" cm="1">
        <f t="array" ref="F188">_xlfn.IFS(
C188&lt;=frequencyQ1, 1,
C188&lt;=frequencyQ2, 2,
C188&lt;=frequencyQ3, 3,
TRUE, 4)</f>
        <v>1</v>
      </c>
      <c r="G188" s="18" cm="1">
        <f t="array" ref="G188">_xlfn.IFS(
D188&lt;=monetaryQ1, 1,
D188&lt;=monetaryQ2, 2,
D188&lt;=monetaryQ3, 3,
TRUE, 4)</f>
        <v>1</v>
      </c>
      <c r="H188" s="18" t="str">
        <f t="shared" si="13"/>
        <v>111</v>
      </c>
      <c r="I188" s="19">
        <f t="shared" si="14"/>
        <v>1</v>
      </c>
      <c r="J188" s="7" t="str" cm="1">
        <f t="array" ref="J188">_xlfn.IFS(
I188&gt;=Best_Customers, Best_Customers_name,
I188&gt;=Loyal_Customers, Loyal_Customers_name,
I188&gt;=Average_Customers, Average_Customers_name,
TRUE, Lost_Customers_name)</f>
        <v>Lost Customers</v>
      </c>
    </row>
    <row r="189" spans="1:10" x14ac:dyDescent="0.25">
      <c r="A189" s="25" t="str">
        <v>CUST_0181</v>
      </c>
      <c r="B189" s="16">
        <f t="shared" si="10"/>
        <v>83</v>
      </c>
      <c r="C189" s="16">
        <f t="shared" si="11"/>
        <v>6</v>
      </c>
      <c r="D189" s="17">
        <f t="shared" si="12"/>
        <v>675.48</v>
      </c>
      <c r="E189" s="18" cm="1">
        <f t="array" ref="E189">_xlfn.IFS(
B189&lt;=recencyQ1, 4,
B189&lt;=recencyQ2, 3,
B189&lt;=recencyQ3, 2,
TRUE, 1
)</f>
        <v>2</v>
      </c>
      <c r="F189" s="18" cm="1">
        <f t="array" ref="F189">_xlfn.IFS(
C189&lt;=frequencyQ1, 1,
C189&lt;=frequencyQ2, 2,
C189&lt;=frequencyQ3, 3,
TRUE, 4)</f>
        <v>3</v>
      </c>
      <c r="G189" s="18" cm="1">
        <f t="array" ref="G189">_xlfn.IFS(
D189&lt;=monetaryQ1, 1,
D189&lt;=monetaryQ2, 2,
D189&lt;=monetaryQ3, 3,
TRUE, 4)</f>
        <v>4</v>
      </c>
      <c r="H189" s="18" t="str">
        <f t="shared" si="13"/>
        <v>234</v>
      </c>
      <c r="I189" s="19">
        <f t="shared" si="14"/>
        <v>3</v>
      </c>
      <c r="J189" s="7" t="str" cm="1">
        <f t="array" ref="J189">_xlfn.IFS(
I189&gt;=Best_Customers, Best_Customers_name,
I189&gt;=Loyal_Customers, Loyal_Customers_name,
I189&gt;=Average_Customers, Average_Customers_name,
TRUE, Lost_Customers_name)</f>
        <v>Loyal Customers</v>
      </c>
    </row>
    <row r="190" spans="1:10" x14ac:dyDescent="0.25">
      <c r="A190" s="25" t="str">
        <v>CUST_0182</v>
      </c>
      <c r="B190" s="16">
        <f t="shared" si="10"/>
        <v>26</v>
      </c>
      <c r="C190" s="16">
        <f t="shared" si="11"/>
        <v>8</v>
      </c>
      <c r="D190" s="17">
        <f t="shared" si="12"/>
        <v>825.36</v>
      </c>
      <c r="E190" s="18" cm="1">
        <f t="array" ref="E190">_xlfn.IFS(
B190&lt;=recencyQ1, 4,
B190&lt;=recencyQ2, 3,
B190&lt;=recencyQ3, 2,
TRUE, 1
)</f>
        <v>3</v>
      </c>
      <c r="F190" s="18" cm="1">
        <f t="array" ref="F190">_xlfn.IFS(
C190&lt;=frequencyQ1, 1,
C190&lt;=frequencyQ2, 2,
C190&lt;=frequencyQ3, 3,
TRUE, 4)</f>
        <v>4</v>
      </c>
      <c r="G190" s="18" cm="1">
        <f t="array" ref="G190">_xlfn.IFS(
D190&lt;=monetaryQ1, 1,
D190&lt;=monetaryQ2, 2,
D190&lt;=monetaryQ3, 3,
TRUE, 4)</f>
        <v>4</v>
      </c>
      <c r="H190" s="18" t="str">
        <f t="shared" si="13"/>
        <v>344</v>
      </c>
      <c r="I190" s="19">
        <f t="shared" si="14"/>
        <v>3.6666666666666665</v>
      </c>
      <c r="J190" s="7" t="str" cm="1">
        <f t="array" ref="J190">_xlfn.IFS(
I190&gt;=Best_Customers, Best_Customers_name,
I190&gt;=Loyal_Customers, Loyal_Customers_name,
I190&gt;=Average_Customers, Average_Customers_name,
TRUE, Lost_Customers_name)</f>
        <v>Best Customers</v>
      </c>
    </row>
    <row r="191" spans="1:10" x14ac:dyDescent="0.25">
      <c r="A191" s="25" t="str">
        <v>CUST_0183</v>
      </c>
      <c r="B191" s="16">
        <f t="shared" si="10"/>
        <v>7</v>
      </c>
      <c r="C191" s="16">
        <f t="shared" si="11"/>
        <v>5</v>
      </c>
      <c r="D191" s="17">
        <f t="shared" si="12"/>
        <v>613.19000000000005</v>
      </c>
      <c r="E191" s="18" cm="1">
        <f t="array" ref="E191">_xlfn.IFS(
B191&lt;=recencyQ1, 4,
B191&lt;=recencyQ2, 3,
B191&lt;=recencyQ3, 2,
TRUE, 1
)</f>
        <v>4</v>
      </c>
      <c r="F191" s="18" cm="1">
        <f t="array" ref="F191">_xlfn.IFS(
C191&lt;=frequencyQ1, 1,
C191&lt;=frequencyQ2, 2,
C191&lt;=frequencyQ3, 3,
TRUE, 4)</f>
        <v>2</v>
      </c>
      <c r="G191" s="18" cm="1">
        <f t="array" ref="G191">_xlfn.IFS(
D191&lt;=monetaryQ1, 1,
D191&lt;=monetaryQ2, 2,
D191&lt;=monetaryQ3, 3,
TRUE, 4)</f>
        <v>3</v>
      </c>
      <c r="H191" s="18" t="str">
        <f t="shared" si="13"/>
        <v>423</v>
      </c>
      <c r="I191" s="19">
        <f t="shared" si="14"/>
        <v>3</v>
      </c>
      <c r="J191" s="7" t="str" cm="1">
        <f t="array" ref="J191">_xlfn.IFS(
I191&gt;=Best_Customers, Best_Customers_name,
I191&gt;=Loyal_Customers, Loyal_Customers_name,
I191&gt;=Average_Customers, Average_Customers_name,
TRUE, Lost_Customers_name)</f>
        <v>Loyal Customers</v>
      </c>
    </row>
    <row r="192" spans="1:10" x14ac:dyDescent="0.25">
      <c r="A192" s="25" t="str">
        <v>CUST_0184</v>
      </c>
      <c r="B192" s="16">
        <f t="shared" si="10"/>
        <v>92</v>
      </c>
      <c r="C192" s="16">
        <f t="shared" si="11"/>
        <v>1</v>
      </c>
      <c r="D192" s="17">
        <f t="shared" si="12"/>
        <v>44.41</v>
      </c>
      <c r="E192" s="18" cm="1">
        <f t="array" ref="E192">_xlfn.IFS(
B192&lt;=recencyQ1, 4,
B192&lt;=recencyQ2, 3,
B192&lt;=recencyQ3, 2,
TRUE, 1
)</f>
        <v>2</v>
      </c>
      <c r="F192" s="18" cm="1">
        <f t="array" ref="F192">_xlfn.IFS(
C192&lt;=frequencyQ1, 1,
C192&lt;=frequencyQ2, 2,
C192&lt;=frequencyQ3, 3,
TRUE, 4)</f>
        <v>1</v>
      </c>
      <c r="G192" s="18" cm="1">
        <f t="array" ref="G192">_xlfn.IFS(
D192&lt;=monetaryQ1, 1,
D192&lt;=monetaryQ2, 2,
D192&lt;=monetaryQ3, 3,
TRUE, 4)</f>
        <v>1</v>
      </c>
      <c r="H192" s="18" t="str">
        <f t="shared" si="13"/>
        <v>211</v>
      </c>
      <c r="I192" s="19">
        <f t="shared" si="14"/>
        <v>1.3333333333333333</v>
      </c>
      <c r="J192" s="7" t="str" cm="1">
        <f t="array" ref="J192">_xlfn.IFS(
I192&gt;=Best_Customers, Best_Customers_name,
I192&gt;=Loyal_Customers, Loyal_Customers_name,
I192&gt;=Average_Customers, Average_Customers_name,
TRUE, Lost_Customers_name)</f>
        <v>Lost Customers</v>
      </c>
    </row>
    <row r="193" spans="1:10" x14ac:dyDescent="0.25">
      <c r="A193" s="25" t="str">
        <v>CUST_0185</v>
      </c>
      <c r="B193" s="16">
        <f t="shared" si="10"/>
        <v>10</v>
      </c>
      <c r="C193" s="16">
        <f t="shared" si="11"/>
        <v>3</v>
      </c>
      <c r="D193" s="17">
        <f t="shared" si="12"/>
        <v>288.61</v>
      </c>
      <c r="E193" s="18" cm="1">
        <f t="array" ref="E193">_xlfn.IFS(
B193&lt;=recencyQ1, 4,
B193&lt;=recencyQ2, 3,
B193&lt;=recencyQ3, 2,
TRUE, 1
)</f>
        <v>4</v>
      </c>
      <c r="F193" s="18" cm="1">
        <f t="array" ref="F193">_xlfn.IFS(
C193&lt;=frequencyQ1, 1,
C193&lt;=frequencyQ2, 2,
C193&lt;=frequencyQ3, 3,
TRUE, 4)</f>
        <v>1</v>
      </c>
      <c r="G193" s="18" cm="1">
        <f t="array" ref="G193">_xlfn.IFS(
D193&lt;=monetaryQ1, 1,
D193&lt;=monetaryQ2, 2,
D193&lt;=monetaryQ3, 3,
TRUE, 4)</f>
        <v>1</v>
      </c>
      <c r="H193" s="18" t="str">
        <f t="shared" si="13"/>
        <v>411</v>
      </c>
      <c r="I193" s="19">
        <f t="shared" si="14"/>
        <v>2</v>
      </c>
      <c r="J193" s="7" t="str" cm="1">
        <f t="array" ref="J193">_xlfn.IFS(
I193&gt;=Best_Customers, Best_Customers_name,
I193&gt;=Loyal_Customers, Loyal_Customers_name,
I193&gt;=Average_Customers, Average_Customers_name,
TRUE, Lost_Customers_name)</f>
        <v>Average Customers</v>
      </c>
    </row>
    <row r="194" spans="1:10" x14ac:dyDescent="0.25">
      <c r="A194" s="25" t="str">
        <v>CUST_0186</v>
      </c>
      <c r="B194" s="16">
        <f t="shared" si="10"/>
        <v>47</v>
      </c>
      <c r="C194" s="16">
        <f t="shared" si="11"/>
        <v>3</v>
      </c>
      <c r="D194" s="17">
        <f t="shared" si="12"/>
        <v>195.44</v>
      </c>
      <c r="E194" s="18" cm="1">
        <f t="array" ref="E194">_xlfn.IFS(
B194&lt;=recencyQ1, 4,
B194&lt;=recencyQ2, 3,
B194&lt;=recencyQ3, 2,
TRUE, 1
)</f>
        <v>3</v>
      </c>
      <c r="F194" s="18" cm="1">
        <f t="array" ref="F194">_xlfn.IFS(
C194&lt;=frequencyQ1, 1,
C194&lt;=frequencyQ2, 2,
C194&lt;=frequencyQ3, 3,
TRUE, 4)</f>
        <v>1</v>
      </c>
      <c r="G194" s="18" cm="1">
        <f t="array" ref="G194">_xlfn.IFS(
D194&lt;=monetaryQ1, 1,
D194&lt;=monetaryQ2, 2,
D194&lt;=monetaryQ3, 3,
TRUE, 4)</f>
        <v>1</v>
      </c>
      <c r="H194" s="18" t="str">
        <f t="shared" si="13"/>
        <v>311</v>
      </c>
      <c r="I194" s="19">
        <f t="shared" si="14"/>
        <v>1.6666666666666667</v>
      </c>
      <c r="J194" s="7" t="str" cm="1">
        <f t="array" ref="J194">_xlfn.IFS(
I194&gt;=Best_Customers, Best_Customers_name,
I194&gt;=Loyal_Customers, Loyal_Customers_name,
I194&gt;=Average_Customers, Average_Customers_name,
TRUE, Lost_Customers_name)</f>
        <v>Average Customers</v>
      </c>
    </row>
    <row r="195" spans="1:10" x14ac:dyDescent="0.25">
      <c r="A195" s="25" t="str">
        <v>CUST_0187</v>
      </c>
      <c r="B195" s="16">
        <f t="shared" si="10"/>
        <v>25</v>
      </c>
      <c r="C195" s="16">
        <f t="shared" si="11"/>
        <v>9</v>
      </c>
      <c r="D195" s="17">
        <f t="shared" si="12"/>
        <v>870.41</v>
      </c>
      <c r="E195" s="18" cm="1">
        <f t="array" ref="E195">_xlfn.IFS(
B195&lt;=recencyQ1, 4,
B195&lt;=recencyQ2, 3,
B195&lt;=recencyQ3, 2,
TRUE, 1
)</f>
        <v>3</v>
      </c>
      <c r="F195" s="18" cm="1">
        <f t="array" ref="F195">_xlfn.IFS(
C195&lt;=frequencyQ1, 1,
C195&lt;=frequencyQ2, 2,
C195&lt;=frequencyQ3, 3,
TRUE, 4)</f>
        <v>4</v>
      </c>
      <c r="G195" s="18" cm="1">
        <f t="array" ref="G195">_xlfn.IFS(
D195&lt;=monetaryQ1, 1,
D195&lt;=monetaryQ2, 2,
D195&lt;=monetaryQ3, 3,
TRUE, 4)</f>
        <v>4</v>
      </c>
      <c r="H195" s="18" t="str">
        <f t="shared" si="13"/>
        <v>344</v>
      </c>
      <c r="I195" s="19">
        <f t="shared" si="14"/>
        <v>3.6666666666666665</v>
      </c>
      <c r="J195" s="7" t="str" cm="1">
        <f t="array" ref="J195">_xlfn.IFS(
I195&gt;=Best_Customers, Best_Customers_name,
I195&gt;=Loyal_Customers, Loyal_Customers_name,
I195&gt;=Average_Customers, Average_Customers_name,
TRUE, Lost_Customers_name)</f>
        <v>Best Customers</v>
      </c>
    </row>
    <row r="196" spans="1:10" x14ac:dyDescent="0.25">
      <c r="A196" s="25" t="str">
        <v>CUST_0188</v>
      </c>
      <c r="B196" s="16">
        <f t="shared" si="10"/>
        <v>82</v>
      </c>
      <c r="C196" s="16">
        <f t="shared" si="11"/>
        <v>1</v>
      </c>
      <c r="D196" s="17">
        <f t="shared" si="12"/>
        <v>98.15</v>
      </c>
      <c r="E196" s="18" cm="1">
        <f t="array" ref="E196">_xlfn.IFS(
B196&lt;=recencyQ1, 4,
B196&lt;=recencyQ2, 3,
B196&lt;=recencyQ3, 2,
TRUE, 1
)</f>
        <v>2</v>
      </c>
      <c r="F196" s="18" cm="1">
        <f t="array" ref="F196">_xlfn.IFS(
C196&lt;=frequencyQ1, 1,
C196&lt;=frequencyQ2, 2,
C196&lt;=frequencyQ3, 3,
TRUE, 4)</f>
        <v>1</v>
      </c>
      <c r="G196" s="18" cm="1">
        <f t="array" ref="G196">_xlfn.IFS(
D196&lt;=monetaryQ1, 1,
D196&lt;=monetaryQ2, 2,
D196&lt;=monetaryQ3, 3,
TRUE, 4)</f>
        <v>1</v>
      </c>
      <c r="H196" s="18" t="str">
        <f t="shared" si="13"/>
        <v>211</v>
      </c>
      <c r="I196" s="19">
        <f t="shared" si="14"/>
        <v>1.3333333333333333</v>
      </c>
      <c r="J196" s="7" t="str" cm="1">
        <f t="array" ref="J196">_xlfn.IFS(
I196&gt;=Best_Customers, Best_Customers_name,
I196&gt;=Loyal_Customers, Loyal_Customers_name,
I196&gt;=Average_Customers, Average_Customers_name,
TRUE, Lost_Customers_name)</f>
        <v>Lost Customers</v>
      </c>
    </row>
    <row r="197" spans="1:10" x14ac:dyDescent="0.25">
      <c r="A197" s="25" t="str">
        <v>CUST_0189</v>
      </c>
      <c r="B197" s="16">
        <f t="shared" si="10"/>
        <v>74</v>
      </c>
      <c r="C197" s="16">
        <f t="shared" si="11"/>
        <v>9</v>
      </c>
      <c r="D197" s="17">
        <f t="shared" si="12"/>
        <v>854.29</v>
      </c>
      <c r="E197" s="18" cm="1">
        <f t="array" ref="E197">_xlfn.IFS(
B197&lt;=recencyQ1, 4,
B197&lt;=recencyQ2, 3,
B197&lt;=recencyQ3, 2,
TRUE, 1
)</f>
        <v>2</v>
      </c>
      <c r="F197" s="18" cm="1">
        <f t="array" ref="F197">_xlfn.IFS(
C197&lt;=frequencyQ1, 1,
C197&lt;=frequencyQ2, 2,
C197&lt;=frequencyQ3, 3,
TRUE, 4)</f>
        <v>4</v>
      </c>
      <c r="G197" s="18" cm="1">
        <f t="array" ref="G197">_xlfn.IFS(
D197&lt;=monetaryQ1, 1,
D197&lt;=monetaryQ2, 2,
D197&lt;=monetaryQ3, 3,
TRUE, 4)</f>
        <v>4</v>
      </c>
      <c r="H197" s="18" t="str">
        <f t="shared" si="13"/>
        <v>244</v>
      </c>
      <c r="I197" s="19">
        <f t="shared" si="14"/>
        <v>3.3333333333333335</v>
      </c>
      <c r="J197" s="7" t="str" cm="1">
        <f t="array" ref="J197">_xlfn.IFS(
I197&gt;=Best_Customers, Best_Customers_name,
I197&gt;=Loyal_Customers, Loyal_Customers_name,
I197&gt;=Average_Customers, Average_Customers_name,
TRUE, Lost_Customers_name)</f>
        <v>Loyal Customers</v>
      </c>
    </row>
    <row r="198" spans="1:10" x14ac:dyDescent="0.25">
      <c r="A198" s="25" t="str">
        <v>CUST_0190</v>
      </c>
      <c r="B198" s="16">
        <f t="shared" si="10"/>
        <v>74</v>
      </c>
      <c r="C198" s="16">
        <f t="shared" si="11"/>
        <v>5</v>
      </c>
      <c r="D198" s="17">
        <f t="shared" si="12"/>
        <v>503.96000000000004</v>
      </c>
      <c r="E198" s="18" cm="1">
        <f t="array" ref="E198">_xlfn.IFS(
B198&lt;=recencyQ1, 4,
B198&lt;=recencyQ2, 3,
B198&lt;=recencyQ3, 2,
TRUE, 1
)</f>
        <v>2</v>
      </c>
      <c r="F198" s="18" cm="1">
        <f t="array" ref="F198">_xlfn.IFS(
C198&lt;=frequencyQ1, 1,
C198&lt;=frequencyQ2, 2,
C198&lt;=frequencyQ3, 3,
TRUE, 4)</f>
        <v>2</v>
      </c>
      <c r="G198" s="18" cm="1">
        <f t="array" ref="G198">_xlfn.IFS(
D198&lt;=monetaryQ1, 1,
D198&lt;=monetaryQ2, 2,
D198&lt;=monetaryQ3, 3,
TRUE, 4)</f>
        <v>3</v>
      </c>
      <c r="H198" s="18" t="str">
        <f t="shared" si="13"/>
        <v>223</v>
      </c>
      <c r="I198" s="19">
        <f t="shared" si="14"/>
        <v>2.3333333333333335</v>
      </c>
      <c r="J198" s="7" t="str" cm="1">
        <f t="array" ref="J198">_xlfn.IFS(
I198&gt;=Best_Customers, Best_Customers_name,
I198&gt;=Loyal_Customers, Loyal_Customers_name,
I198&gt;=Average_Customers, Average_Customers_name,
TRUE, Lost_Customers_name)</f>
        <v>Average Customers</v>
      </c>
    </row>
    <row r="199" spans="1:10" x14ac:dyDescent="0.25">
      <c r="A199" s="25" t="str">
        <v>CUST_0191</v>
      </c>
      <c r="B199" s="16">
        <f t="shared" si="10"/>
        <v>8</v>
      </c>
      <c r="C199" s="16">
        <f t="shared" si="11"/>
        <v>6</v>
      </c>
      <c r="D199" s="17">
        <f t="shared" si="12"/>
        <v>646.04000000000008</v>
      </c>
      <c r="E199" s="18" cm="1">
        <f t="array" ref="E199">_xlfn.IFS(
B199&lt;=recencyQ1, 4,
B199&lt;=recencyQ2, 3,
B199&lt;=recencyQ3, 2,
TRUE, 1
)</f>
        <v>4</v>
      </c>
      <c r="F199" s="18" cm="1">
        <f t="array" ref="F199">_xlfn.IFS(
C199&lt;=frequencyQ1, 1,
C199&lt;=frequencyQ2, 2,
C199&lt;=frequencyQ3, 3,
TRUE, 4)</f>
        <v>3</v>
      </c>
      <c r="G199" s="18" cm="1">
        <f t="array" ref="G199">_xlfn.IFS(
D199&lt;=monetaryQ1, 1,
D199&lt;=monetaryQ2, 2,
D199&lt;=monetaryQ3, 3,
TRUE, 4)</f>
        <v>3</v>
      </c>
      <c r="H199" s="18" t="str">
        <f t="shared" si="13"/>
        <v>433</v>
      </c>
      <c r="I199" s="19">
        <f t="shared" si="14"/>
        <v>3.3333333333333335</v>
      </c>
      <c r="J199" s="7" t="str" cm="1">
        <f t="array" ref="J199">_xlfn.IFS(
I199&gt;=Best_Customers, Best_Customers_name,
I199&gt;=Loyal_Customers, Loyal_Customers_name,
I199&gt;=Average_Customers, Average_Customers_name,
TRUE, Lost_Customers_name)</f>
        <v>Loyal Customers</v>
      </c>
    </row>
    <row r="200" spans="1:10" x14ac:dyDescent="0.25">
      <c r="A200" s="25" t="str">
        <v>CUST_0192</v>
      </c>
      <c r="B200" s="16">
        <f t="shared" si="10"/>
        <v>280</v>
      </c>
      <c r="C200" s="16">
        <f t="shared" si="11"/>
        <v>2</v>
      </c>
      <c r="D200" s="17">
        <f t="shared" si="12"/>
        <v>235.94</v>
      </c>
      <c r="E200" s="18" cm="1">
        <f t="array" ref="E200">_xlfn.IFS(
B200&lt;=recencyQ1, 4,
B200&lt;=recencyQ2, 3,
B200&lt;=recencyQ3, 2,
TRUE, 1
)</f>
        <v>1</v>
      </c>
      <c r="F200" s="18" cm="1">
        <f t="array" ref="F200">_xlfn.IFS(
C200&lt;=frequencyQ1, 1,
C200&lt;=frequencyQ2, 2,
C200&lt;=frequencyQ3, 3,
TRUE, 4)</f>
        <v>1</v>
      </c>
      <c r="G200" s="18" cm="1">
        <f t="array" ref="G200">_xlfn.IFS(
D200&lt;=monetaryQ1, 1,
D200&lt;=monetaryQ2, 2,
D200&lt;=monetaryQ3, 3,
TRUE, 4)</f>
        <v>1</v>
      </c>
      <c r="H200" s="18" t="str">
        <f t="shared" si="13"/>
        <v>111</v>
      </c>
      <c r="I200" s="19">
        <f t="shared" si="14"/>
        <v>1</v>
      </c>
      <c r="J200" s="7" t="str" cm="1">
        <f t="array" ref="J200">_xlfn.IFS(
I200&gt;=Best_Customers, Best_Customers_name,
I200&gt;=Loyal_Customers, Loyal_Customers_name,
I200&gt;=Average_Customers, Average_Customers_name,
TRUE, Lost_Customers_name)</f>
        <v>Lost Customers</v>
      </c>
    </row>
    <row r="201" spans="1:10" x14ac:dyDescent="0.25">
      <c r="A201" s="25" t="str">
        <v>CUST_0193</v>
      </c>
      <c r="B201" s="16">
        <f t="shared" si="10"/>
        <v>41</v>
      </c>
      <c r="C201" s="16">
        <f t="shared" si="11"/>
        <v>7</v>
      </c>
      <c r="D201" s="17">
        <f t="shared" si="12"/>
        <v>782.84999999999991</v>
      </c>
      <c r="E201" s="18" cm="1">
        <f t="array" ref="E201">_xlfn.IFS(
B201&lt;=recencyQ1, 4,
B201&lt;=recencyQ2, 3,
B201&lt;=recencyQ3, 2,
TRUE, 1
)</f>
        <v>3</v>
      </c>
      <c r="F201" s="18" cm="1">
        <f t="array" ref="F201">_xlfn.IFS(
C201&lt;=frequencyQ1, 1,
C201&lt;=frequencyQ2, 2,
C201&lt;=frequencyQ3, 3,
TRUE, 4)</f>
        <v>4</v>
      </c>
      <c r="G201" s="18" cm="1">
        <f t="array" ref="G201">_xlfn.IFS(
D201&lt;=monetaryQ1, 1,
D201&lt;=monetaryQ2, 2,
D201&lt;=monetaryQ3, 3,
TRUE, 4)</f>
        <v>4</v>
      </c>
      <c r="H201" s="18" t="str">
        <f t="shared" si="13"/>
        <v>344</v>
      </c>
      <c r="I201" s="19">
        <f t="shared" si="14"/>
        <v>3.6666666666666665</v>
      </c>
      <c r="J201" s="7" t="str" cm="1">
        <f t="array" ref="J201">_xlfn.IFS(
I201&gt;=Best_Customers, Best_Customers_name,
I201&gt;=Loyal_Customers, Loyal_Customers_name,
I201&gt;=Average_Customers, Average_Customers_name,
TRUE, Lost_Customers_name)</f>
        <v>Best Customers</v>
      </c>
    </row>
    <row r="202" spans="1:10" x14ac:dyDescent="0.25">
      <c r="A202" s="25" t="str">
        <v>CUST_0194</v>
      </c>
      <c r="B202" s="16">
        <f t="shared" ref="B202:B265" si="15">analysis_date-_xlfn.MAXIFS(transaction_date,customer_id,A202,included,1)</f>
        <v>203</v>
      </c>
      <c r="C202" s="16">
        <f t="shared" ref="C202:C265" si="16">COUNTIFS(customer_id,A202,included,1)</f>
        <v>5</v>
      </c>
      <c r="D202" s="17">
        <f t="shared" ref="D202:D265" si="17">SUMIFS(transaction_amount,customer_id,A202,included,1)</f>
        <v>525.22</v>
      </c>
      <c r="E202" s="18" cm="1">
        <f t="array" ref="E202">_xlfn.IFS(
B202&lt;=recencyQ1, 4,
B202&lt;=recencyQ2, 3,
B202&lt;=recencyQ3, 2,
TRUE, 1
)</f>
        <v>1</v>
      </c>
      <c r="F202" s="18" cm="1">
        <f t="array" ref="F202">_xlfn.IFS(
C202&lt;=frequencyQ1, 1,
C202&lt;=frequencyQ2, 2,
C202&lt;=frequencyQ3, 3,
TRUE, 4)</f>
        <v>2</v>
      </c>
      <c r="G202" s="18" cm="1">
        <f t="array" ref="G202">_xlfn.IFS(
D202&lt;=monetaryQ1, 1,
D202&lt;=monetaryQ2, 2,
D202&lt;=monetaryQ3, 3,
TRUE, 4)</f>
        <v>3</v>
      </c>
      <c r="H202" s="18" t="str">
        <f t="shared" ref="H202:H265" si="18">E202&amp;F202&amp;G202</f>
        <v>123</v>
      </c>
      <c r="I202" s="19">
        <f t="shared" ref="I202:I265" si="19">AVERAGE(E202:G202)</f>
        <v>2</v>
      </c>
      <c r="J202" s="7" t="str" cm="1">
        <f t="array" ref="J202">_xlfn.IFS(
I202&gt;=Best_Customers, Best_Customers_name,
I202&gt;=Loyal_Customers, Loyal_Customers_name,
I202&gt;=Average_Customers, Average_Customers_name,
TRUE, Lost_Customers_name)</f>
        <v>Average Customers</v>
      </c>
    </row>
    <row r="203" spans="1:10" x14ac:dyDescent="0.25">
      <c r="A203" s="25" t="str">
        <v>CUST_0195</v>
      </c>
      <c r="B203" s="16">
        <f t="shared" si="15"/>
        <v>47</v>
      </c>
      <c r="C203" s="16">
        <f t="shared" si="16"/>
        <v>8</v>
      </c>
      <c r="D203" s="17">
        <f t="shared" si="17"/>
        <v>782.54000000000019</v>
      </c>
      <c r="E203" s="18" cm="1">
        <f t="array" ref="E203">_xlfn.IFS(
B203&lt;=recencyQ1, 4,
B203&lt;=recencyQ2, 3,
B203&lt;=recencyQ3, 2,
TRUE, 1
)</f>
        <v>3</v>
      </c>
      <c r="F203" s="18" cm="1">
        <f t="array" ref="F203">_xlfn.IFS(
C203&lt;=frequencyQ1, 1,
C203&lt;=frequencyQ2, 2,
C203&lt;=frequencyQ3, 3,
TRUE, 4)</f>
        <v>4</v>
      </c>
      <c r="G203" s="18" cm="1">
        <f t="array" ref="G203">_xlfn.IFS(
D203&lt;=monetaryQ1, 1,
D203&lt;=monetaryQ2, 2,
D203&lt;=monetaryQ3, 3,
TRUE, 4)</f>
        <v>4</v>
      </c>
      <c r="H203" s="18" t="str">
        <f t="shared" si="18"/>
        <v>344</v>
      </c>
      <c r="I203" s="19">
        <f t="shared" si="19"/>
        <v>3.6666666666666665</v>
      </c>
      <c r="J203" s="7" t="str" cm="1">
        <f t="array" ref="J203">_xlfn.IFS(
I203&gt;=Best_Customers, Best_Customers_name,
I203&gt;=Loyal_Customers, Loyal_Customers_name,
I203&gt;=Average_Customers, Average_Customers_name,
TRUE, Lost_Customers_name)</f>
        <v>Best Customers</v>
      </c>
    </row>
    <row r="204" spans="1:10" x14ac:dyDescent="0.25">
      <c r="A204" s="25" t="str">
        <v>CUST_0197</v>
      </c>
      <c r="B204" s="16">
        <f t="shared" si="15"/>
        <v>10</v>
      </c>
      <c r="C204" s="16">
        <f t="shared" si="16"/>
        <v>5</v>
      </c>
      <c r="D204" s="17">
        <f t="shared" si="17"/>
        <v>591.26</v>
      </c>
      <c r="E204" s="18" cm="1">
        <f t="array" ref="E204">_xlfn.IFS(
B204&lt;=recencyQ1, 4,
B204&lt;=recencyQ2, 3,
B204&lt;=recencyQ3, 2,
TRUE, 1
)</f>
        <v>4</v>
      </c>
      <c r="F204" s="18" cm="1">
        <f t="array" ref="F204">_xlfn.IFS(
C204&lt;=frequencyQ1, 1,
C204&lt;=frequencyQ2, 2,
C204&lt;=frequencyQ3, 3,
TRUE, 4)</f>
        <v>2</v>
      </c>
      <c r="G204" s="18" cm="1">
        <f t="array" ref="G204">_xlfn.IFS(
D204&lt;=monetaryQ1, 1,
D204&lt;=monetaryQ2, 2,
D204&lt;=monetaryQ3, 3,
TRUE, 4)</f>
        <v>3</v>
      </c>
      <c r="H204" s="18" t="str">
        <f t="shared" si="18"/>
        <v>423</v>
      </c>
      <c r="I204" s="19">
        <f t="shared" si="19"/>
        <v>3</v>
      </c>
      <c r="J204" s="7" t="str" cm="1">
        <f t="array" ref="J204">_xlfn.IFS(
I204&gt;=Best_Customers, Best_Customers_name,
I204&gt;=Loyal_Customers, Loyal_Customers_name,
I204&gt;=Average_Customers, Average_Customers_name,
TRUE, Lost_Customers_name)</f>
        <v>Loyal Customers</v>
      </c>
    </row>
    <row r="205" spans="1:10" x14ac:dyDescent="0.25">
      <c r="A205" s="25" t="str">
        <v>CUST_0198</v>
      </c>
      <c r="B205" s="16">
        <f t="shared" si="15"/>
        <v>245</v>
      </c>
      <c r="C205" s="16">
        <f t="shared" si="16"/>
        <v>2</v>
      </c>
      <c r="D205" s="17">
        <f t="shared" si="17"/>
        <v>125.85</v>
      </c>
      <c r="E205" s="18" cm="1">
        <f t="array" ref="E205">_xlfn.IFS(
B205&lt;=recencyQ1, 4,
B205&lt;=recencyQ2, 3,
B205&lt;=recencyQ3, 2,
TRUE, 1
)</f>
        <v>1</v>
      </c>
      <c r="F205" s="18" cm="1">
        <f t="array" ref="F205">_xlfn.IFS(
C205&lt;=frequencyQ1, 1,
C205&lt;=frequencyQ2, 2,
C205&lt;=frequencyQ3, 3,
TRUE, 4)</f>
        <v>1</v>
      </c>
      <c r="G205" s="18" cm="1">
        <f t="array" ref="G205">_xlfn.IFS(
D205&lt;=monetaryQ1, 1,
D205&lt;=monetaryQ2, 2,
D205&lt;=monetaryQ3, 3,
TRUE, 4)</f>
        <v>1</v>
      </c>
      <c r="H205" s="18" t="str">
        <f t="shared" si="18"/>
        <v>111</v>
      </c>
      <c r="I205" s="19">
        <f t="shared" si="19"/>
        <v>1</v>
      </c>
      <c r="J205" s="7" t="str" cm="1">
        <f t="array" ref="J205">_xlfn.IFS(
I205&gt;=Best_Customers, Best_Customers_name,
I205&gt;=Loyal_Customers, Loyal_Customers_name,
I205&gt;=Average_Customers, Average_Customers_name,
TRUE, Lost_Customers_name)</f>
        <v>Lost Customers</v>
      </c>
    </row>
    <row r="206" spans="1:10" x14ac:dyDescent="0.25">
      <c r="A206" s="25" t="str">
        <v>CUST_0199</v>
      </c>
      <c r="B206" s="16">
        <f t="shared" si="15"/>
        <v>80</v>
      </c>
      <c r="C206" s="16">
        <f t="shared" si="16"/>
        <v>3</v>
      </c>
      <c r="D206" s="17">
        <f t="shared" si="17"/>
        <v>263.64</v>
      </c>
      <c r="E206" s="18" cm="1">
        <f t="array" ref="E206">_xlfn.IFS(
B206&lt;=recencyQ1, 4,
B206&lt;=recencyQ2, 3,
B206&lt;=recencyQ3, 2,
TRUE, 1
)</f>
        <v>2</v>
      </c>
      <c r="F206" s="18" cm="1">
        <f t="array" ref="F206">_xlfn.IFS(
C206&lt;=frequencyQ1, 1,
C206&lt;=frequencyQ2, 2,
C206&lt;=frequencyQ3, 3,
TRUE, 4)</f>
        <v>1</v>
      </c>
      <c r="G206" s="18" cm="1">
        <f t="array" ref="G206">_xlfn.IFS(
D206&lt;=monetaryQ1, 1,
D206&lt;=monetaryQ2, 2,
D206&lt;=monetaryQ3, 3,
TRUE, 4)</f>
        <v>1</v>
      </c>
      <c r="H206" s="18" t="str">
        <f t="shared" si="18"/>
        <v>211</v>
      </c>
      <c r="I206" s="19">
        <f t="shared" si="19"/>
        <v>1.3333333333333333</v>
      </c>
      <c r="J206" s="7" t="str" cm="1">
        <f t="array" ref="J206">_xlfn.IFS(
I206&gt;=Best_Customers, Best_Customers_name,
I206&gt;=Loyal_Customers, Loyal_Customers_name,
I206&gt;=Average_Customers, Average_Customers_name,
TRUE, Lost_Customers_name)</f>
        <v>Lost Customers</v>
      </c>
    </row>
    <row r="207" spans="1:10" x14ac:dyDescent="0.25">
      <c r="A207" s="25" t="str">
        <v>CUST_0200</v>
      </c>
      <c r="B207" s="16">
        <f t="shared" si="15"/>
        <v>82</v>
      </c>
      <c r="C207" s="16">
        <f t="shared" si="16"/>
        <v>9</v>
      </c>
      <c r="D207" s="17">
        <f t="shared" si="17"/>
        <v>855.59000000000015</v>
      </c>
      <c r="E207" s="18" cm="1">
        <f t="array" ref="E207">_xlfn.IFS(
B207&lt;=recencyQ1, 4,
B207&lt;=recencyQ2, 3,
B207&lt;=recencyQ3, 2,
TRUE, 1
)</f>
        <v>2</v>
      </c>
      <c r="F207" s="18" cm="1">
        <f t="array" ref="F207">_xlfn.IFS(
C207&lt;=frequencyQ1, 1,
C207&lt;=frequencyQ2, 2,
C207&lt;=frequencyQ3, 3,
TRUE, 4)</f>
        <v>4</v>
      </c>
      <c r="G207" s="18" cm="1">
        <f t="array" ref="G207">_xlfn.IFS(
D207&lt;=monetaryQ1, 1,
D207&lt;=monetaryQ2, 2,
D207&lt;=monetaryQ3, 3,
TRUE, 4)</f>
        <v>4</v>
      </c>
      <c r="H207" s="18" t="str">
        <f t="shared" si="18"/>
        <v>244</v>
      </c>
      <c r="I207" s="19">
        <f t="shared" si="19"/>
        <v>3.3333333333333335</v>
      </c>
      <c r="J207" s="7" t="str" cm="1">
        <f t="array" ref="J207">_xlfn.IFS(
I207&gt;=Best_Customers, Best_Customers_name,
I207&gt;=Loyal_Customers, Loyal_Customers_name,
I207&gt;=Average_Customers, Average_Customers_name,
TRUE, Lost_Customers_name)</f>
        <v>Loyal Customers</v>
      </c>
    </row>
    <row r="208" spans="1:10" x14ac:dyDescent="0.25">
      <c r="A208" s="25" t="str">
        <v>CUST_0201</v>
      </c>
      <c r="B208" s="16">
        <f t="shared" si="15"/>
        <v>97</v>
      </c>
      <c r="C208" s="16">
        <f t="shared" si="16"/>
        <v>6</v>
      </c>
      <c r="D208" s="17">
        <f t="shared" si="17"/>
        <v>739.71999999999991</v>
      </c>
      <c r="E208" s="18" cm="1">
        <f t="array" ref="E208">_xlfn.IFS(
B208&lt;=recencyQ1, 4,
B208&lt;=recencyQ2, 3,
B208&lt;=recencyQ3, 2,
TRUE, 1
)</f>
        <v>1</v>
      </c>
      <c r="F208" s="18" cm="1">
        <f t="array" ref="F208">_xlfn.IFS(
C208&lt;=frequencyQ1, 1,
C208&lt;=frequencyQ2, 2,
C208&lt;=frequencyQ3, 3,
TRUE, 4)</f>
        <v>3</v>
      </c>
      <c r="G208" s="18" cm="1">
        <f t="array" ref="G208">_xlfn.IFS(
D208&lt;=monetaryQ1, 1,
D208&lt;=monetaryQ2, 2,
D208&lt;=monetaryQ3, 3,
TRUE, 4)</f>
        <v>4</v>
      </c>
      <c r="H208" s="18" t="str">
        <f t="shared" si="18"/>
        <v>134</v>
      </c>
      <c r="I208" s="19">
        <f t="shared" si="19"/>
        <v>2.6666666666666665</v>
      </c>
      <c r="J208" s="7" t="str" cm="1">
        <f t="array" ref="J208">_xlfn.IFS(
I208&gt;=Best_Customers, Best_Customers_name,
I208&gt;=Loyal_Customers, Loyal_Customers_name,
I208&gt;=Average_Customers, Average_Customers_name,
TRUE, Lost_Customers_name)</f>
        <v>Loyal Customers</v>
      </c>
    </row>
    <row r="209" spans="1:10" x14ac:dyDescent="0.25">
      <c r="A209" s="25" t="str">
        <v>CUST_0202</v>
      </c>
      <c r="B209" s="16">
        <f t="shared" si="15"/>
        <v>61</v>
      </c>
      <c r="C209" s="16">
        <f t="shared" si="16"/>
        <v>5</v>
      </c>
      <c r="D209" s="17">
        <f t="shared" si="17"/>
        <v>509.95</v>
      </c>
      <c r="E209" s="18" cm="1">
        <f t="array" ref="E209">_xlfn.IFS(
B209&lt;=recencyQ1, 4,
B209&lt;=recencyQ2, 3,
B209&lt;=recencyQ3, 2,
TRUE, 1
)</f>
        <v>2</v>
      </c>
      <c r="F209" s="18" cm="1">
        <f t="array" ref="F209">_xlfn.IFS(
C209&lt;=frequencyQ1, 1,
C209&lt;=frequencyQ2, 2,
C209&lt;=frequencyQ3, 3,
TRUE, 4)</f>
        <v>2</v>
      </c>
      <c r="G209" s="18" cm="1">
        <f t="array" ref="G209">_xlfn.IFS(
D209&lt;=monetaryQ1, 1,
D209&lt;=monetaryQ2, 2,
D209&lt;=monetaryQ3, 3,
TRUE, 4)</f>
        <v>3</v>
      </c>
      <c r="H209" s="18" t="str">
        <f t="shared" si="18"/>
        <v>223</v>
      </c>
      <c r="I209" s="19">
        <f t="shared" si="19"/>
        <v>2.3333333333333335</v>
      </c>
      <c r="J209" s="7" t="str" cm="1">
        <f t="array" ref="J209">_xlfn.IFS(
I209&gt;=Best_Customers, Best_Customers_name,
I209&gt;=Loyal_Customers, Loyal_Customers_name,
I209&gt;=Average_Customers, Average_Customers_name,
TRUE, Lost_Customers_name)</f>
        <v>Average Customers</v>
      </c>
    </row>
    <row r="210" spans="1:10" x14ac:dyDescent="0.25">
      <c r="A210" s="25" t="str">
        <v>CUST_0203</v>
      </c>
      <c r="B210" s="16">
        <f t="shared" si="15"/>
        <v>11</v>
      </c>
      <c r="C210" s="16">
        <f t="shared" si="16"/>
        <v>4</v>
      </c>
      <c r="D210" s="17">
        <f t="shared" si="17"/>
        <v>335.46000000000004</v>
      </c>
      <c r="E210" s="18" cm="1">
        <f t="array" ref="E210">_xlfn.IFS(
B210&lt;=recencyQ1, 4,
B210&lt;=recencyQ2, 3,
B210&lt;=recencyQ3, 2,
TRUE, 1
)</f>
        <v>4</v>
      </c>
      <c r="F210" s="18" cm="1">
        <f t="array" ref="F210">_xlfn.IFS(
C210&lt;=frequencyQ1, 1,
C210&lt;=frequencyQ2, 2,
C210&lt;=frequencyQ3, 3,
TRUE, 4)</f>
        <v>2</v>
      </c>
      <c r="G210" s="18" cm="1">
        <f t="array" ref="G210">_xlfn.IFS(
D210&lt;=monetaryQ1, 1,
D210&lt;=monetaryQ2, 2,
D210&lt;=monetaryQ3, 3,
TRUE, 4)</f>
        <v>2</v>
      </c>
      <c r="H210" s="18" t="str">
        <f t="shared" si="18"/>
        <v>422</v>
      </c>
      <c r="I210" s="19">
        <f t="shared" si="19"/>
        <v>2.6666666666666665</v>
      </c>
      <c r="J210" s="7" t="str" cm="1">
        <f t="array" ref="J210">_xlfn.IFS(
I210&gt;=Best_Customers, Best_Customers_name,
I210&gt;=Loyal_Customers, Loyal_Customers_name,
I210&gt;=Average_Customers, Average_Customers_name,
TRUE, Lost_Customers_name)</f>
        <v>Loyal Customers</v>
      </c>
    </row>
    <row r="211" spans="1:10" x14ac:dyDescent="0.25">
      <c r="A211" s="25" t="str">
        <v>CUST_0204</v>
      </c>
      <c r="B211" s="16">
        <f t="shared" si="15"/>
        <v>126</v>
      </c>
      <c r="C211" s="16">
        <f t="shared" si="16"/>
        <v>2</v>
      </c>
      <c r="D211" s="17">
        <f t="shared" si="17"/>
        <v>218.59</v>
      </c>
      <c r="E211" s="18" cm="1">
        <f t="array" ref="E211">_xlfn.IFS(
B211&lt;=recencyQ1, 4,
B211&lt;=recencyQ2, 3,
B211&lt;=recencyQ3, 2,
TRUE, 1
)</f>
        <v>1</v>
      </c>
      <c r="F211" s="18" cm="1">
        <f t="array" ref="F211">_xlfn.IFS(
C211&lt;=frequencyQ1, 1,
C211&lt;=frequencyQ2, 2,
C211&lt;=frequencyQ3, 3,
TRUE, 4)</f>
        <v>1</v>
      </c>
      <c r="G211" s="18" cm="1">
        <f t="array" ref="G211">_xlfn.IFS(
D211&lt;=monetaryQ1, 1,
D211&lt;=monetaryQ2, 2,
D211&lt;=monetaryQ3, 3,
TRUE, 4)</f>
        <v>1</v>
      </c>
      <c r="H211" s="18" t="str">
        <f t="shared" si="18"/>
        <v>111</v>
      </c>
      <c r="I211" s="19">
        <f t="shared" si="19"/>
        <v>1</v>
      </c>
      <c r="J211" s="7" t="str" cm="1">
        <f t="array" ref="J211">_xlfn.IFS(
I211&gt;=Best_Customers, Best_Customers_name,
I211&gt;=Loyal_Customers, Loyal_Customers_name,
I211&gt;=Average_Customers, Average_Customers_name,
TRUE, Lost_Customers_name)</f>
        <v>Lost Customers</v>
      </c>
    </row>
    <row r="212" spans="1:10" x14ac:dyDescent="0.25">
      <c r="A212" s="25" t="str">
        <v>CUST_0205</v>
      </c>
      <c r="B212" s="16">
        <f t="shared" si="15"/>
        <v>17</v>
      </c>
      <c r="C212" s="16">
        <f t="shared" si="16"/>
        <v>4</v>
      </c>
      <c r="D212" s="17">
        <f t="shared" si="17"/>
        <v>388.31</v>
      </c>
      <c r="E212" s="18" cm="1">
        <f t="array" ref="E212">_xlfn.IFS(
B212&lt;=recencyQ1, 4,
B212&lt;=recencyQ2, 3,
B212&lt;=recencyQ3, 2,
TRUE, 1
)</f>
        <v>4</v>
      </c>
      <c r="F212" s="18" cm="1">
        <f t="array" ref="F212">_xlfn.IFS(
C212&lt;=frequencyQ1, 1,
C212&lt;=frequencyQ2, 2,
C212&lt;=frequencyQ3, 3,
TRUE, 4)</f>
        <v>2</v>
      </c>
      <c r="G212" s="18" cm="1">
        <f t="array" ref="G212">_xlfn.IFS(
D212&lt;=monetaryQ1, 1,
D212&lt;=monetaryQ2, 2,
D212&lt;=monetaryQ3, 3,
TRUE, 4)</f>
        <v>2</v>
      </c>
      <c r="H212" s="18" t="str">
        <f t="shared" si="18"/>
        <v>422</v>
      </c>
      <c r="I212" s="19">
        <f t="shared" si="19"/>
        <v>2.6666666666666665</v>
      </c>
      <c r="J212" s="7" t="str" cm="1">
        <f t="array" ref="J212">_xlfn.IFS(
I212&gt;=Best_Customers, Best_Customers_name,
I212&gt;=Loyal_Customers, Loyal_Customers_name,
I212&gt;=Average_Customers, Average_Customers_name,
TRUE, Lost_Customers_name)</f>
        <v>Loyal Customers</v>
      </c>
    </row>
    <row r="213" spans="1:10" x14ac:dyDescent="0.25">
      <c r="A213" s="25" t="str">
        <v>CUST_0206</v>
      </c>
      <c r="B213" s="16">
        <f t="shared" si="15"/>
        <v>110</v>
      </c>
      <c r="C213" s="16">
        <f t="shared" si="16"/>
        <v>4</v>
      </c>
      <c r="D213" s="17">
        <f t="shared" si="17"/>
        <v>517.09</v>
      </c>
      <c r="E213" s="18" cm="1">
        <f t="array" ref="E213">_xlfn.IFS(
B213&lt;=recencyQ1, 4,
B213&lt;=recencyQ2, 3,
B213&lt;=recencyQ3, 2,
TRUE, 1
)</f>
        <v>1</v>
      </c>
      <c r="F213" s="18" cm="1">
        <f t="array" ref="F213">_xlfn.IFS(
C213&lt;=frequencyQ1, 1,
C213&lt;=frequencyQ2, 2,
C213&lt;=frequencyQ3, 3,
TRUE, 4)</f>
        <v>2</v>
      </c>
      <c r="G213" s="18" cm="1">
        <f t="array" ref="G213">_xlfn.IFS(
D213&lt;=monetaryQ1, 1,
D213&lt;=monetaryQ2, 2,
D213&lt;=monetaryQ3, 3,
TRUE, 4)</f>
        <v>3</v>
      </c>
      <c r="H213" s="18" t="str">
        <f t="shared" si="18"/>
        <v>123</v>
      </c>
      <c r="I213" s="19">
        <f t="shared" si="19"/>
        <v>2</v>
      </c>
      <c r="J213" s="7" t="str" cm="1">
        <f t="array" ref="J213">_xlfn.IFS(
I213&gt;=Best_Customers, Best_Customers_name,
I213&gt;=Loyal_Customers, Loyal_Customers_name,
I213&gt;=Average_Customers, Average_Customers_name,
TRUE, Lost_Customers_name)</f>
        <v>Average Customers</v>
      </c>
    </row>
    <row r="214" spans="1:10" x14ac:dyDescent="0.25">
      <c r="A214" s="25" t="str">
        <v>CUST_0207</v>
      </c>
      <c r="B214" s="16">
        <f t="shared" si="15"/>
        <v>90</v>
      </c>
      <c r="C214" s="16">
        <f t="shared" si="16"/>
        <v>4</v>
      </c>
      <c r="D214" s="17">
        <f t="shared" si="17"/>
        <v>422.36</v>
      </c>
      <c r="E214" s="18" cm="1">
        <f t="array" ref="E214">_xlfn.IFS(
B214&lt;=recencyQ1, 4,
B214&lt;=recencyQ2, 3,
B214&lt;=recencyQ3, 2,
TRUE, 1
)</f>
        <v>2</v>
      </c>
      <c r="F214" s="18" cm="1">
        <f t="array" ref="F214">_xlfn.IFS(
C214&lt;=frequencyQ1, 1,
C214&lt;=frequencyQ2, 2,
C214&lt;=frequencyQ3, 3,
TRUE, 4)</f>
        <v>2</v>
      </c>
      <c r="G214" s="18" cm="1">
        <f t="array" ref="G214">_xlfn.IFS(
D214&lt;=monetaryQ1, 1,
D214&lt;=monetaryQ2, 2,
D214&lt;=monetaryQ3, 3,
TRUE, 4)</f>
        <v>2</v>
      </c>
      <c r="H214" s="18" t="str">
        <f t="shared" si="18"/>
        <v>222</v>
      </c>
      <c r="I214" s="19">
        <f t="shared" si="19"/>
        <v>2</v>
      </c>
      <c r="J214" s="7" t="str" cm="1">
        <f t="array" ref="J214">_xlfn.IFS(
I214&gt;=Best_Customers, Best_Customers_name,
I214&gt;=Loyal_Customers, Loyal_Customers_name,
I214&gt;=Average_Customers, Average_Customers_name,
TRUE, Lost_Customers_name)</f>
        <v>Average Customers</v>
      </c>
    </row>
    <row r="215" spans="1:10" x14ac:dyDescent="0.25">
      <c r="A215" s="25" t="str">
        <v>CUST_0208</v>
      </c>
      <c r="B215" s="16">
        <f t="shared" si="15"/>
        <v>102</v>
      </c>
      <c r="C215" s="16">
        <f t="shared" si="16"/>
        <v>3</v>
      </c>
      <c r="D215" s="17">
        <f t="shared" si="17"/>
        <v>302.21999999999997</v>
      </c>
      <c r="E215" s="18" cm="1">
        <f t="array" ref="E215">_xlfn.IFS(
B215&lt;=recencyQ1, 4,
B215&lt;=recencyQ2, 3,
B215&lt;=recencyQ3, 2,
TRUE, 1
)</f>
        <v>1</v>
      </c>
      <c r="F215" s="18" cm="1">
        <f t="array" ref="F215">_xlfn.IFS(
C215&lt;=frequencyQ1, 1,
C215&lt;=frequencyQ2, 2,
C215&lt;=frequencyQ3, 3,
TRUE, 4)</f>
        <v>1</v>
      </c>
      <c r="G215" s="18" cm="1">
        <f t="array" ref="G215">_xlfn.IFS(
D215&lt;=monetaryQ1, 1,
D215&lt;=monetaryQ2, 2,
D215&lt;=monetaryQ3, 3,
TRUE, 4)</f>
        <v>1</v>
      </c>
      <c r="H215" s="18" t="str">
        <f t="shared" si="18"/>
        <v>111</v>
      </c>
      <c r="I215" s="19">
        <f t="shared" si="19"/>
        <v>1</v>
      </c>
      <c r="J215" s="7" t="str" cm="1">
        <f t="array" ref="J215">_xlfn.IFS(
I215&gt;=Best_Customers, Best_Customers_name,
I215&gt;=Loyal_Customers, Loyal_Customers_name,
I215&gt;=Average_Customers, Average_Customers_name,
TRUE, Lost_Customers_name)</f>
        <v>Lost Customers</v>
      </c>
    </row>
    <row r="216" spans="1:10" x14ac:dyDescent="0.25">
      <c r="A216" s="25" t="str">
        <v>CUST_0209</v>
      </c>
      <c r="B216" s="16">
        <f t="shared" si="15"/>
        <v>67</v>
      </c>
      <c r="C216" s="16">
        <f t="shared" si="16"/>
        <v>6</v>
      </c>
      <c r="D216" s="17">
        <f t="shared" si="17"/>
        <v>552.86</v>
      </c>
      <c r="E216" s="18" cm="1">
        <f t="array" ref="E216">_xlfn.IFS(
B216&lt;=recencyQ1, 4,
B216&lt;=recencyQ2, 3,
B216&lt;=recencyQ3, 2,
TRUE, 1
)</f>
        <v>2</v>
      </c>
      <c r="F216" s="18" cm="1">
        <f t="array" ref="F216">_xlfn.IFS(
C216&lt;=frequencyQ1, 1,
C216&lt;=frequencyQ2, 2,
C216&lt;=frequencyQ3, 3,
TRUE, 4)</f>
        <v>3</v>
      </c>
      <c r="G216" s="18" cm="1">
        <f t="array" ref="G216">_xlfn.IFS(
D216&lt;=monetaryQ1, 1,
D216&lt;=monetaryQ2, 2,
D216&lt;=monetaryQ3, 3,
TRUE, 4)</f>
        <v>3</v>
      </c>
      <c r="H216" s="18" t="str">
        <f t="shared" si="18"/>
        <v>233</v>
      </c>
      <c r="I216" s="19">
        <f t="shared" si="19"/>
        <v>2.6666666666666665</v>
      </c>
      <c r="J216" s="7" t="str" cm="1">
        <f t="array" ref="J216">_xlfn.IFS(
I216&gt;=Best_Customers, Best_Customers_name,
I216&gt;=Loyal_Customers, Loyal_Customers_name,
I216&gt;=Average_Customers, Average_Customers_name,
TRUE, Lost_Customers_name)</f>
        <v>Loyal Customers</v>
      </c>
    </row>
    <row r="217" spans="1:10" x14ac:dyDescent="0.25">
      <c r="A217" s="25" t="str">
        <v>CUST_0210</v>
      </c>
      <c r="B217" s="16">
        <f t="shared" si="15"/>
        <v>100</v>
      </c>
      <c r="C217" s="16">
        <f t="shared" si="16"/>
        <v>4</v>
      </c>
      <c r="D217" s="17">
        <f t="shared" si="17"/>
        <v>292.86</v>
      </c>
      <c r="E217" s="18" cm="1">
        <f t="array" ref="E217">_xlfn.IFS(
B217&lt;=recencyQ1, 4,
B217&lt;=recencyQ2, 3,
B217&lt;=recencyQ3, 2,
TRUE, 1
)</f>
        <v>1</v>
      </c>
      <c r="F217" s="18" cm="1">
        <f t="array" ref="F217">_xlfn.IFS(
C217&lt;=frequencyQ1, 1,
C217&lt;=frequencyQ2, 2,
C217&lt;=frequencyQ3, 3,
TRUE, 4)</f>
        <v>2</v>
      </c>
      <c r="G217" s="18" cm="1">
        <f t="array" ref="G217">_xlfn.IFS(
D217&lt;=monetaryQ1, 1,
D217&lt;=monetaryQ2, 2,
D217&lt;=monetaryQ3, 3,
TRUE, 4)</f>
        <v>1</v>
      </c>
      <c r="H217" s="18" t="str">
        <f t="shared" si="18"/>
        <v>121</v>
      </c>
      <c r="I217" s="19">
        <f t="shared" si="19"/>
        <v>1.3333333333333333</v>
      </c>
      <c r="J217" s="7" t="str" cm="1">
        <f t="array" ref="J217">_xlfn.IFS(
I217&gt;=Best_Customers, Best_Customers_name,
I217&gt;=Loyal_Customers, Loyal_Customers_name,
I217&gt;=Average_Customers, Average_Customers_name,
TRUE, Lost_Customers_name)</f>
        <v>Lost Customers</v>
      </c>
    </row>
    <row r="218" spans="1:10" x14ac:dyDescent="0.25">
      <c r="A218" s="25" t="str">
        <v>CUST_0211</v>
      </c>
      <c r="B218" s="16">
        <f t="shared" si="15"/>
        <v>209</v>
      </c>
      <c r="C218" s="16">
        <f t="shared" si="16"/>
        <v>1</v>
      </c>
      <c r="D218" s="17">
        <f t="shared" si="17"/>
        <v>91.41</v>
      </c>
      <c r="E218" s="18" cm="1">
        <f t="array" ref="E218">_xlfn.IFS(
B218&lt;=recencyQ1, 4,
B218&lt;=recencyQ2, 3,
B218&lt;=recencyQ3, 2,
TRUE, 1
)</f>
        <v>1</v>
      </c>
      <c r="F218" s="18" cm="1">
        <f t="array" ref="F218">_xlfn.IFS(
C218&lt;=frequencyQ1, 1,
C218&lt;=frequencyQ2, 2,
C218&lt;=frequencyQ3, 3,
TRUE, 4)</f>
        <v>1</v>
      </c>
      <c r="G218" s="18" cm="1">
        <f t="array" ref="G218">_xlfn.IFS(
D218&lt;=monetaryQ1, 1,
D218&lt;=monetaryQ2, 2,
D218&lt;=monetaryQ3, 3,
TRUE, 4)</f>
        <v>1</v>
      </c>
      <c r="H218" s="18" t="str">
        <f t="shared" si="18"/>
        <v>111</v>
      </c>
      <c r="I218" s="19">
        <f t="shared" si="19"/>
        <v>1</v>
      </c>
      <c r="J218" s="7" t="str" cm="1">
        <f t="array" ref="J218">_xlfn.IFS(
I218&gt;=Best_Customers, Best_Customers_name,
I218&gt;=Loyal_Customers, Loyal_Customers_name,
I218&gt;=Average_Customers, Average_Customers_name,
TRUE, Lost_Customers_name)</f>
        <v>Lost Customers</v>
      </c>
    </row>
    <row r="219" spans="1:10" x14ac:dyDescent="0.25">
      <c r="A219" s="25" t="str">
        <v>CUST_0212</v>
      </c>
      <c r="B219" s="16">
        <f t="shared" si="15"/>
        <v>145</v>
      </c>
      <c r="C219" s="16">
        <f t="shared" si="16"/>
        <v>6</v>
      </c>
      <c r="D219" s="17">
        <f t="shared" si="17"/>
        <v>626.03</v>
      </c>
      <c r="E219" s="18" cm="1">
        <f t="array" ref="E219">_xlfn.IFS(
B219&lt;=recencyQ1, 4,
B219&lt;=recencyQ2, 3,
B219&lt;=recencyQ3, 2,
TRUE, 1
)</f>
        <v>1</v>
      </c>
      <c r="F219" s="18" cm="1">
        <f t="array" ref="F219">_xlfn.IFS(
C219&lt;=frequencyQ1, 1,
C219&lt;=frequencyQ2, 2,
C219&lt;=frequencyQ3, 3,
TRUE, 4)</f>
        <v>3</v>
      </c>
      <c r="G219" s="18" cm="1">
        <f t="array" ref="G219">_xlfn.IFS(
D219&lt;=monetaryQ1, 1,
D219&lt;=monetaryQ2, 2,
D219&lt;=monetaryQ3, 3,
TRUE, 4)</f>
        <v>3</v>
      </c>
      <c r="H219" s="18" t="str">
        <f t="shared" si="18"/>
        <v>133</v>
      </c>
      <c r="I219" s="19">
        <f t="shared" si="19"/>
        <v>2.3333333333333335</v>
      </c>
      <c r="J219" s="7" t="str" cm="1">
        <f t="array" ref="J219">_xlfn.IFS(
I219&gt;=Best_Customers, Best_Customers_name,
I219&gt;=Loyal_Customers, Loyal_Customers_name,
I219&gt;=Average_Customers, Average_Customers_name,
TRUE, Lost_Customers_name)</f>
        <v>Average Customers</v>
      </c>
    </row>
    <row r="220" spans="1:10" x14ac:dyDescent="0.25">
      <c r="A220" s="25" t="str">
        <v>CUST_0213</v>
      </c>
      <c r="B220" s="16">
        <f t="shared" si="15"/>
        <v>177</v>
      </c>
      <c r="C220" s="16">
        <f t="shared" si="16"/>
        <v>5</v>
      </c>
      <c r="D220" s="17">
        <f t="shared" si="17"/>
        <v>469.13</v>
      </c>
      <c r="E220" s="18" cm="1">
        <f t="array" ref="E220">_xlfn.IFS(
B220&lt;=recencyQ1, 4,
B220&lt;=recencyQ2, 3,
B220&lt;=recencyQ3, 2,
TRUE, 1
)</f>
        <v>1</v>
      </c>
      <c r="F220" s="18" cm="1">
        <f t="array" ref="F220">_xlfn.IFS(
C220&lt;=frequencyQ1, 1,
C220&lt;=frequencyQ2, 2,
C220&lt;=frequencyQ3, 3,
TRUE, 4)</f>
        <v>2</v>
      </c>
      <c r="G220" s="18" cm="1">
        <f t="array" ref="G220">_xlfn.IFS(
D220&lt;=monetaryQ1, 1,
D220&lt;=monetaryQ2, 2,
D220&lt;=monetaryQ3, 3,
TRUE, 4)</f>
        <v>2</v>
      </c>
      <c r="H220" s="18" t="str">
        <f t="shared" si="18"/>
        <v>122</v>
      </c>
      <c r="I220" s="19">
        <f t="shared" si="19"/>
        <v>1.6666666666666667</v>
      </c>
      <c r="J220" s="7" t="str" cm="1">
        <f t="array" ref="J220">_xlfn.IFS(
I220&gt;=Best_Customers, Best_Customers_name,
I220&gt;=Loyal_Customers, Loyal_Customers_name,
I220&gt;=Average_Customers, Average_Customers_name,
TRUE, Lost_Customers_name)</f>
        <v>Average Customers</v>
      </c>
    </row>
    <row r="221" spans="1:10" x14ac:dyDescent="0.25">
      <c r="A221" s="25" t="str">
        <v>CUST_0214</v>
      </c>
      <c r="B221" s="16">
        <f t="shared" si="15"/>
        <v>186</v>
      </c>
      <c r="C221" s="16">
        <f t="shared" si="16"/>
        <v>4</v>
      </c>
      <c r="D221" s="17">
        <f t="shared" si="17"/>
        <v>353.16</v>
      </c>
      <c r="E221" s="18" cm="1">
        <f t="array" ref="E221">_xlfn.IFS(
B221&lt;=recencyQ1, 4,
B221&lt;=recencyQ2, 3,
B221&lt;=recencyQ3, 2,
TRUE, 1
)</f>
        <v>1</v>
      </c>
      <c r="F221" s="18" cm="1">
        <f t="array" ref="F221">_xlfn.IFS(
C221&lt;=frequencyQ1, 1,
C221&lt;=frequencyQ2, 2,
C221&lt;=frequencyQ3, 3,
TRUE, 4)</f>
        <v>2</v>
      </c>
      <c r="G221" s="18" cm="1">
        <f t="array" ref="G221">_xlfn.IFS(
D221&lt;=monetaryQ1, 1,
D221&lt;=monetaryQ2, 2,
D221&lt;=monetaryQ3, 3,
TRUE, 4)</f>
        <v>2</v>
      </c>
      <c r="H221" s="18" t="str">
        <f t="shared" si="18"/>
        <v>122</v>
      </c>
      <c r="I221" s="19">
        <f t="shared" si="19"/>
        <v>1.6666666666666667</v>
      </c>
      <c r="J221" s="7" t="str" cm="1">
        <f t="array" ref="J221">_xlfn.IFS(
I221&gt;=Best_Customers, Best_Customers_name,
I221&gt;=Loyal_Customers, Loyal_Customers_name,
I221&gt;=Average_Customers, Average_Customers_name,
TRUE, Lost_Customers_name)</f>
        <v>Average Customers</v>
      </c>
    </row>
    <row r="222" spans="1:10" x14ac:dyDescent="0.25">
      <c r="A222" s="25" t="str">
        <v>CUST_0215</v>
      </c>
      <c r="B222" s="16">
        <f t="shared" si="15"/>
        <v>68</v>
      </c>
      <c r="C222" s="16">
        <f t="shared" si="16"/>
        <v>8</v>
      </c>
      <c r="D222" s="17">
        <f t="shared" si="17"/>
        <v>772.7</v>
      </c>
      <c r="E222" s="18" cm="1">
        <f t="array" ref="E222">_xlfn.IFS(
B222&lt;=recencyQ1, 4,
B222&lt;=recencyQ2, 3,
B222&lt;=recencyQ3, 2,
TRUE, 1
)</f>
        <v>2</v>
      </c>
      <c r="F222" s="18" cm="1">
        <f t="array" ref="F222">_xlfn.IFS(
C222&lt;=frequencyQ1, 1,
C222&lt;=frequencyQ2, 2,
C222&lt;=frequencyQ3, 3,
TRUE, 4)</f>
        <v>4</v>
      </c>
      <c r="G222" s="18" cm="1">
        <f t="array" ref="G222">_xlfn.IFS(
D222&lt;=monetaryQ1, 1,
D222&lt;=monetaryQ2, 2,
D222&lt;=monetaryQ3, 3,
TRUE, 4)</f>
        <v>4</v>
      </c>
      <c r="H222" s="18" t="str">
        <f t="shared" si="18"/>
        <v>244</v>
      </c>
      <c r="I222" s="19">
        <f t="shared" si="19"/>
        <v>3.3333333333333335</v>
      </c>
      <c r="J222" s="7" t="str" cm="1">
        <f t="array" ref="J222">_xlfn.IFS(
I222&gt;=Best_Customers, Best_Customers_name,
I222&gt;=Loyal_Customers, Loyal_Customers_name,
I222&gt;=Average_Customers, Average_Customers_name,
TRUE, Lost_Customers_name)</f>
        <v>Loyal Customers</v>
      </c>
    </row>
    <row r="223" spans="1:10" x14ac:dyDescent="0.25">
      <c r="A223" s="25" t="str">
        <v>CUST_0216</v>
      </c>
      <c r="B223" s="16">
        <f t="shared" si="15"/>
        <v>92</v>
      </c>
      <c r="C223" s="16">
        <f t="shared" si="16"/>
        <v>7</v>
      </c>
      <c r="D223" s="17">
        <f t="shared" si="17"/>
        <v>635.16</v>
      </c>
      <c r="E223" s="18" cm="1">
        <f t="array" ref="E223">_xlfn.IFS(
B223&lt;=recencyQ1, 4,
B223&lt;=recencyQ2, 3,
B223&lt;=recencyQ3, 2,
TRUE, 1
)</f>
        <v>2</v>
      </c>
      <c r="F223" s="18" cm="1">
        <f t="array" ref="F223">_xlfn.IFS(
C223&lt;=frequencyQ1, 1,
C223&lt;=frequencyQ2, 2,
C223&lt;=frequencyQ3, 3,
TRUE, 4)</f>
        <v>4</v>
      </c>
      <c r="G223" s="18" cm="1">
        <f t="array" ref="G223">_xlfn.IFS(
D223&lt;=monetaryQ1, 1,
D223&lt;=monetaryQ2, 2,
D223&lt;=monetaryQ3, 3,
TRUE, 4)</f>
        <v>3</v>
      </c>
      <c r="H223" s="18" t="str">
        <f t="shared" si="18"/>
        <v>243</v>
      </c>
      <c r="I223" s="19">
        <f t="shared" si="19"/>
        <v>3</v>
      </c>
      <c r="J223" s="7" t="str" cm="1">
        <f t="array" ref="J223">_xlfn.IFS(
I223&gt;=Best_Customers, Best_Customers_name,
I223&gt;=Loyal_Customers, Loyal_Customers_name,
I223&gt;=Average_Customers, Average_Customers_name,
TRUE, Lost_Customers_name)</f>
        <v>Loyal Customers</v>
      </c>
    </row>
    <row r="224" spans="1:10" x14ac:dyDescent="0.25">
      <c r="A224" s="25" t="str">
        <v>CUST_0217</v>
      </c>
      <c r="B224" s="16">
        <f t="shared" si="15"/>
        <v>23</v>
      </c>
      <c r="C224" s="16">
        <f t="shared" si="16"/>
        <v>7</v>
      </c>
      <c r="D224" s="17">
        <f t="shared" si="17"/>
        <v>644.94000000000005</v>
      </c>
      <c r="E224" s="18" cm="1">
        <f t="array" ref="E224">_xlfn.IFS(
B224&lt;=recencyQ1, 4,
B224&lt;=recencyQ2, 3,
B224&lt;=recencyQ3, 2,
TRUE, 1
)</f>
        <v>3</v>
      </c>
      <c r="F224" s="18" cm="1">
        <f t="array" ref="F224">_xlfn.IFS(
C224&lt;=frequencyQ1, 1,
C224&lt;=frequencyQ2, 2,
C224&lt;=frequencyQ3, 3,
TRUE, 4)</f>
        <v>4</v>
      </c>
      <c r="G224" s="18" cm="1">
        <f t="array" ref="G224">_xlfn.IFS(
D224&lt;=monetaryQ1, 1,
D224&lt;=monetaryQ2, 2,
D224&lt;=monetaryQ3, 3,
TRUE, 4)</f>
        <v>3</v>
      </c>
      <c r="H224" s="18" t="str">
        <f t="shared" si="18"/>
        <v>343</v>
      </c>
      <c r="I224" s="19">
        <f t="shared" si="19"/>
        <v>3.3333333333333335</v>
      </c>
      <c r="J224" s="7" t="str" cm="1">
        <f t="array" ref="J224">_xlfn.IFS(
I224&gt;=Best_Customers, Best_Customers_name,
I224&gt;=Loyal_Customers, Loyal_Customers_name,
I224&gt;=Average_Customers, Average_Customers_name,
TRUE, Lost_Customers_name)</f>
        <v>Loyal Customers</v>
      </c>
    </row>
    <row r="225" spans="1:10" x14ac:dyDescent="0.25">
      <c r="A225" s="25" t="str">
        <v>CUST_0218</v>
      </c>
      <c r="B225" s="16">
        <f t="shared" si="15"/>
        <v>50</v>
      </c>
      <c r="C225" s="16">
        <f t="shared" si="16"/>
        <v>1</v>
      </c>
      <c r="D225" s="17">
        <f t="shared" si="17"/>
        <v>88.95</v>
      </c>
      <c r="E225" s="18" cm="1">
        <f t="array" ref="E225">_xlfn.IFS(
B225&lt;=recencyQ1, 4,
B225&lt;=recencyQ2, 3,
B225&lt;=recencyQ3, 2,
TRUE, 1
)</f>
        <v>2</v>
      </c>
      <c r="F225" s="18" cm="1">
        <f t="array" ref="F225">_xlfn.IFS(
C225&lt;=frequencyQ1, 1,
C225&lt;=frequencyQ2, 2,
C225&lt;=frequencyQ3, 3,
TRUE, 4)</f>
        <v>1</v>
      </c>
      <c r="G225" s="18" cm="1">
        <f t="array" ref="G225">_xlfn.IFS(
D225&lt;=monetaryQ1, 1,
D225&lt;=monetaryQ2, 2,
D225&lt;=monetaryQ3, 3,
TRUE, 4)</f>
        <v>1</v>
      </c>
      <c r="H225" s="18" t="str">
        <f t="shared" si="18"/>
        <v>211</v>
      </c>
      <c r="I225" s="19">
        <f t="shared" si="19"/>
        <v>1.3333333333333333</v>
      </c>
      <c r="J225" s="7" t="str" cm="1">
        <f t="array" ref="J225">_xlfn.IFS(
I225&gt;=Best_Customers, Best_Customers_name,
I225&gt;=Loyal_Customers, Loyal_Customers_name,
I225&gt;=Average_Customers, Average_Customers_name,
TRUE, Lost_Customers_name)</f>
        <v>Lost Customers</v>
      </c>
    </row>
    <row r="226" spans="1:10" x14ac:dyDescent="0.25">
      <c r="A226" s="25" t="str">
        <v>CUST_0219</v>
      </c>
      <c r="B226" s="16">
        <f t="shared" si="15"/>
        <v>17</v>
      </c>
      <c r="C226" s="16">
        <f t="shared" si="16"/>
        <v>10</v>
      </c>
      <c r="D226" s="17">
        <f t="shared" si="17"/>
        <v>900.88000000000011</v>
      </c>
      <c r="E226" s="18" cm="1">
        <f t="array" ref="E226">_xlfn.IFS(
B226&lt;=recencyQ1, 4,
B226&lt;=recencyQ2, 3,
B226&lt;=recencyQ3, 2,
TRUE, 1
)</f>
        <v>4</v>
      </c>
      <c r="F226" s="18" cm="1">
        <f t="array" ref="F226">_xlfn.IFS(
C226&lt;=frequencyQ1, 1,
C226&lt;=frequencyQ2, 2,
C226&lt;=frequencyQ3, 3,
TRUE, 4)</f>
        <v>4</v>
      </c>
      <c r="G226" s="18" cm="1">
        <f t="array" ref="G226">_xlfn.IFS(
D226&lt;=monetaryQ1, 1,
D226&lt;=monetaryQ2, 2,
D226&lt;=monetaryQ3, 3,
TRUE, 4)</f>
        <v>4</v>
      </c>
      <c r="H226" s="18" t="str">
        <f t="shared" si="18"/>
        <v>444</v>
      </c>
      <c r="I226" s="19">
        <f t="shared" si="19"/>
        <v>4</v>
      </c>
      <c r="J226" s="7" t="str" cm="1">
        <f t="array" ref="J226">_xlfn.IFS(
I226&gt;=Best_Customers, Best_Customers_name,
I226&gt;=Loyal_Customers, Loyal_Customers_name,
I226&gt;=Average_Customers, Average_Customers_name,
TRUE, Lost_Customers_name)</f>
        <v>Best Customers</v>
      </c>
    </row>
    <row r="227" spans="1:10" x14ac:dyDescent="0.25">
      <c r="A227" s="25" t="str">
        <v>CUST_0220</v>
      </c>
      <c r="B227" s="16">
        <f t="shared" si="15"/>
        <v>0</v>
      </c>
      <c r="C227" s="16">
        <f t="shared" si="16"/>
        <v>3</v>
      </c>
      <c r="D227" s="17">
        <f t="shared" si="17"/>
        <v>239.2</v>
      </c>
      <c r="E227" s="18" cm="1">
        <f t="array" ref="E227">_xlfn.IFS(
B227&lt;=recencyQ1, 4,
B227&lt;=recencyQ2, 3,
B227&lt;=recencyQ3, 2,
TRUE, 1
)</f>
        <v>4</v>
      </c>
      <c r="F227" s="18" cm="1">
        <f t="array" ref="F227">_xlfn.IFS(
C227&lt;=frequencyQ1, 1,
C227&lt;=frequencyQ2, 2,
C227&lt;=frequencyQ3, 3,
TRUE, 4)</f>
        <v>1</v>
      </c>
      <c r="G227" s="18" cm="1">
        <f t="array" ref="G227">_xlfn.IFS(
D227&lt;=monetaryQ1, 1,
D227&lt;=monetaryQ2, 2,
D227&lt;=monetaryQ3, 3,
TRUE, 4)</f>
        <v>1</v>
      </c>
      <c r="H227" s="18" t="str">
        <f t="shared" si="18"/>
        <v>411</v>
      </c>
      <c r="I227" s="19">
        <f t="shared" si="19"/>
        <v>2</v>
      </c>
      <c r="J227" s="7" t="str" cm="1">
        <f t="array" ref="J227">_xlfn.IFS(
I227&gt;=Best_Customers, Best_Customers_name,
I227&gt;=Loyal_Customers, Loyal_Customers_name,
I227&gt;=Average_Customers, Average_Customers_name,
TRUE, Lost_Customers_name)</f>
        <v>Average Customers</v>
      </c>
    </row>
    <row r="228" spans="1:10" x14ac:dyDescent="0.25">
      <c r="A228" s="25" t="str">
        <v>CUST_0221</v>
      </c>
      <c r="B228" s="16">
        <f t="shared" si="15"/>
        <v>19</v>
      </c>
      <c r="C228" s="16">
        <f t="shared" si="16"/>
        <v>4</v>
      </c>
      <c r="D228" s="17">
        <f t="shared" si="17"/>
        <v>421.9</v>
      </c>
      <c r="E228" s="18" cm="1">
        <f t="array" ref="E228">_xlfn.IFS(
B228&lt;=recencyQ1, 4,
B228&lt;=recencyQ2, 3,
B228&lt;=recencyQ3, 2,
TRUE, 1
)</f>
        <v>3</v>
      </c>
      <c r="F228" s="18" cm="1">
        <f t="array" ref="F228">_xlfn.IFS(
C228&lt;=frequencyQ1, 1,
C228&lt;=frequencyQ2, 2,
C228&lt;=frequencyQ3, 3,
TRUE, 4)</f>
        <v>2</v>
      </c>
      <c r="G228" s="18" cm="1">
        <f t="array" ref="G228">_xlfn.IFS(
D228&lt;=monetaryQ1, 1,
D228&lt;=monetaryQ2, 2,
D228&lt;=monetaryQ3, 3,
TRUE, 4)</f>
        <v>2</v>
      </c>
      <c r="H228" s="18" t="str">
        <f t="shared" si="18"/>
        <v>322</v>
      </c>
      <c r="I228" s="19">
        <f t="shared" si="19"/>
        <v>2.3333333333333335</v>
      </c>
      <c r="J228" s="7" t="str" cm="1">
        <f t="array" ref="J228">_xlfn.IFS(
I228&gt;=Best_Customers, Best_Customers_name,
I228&gt;=Loyal_Customers, Loyal_Customers_name,
I228&gt;=Average_Customers, Average_Customers_name,
TRUE, Lost_Customers_name)</f>
        <v>Average Customers</v>
      </c>
    </row>
    <row r="229" spans="1:10" x14ac:dyDescent="0.25">
      <c r="A229" s="25" t="str">
        <v>CUST_0222</v>
      </c>
      <c r="B229" s="16">
        <f t="shared" si="15"/>
        <v>36</v>
      </c>
      <c r="C229" s="16">
        <f t="shared" si="16"/>
        <v>9</v>
      </c>
      <c r="D229" s="17">
        <f t="shared" si="17"/>
        <v>919.38</v>
      </c>
      <c r="E229" s="18" cm="1">
        <f t="array" ref="E229">_xlfn.IFS(
B229&lt;=recencyQ1, 4,
B229&lt;=recencyQ2, 3,
B229&lt;=recencyQ3, 2,
TRUE, 1
)</f>
        <v>3</v>
      </c>
      <c r="F229" s="18" cm="1">
        <f t="array" ref="F229">_xlfn.IFS(
C229&lt;=frequencyQ1, 1,
C229&lt;=frequencyQ2, 2,
C229&lt;=frequencyQ3, 3,
TRUE, 4)</f>
        <v>4</v>
      </c>
      <c r="G229" s="18" cm="1">
        <f t="array" ref="G229">_xlfn.IFS(
D229&lt;=monetaryQ1, 1,
D229&lt;=monetaryQ2, 2,
D229&lt;=monetaryQ3, 3,
TRUE, 4)</f>
        <v>4</v>
      </c>
      <c r="H229" s="18" t="str">
        <f t="shared" si="18"/>
        <v>344</v>
      </c>
      <c r="I229" s="19">
        <f t="shared" si="19"/>
        <v>3.6666666666666665</v>
      </c>
      <c r="J229" s="7" t="str" cm="1">
        <f t="array" ref="J229">_xlfn.IFS(
I229&gt;=Best_Customers, Best_Customers_name,
I229&gt;=Loyal_Customers, Loyal_Customers_name,
I229&gt;=Average_Customers, Average_Customers_name,
TRUE, Lost_Customers_name)</f>
        <v>Best Customers</v>
      </c>
    </row>
    <row r="230" spans="1:10" x14ac:dyDescent="0.25">
      <c r="A230" s="25" t="str">
        <v>CUST_0223</v>
      </c>
      <c r="B230" s="16">
        <f t="shared" si="15"/>
        <v>24</v>
      </c>
      <c r="C230" s="16">
        <f t="shared" si="16"/>
        <v>5</v>
      </c>
      <c r="D230" s="17">
        <f t="shared" si="17"/>
        <v>587.12</v>
      </c>
      <c r="E230" s="18" cm="1">
        <f t="array" ref="E230">_xlfn.IFS(
B230&lt;=recencyQ1, 4,
B230&lt;=recencyQ2, 3,
B230&lt;=recencyQ3, 2,
TRUE, 1
)</f>
        <v>3</v>
      </c>
      <c r="F230" s="18" cm="1">
        <f t="array" ref="F230">_xlfn.IFS(
C230&lt;=frequencyQ1, 1,
C230&lt;=frequencyQ2, 2,
C230&lt;=frequencyQ3, 3,
TRUE, 4)</f>
        <v>2</v>
      </c>
      <c r="G230" s="18" cm="1">
        <f t="array" ref="G230">_xlfn.IFS(
D230&lt;=monetaryQ1, 1,
D230&lt;=monetaryQ2, 2,
D230&lt;=monetaryQ3, 3,
TRUE, 4)</f>
        <v>3</v>
      </c>
      <c r="H230" s="18" t="str">
        <f t="shared" si="18"/>
        <v>323</v>
      </c>
      <c r="I230" s="19">
        <f t="shared" si="19"/>
        <v>2.6666666666666665</v>
      </c>
      <c r="J230" s="7" t="str" cm="1">
        <f t="array" ref="J230">_xlfn.IFS(
I230&gt;=Best_Customers, Best_Customers_name,
I230&gt;=Loyal_Customers, Loyal_Customers_name,
I230&gt;=Average_Customers, Average_Customers_name,
TRUE, Lost_Customers_name)</f>
        <v>Loyal Customers</v>
      </c>
    </row>
    <row r="231" spans="1:10" x14ac:dyDescent="0.25">
      <c r="A231" s="25" t="str">
        <v>CUST_0224</v>
      </c>
      <c r="B231" s="16">
        <f t="shared" si="15"/>
        <v>57</v>
      </c>
      <c r="C231" s="16">
        <f t="shared" si="16"/>
        <v>6</v>
      </c>
      <c r="D231" s="17">
        <f t="shared" si="17"/>
        <v>556.03</v>
      </c>
      <c r="E231" s="18" cm="1">
        <f t="array" ref="E231">_xlfn.IFS(
B231&lt;=recencyQ1, 4,
B231&lt;=recencyQ2, 3,
B231&lt;=recencyQ3, 2,
TRUE, 1
)</f>
        <v>2</v>
      </c>
      <c r="F231" s="18" cm="1">
        <f t="array" ref="F231">_xlfn.IFS(
C231&lt;=frequencyQ1, 1,
C231&lt;=frequencyQ2, 2,
C231&lt;=frequencyQ3, 3,
TRUE, 4)</f>
        <v>3</v>
      </c>
      <c r="G231" s="18" cm="1">
        <f t="array" ref="G231">_xlfn.IFS(
D231&lt;=monetaryQ1, 1,
D231&lt;=monetaryQ2, 2,
D231&lt;=monetaryQ3, 3,
TRUE, 4)</f>
        <v>3</v>
      </c>
      <c r="H231" s="18" t="str">
        <f t="shared" si="18"/>
        <v>233</v>
      </c>
      <c r="I231" s="19">
        <f t="shared" si="19"/>
        <v>2.6666666666666665</v>
      </c>
      <c r="J231" s="7" t="str" cm="1">
        <f t="array" ref="J231">_xlfn.IFS(
I231&gt;=Best_Customers, Best_Customers_name,
I231&gt;=Loyal_Customers, Loyal_Customers_name,
I231&gt;=Average_Customers, Average_Customers_name,
TRUE, Lost_Customers_name)</f>
        <v>Loyal Customers</v>
      </c>
    </row>
    <row r="232" spans="1:10" x14ac:dyDescent="0.25">
      <c r="A232" s="25" t="str">
        <v>CUST_0225</v>
      </c>
      <c r="B232" s="16">
        <f t="shared" si="15"/>
        <v>17</v>
      </c>
      <c r="C232" s="16">
        <f t="shared" si="16"/>
        <v>8</v>
      </c>
      <c r="D232" s="17">
        <f t="shared" si="17"/>
        <v>830.48</v>
      </c>
      <c r="E232" s="18" cm="1">
        <f t="array" ref="E232">_xlfn.IFS(
B232&lt;=recencyQ1, 4,
B232&lt;=recencyQ2, 3,
B232&lt;=recencyQ3, 2,
TRUE, 1
)</f>
        <v>4</v>
      </c>
      <c r="F232" s="18" cm="1">
        <f t="array" ref="F232">_xlfn.IFS(
C232&lt;=frequencyQ1, 1,
C232&lt;=frequencyQ2, 2,
C232&lt;=frequencyQ3, 3,
TRUE, 4)</f>
        <v>4</v>
      </c>
      <c r="G232" s="18" cm="1">
        <f t="array" ref="G232">_xlfn.IFS(
D232&lt;=monetaryQ1, 1,
D232&lt;=monetaryQ2, 2,
D232&lt;=monetaryQ3, 3,
TRUE, 4)</f>
        <v>4</v>
      </c>
      <c r="H232" s="18" t="str">
        <f t="shared" si="18"/>
        <v>444</v>
      </c>
      <c r="I232" s="19">
        <f t="shared" si="19"/>
        <v>4</v>
      </c>
      <c r="J232" s="7" t="str" cm="1">
        <f t="array" ref="J232">_xlfn.IFS(
I232&gt;=Best_Customers, Best_Customers_name,
I232&gt;=Loyal_Customers, Loyal_Customers_name,
I232&gt;=Average_Customers, Average_Customers_name,
TRUE, Lost_Customers_name)</f>
        <v>Best Customers</v>
      </c>
    </row>
    <row r="233" spans="1:10" x14ac:dyDescent="0.25">
      <c r="A233" s="25" t="str">
        <v>CUST_0226</v>
      </c>
      <c r="B233" s="16">
        <f t="shared" si="15"/>
        <v>20</v>
      </c>
      <c r="C233" s="16">
        <f t="shared" si="16"/>
        <v>9</v>
      </c>
      <c r="D233" s="17">
        <f t="shared" si="17"/>
        <v>857.8599999999999</v>
      </c>
      <c r="E233" s="18" cm="1">
        <f t="array" ref="E233">_xlfn.IFS(
B233&lt;=recencyQ1, 4,
B233&lt;=recencyQ2, 3,
B233&lt;=recencyQ3, 2,
TRUE, 1
)</f>
        <v>3</v>
      </c>
      <c r="F233" s="18" cm="1">
        <f t="array" ref="F233">_xlfn.IFS(
C233&lt;=frequencyQ1, 1,
C233&lt;=frequencyQ2, 2,
C233&lt;=frequencyQ3, 3,
TRUE, 4)</f>
        <v>4</v>
      </c>
      <c r="G233" s="18" cm="1">
        <f t="array" ref="G233">_xlfn.IFS(
D233&lt;=monetaryQ1, 1,
D233&lt;=monetaryQ2, 2,
D233&lt;=monetaryQ3, 3,
TRUE, 4)</f>
        <v>4</v>
      </c>
      <c r="H233" s="18" t="str">
        <f t="shared" si="18"/>
        <v>344</v>
      </c>
      <c r="I233" s="19">
        <f t="shared" si="19"/>
        <v>3.6666666666666665</v>
      </c>
      <c r="J233" s="7" t="str" cm="1">
        <f t="array" ref="J233">_xlfn.IFS(
I233&gt;=Best_Customers, Best_Customers_name,
I233&gt;=Loyal_Customers, Loyal_Customers_name,
I233&gt;=Average_Customers, Average_Customers_name,
TRUE, Lost_Customers_name)</f>
        <v>Best Customers</v>
      </c>
    </row>
    <row r="234" spans="1:10" x14ac:dyDescent="0.25">
      <c r="A234" s="25" t="str">
        <v>CUST_0227</v>
      </c>
      <c r="B234" s="16">
        <f t="shared" si="15"/>
        <v>44</v>
      </c>
      <c r="C234" s="16">
        <f t="shared" si="16"/>
        <v>5</v>
      </c>
      <c r="D234" s="17">
        <f t="shared" si="17"/>
        <v>563.91</v>
      </c>
      <c r="E234" s="18" cm="1">
        <f t="array" ref="E234">_xlfn.IFS(
B234&lt;=recencyQ1, 4,
B234&lt;=recencyQ2, 3,
B234&lt;=recencyQ3, 2,
TRUE, 1
)</f>
        <v>3</v>
      </c>
      <c r="F234" s="18" cm="1">
        <f t="array" ref="F234">_xlfn.IFS(
C234&lt;=frequencyQ1, 1,
C234&lt;=frequencyQ2, 2,
C234&lt;=frequencyQ3, 3,
TRUE, 4)</f>
        <v>2</v>
      </c>
      <c r="G234" s="18" cm="1">
        <f t="array" ref="G234">_xlfn.IFS(
D234&lt;=monetaryQ1, 1,
D234&lt;=monetaryQ2, 2,
D234&lt;=monetaryQ3, 3,
TRUE, 4)</f>
        <v>3</v>
      </c>
      <c r="H234" s="18" t="str">
        <f t="shared" si="18"/>
        <v>323</v>
      </c>
      <c r="I234" s="19">
        <f t="shared" si="19"/>
        <v>2.6666666666666665</v>
      </c>
      <c r="J234" s="7" t="str" cm="1">
        <f t="array" ref="J234">_xlfn.IFS(
I234&gt;=Best_Customers, Best_Customers_name,
I234&gt;=Loyal_Customers, Loyal_Customers_name,
I234&gt;=Average_Customers, Average_Customers_name,
TRUE, Lost_Customers_name)</f>
        <v>Loyal Customers</v>
      </c>
    </row>
    <row r="235" spans="1:10" x14ac:dyDescent="0.25">
      <c r="A235" s="25" t="str">
        <v>CUST_0228</v>
      </c>
      <c r="B235" s="16">
        <f t="shared" si="15"/>
        <v>105</v>
      </c>
      <c r="C235" s="16">
        <f t="shared" si="16"/>
        <v>8</v>
      </c>
      <c r="D235" s="17">
        <f t="shared" si="17"/>
        <v>846.71</v>
      </c>
      <c r="E235" s="18" cm="1">
        <f t="array" ref="E235">_xlfn.IFS(
B235&lt;=recencyQ1, 4,
B235&lt;=recencyQ2, 3,
B235&lt;=recencyQ3, 2,
TRUE, 1
)</f>
        <v>1</v>
      </c>
      <c r="F235" s="18" cm="1">
        <f t="array" ref="F235">_xlfn.IFS(
C235&lt;=frequencyQ1, 1,
C235&lt;=frequencyQ2, 2,
C235&lt;=frequencyQ3, 3,
TRUE, 4)</f>
        <v>4</v>
      </c>
      <c r="G235" s="18" cm="1">
        <f t="array" ref="G235">_xlfn.IFS(
D235&lt;=monetaryQ1, 1,
D235&lt;=monetaryQ2, 2,
D235&lt;=monetaryQ3, 3,
TRUE, 4)</f>
        <v>4</v>
      </c>
      <c r="H235" s="18" t="str">
        <f t="shared" si="18"/>
        <v>144</v>
      </c>
      <c r="I235" s="19">
        <f t="shared" si="19"/>
        <v>3</v>
      </c>
      <c r="J235" s="7" t="str" cm="1">
        <f t="array" ref="J235">_xlfn.IFS(
I235&gt;=Best_Customers, Best_Customers_name,
I235&gt;=Loyal_Customers, Loyal_Customers_name,
I235&gt;=Average_Customers, Average_Customers_name,
TRUE, Lost_Customers_name)</f>
        <v>Loyal Customers</v>
      </c>
    </row>
    <row r="236" spans="1:10" x14ac:dyDescent="0.25">
      <c r="A236" s="25" t="str">
        <v>CUST_0229</v>
      </c>
      <c r="B236" s="16">
        <f t="shared" si="15"/>
        <v>138</v>
      </c>
      <c r="C236" s="16">
        <f t="shared" si="16"/>
        <v>3</v>
      </c>
      <c r="D236" s="17">
        <f t="shared" si="17"/>
        <v>190.74</v>
      </c>
      <c r="E236" s="18" cm="1">
        <f t="array" ref="E236">_xlfn.IFS(
B236&lt;=recencyQ1, 4,
B236&lt;=recencyQ2, 3,
B236&lt;=recencyQ3, 2,
TRUE, 1
)</f>
        <v>1</v>
      </c>
      <c r="F236" s="18" cm="1">
        <f t="array" ref="F236">_xlfn.IFS(
C236&lt;=frequencyQ1, 1,
C236&lt;=frequencyQ2, 2,
C236&lt;=frequencyQ3, 3,
TRUE, 4)</f>
        <v>1</v>
      </c>
      <c r="G236" s="18" cm="1">
        <f t="array" ref="G236">_xlfn.IFS(
D236&lt;=monetaryQ1, 1,
D236&lt;=monetaryQ2, 2,
D236&lt;=monetaryQ3, 3,
TRUE, 4)</f>
        <v>1</v>
      </c>
      <c r="H236" s="18" t="str">
        <f t="shared" si="18"/>
        <v>111</v>
      </c>
      <c r="I236" s="19">
        <f t="shared" si="19"/>
        <v>1</v>
      </c>
      <c r="J236" s="7" t="str" cm="1">
        <f t="array" ref="J236">_xlfn.IFS(
I236&gt;=Best_Customers, Best_Customers_name,
I236&gt;=Loyal_Customers, Loyal_Customers_name,
I236&gt;=Average_Customers, Average_Customers_name,
TRUE, Lost_Customers_name)</f>
        <v>Lost Customers</v>
      </c>
    </row>
    <row r="237" spans="1:10" x14ac:dyDescent="0.25">
      <c r="A237" s="25" t="str">
        <v>CUST_0230</v>
      </c>
      <c r="B237" s="16">
        <f t="shared" si="15"/>
        <v>89</v>
      </c>
      <c r="C237" s="16">
        <f t="shared" si="16"/>
        <v>8</v>
      </c>
      <c r="D237" s="17">
        <f t="shared" si="17"/>
        <v>741.44</v>
      </c>
      <c r="E237" s="18" cm="1">
        <f t="array" ref="E237">_xlfn.IFS(
B237&lt;=recencyQ1, 4,
B237&lt;=recencyQ2, 3,
B237&lt;=recencyQ3, 2,
TRUE, 1
)</f>
        <v>2</v>
      </c>
      <c r="F237" s="18" cm="1">
        <f t="array" ref="F237">_xlfn.IFS(
C237&lt;=frequencyQ1, 1,
C237&lt;=frequencyQ2, 2,
C237&lt;=frequencyQ3, 3,
TRUE, 4)</f>
        <v>4</v>
      </c>
      <c r="G237" s="18" cm="1">
        <f t="array" ref="G237">_xlfn.IFS(
D237&lt;=monetaryQ1, 1,
D237&lt;=monetaryQ2, 2,
D237&lt;=monetaryQ3, 3,
TRUE, 4)</f>
        <v>4</v>
      </c>
      <c r="H237" s="18" t="str">
        <f t="shared" si="18"/>
        <v>244</v>
      </c>
      <c r="I237" s="19">
        <f t="shared" si="19"/>
        <v>3.3333333333333335</v>
      </c>
      <c r="J237" s="7" t="str" cm="1">
        <f t="array" ref="J237">_xlfn.IFS(
I237&gt;=Best_Customers, Best_Customers_name,
I237&gt;=Loyal_Customers, Loyal_Customers_name,
I237&gt;=Average_Customers, Average_Customers_name,
TRUE, Lost_Customers_name)</f>
        <v>Loyal Customers</v>
      </c>
    </row>
    <row r="238" spans="1:10" x14ac:dyDescent="0.25">
      <c r="A238" s="25" t="str">
        <v>CUST_0231</v>
      </c>
      <c r="B238" s="16">
        <f t="shared" si="15"/>
        <v>104</v>
      </c>
      <c r="C238" s="16">
        <f t="shared" si="16"/>
        <v>3</v>
      </c>
      <c r="D238" s="17">
        <f t="shared" si="17"/>
        <v>314.73</v>
      </c>
      <c r="E238" s="18" cm="1">
        <f t="array" ref="E238">_xlfn.IFS(
B238&lt;=recencyQ1, 4,
B238&lt;=recencyQ2, 3,
B238&lt;=recencyQ3, 2,
TRUE, 1
)</f>
        <v>1</v>
      </c>
      <c r="F238" s="18" cm="1">
        <f t="array" ref="F238">_xlfn.IFS(
C238&lt;=frequencyQ1, 1,
C238&lt;=frequencyQ2, 2,
C238&lt;=frequencyQ3, 3,
TRUE, 4)</f>
        <v>1</v>
      </c>
      <c r="G238" s="18" cm="1">
        <f t="array" ref="G238">_xlfn.IFS(
D238&lt;=monetaryQ1, 1,
D238&lt;=monetaryQ2, 2,
D238&lt;=monetaryQ3, 3,
TRUE, 4)</f>
        <v>1</v>
      </c>
      <c r="H238" s="18" t="str">
        <f t="shared" si="18"/>
        <v>111</v>
      </c>
      <c r="I238" s="19">
        <f t="shared" si="19"/>
        <v>1</v>
      </c>
      <c r="J238" s="7" t="str" cm="1">
        <f t="array" ref="J238">_xlfn.IFS(
I238&gt;=Best_Customers, Best_Customers_name,
I238&gt;=Loyal_Customers, Loyal_Customers_name,
I238&gt;=Average_Customers, Average_Customers_name,
TRUE, Lost_Customers_name)</f>
        <v>Lost Customers</v>
      </c>
    </row>
    <row r="239" spans="1:10" x14ac:dyDescent="0.25">
      <c r="A239" s="25" t="str">
        <v>CUST_0232</v>
      </c>
      <c r="B239" s="16">
        <f t="shared" si="15"/>
        <v>20</v>
      </c>
      <c r="C239" s="16">
        <f t="shared" si="16"/>
        <v>10</v>
      </c>
      <c r="D239" s="17">
        <f t="shared" si="17"/>
        <v>835.69</v>
      </c>
      <c r="E239" s="18" cm="1">
        <f t="array" ref="E239">_xlfn.IFS(
B239&lt;=recencyQ1, 4,
B239&lt;=recencyQ2, 3,
B239&lt;=recencyQ3, 2,
TRUE, 1
)</f>
        <v>3</v>
      </c>
      <c r="F239" s="18" cm="1">
        <f t="array" ref="F239">_xlfn.IFS(
C239&lt;=frequencyQ1, 1,
C239&lt;=frequencyQ2, 2,
C239&lt;=frequencyQ3, 3,
TRUE, 4)</f>
        <v>4</v>
      </c>
      <c r="G239" s="18" cm="1">
        <f t="array" ref="G239">_xlfn.IFS(
D239&lt;=monetaryQ1, 1,
D239&lt;=monetaryQ2, 2,
D239&lt;=monetaryQ3, 3,
TRUE, 4)</f>
        <v>4</v>
      </c>
      <c r="H239" s="18" t="str">
        <f t="shared" si="18"/>
        <v>344</v>
      </c>
      <c r="I239" s="19">
        <f t="shared" si="19"/>
        <v>3.6666666666666665</v>
      </c>
      <c r="J239" s="7" t="str" cm="1">
        <f t="array" ref="J239">_xlfn.IFS(
I239&gt;=Best_Customers, Best_Customers_name,
I239&gt;=Loyal_Customers, Loyal_Customers_name,
I239&gt;=Average_Customers, Average_Customers_name,
TRUE, Lost_Customers_name)</f>
        <v>Best Customers</v>
      </c>
    </row>
    <row r="240" spans="1:10" x14ac:dyDescent="0.25">
      <c r="A240" s="25" t="str">
        <v>CUST_0233</v>
      </c>
      <c r="B240" s="16">
        <f t="shared" si="15"/>
        <v>153</v>
      </c>
      <c r="C240" s="16">
        <f t="shared" si="16"/>
        <v>3</v>
      </c>
      <c r="D240" s="17">
        <f t="shared" si="17"/>
        <v>283.34000000000003</v>
      </c>
      <c r="E240" s="18" cm="1">
        <f t="array" ref="E240">_xlfn.IFS(
B240&lt;=recencyQ1, 4,
B240&lt;=recencyQ2, 3,
B240&lt;=recencyQ3, 2,
TRUE, 1
)</f>
        <v>1</v>
      </c>
      <c r="F240" s="18" cm="1">
        <f t="array" ref="F240">_xlfn.IFS(
C240&lt;=frequencyQ1, 1,
C240&lt;=frequencyQ2, 2,
C240&lt;=frequencyQ3, 3,
TRUE, 4)</f>
        <v>1</v>
      </c>
      <c r="G240" s="18" cm="1">
        <f t="array" ref="G240">_xlfn.IFS(
D240&lt;=monetaryQ1, 1,
D240&lt;=monetaryQ2, 2,
D240&lt;=monetaryQ3, 3,
TRUE, 4)</f>
        <v>1</v>
      </c>
      <c r="H240" s="18" t="str">
        <f t="shared" si="18"/>
        <v>111</v>
      </c>
      <c r="I240" s="19">
        <f t="shared" si="19"/>
        <v>1</v>
      </c>
      <c r="J240" s="7" t="str" cm="1">
        <f t="array" ref="J240">_xlfn.IFS(
I240&gt;=Best_Customers, Best_Customers_name,
I240&gt;=Loyal_Customers, Loyal_Customers_name,
I240&gt;=Average_Customers, Average_Customers_name,
TRUE, Lost_Customers_name)</f>
        <v>Lost Customers</v>
      </c>
    </row>
    <row r="241" spans="1:10" x14ac:dyDescent="0.25">
      <c r="A241" s="25" t="str">
        <v>CUST_0234</v>
      </c>
      <c r="B241" s="16">
        <f t="shared" si="15"/>
        <v>43</v>
      </c>
      <c r="C241" s="16">
        <f t="shared" si="16"/>
        <v>4</v>
      </c>
      <c r="D241" s="17">
        <f t="shared" si="17"/>
        <v>478.54999999999995</v>
      </c>
      <c r="E241" s="18" cm="1">
        <f t="array" ref="E241">_xlfn.IFS(
B241&lt;=recencyQ1, 4,
B241&lt;=recencyQ2, 3,
B241&lt;=recencyQ3, 2,
TRUE, 1
)</f>
        <v>3</v>
      </c>
      <c r="F241" s="18" cm="1">
        <f t="array" ref="F241">_xlfn.IFS(
C241&lt;=frequencyQ1, 1,
C241&lt;=frequencyQ2, 2,
C241&lt;=frequencyQ3, 3,
TRUE, 4)</f>
        <v>2</v>
      </c>
      <c r="G241" s="18" cm="1">
        <f t="array" ref="G241">_xlfn.IFS(
D241&lt;=monetaryQ1, 1,
D241&lt;=monetaryQ2, 2,
D241&lt;=monetaryQ3, 3,
TRUE, 4)</f>
        <v>2</v>
      </c>
      <c r="H241" s="18" t="str">
        <f t="shared" si="18"/>
        <v>322</v>
      </c>
      <c r="I241" s="19">
        <f t="shared" si="19"/>
        <v>2.3333333333333335</v>
      </c>
      <c r="J241" s="7" t="str" cm="1">
        <f t="array" ref="J241">_xlfn.IFS(
I241&gt;=Best_Customers, Best_Customers_name,
I241&gt;=Loyal_Customers, Loyal_Customers_name,
I241&gt;=Average_Customers, Average_Customers_name,
TRUE, Lost_Customers_name)</f>
        <v>Average Customers</v>
      </c>
    </row>
    <row r="242" spans="1:10" x14ac:dyDescent="0.25">
      <c r="A242" s="25" t="str">
        <v>CUST_0235</v>
      </c>
      <c r="B242" s="16">
        <f t="shared" si="15"/>
        <v>61</v>
      </c>
      <c r="C242" s="16">
        <f t="shared" si="16"/>
        <v>4</v>
      </c>
      <c r="D242" s="17">
        <f t="shared" si="17"/>
        <v>262.45999999999998</v>
      </c>
      <c r="E242" s="18" cm="1">
        <f t="array" ref="E242">_xlfn.IFS(
B242&lt;=recencyQ1, 4,
B242&lt;=recencyQ2, 3,
B242&lt;=recencyQ3, 2,
TRUE, 1
)</f>
        <v>2</v>
      </c>
      <c r="F242" s="18" cm="1">
        <f t="array" ref="F242">_xlfn.IFS(
C242&lt;=frequencyQ1, 1,
C242&lt;=frequencyQ2, 2,
C242&lt;=frequencyQ3, 3,
TRUE, 4)</f>
        <v>2</v>
      </c>
      <c r="G242" s="18" cm="1">
        <f t="array" ref="G242">_xlfn.IFS(
D242&lt;=monetaryQ1, 1,
D242&lt;=monetaryQ2, 2,
D242&lt;=monetaryQ3, 3,
TRUE, 4)</f>
        <v>1</v>
      </c>
      <c r="H242" s="18" t="str">
        <f t="shared" si="18"/>
        <v>221</v>
      </c>
      <c r="I242" s="19">
        <f t="shared" si="19"/>
        <v>1.6666666666666667</v>
      </c>
      <c r="J242" s="7" t="str" cm="1">
        <f t="array" ref="J242">_xlfn.IFS(
I242&gt;=Best_Customers, Best_Customers_name,
I242&gt;=Loyal_Customers, Loyal_Customers_name,
I242&gt;=Average_Customers, Average_Customers_name,
TRUE, Lost_Customers_name)</f>
        <v>Average Customers</v>
      </c>
    </row>
    <row r="243" spans="1:10" x14ac:dyDescent="0.25">
      <c r="A243" s="25" t="str">
        <v>CUST_0236</v>
      </c>
      <c r="B243" s="16">
        <f t="shared" si="15"/>
        <v>6</v>
      </c>
      <c r="C243" s="16">
        <f t="shared" si="16"/>
        <v>4</v>
      </c>
      <c r="D243" s="17">
        <f t="shared" si="17"/>
        <v>438.1</v>
      </c>
      <c r="E243" s="18" cm="1">
        <f t="array" ref="E243">_xlfn.IFS(
B243&lt;=recencyQ1, 4,
B243&lt;=recencyQ2, 3,
B243&lt;=recencyQ3, 2,
TRUE, 1
)</f>
        <v>4</v>
      </c>
      <c r="F243" s="18" cm="1">
        <f t="array" ref="F243">_xlfn.IFS(
C243&lt;=frequencyQ1, 1,
C243&lt;=frequencyQ2, 2,
C243&lt;=frequencyQ3, 3,
TRUE, 4)</f>
        <v>2</v>
      </c>
      <c r="G243" s="18" cm="1">
        <f t="array" ref="G243">_xlfn.IFS(
D243&lt;=monetaryQ1, 1,
D243&lt;=monetaryQ2, 2,
D243&lt;=monetaryQ3, 3,
TRUE, 4)</f>
        <v>2</v>
      </c>
      <c r="H243" s="18" t="str">
        <f t="shared" si="18"/>
        <v>422</v>
      </c>
      <c r="I243" s="19">
        <f t="shared" si="19"/>
        <v>2.6666666666666665</v>
      </c>
      <c r="J243" s="7" t="str" cm="1">
        <f t="array" ref="J243">_xlfn.IFS(
I243&gt;=Best_Customers, Best_Customers_name,
I243&gt;=Loyal_Customers, Loyal_Customers_name,
I243&gt;=Average_Customers, Average_Customers_name,
TRUE, Lost_Customers_name)</f>
        <v>Loyal Customers</v>
      </c>
    </row>
    <row r="244" spans="1:10" x14ac:dyDescent="0.25">
      <c r="A244" s="25" t="str">
        <v>CUST_0237</v>
      </c>
      <c r="B244" s="16">
        <f t="shared" si="15"/>
        <v>56</v>
      </c>
      <c r="C244" s="16">
        <f t="shared" si="16"/>
        <v>3</v>
      </c>
      <c r="D244" s="17">
        <f t="shared" si="17"/>
        <v>325.98</v>
      </c>
      <c r="E244" s="18" cm="1">
        <f t="array" ref="E244">_xlfn.IFS(
B244&lt;=recencyQ1, 4,
B244&lt;=recencyQ2, 3,
B244&lt;=recencyQ3, 2,
TRUE, 1
)</f>
        <v>2</v>
      </c>
      <c r="F244" s="18" cm="1">
        <f t="array" ref="F244">_xlfn.IFS(
C244&lt;=frequencyQ1, 1,
C244&lt;=frequencyQ2, 2,
C244&lt;=frequencyQ3, 3,
TRUE, 4)</f>
        <v>1</v>
      </c>
      <c r="G244" s="18" cm="1">
        <f t="array" ref="G244">_xlfn.IFS(
D244&lt;=monetaryQ1, 1,
D244&lt;=monetaryQ2, 2,
D244&lt;=monetaryQ3, 3,
TRUE, 4)</f>
        <v>2</v>
      </c>
      <c r="H244" s="18" t="str">
        <f t="shared" si="18"/>
        <v>212</v>
      </c>
      <c r="I244" s="19">
        <f t="shared" si="19"/>
        <v>1.6666666666666667</v>
      </c>
      <c r="J244" s="7" t="str" cm="1">
        <f t="array" ref="J244">_xlfn.IFS(
I244&gt;=Best_Customers, Best_Customers_name,
I244&gt;=Loyal_Customers, Loyal_Customers_name,
I244&gt;=Average_Customers, Average_Customers_name,
TRUE, Lost_Customers_name)</f>
        <v>Average Customers</v>
      </c>
    </row>
    <row r="245" spans="1:10" x14ac:dyDescent="0.25">
      <c r="A245" s="25" t="str">
        <v>CUST_0238</v>
      </c>
      <c r="B245" s="16">
        <f t="shared" si="15"/>
        <v>55</v>
      </c>
      <c r="C245" s="16">
        <f t="shared" si="16"/>
        <v>5</v>
      </c>
      <c r="D245" s="17">
        <f t="shared" si="17"/>
        <v>555.23</v>
      </c>
      <c r="E245" s="18" cm="1">
        <f t="array" ref="E245">_xlfn.IFS(
B245&lt;=recencyQ1, 4,
B245&lt;=recencyQ2, 3,
B245&lt;=recencyQ3, 2,
TRUE, 1
)</f>
        <v>2</v>
      </c>
      <c r="F245" s="18" cm="1">
        <f t="array" ref="F245">_xlfn.IFS(
C245&lt;=frequencyQ1, 1,
C245&lt;=frequencyQ2, 2,
C245&lt;=frequencyQ3, 3,
TRUE, 4)</f>
        <v>2</v>
      </c>
      <c r="G245" s="18" cm="1">
        <f t="array" ref="G245">_xlfn.IFS(
D245&lt;=monetaryQ1, 1,
D245&lt;=monetaryQ2, 2,
D245&lt;=monetaryQ3, 3,
TRUE, 4)</f>
        <v>3</v>
      </c>
      <c r="H245" s="18" t="str">
        <f t="shared" si="18"/>
        <v>223</v>
      </c>
      <c r="I245" s="19">
        <f t="shared" si="19"/>
        <v>2.3333333333333335</v>
      </c>
      <c r="J245" s="7" t="str" cm="1">
        <f t="array" ref="J245">_xlfn.IFS(
I245&gt;=Best_Customers, Best_Customers_name,
I245&gt;=Loyal_Customers, Loyal_Customers_name,
I245&gt;=Average_Customers, Average_Customers_name,
TRUE, Lost_Customers_name)</f>
        <v>Average Customers</v>
      </c>
    </row>
    <row r="246" spans="1:10" x14ac:dyDescent="0.25">
      <c r="A246" s="25" t="str">
        <v>CUST_0239</v>
      </c>
      <c r="B246" s="16">
        <f t="shared" si="15"/>
        <v>269</v>
      </c>
      <c r="C246" s="16">
        <f t="shared" si="16"/>
        <v>1</v>
      </c>
      <c r="D246" s="17">
        <f t="shared" si="17"/>
        <v>26.14</v>
      </c>
      <c r="E246" s="18" cm="1">
        <f t="array" ref="E246">_xlfn.IFS(
B246&lt;=recencyQ1, 4,
B246&lt;=recencyQ2, 3,
B246&lt;=recencyQ3, 2,
TRUE, 1
)</f>
        <v>1</v>
      </c>
      <c r="F246" s="18" cm="1">
        <f t="array" ref="F246">_xlfn.IFS(
C246&lt;=frequencyQ1, 1,
C246&lt;=frequencyQ2, 2,
C246&lt;=frequencyQ3, 3,
TRUE, 4)</f>
        <v>1</v>
      </c>
      <c r="G246" s="18" cm="1">
        <f t="array" ref="G246">_xlfn.IFS(
D246&lt;=monetaryQ1, 1,
D246&lt;=monetaryQ2, 2,
D246&lt;=monetaryQ3, 3,
TRUE, 4)</f>
        <v>1</v>
      </c>
      <c r="H246" s="18" t="str">
        <f t="shared" si="18"/>
        <v>111</v>
      </c>
      <c r="I246" s="19">
        <f t="shared" si="19"/>
        <v>1</v>
      </c>
      <c r="J246" s="7" t="str" cm="1">
        <f t="array" ref="J246">_xlfn.IFS(
I246&gt;=Best_Customers, Best_Customers_name,
I246&gt;=Loyal_Customers, Loyal_Customers_name,
I246&gt;=Average_Customers, Average_Customers_name,
TRUE, Lost_Customers_name)</f>
        <v>Lost Customers</v>
      </c>
    </row>
    <row r="247" spans="1:10" x14ac:dyDescent="0.25">
      <c r="A247" s="25" t="str">
        <v>CUST_0240</v>
      </c>
      <c r="B247" s="16">
        <f t="shared" si="15"/>
        <v>21</v>
      </c>
      <c r="C247" s="16">
        <f t="shared" si="16"/>
        <v>2</v>
      </c>
      <c r="D247" s="17">
        <f t="shared" si="17"/>
        <v>157.07999999999998</v>
      </c>
      <c r="E247" s="18" cm="1">
        <f t="array" ref="E247">_xlfn.IFS(
B247&lt;=recencyQ1, 4,
B247&lt;=recencyQ2, 3,
B247&lt;=recencyQ3, 2,
TRUE, 1
)</f>
        <v>3</v>
      </c>
      <c r="F247" s="18" cm="1">
        <f t="array" ref="F247">_xlfn.IFS(
C247&lt;=frequencyQ1, 1,
C247&lt;=frequencyQ2, 2,
C247&lt;=frequencyQ3, 3,
TRUE, 4)</f>
        <v>1</v>
      </c>
      <c r="G247" s="18" cm="1">
        <f t="array" ref="G247">_xlfn.IFS(
D247&lt;=monetaryQ1, 1,
D247&lt;=monetaryQ2, 2,
D247&lt;=monetaryQ3, 3,
TRUE, 4)</f>
        <v>1</v>
      </c>
      <c r="H247" s="18" t="str">
        <f t="shared" si="18"/>
        <v>311</v>
      </c>
      <c r="I247" s="19">
        <f t="shared" si="19"/>
        <v>1.6666666666666667</v>
      </c>
      <c r="J247" s="7" t="str" cm="1">
        <f t="array" ref="J247">_xlfn.IFS(
I247&gt;=Best_Customers, Best_Customers_name,
I247&gt;=Loyal_Customers, Loyal_Customers_name,
I247&gt;=Average_Customers, Average_Customers_name,
TRUE, Lost_Customers_name)</f>
        <v>Average Customers</v>
      </c>
    </row>
    <row r="248" spans="1:10" x14ac:dyDescent="0.25">
      <c r="A248" s="25" t="str">
        <v>CUST_0241</v>
      </c>
      <c r="B248" s="16">
        <f t="shared" si="15"/>
        <v>13</v>
      </c>
      <c r="C248" s="16">
        <f t="shared" si="16"/>
        <v>8</v>
      </c>
      <c r="D248" s="17">
        <f t="shared" si="17"/>
        <v>830.14</v>
      </c>
      <c r="E248" s="18" cm="1">
        <f t="array" ref="E248">_xlfn.IFS(
B248&lt;=recencyQ1, 4,
B248&lt;=recencyQ2, 3,
B248&lt;=recencyQ3, 2,
TRUE, 1
)</f>
        <v>4</v>
      </c>
      <c r="F248" s="18" cm="1">
        <f t="array" ref="F248">_xlfn.IFS(
C248&lt;=frequencyQ1, 1,
C248&lt;=frequencyQ2, 2,
C248&lt;=frequencyQ3, 3,
TRUE, 4)</f>
        <v>4</v>
      </c>
      <c r="G248" s="18" cm="1">
        <f t="array" ref="G248">_xlfn.IFS(
D248&lt;=monetaryQ1, 1,
D248&lt;=monetaryQ2, 2,
D248&lt;=monetaryQ3, 3,
TRUE, 4)</f>
        <v>4</v>
      </c>
      <c r="H248" s="18" t="str">
        <f t="shared" si="18"/>
        <v>444</v>
      </c>
      <c r="I248" s="19">
        <f t="shared" si="19"/>
        <v>4</v>
      </c>
      <c r="J248" s="7" t="str" cm="1">
        <f t="array" ref="J248">_xlfn.IFS(
I248&gt;=Best_Customers, Best_Customers_name,
I248&gt;=Loyal_Customers, Loyal_Customers_name,
I248&gt;=Average_Customers, Average_Customers_name,
TRUE, Lost_Customers_name)</f>
        <v>Best Customers</v>
      </c>
    </row>
    <row r="249" spans="1:10" x14ac:dyDescent="0.25">
      <c r="A249" s="25" t="str">
        <v>CUST_0242</v>
      </c>
      <c r="B249" s="16">
        <f t="shared" si="15"/>
        <v>15</v>
      </c>
      <c r="C249" s="16">
        <f t="shared" si="16"/>
        <v>5</v>
      </c>
      <c r="D249" s="17">
        <f t="shared" si="17"/>
        <v>515.94000000000005</v>
      </c>
      <c r="E249" s="18" cm="1">
        <f t="array" ref="E249">_xlfn.IFS(
B249&lt;=recencyQ1, 4,
B249&lt;=recencyQ2, 3,
B249&lt;=recencyQ3, 2,
TRUE, 1
)</f>
        <v>4</v>
      </c>
      <c r="F249" s="18" cm="1">
        <f t="array" ref="F249">_xlfn.IFS(
C249&lt;=frequencyQ1, 1,
C249&lt;=frequencyQ2, 2,
C249&lt;=frequencyQ3, 3,
TRUE, 4)</f>
        <v>2</v>
      </c>
      <c r="G249" s="18" cm="1">
        <f t="array" ref="G249">_xlfn.IFS(
D249&lt;=monetaryQ1, 1,
D249&lt;=monetaryQ2, 2,
D249&lt;=monetaryQ3, 3,
TRUE, 4)</f>
        <v>3</v>
      </c>
      <c r="H249" s="18" t="str">
        <f t="shared" si="18"/>
        <v>423</v>
      </c>
      <c r="I249" s="19">
        <f t="shared" si="19"/>
        <v>3</v>
      </c>
      <c r="J249" s="7" t="str" cm="1">
        <f t="array" ref="J249">_xlfn.IFS(
I249&gt;=Best_Customers, Best_Customers_name,
I249&gt;=Loyal_Customers, Loyal_Customers_name,
I249&gt;=Average_Customers, Average_Customers_name,
TRUE, Lost_Customers_name)</f>
        <v>Loyal Customers</v>
      </c>
    </row>
    <row r="250" spans="1:10" x14ac:dyDescent="0.25">
      <c r="A250" s="25" t="str">
        <v>CUST_0243</v>
      </c>
      <c r="B250" s="16">
        <f t="shared" si="15"/>
        <v>17</v>
      </c>
      <c r="C250" s="16">
        <f t="shared" si="16"/>
        <v>4</v>
      </c>
      <c r="D250" s="17">
        <f t="shared" si="17"/>
        <v>365.39</v>
      </c>
      <c r="E250" s="18" cm="1">
        <f t="array" ref="E250">_xlfn.IFS(
B250&lt;=recencyQ1, 4,
B250&lt;=recencyQ2, 3,
B250&lt;=recencyQ3, 2,
TRUE, 1
)</f>
        <v>4</v>
      </c>
      <c r="F250" s="18" cm="1">
        <f t="array" ref="F250">_xlfn.IFS(
C250&lt;=frequencyQ1, 1,
C250&lt;=frequencyQ2, 2,
C250&lt;=frequencyQ3, 3,
TRUE, 4)</f>
        <v>2</v>
      </c>
      <c r="G250" s="18" cm="1">
        <f t="array" ref="G250">_xlfn.IFS(
D250&lt;=monetaryQ1, 1,
D250&lt;=monetaryQ2, 2,
D250&lt;=monetaryQ3, 3,
TRUE, 4)</f>
        <v>2</v>
      </c>
      <c r="H250" s="18" t="str">
        <f t="shared" si="18"/>
        <v>422</v>
      </c>
      <c r="I250" s="19">
        <f t="shared" si="19"/>
        <v>2.6666666666666665</v>
      </c>
      <c r="J250" s="7" t="str" cm="1">
        <f t="array" ref="J250">_xlfn.IFS(
I250&gt;=Best_Customers, Best_Customers_name,
I250&gt;=Loyal_Customers, Loyal_Customers_name,
I250&gt;=Average_Customers, Average_Customers_name,
TRUE, Lost_Customers_name)</f>
        <v>Loyal Customers</v>
      </c>
    </row>
    <row r="251" spans="1:10" x14ac:dyDescent="0.25">
      <c r="A251" s="25" t="str">
        <v>CUST_0244</v>
      </c>
      <c r="B251" s="16">
        <f t="shared" si="15"/>
        <v>105</v>
      </c>
      <c r="C251" s="16">
        <f t="shared" si="16"/>
        <v>2</v>
      </c>
      <c r="D251" s="17">
        <f t="shared" si="17"/>
        <v>227.54</v>
      </c>
      <c r="E251" s="18" cm="1">
        <f t="array" ref="E251">_xlfn.IFS(
B251&lt;=recencyQ1, 4,
B251&lt;=recencyQ2, 3,
B251&lt;=recencyQ3, 2,
TRUE, 1
)</f>
        <v>1</v>
      </c>
      <c r="F251" s="18" cm="1">
        <f t="array" ref="F251">_xlfn.IFS(
C251&lt;=frequencyQ1, 1,
C251&lt;=frequencyQ2, 2,
C251&lt;=frequencyQ3, 3,
TRUE, 4)</f>
        <v>1</v>
      </c>
      <c r="G251" s="18" cm="1">
        <f t="array" ref="G251">_xlfn.IFS(
D251&lt;=monetaryQ1, 1,
D251&lt;=monetaryQ2, 2,
D251&lt;=monetaryQ3, 3,
TRUE, 4)</f>
        <v>1</v>
      </c>
      <c r="H251" s="18" t="str">
        <f t="shared" si="18"/>
        <v>111</v>
      </c>
      <c r="I251" s="19">
        <f t="shared" si="19"/>
        <v>1</v>
      </c>
      <c r="J251" s="7" t="str" cm="1">
        <f t="array" ref="J251">_xlfn.IFS(
I251&gt;=Best_Customers, Best_Customers_name,
I251&gt;=Loyal_Customers, Loyal_Customers_name,
I251&gt;=Average_Customers, Average_Customers_name,
TRUE, Lost_Customers_name)</f>
        <v>Lost Customers</v>
      </c>
    </row>
    <row r="252" spans="1:10" x14ac:dyDescent="0.25">
      <c r="A252" s="25" t="str">
        <v>CUST_0245</v>
      </c>
      <c r="B252" s="16">
        <f t="shared" si="15"/>
        <v>27</v>
      </c>
      <c r="C252" s="16">
        <f t="shared" si="16"/>
        <v>4</v>
      </c>
      <c r="D252" s="17">
        <f t="shared" si="17"/>
        <v>377.16999999999996</v>
      </c>
      <c r="E252" s="18" cm="1">
        <f t="array" ref="E252">_xlfn.IFS(
B252&lt;=recencyQ1, 4,
B252&lt;=recencyQ2, 3,
B252&lt;=recencyQ3, 2,
TRUE, 1
)</f>
        <v>3</v>
      </c>
      <c r="F252" s="18" cm="1">
        <f t="array" ref="F252">_xlfn.IFS(
C252&lt;=frequencyQ1, 1,
C252&lt;=frequencyQ2, 2,
C252&lt;=frequencyQ3, 3,
TRUE, 4)</f>
        <v>2</v>
      </c>
      <c r="G252" s="18" cm="1">
        <f t="array" ref="G252">_xlfn.IFS(
D252&lt;=monetaryQ1, 1,
D252&lt;=monetaryQ2, 2,
D252&lt;=monetaryQ3, 3,
TRUE, 4)</f>
        <v>2</v>
      </c>
      <c r="H252" s="18" t="str">
        <f t="shared" si="18"/>
        <v>322</v>
      </c>
      <c r="I252" s="19">
        <f t="shared" si="19"/>
        <v>2.3333333333333335</v>
      </c>
      <c r="J252" s="7" t="str" cm="1">
        <f t="array" ref="J252">_xlfn.IFS(
I252&gt;=Best_Customers, Best_Customers_name,
I252&gt;=Loyal_Customers, Loyal_Customers_name,
I252&gt;=Average_Customers, Average_Customers_name,
TRUE, Lost_Customers_name)</f>
        <v>Average Customers</v>
      </c>
    </row>
    <row r="253" spans="1:10" x14ac:dyDescent="0.25">
      <c r="A253" s="25" t="str">
        <v>CUST_0246</v>
      </c>
      <c r="B253" s="16">
        <f t="shared" si="15"/>
        <v>125</v>
      </c>
      <c r="C253" s="16">
        <f t="shared" si="16"/>
        <v>3</v>
      </c>
      <c r="D253" s="17">
        <f t="shared" si="17"/>
        <v>353.20000000000005</v>
      </c>
      <c r="E253" s="18" cm="1">
        <f t="array" ref="E253">_xlfn.IFS(
B253&lt;=recencyQ1, 4,
B253&lt;=recencyQ2, 3,
B253&lt;=recencyQ3, 2,
TRUE, 1
)</f>
        <v>1</v>
      </c>
      <c r="F253" s="18" cm="1">
        <f t="array" ref="F253">_xlfn.IFS(
C253&lt;=frequencyQ1, 1,
C253&lt;=frequencyQ2, 2,
C253&lt;=frequencyQ3, 3,
TRUE, 4)</f>
        <v>1</v>
      </c>
      <c r="G253" s="18" cm="1">
        <f t="array" ref="G253">_xlfn.IFS(
D253&lt;=monetaryQ1, 1,
D253&lt;=monetaryQ2, 2,
D253&lt;=monetaryQ3, 3,
TRUE, 4)</f>
        <v>2</v>
      </c>
      <c r="H253" s="18" t="str">
        <f t="shared" si="18"/>
        <v>112</v>
      </c>
      <c r="I253" s="19">
        <f t="shared" si="19"/>
        <v>1.3333333333333333</v>
      </c>
      <c r="J253" s="7" t="str" cm="1">
        <f t="array" ref="J253">_xlfn.IFS(
I253&gt;=Best_Customers, Best_Customers_name,
I253&gt;=Loyal_Customers, Loyal_Customers_name,
I253&gt;=Average_Customers, Average_Customers_name,
TRUE, Lost_Customers_name)</f>
        <v>Lost Customers</v>
      </c>
    </row>
    <row r="254" spans="1:10" x14ac:dyDescent="0.25">
      <c r="A254" s="25" t="str">
        <v>CUST_0247</v>
      </c>
      <c r="B254" s="16">
        <f t="shared" si="15"/>
        <v>186</v>
      </c>
      <c r="C254" s="16">
        <f t="shared" si="16"/>
        <v>2</v>
      </c>
      <c r="D254" s="17">
        <f t="shared" si="17"/>
        <v>218.8</v>
      </c>
      <c r="E254" s="18" cm="1">
        <f t="array" ref="E254">_xlfn.IFS(
B254&lt;=recencyQ1, 4,
B254&lt;=recencyQ2, 3,
B254&lt;=recencyQ3, 2,
TRUE, 1
)</f>
        <v>1</v>
      </c>
      <c r="F254" s="18" cm="1">
        <f t="array" ref="F254">_xlfn.IFS(
C254&lt;=frequencyQ1, 1,
C254&lt;=frequencyQ2, 2,
C254&lt;=frequencyQ3, 3,
TRUE, 4)</f>
        <v>1</v>
      </c>
      <c r="G254" s="18" cm="1">
        <f t="array" ref="G254">_xlfn.IFS(
D254&lt;=monetaryQ1, 1,
D254&lt;=monetaryQ2, 2,
D254&lt;=monetaryQ3, 3,
TRUE, 4)</f>
        <v>1</v>
      </c>
      <c r="H254" s="18" t="str">
        <f t="shared" si="18"/>
        <v>111</v>
      </c>
      <c r="I254" s="19">
        <f t="shared" si="19"/>
        <v>1</v>
      </c>
      <c r="J254" s="7" t="str" cm="1">
        <f t="array" ref="J254">_xlfn.IFS(
I254&gt;=Best_Customers, Best_Customers_name,
I254&gt;=Loyal_Customers, Loyal_Customers_name,
I254&gt;=Average_Customers, Average_Customers_name,
TRUE, Lost_Customers_name)</f>
        <v>Lost Customers</v>
      </c>
    </row>
    <row r="255" spans="1:10" x14ac:dyDescent="0.25">
      <c r="A255" s="25" t="str">
        <v>CUST_0248</v>
      </c>
      <c r="B255" s="16">
        <f t="shared" si="15"/>
        <v>26</v>
      </c>
      <c r="C255" s="16">
        <f t="shared" si="16"/>
        <v>2</v>
      </c>
      <c r="D255" s="17">
        <f t="shared" si="17"/>
        <v>236.9</v>
      </c>
      <c r="E255" s="18" cm="1">
        <f t="array" ref="E255">_xlfn.IFS(
B255&lt;=recencyQ1, 4,
B255&lt;=recencyQ2, 3,
B255&lt;=recencyQ3, 2,
TRUE, 1
)</f>
        <v>3</v>
      </c>
      <c r="F255" s="18" cm="1">
        <f t="array" ref="F255">_xlfn.IFS(
C255&lt;=frequencyQ1, 1,
C255&lt;=frequencyQ2, 2,
C255&lt;=frequencyQ3, 3,
TRUE, 4)</f>
        <v>1</v>
      </c>
      <c r="G255" s="18" cm="1">
        <f t="array" ref="G255">_xlfn.IFS(
D255&lt;=monetaryQ1, 1,
D255&lt;=monetaryQ2, 2,
D255&lt;=monetaryQ3, 3,
TRUE, 4)</f>
        <v>1</v>
      </c>
      <c r="H255" s="18" t="str">
        <f t="shared" si="18"/>
        <v>311</v>
      </c>
      <c r="I255" s="19">
        <f t="shared" si="19"/>
        <v>1.6666666666666667</v>
      </c>
      <c r="J255" s="7" t="str" cm="1">
        <f t="array" ref="J255">_xlfn.IFS(
I255&gt;=Best_Customers, Best_Customers_name,
I255&gt;=Loyal_Customers, Loyal_Customers_name,
I255&gt;=Average_Customers, Average_Customers_name,
TRUE, Lost_Customers_name)</f>
        <v>Average Customers</v>
      </c>
    </row>
    <row r="256" spans="1:10" x14ac:dyDescent="0.25">
      <c r="A256" s="25" t="str">
        <v>CUST_0249</v>
      </c>
      <c r="B256" s="16">
        <f t="shared" si="15"/>
        <v>31</v>
      </c>
      <c r="C256" s="16">
        <f t="shared" si="16"/>
        <v>5</v>
      </c>
      <c r="D256" s="17">
        <f t="shared" si="17"/>
        <v>499.99</v>
      </c>
      <c r="E256" s="18" cm="1">
        <f t="array" ref="E256">_xlfn.IFS(
B256&lt;=recencyQ1, 4,
B256&lt;=recencyQ2, 3,
B256&lt;=recencyQ3, 2,
TRUE, 1
)</f>
        <v>3</v>
      </c>
      <c r="F256" s="18" cm="1">
        <f t="array" ref="F256">_xlfn.IFS(
C256&lt;=frequencyQ1, 1,
C256&lt;=frequencyQ2, 2,
C256&lt;=frequencyQ3, 3,
TRUE, 4)</f>
        <v>2</v>
      </c>
      <c r="G256" s="18" cm="1">
        <f t="array" ref="G256">_xlfn.IFS(
D256&lt;=monetaryQ1, 1,
D256&lt;=monetaryQ2, 2,
D256&lt;=monetaryQ3, 3,
TRUE, 4)</f>
        <v>3</v>
      </c>
      <c r="H256" s="18" t="str">
        <f t="shared" si="18"/>
        <v>323</v>
      </c>
      <c r="I256" s="19">
        <f t="shared" si="19"/>
        <v>2.6666666666666665</v>
      </c>
      <c r="J256" s="7" t="str" cm="1">
        <f t="array" ref="J256">_xlfn.IFS(
I256&gt;=Best_Customers, Best_Customers_name,
I256&gt;=Loyal_Customers, Loyal_Customers_name,
I256&gt;=Average_Customers, Average_Customers_name,
TRUE, Lost_Customers_name)</f>
        <v>Loyal Customers</v>
      </c>
    </row>
    <row r="257" spans="1:10" x14ac:dyDescent="0.25">
      <c r="A257" s="25" t="str">
        <v>CUST_0250</v>
      </c>
      <c r="B257" s="16">
        <f t="shared" si="15"/>
        <v>20</v>
      </c>
      <c r="C257" s="16">
        <f t="shared" si="16"/>
        <v>7</v>
      </c>
      <c r="D257" s="17">
        <f t="shared" si="17"/>
        <v>641.4</v>
      </c>
      <c r="E257" s="18" cm="1">
        <f t="array" ref="E257">_xlfn.IFS(
B257&lt;=recencyQ1, 4,
B257&lt;=recencyQ2, 3,
B257&lt;=recencyQ3, 2,
TRUE, 1
)</f>
        <v>3</v>
      </c>
      <c r="F257" s="18" cm="1">
        <f t="array" ref="F257">_xlfn.IFS(
C257&lt;=frequencyQ1, 1,
C257&lt;=frequencyQ2, 2,
C257&lt;=frequencyQ3, 3,
TRUE, 4)</f>
        <v>4</v>
      </c>
      <c r="G257" s="18" cm="1">
        <f t="array" ref="G257">_xlfn.IFS(
D257&lt;=monetaryQ1, 1,
D257&lt;=monetaryQ2, 2,
D257&lt;=monetaryQ3, 3,
TRUE, 4)</f>
        <v>3</v>
      </c>
      <c r="H257" s="18" t="str">
        <f t="shared" si="18"/>
        <v>343</v>
      </c>
      <c r="I257" s="19">
        <f t="shared" si="19"/>
        <v>3.3333333333333335</v>
      </c>
      <c r="J257" s="7" t="str" cm="1">
        <f t="array" ref="J257">_xlfn.IFS(
I257&gt;=Best_Customers, Best_Customers_name,
I257&gt;=Loyal_Customers, Loyal_Customers_name,
I257&gt;=Average_Customers, Average_Customers_name,
TRUE, Lost_Customers_name)</f>
        <v>Loyal Customers</v>
      </c>
    </row>
    <row r="258" spans="1:10" x14ac:dyDescent="0.25">
      <c r="A258" s="25" t="str">
        <v>CUST_0251</v>
      </c>
      <c r="B258" s="16">
        <f t="shared" si="15"/>
        <v>27</v>
      </c>
      <c r="C258" s="16">
        <f t="shared" si="16"/>
        <v>2</v>
      </c>
      <c r="D258" s="17">
        <f t="shared" si="17"/>
        <v>145.01</v>
      </c>
      <c r="E258" s="18" cm="1">
        <f t="array" ref="E258">_xlfn.IFS(
B258&lt;=recencyQ1, 4,
B258&lt;=recencyQ2, 3,
B258&lt;=recencyQ3, 2,
TRUE, 1
)</f>
        <v>3</v>
      </c>
      <c r="F258" s="18" cm="1">
        <f t="array" ref="F258">_xlfn.IFS(
C258&lt;=frequencyQ1, 1,
C258&lt;=frequencyQ2, 2,
C258&lt;=frequencyQ3, 3,
TRUE, 4)</f>
        <v>1</v>
      </c>
      <c r="G258" s="18" cm="1">
        <f t="array" ref="G258">_xlfn.IFS(
D258&lt;=monetaryQ1, 1,
D258&lt;=monetaryQ2, 2,
D258&lt;=monetaryQ3, 3,
TRUE, 4)</f>
        <v>1</v>
      </c>
      <c r="H258" s="18" t="str">
        <f t="shared" si="18"/>
        <v>311</v>
      </c>
      <c r="I258" s="19">
        <f t="shared" si="19"/>
        <v>1.6666666666666667</v>
      </c>
      <c r="J258" s="7" t="str" cm="1">
        <f t="array" ref="J258">_xlfn.IFS(
I258&gt;=Best_Customers, Best_Customers_name,
I258&gt;=Loyal_Customers, Loyal_Customers_name,
I258&gt;=Average_Customers, Average_Customers_name,
TRUE, Lost_Customers_name)</f>
        <v>Average Customers</v>
      </c>
    </row>
    <row r="259" spans="1:10" x14ac:dyDescent="0.25">
      <c r="A259" s="25" t="str">
        <v>CUST_0252</v>
      </c>
      <c r="B259" s="16">
        <f t="shared" si="15"/>
        <v>36</v>
      </c>
      <c r="C259" s="16">
        <f t="shared" si="16"/>
        <v>8</v>
      </c>
      <c r="D259" s="17">
        <f t="shared" si="17"/>
        <v>755.94</v>
      </c>
      <c r="E259" s="18" cm="1">
        <f t="array" ref="E259">_xlfn.IFS(
B259&lt;=recencyQ1, 4,
B259&lt;=recencyQ2, 3,
B259&lt;=recencyQ3, 2,
TRUE, 1
)</f>
        <v>3</v>
      </c>
      <c r="F259" s="18" cm="1">
        <f t="array" ref="F259">_xlfn.IFS(
C259&lt;=frequencyQ1, 1,
C259&lt;=frequencyQ2, 2,
C259&lt;=frequencyQ3, 3,
TRUE, 4)</f>
        <v>4</v>
      </c>
      <c r="G259" s="18" cm="1">
        <f t="array" ref="G259">_xlfn.IFS(
D259&lt;=monetaryQ1, 1,
D259&lt;=monetaryQ2, 2,
D259&lt;=monetaryQ3, 3,
TRUE, 4)</f>
        <v>4</v>
      </c>
      <c r="H259" s="18" t="str">
        <f t="shared" si="18"/>
        <v>344</v>
      </c>
      <c r="I259" s="19">
        <f t="shared" si="19"/>
        <v>3.6666666666666665</v>
      </c>
      <c r="J259" s="7" t="str" cm="1">
        <f t="array" ref="J259">_xlfn.IFS(
I259&gt;=Best_Customers, Best_Customers_name,
I259&gt;=Loyal_Customers, Loyal_Customers_name,
I259&gt;=Average_Customers, Average_Customers_name,
TRUE, Lost_Customers_name)</f>
        <v>Best Customers</v>
      </c>
    </row>
    <row r="260" spans="1:10" x14ac:dyDescent="0.25">
      <c r="A260" s="25" t="str">
        <v>CUST_0253</v>
      </c>
      <c r="B260" s="16">
        <f t="shared" si="15"/>
        <v>41</v>
      </c>
      <c r="C260" s="16">
        <f t="shared" si="16"/>
        <v>9</v>
      </c>
      <c r="D260" s="17">
        <f t="shared" si="17"/>
        <v>1161.1099999999999</v>
      </c>
      <c r="E260" s="18" cm="1">
        <f t="array" ref="E260">_xlfn.IFS(
B260&lt;=recencyQ1, 4,
B260&lt;=recencyQ2, 3,
B260&lt;=recencyQ3, 2,
TRUE, 1
)</f>
        <v>3</v>
      </c>
      <c r="F260" s="18" cm="1">
        <f t="array" ref="F260">_xlfn.IFS(
C260&lt;=frequencyQ1, 1,
C260&lt;=frequencyQ2, 2,
C260&lt;=frequencyQ3, 3,
TRUE, 4)</f>
        <v>4</v>
      </c>
      <c r="G260" s="18" cm="1">
        <f t="array" ref="G260">_xlfn.IFS(
D260&lt;=monetaryQ1, 1,
D260&lt;=monetaryQ2, 2,
D260&lt;=monetaryQ3, 3,
TRUE, 4)</f>
        <v>4</v>
      </c>
      <c r="H260" s="18" t="str">
        <f t="shared" si="18"/>
        <v>344</v>
      </c>
      <c r="I260" s="19">
        <f t="shared" si="19"/>
        <v>3.6666666666666665</v>
      </c>
      <c r="J260" s="7" t="str" cm="1">
        <f t="array" ref="J260">_xlfn.IFS(
I260&gt;=Best_Customers, Best_Customers_name,
I260&gt;=Loyal_Customers, Loyal_Customers_name,
I260&gt;=Average_Customers, Average_Customers_name,
TRUE, Lost_Customers_name)</f>
        <v>Best Customers</v>
      </c>
    </row>
    <row r="261" spans="1:10" x14ac:dyDescent="0.25">
      <c r="A261" s="25" t="str">
        <v>CUST_0254</v>
      </c>
      <c r="B261" s="16">
        <f t="shared" si="15"/>
        <v>72</v>
      </c>
      <c r="C261" s="16">
        <f t="shared" si="16"/>
        <v>1</v>
      </c>
      <c r="D261" s="17">
        <f t="shared" si="17"/>
        <v>103.36</v>
      </c>
      <c r="E261" s="18" cm="1">
        <f t="array" ref="E261">_xlfn.IFS(
B261&lt;=recencyQ1, 4,
B261&lt;=recencyQ2, 3,
B261&lt;=recencyQ3, 2,
TRUE, 1
)</f>
        <v>2</v>
      </c>
      <c r="F261" s="18" cm="1">
        <f t="array" ref="F261">_xlfn.IFS(
C261&lt;=frequencyQ1, 1,
C261&lt;=frequencyQ2, 2,
C261&lt;=frequencyQ3, 3,
TRUE, 4)</f>
        <v>1</v>
      </c>
      <c r="G261" s="18" cm="1">
        <f t="array" ref="G261">_xlfn.IFS(
D261&lt;=monetaryQ1, 1,
D261&lt;=monetaryQ2, 2,
D261&lt;=monetaryQ3, 3,
TRUE, 4)</f>
        <v>1</v>
      </c>
      <c r="H261" s="18" t="str">
        <f t="shared" si="18"/>
        <v>211</v>
      </c>
      <c r="I261" s="19">
        <f t="shared" si="19"/>
        <v>1.3333333333333333</v>
      </c>
      <c r="J261" s="7" t="str" cm="1">
        <f t="array" ref="J261">_xlfn.IFS(
I261&gt;=Best_Customers, Best_Customers_name,
I261&gt;=Loyal_Customers, Loyal_Customers_name,
I261&gt;=Average_Customers, Average_Customers_name,
TRUE, Lost_Customers_name)</f>
        <v>Lost Customers</v>
      </c>
    </row>
    <row r="262" spans="1:10" x14ac:dyDescent="0.25">
      <c r="A262" s="25" t="str">
        <v>CUST_0255</v>
      </c>
      <c r="B262" s="16">
        <f t="shared" si="15"/>
        <v>71</v>
      </c>
      <c r="C262" s="16">
        <f t="shared" si="16"/>
        <v>4</v>
      </c>
      <c r="D262" s="17">
        <f t="shared" si="17"/>
        <v>392.7</v>
      </c>
      <c r="E262" s="18" cm="1">
        <f t="array" ref="E262">_xlfn.IFS(
B262&lt;=recencyQ1, 4,
B262&lt;=recencyQ2, 3,
B262&lt;=recencyQ3, 2,
TRUE, 1
)</f>
        <v>2</v>
      </c>
      <c r="F262" s="18" cm="1">
        <f t="array" ref="F262">_xlfn.IFS(
C262&lt;=frequencyQ1, 1,
C262&lt;=frequencyQ2, 2,
C262&lt;=frequencyQ3, 3,
TRUE, 4)</f>
        <v>2</v>
      </c>
      <c r="G262" s="18" cm="1">
        <f t="array" ref="G262">_xlfn.IFS(
D262&lt;=monetaryQ1, 1,
D262&lt;=monetaryQ2, 2,
D262&lt;=monetaryQ3, 3,
TRUE, 4)</f>
        <v>2</v>
      </c>
      <c r="H262" s="18" t="str">
        <f t="shared" si="18"/>
        <v>222</v>
      </c>
      <c r="I262" s="19">
        <f t="shared" si="19"/>
        <v>2</v>
      </c>
      <c r="J262" s="7" t="str" cm="1">
        <f t="array" ref="J262">_xlfn.IFS(
I262&gt;=Best_Customers, Best_Customers_name,
I262&gt;=Loyal_Customers, Loyal_Customers_name,
I262&gt;=Average_Customers, Average_Customers_name,
TRUE, Lost_Customers_name)</f>
        <v>Average Customers</v>
      </c>
    </row>
    <row r="263" spans="1:10" x14ac:dyDescent="0.25">
      <c r="A263" s="25" t="str">
        <v>CUST_0256</v>
      </c>
      <c r="B263" s="16">
        <f t="shared" si="15"/>
        <v>0</v>
      </c>
      <c r="C263" s="16">
        <f t="shared" si="16"/>
        <v>4</v>
      </c>
      <c r="D263" s="17">
        <f t="shared" si="17"/>
        <v>402.22999999999996</v>
      </c>
      <c r="E263" s="18" cm="1">
        <f t="array" ref="E263">_xlfn.IFS(
B263&lt;=recencyQ1, 4,
B263&lt;=recencyQ2, 3,
B263&lt;=recencyQ3, 2,
TRUE, 1
)</f>
        <v>4</v>
      </c>
      <c r="F263" s="18" cm="1">
        <f t="array" ref="F263">_xlfn.IFS(
C263&lt;=frequencyQ1, 1,
C263&lt;=frequencyQ2, 2,
C263&lt;=frequencyQ3, 3,
TRUE, 4)</f>
        <v>2</v>
      </c>
      <c r="G263" s="18" cm="1">
        <f t="array" ref="G263">_xlfn.IFS(
D263&lt;=monetaryQ1, 1,
D263&lt;=monetaryQ2, 2,
D263&lt;=monetaryQ3, 3,
TRUE, 4)</f>
        <v>2</v>
      </c>
      <c r="H263" s="18" t="str">
        <f t="shared" si="18"/>
        <v>422</v>
      </c>
      <c r="I263" s="19">
        <f t="shared" si="19"/>
        <v>2.6666666666666665</v>
      </c>
      <c r="J263" s="7" t="str" cm="1">
        <f t="array" ref="J263">_xlfn.IFS(
I263&gt;=Best_Customers, Best_Customers_name,
I263&gt;=Loyal_Customers, Loyal_Customers_name,
I263&gt;=Average_Customers, Average_Customers_name,
TRUE, Lost_Customers_name)</f>
        <v>Loyal Customers</v>
      </c>
    </row>
    <row r="264" spans="1:10" x14ac:dyDescent="0.25">
      <c r="A264" s="25" t="str">
        <v>CUST_0257</v>
      </c>
      <c r="B264" s="16">
        <f t="shared" si="15"/>
        <v>61</v>
      </c>
      <c r="C264" s="16">
        <f t="shared" si="16"/>
        <v>3</v>
      </c>
      <c r="D264" s="17">
        <f t="shared" si="17"/>
        <v>321.40000000000003</v>
      </c>
      <c r="E264" s="18" cm="1">
        <f t="array" ref="E264">_xlfn.IFS(
B264&lt;=recencyQ1, 4,
B264&lt;=recencyQ2, 3,
B264&lt;=recencyQ3, 2,
TRUE, 1
)</f>
        <v>2</v>
      </c>
      <c r="F264" s="18" cm="1">
        <f t="array" ref="F264">_xlfn.IFS(
C264&lt;=frequencyQ1, 1,
C264&lt;=frequencyQ2, 2,
C264&lt;=frequencyQ3, 3,
TRUE, 4)</f>
        <v>1</v>
      </c>
      <c r="G264" s="18" cm="1">
        <f t="array" ref="G264">_xlfn.IFS(
D264&lt;=monetaryQ1, 1,
D264&lt;=monetaryQ2, 2,
D264&lt;=monetaryQ3, 3,
TRUE, 4)</f>
        <v>2</v>
      </c>
      <c r="H264" s="18" t="str">
        <f t="shared" si="18"/>
        <v>212</v>
      </c>
      <c r="I264" s="19">
        <f t="shared" si="19"/>
        <v>1.6666666666666667</v>
      </c>
      <c r="J264" s="7" t="str" cm="1">
        <f t="array" ref="J264">_xlfn.IFS(
I264&gt;=Best_Customers, Best_Customers_name,
I264&gt;=Loyal_Customers, Loyal_Customers_name,
I264&gt;=Average_Customers, Average_Customers_name,
TRUE, Lost_Customers_name)</f>
        <v>Average Customers</v>
      </c>
    </row>
    <row r="265" spans="1:10" x14ac:dyDescent="0.25">
      <c r="A265" s="25" t="str">
        <v>CUST_0258</v>
      </c>
      <c r="B265" s="16">
        <f t="shared" si="15"/>
        <v>55</v>
      </c>
      <c r="C265" s="16">
        <f t="shared" si="16"/>
        <v>6</v>
      </c>
      <c r="D265" s="17">
        <f t="shared" si="17"/>
        <v>500.83</v>
      </c>
      <c r="E265" s="18" cm="1">
        <f t="array" ref="E265">_xlfn.IFS(
B265&lt;=recencyQ1, 4,
B265&lt;=recencyQ2, 3,
B265&lt;=recencyQ3, 2,
TRUE, 1
)</f>
        <v>2</v>
      </c>
      <c r="F265" s="18" cm="1">
        <f t="array" ref="F265">_xlfn.IFS(
C265&lt;=frequencyQ1, 1,
C265&lt;=frequencyQ2, 2,
C265&lt;=frequencyQ3, 3,
TRUE, 4)</f>
        <v>3</v>
      </c>
      <c r="G265" s="18" cm="1">
        <f t="array" ref="G265">_xlfn.IFS(
D265&lt;=monetaryQ1, 1,
D265&lt;=monetaryQ2, 2,
D265&lt;=monetaryQ3, 3,
TRUE, 4)</f>
        <v>3</v>
      </c>
      <c r="H265" s="18" t="str">
        <f t="shared" si="18"/>
        <v>233</v>
      </c>
      <c r="I265" s="19">
        <f t="shared" si="19"/>
        <v>2.6666666666666665</v>
      </c>
      <c r="J265" s="7" t="str" cm="1">
        <f t="array" ref="J265">_xlfn.IFS(
I265&gt;=Best_Customers, Best_Customers_name,
I265&gt;=Loyal_Customers, Loyal_Customers_name,
I265&gt;=Average_Customers, Average_Customers_name,
TRUE, Lost_Customers_name)</f>
        <v>Loyal Customers</v>
      </c>
    </row>
    <row r="266" spans="1:10" x14ac:dyDescent="0.25">
      <c r="A266" s="25" t="str">
        <v>CUST_0259</v>
      </c>
      <c r="B266" s="16">
        <f t="shared" ref="B266:B329" si="20">analysis_date-_xlfn.MAXIFS(transaction_date,customer_id,A266,included,1)</f>
        <v>16</v>
      </c>
      <c r="C266" s="16">
        <f t="shared" ref="C266:C329" si="21">COUNTIFS(customer_id,A266,included,1)</f>
        <v>6</v>
      </c>
      <c r="D266" s="17">
        <f t="shared" ref="D266:D329" si="22">SUMIFS(transaction_amount,customer_id,A266,included,1)</f>
        <v>553.16000000000008</v>
      </c>
      <c r="E266" s="18" cm="1">
        <f t="array" ref="E266">_xlfn.IFS(
B266&lt;=recencyQ1, 4,
B266&lt;=recencyQ2, 3,
B266&lt;=recencyQ3, 2,
TRUE, 1
)</f>
        <v>4</v>
      </c>
      <c r="F266" s="18" cm="1">
        <f t="array" ref="F266">_xlfn.IFS(
C266&lt;=frequencyQ1, 1,
C266&lt;=frequencyQ2, 2,
C266&lt;=frequencyQ3, 3,
TRUE, 4)</f>
        <v>3</v>
      </c>
      <c r="G266" s="18" cm="1">
        <f t="array" ref="G266">_xlfn.IFS(
D266&lt;=monetaryQ1, 1,
D266&lt;=monetaryQ2, 2,
D266&lt;=monetaryQ3, 3,
TRUE, 4)</f>
        <v>3</v>
      </c>
      <c r="H266" s="18" t="str">
        <f t="shared" ref="H266:H329" si="23">E266&amp;F266&amp;G266</f>
        <v>433</v>
      </c>
      <c r="I266" s="19">
        <f t="shared" ref="I266:I329" si="24">AVERAGE(E266:G266)</f>
        <v>3.3333333333333335</v>
      </c>
      <c r="J266" s="7" t="str" cm="1">
        <f t="array" ref="J266">_xlfn.IFS(
I266&gt;=Best_Customers, Best_Customers_name,
I266&gt;=Loyal_Customers, Loyal_Customers_name,
I266&gt;=Average_Customers, Average_Customers_name,
TRUE, Lost_Customers_name)</f>
        <v>Loyal Customers</v>
      </c>
    </row>
    <row r="267" spans="1:10" x14ac:dyDescent="0.25">
      <c r="A267" s="25" t="str">
        <v>CUST_0260</v>
      </c>
      <c r="B267" s="16">
        <f t="shared" si="20"/>
        <v>76</v>
      </c>
      <c r="C267" s="16">
        <f t="shared" si="21"/>
        <v>8</v>
      </c>
      <c r="D267" s="17">
        <f t="shared" si="22"/>
        <v>963.19999999999982</v>
      </c>
      <c r="E267" s="18" cm="1">
        <f t="array" ref="E267">_xlfn.IFS(
B267&lt;=recencyQ1, 4,
B267&lt;=recencyQ2, 3,
B267&lt;=recencyQ3, 2,
TRUE, 1
)</f>
        <v>2</v>
      </c>
      <c r="F267" s="18" cm="1">
        <f t="array" ref="F267">_xlfn.IFS(
C267&lt;=frequencyQ1, 1,
C267&lt;=frequencyQ2, 2,
C267&lt;=frequencyQ3, 3,
TRUE, 4)</f>
        <v>4</v>
      </c>
      <c r="G267" s="18" cm="1">
        <f t="array" ref="G267">_xlfn.IFS(
D267&lt;=monetaryQ1, 1,
D267&lt;=monetaryQ2, 2,
D267&lt;=monetaryQ3, 3,
TRUE, 4)</f>
        <v>4</v>
      </c>
      <c r="H267" s="18" t="str">
        <f t="shared" si="23"/>
        <v>244</v>
      </c>
      <c r="I267" s="19">
        <f t="shared" si="24"/>
        <v>3.3333333333333335</v>
      </c>
      <c r="J267" s="7" t="str" cm="1">
        <f t="array" ref="J267">_xlfn.IFS(
I267&gt;=Best_Customers, Best_Customers_name,
I267&gt;=Loyal_Customers, Loyal_Customers_name,
I267&gt;=Average_Customers, Average_Customers_name,
TRUE, Lost_Customers_name)</f>
        <v>Loyal Customers</v>
      </c>
    </row>
    <row r="268" spans="1:10" x14ac:dyDescent="0.25">
      <c r="A268" s="25" t="str">
        <v>CUST_0261</v>
      </c>
      <c r="B268" s="16">
        <f t="shared" si="20"/>
        <v>25</v>
      </c>
      <c r="C268" s="16">
        <f t="shared" si="21"/>
        <v>5</v>
      </c>
      <c r="D268" s="17">
        <f t="shared" si="22"/>
        <v>589.19999999999993</v>
      </c>
      <c r="E268" s="18" cm="1">
        <f t="array" ref="E268">_xlfn.IFS(
B268&lt;=recencyQ1, 4,
B268&lt;=recencyQ2, 3,
B268&lt;=recencyQ3, 2,
TRUE, 1
)</f>
        <v>3</v>
      </c>
      <c r="F268" s="18" cm="1">
        <f t="array" ref="F268">_xlfn.IFS(
C268&lt;=frequencyQ1, 1,
C268&lt;=frequencyQ2, 2,
C268&lt;=frequencyQ3, 3,
TRUE, 4)</f>
        <v>2</v>
      </c>
      <c r="G268" s="18" cm="1">
        <f t="array" ref="G268">_xlfn.IFS(
D268&lt;=monetaryQ1, 1,
D268&lt;=monetaryQ2, 2,
D268&lt;=monetaryQ3, 3,
TRUE, 4)</f>
        <v>3</v>
      </c>
      <c r="H268" s="18" t="str">
        <f t="shared" si="23"/>
        <v>323</v>
      </c>
      <c r="I268" s="19">
        <f t="shared" si="24"/>
        <v>2.6666666666666665</v>
      </c>
      <c r="J268" s="7" t="str" cm="1">
        <f t="array" ref="J268">_xlfn.IFS(
I268&gt;=Best_Customers, Best_Customers_name,
I268&gt;=Loyal_Customers, Loyal_Customers_name,
I268&gt;=Average_Customers, Average_Customers_name,
TRUE, Lost_Customers_name)</f>
        <v>Loyal Customers</v>
      </c>
    </row>
    <row r="269" spans="1:10" x14ac:dyDescent="0.25">
      <c r="A269" s="25" t="str">
        <v>CUST_0262</v>
      </c>
      <c r="B269" s="16">
        <f t="shared" si="20"/>
        <v>83</v>
      </c>
      <c r="C269" s="16">
        <f t="shared" si="21"/>
        <v>4</v>
      </c>
      <c r="D269" s="17">
        <f t="shared" si="22"/>
        <v>359.45</v>
      </c>
      <c r="E269" s="18" cm="1">
        <f t="array" ref="E269">_xlfn.IFS(
B269&lt;=recencyQ1, 4,
B269&lt;=recencyQ2, 3,
B269&lt;=recencyQ3, 2,
TRUE, 1
)</f>
        <v>2</v>
      </c>
      <c r="F269" s="18" cm="1">
        <f t="array" ref="F269">_xlfn.IFS(
C269&lt;=frequencyQ1, 1,
C269&lt;=frequencyQ2, 2,
C269&lt;=frequencyQ3, 3,
TRUE, 4)</f>
        <v>2</v>
      </c>
      <c r="G269" s="18" cm="1">
        <f t="array" ref="G269">_xlfn.IFS(
D269&lt;=monetaryQ1, 1,
D269&lt;=monetaryQ2, 2,
D269&lt;=monetaryQ3, 3,
TRUE, 4)</f>
        <v>2</v>
      </c>
      <c r="H269" s="18" t="str">
        <f t="shared" si="23"/>
        <v>222</v>
      </c>
      <c r="I269" s="19">
        <f t="shared" si="24"/>
        <v>2</v>
      </c>
      <c r="J269" s="7" t="str" cm="1">
        <f t="array" ref="J269">_xlfn.IFS(
I269&gt;=Best_Customers, Best_Customers_name,
I269&gt;=Loyal_Customers, Loyal_Customers_name,
I269&gt;=Average_Customers, Average_Customers_name,
TRUE, Lost_Customers_name)</f>
        <v>Average Customers</v>
      </c>
    </row>
    <row r="270" spans="1:10" x14ac:dyDescent="0.25">
      <c r="A270" s="25" t="str">
        <v>CUST_0263</v>
      </c>
      <c r="B270" s="16">
        <f t="shared" si="20"/>
        <v>1</v>
      </c>
      <c r="C270" s="16">
        <f t="shared" si="21"/>
        <v>6</v>
      </c>
      <c r="D270" s="17">
        <f t="shared" si="22"/>
        <v>617.04999999999995</v>
      </c>
      <c r="E270" s="18" cm="1">
        <f t="array" ref="E270">_xlfn.IFS(
B270&lt;=recencyQ1, 4,
B270&lt;=recencyQ2, 3,
B270&lt;=recencyQ3, 2,
TRUE, 1
)</f>
        <v>4</v>
      </c>
      <c r="F270" s="18" cm="1">
        <f t="array" ref="F270">_xlfn.IFS(
C270&lt;=frequencyQ1, 1,
C270&lt;=frequencyQ2, 2,
C270&lt;=frequencyQ3, 3,
TRUE, 4)</f>
        <v>3</v>
      </c>
      <c r="G270" s="18" cm="1">
        <f t="array" ref="G270">_xlfn.IFS(
D270&lt;=monetaryQ1, 1,
D270&lt;=monetaryQ2, 2,
D270&lt;=monetaryQ3, 3,
TRUE, 4)</f>
        <v>3</v>
      </c>
      <c r="H270" s="18" t="str">
        <f t="shared" si="23"/>
        <v>433</v>
      </c>
      <c r="I270" s="19">
        <f t="shared" si="24"/>
        <v>3.3333333333333335</v>
      </c>
      <c r="J270" s="7" t="str" cm="1">
        <f t="array" ref="J270">_xlfn.IFS(
I270&gt;=Best_Customers, Best_Customers_name,
I270&gt;=Loyal_Customers, Loyal_Customers_name,
I270&gt;=Average_Customers, Average_Customers_name,
TRUE, Lost_Customers_name)</f>
        <v>Loyal Customers</v>
      </c>
    </row>
    <row r="271" spans="1:10" x14ac:dyDescent="0.25">
      <c r="A271" s="25" t="str">
        <v>CUST_0264</v>
      </c>
      <c r="B271" s="16">
        <f t="shared" si="20"/>
        <v>44</v>
      </c>
      <c r="C271" s="16">
        <f t="shared" si="21"/>
        <v>4</v>
      </c>
      <c r="D271" s="17">
        <f t="shared" si="22"/>
        <v>355.49</v>
      </c>
      <c r="E271" s="18" cm="1">
        <f t="array" ref="E271">_xlfn.IFS(
B271&lt;=recencyQ1, 4,
B271&lt;=recencyQ2, 3,
B271&lt;=recencyQ3, 2,
TRUE, 1
)</f>
        <v>3</v>
      </c>
      <c r="F271" s="18" cm="1">
        <f t="array" ref="F271">_xlfn.IFS(
C271&lt;=frequencyQ1, 1,
C271&lt;=frequencyQ2, 2,
C271&lt;=frequencyQ3, 3,
TRUE, 4)</f>
        <v>2</v>
      </c>
      <c r="G271" s="18" cm="1">
        <f t="array" ref="G271">_xlfn.IFS(
D271&lt;=monetaryQ1, 1,
D271&lt;=monetaryQ2, 2,
D271&lt;=monetaryQ3, 3,
TRUE, 4)</f>
        <v>2</v>
      </c>
      <c r="H271" s="18" t="str">
        <f t="shared" si="23"/>
        <v>322</v>
      </c>
      <c r="I271" s="19">
        <f t="shared" si="24"/>
        <v>2.3333333333333335</v>
      </c>
      <c r="J271" s="7" t="str" cm="1">
        <f t="array" ref="J271">_xlfn.IFS(
I271&gt;=Best_Customers, Best_Customers_name,
I271&gt;=Loyal_Customers, Loyal_Customers_name,
I271&gt;=Average_Customers, Average_Customers_name,
TRUE, Lost_Customers_name)</f>
        <v>Average Customers</v>
      </c>
    </row>
    <row r="272" spans="1:10" x14ac:dyDescent="0.25">
      <c r="A272" s="25" t="str">
        <v>CUST_0265</v>
      </c>
      <c r="B272" s="16">
        <f t="shared" si="20"/>
        <v>119</v>
      </c>
      <c r="C272" s="16">
        <f t="shared" si="21"/>
        <v>3</v>
      </c>
      <c r="D272" s="17">
        <f t="shared" si="22"/>
        <v>268.73</v>
      </c>
      <c r="E272" s="18" cm="1">
        <f t="array" ref="E272">_xlfn.IFS(
B272&lt;=recencyQ1, 4,
B272&lt;=recencyQ2, 3,
B272&lt;=recencyQ3, 2,
TRUE, 1
)</f>
        <v>1</v>
      </c>
      <c r="F272" s="18" cm="1">
        <f t="array" ref="F272">_xlfn.IFS(
C272&lt;=frequencyQ1, 1,
C272&lt;=frequencyQ2, 2,
C272&lt;=frequencyQ3, 3,
TRUE, 4)</f>
        <v>1</v>
      </c>
      <c r="G272" s="18" cm="1">
        <f t="array" ref="G272">_xlfn.IFS(
D272&lt;=monetaryQ1, 1,
D272&lt;=monetaryQ2, 2,
D272&lt;=monetaryQ3, 3,
TRUE, 4)</f>
        <v>1</v>
      </c>
      <c r="H272" s="18" t="str">
        <f t="shared" si="23"/>
        <v>111</v>
      </c>
      <c r="I272" s="19">
        <f t="shared" si="24"/>
        <v>1</v>
      </c>
      <c r="J272" s="7" t="str" cm="1">
        <f t="array" ref="J272">_xlfn.IFS(
I272&gt;=Best_Customers, Best_Customers_name,
I272&gt;=Loyal_Customers, Loyal_Customers_name,
I272&gt;=Average_Customers, Average_Customers_name,
TRUE, Lost_Customers_name)</f>
        <v>Lost Customers</v>
      </c>
    </row>
    <row r="273" spans="1:10" x14ac:dyDescent="0.25">
      <c r="A273" s="25" t="str">
        <v>CUST_0266</v>
      </c>
      <c r="B273" s="16">
        <f t="shared" si="20"/>
        <v>275</v>
      </c>
      <c r="C273" s="16">
        <f t="shared" si="21"/>
        <v>3</v>
      </c>
      <c r="D273" s="17">
        <f t="shared" si="22"/>
        <v>275.62</v>
      </c>
      <c r="E273" s="18" cm="1">
        <f t="array" ref="E273">_xlfn.IFS(
B273&lt;=recencyQ1, 4,
B273&lt;=recencyQ2, 3,
B273&lt;=recencyQ3, 2,
TRUE, 1
)</f>
        <v>1</v>
      </c>
      <c r="F273" s="18" cm="1">
        <f t="array" ref="F273">_xlfn.IFS(
C273&lt;=frequencyQ1, 1,
C273&lt;=frequencyQ2, 2,
C273&lt;=frequencyQ3, 3,
TRUE, 4)</f>
        <v>1</v>
      </c>
      <c r="G273" s="18" cm="1">
        <f t="array" ref="G273">_xlfn.IFS(
D273&lt;=monetaryQ1, 1,
D273&lt;=monetaryQ2, 2,
D273&lt;=monetaryQ3, 3,
TRUE, 4)</f>
        <v>1</v>
      </c>
      <c r="H273" s="18" t="str">
        <f t="shared" si="23"/>
        <v>111</v>
      </c>
      <c r="I273" s="19">
        <f t="shared" si="24"/>
        <v>1</v>
      </c>
      <c r="J273" s="7" t="str" cm="1">
        <f t="array" ref="J273">_xlfn.IFS(
I273&gt;=Best_Customers, Best_Customers_name,
I273&gt;=Loyal_Customers, Loyal_Customers_name,
I273&gt;=Average_Customers, Average_Customers_name,
TRUE, Lost_Customers_name)</f>
        <v>Lost Customers</v>
      </c>
    </row>
    <row r="274" spans="1:10" x14ac:dyDescent="0.25">
      <c r="A274" s="25" t="str">
        <v>CUST_0267</v>
      </c>
      <c r="B274" s="16">
        <f t="shared" si="20"/>
        <v>24</v>
      </c>
      <c r="C274" s="16">
        <f t="shared" si="21"/>
        <v>11</v>
      </c>
      <c r="D274" s="17">
        <f t="shared" si="22"/>
        <v>1156.6300000000001</v>
      </c>
      <c r="E274" s="18" cm="1">
        <f t="array" ref="E274">_xlfn.IFS(
B274&lt;=recencyQ1, 4,
B274&lt;=recencyQ2, 3,
B274&lt;=recencyQ3, 2,
TRUE, 1
)</f>
        <v>3</v>
      </c>
      <c r="F274" s="18" cm="1">
        <f t="array" ref="F274">_xlfn.IFS(
C274&lt;=frequencyQ1, 1,
C274&lt;=frequencyQ2, 2,
C274&lt;=frequencyQ3, 3,
TRUE, 4)</f>
        <v>4</v>
      </c>
      <c r="G274" s="18" cm="1">
        <f t="array" ref="G274">_xlfn.IFS(
D274&lt;=monetaryQ1, 1,
D274&lt;=monetaryQ2, 2,
D274&lt;=monetaryQ3, 3,
TRUE, 4)</f>
        <v>4</v>
      </c>
      <c r="H274" s="18" t="str">
        <f t="shared" si="23"/>
        <v>344</v>
      </c>
      <c r="I274" s="19">
        <f t="shared" si="24"/>
        <v>3.6666666666666665</v>
      </c>
      <c r="J274" s="7" t="str" cm="1">
        <f t="array" ref="J274">_xlfn.IFS(
I274&gt;=Best_Customers, Best_Customers_name,
I274&gt;=Loyal_Customers, Loyal_Customers_name,
I274&gt;=Average_Customers, Average_Customers_name,
TRUE, Lost_Customers_name)</f>
        <v>Best Customers</v>
      </c>
    </row>
    <row r="275" spans="1:10" x14ac:dyDescent="0.25">
      <c r="A275" s="25" t="str">
        <v>CUST_0268</v>
      </c>
      <c r="B275" s="16">
        <f t="shared" si="20"/>
        <v>172</v>
      </c>
      <c r="C275" s="16">
        <f t="shared" si="21"/>
        <v>2</v>
      </c>
      <c r="D275" s="17">
        <f t="shared" si="22"/>
        <v>224.24</v>
      </c>
      <c r="E275" s="18" cm="1">
        <f t="array" ref="E275">_xlfn.IFS(
B275&lt;=recencyQ1, 4,
B275&lt;=recencyQ2, 3,
B275&lt;=recencyQ3, 2,
TRUE, 1
)</f>
        <v>1</v>
      </c>
      <c r="F275" s="18" cm="1">
        <f t="array" ref="F275">_xlfn.IFS(
C275&lt;=frequencyQ1, 1,
C275&lt;=frequencyQ2, 2,
C275&lt;=frequencyQ3, 3,
TRUE, 4)</f>
        <v>1</v>
      </c>
      <c r="G275" s="18" cm="1">
        <f t="array" ref="G275">_xlfn.IFS(
D275&lt;=monetaryQ1, 1,
D275&lt;=monetaryQ2, 2,
D275&lt;=monetaryQ3, 3,
TRUE, 4)</f>
        <v>1</v>
      </c>
      <c r="H275" s="18" t="str">
        <f t="shared" si="23"/>
        <v>111</v>
      </c>
      <c r="I275" s="19">
        <f t="shared" si="24"/>
        <v>1</v>
      </c>
      <c r="J275" s="7" t="str" cm="1">
        <f t="array" ref="J275">_xlfn.IFS(
I275&gt;=Best_Customers, Best_Customers_name,
I275&gt;=Loyal_Customers, Loyal_Customers_name,
I275&gt;=Average_Customers, Average_Customers_name,
TRUE, Lost_Customers_name)</f>
        <v>Lost Customers</v>
      </c>
    </row>
    <row r="276" spans="1:10" x14ac:dyDescent="0.25">
      <c r="A276" s="25" t="str">
        <v>CUST_0269</v>
      </c>
      <c r="B276" s="16">
        <f t="shared" si="20"/>
        <v>25</v>
      </c>
      <c r="C276" s="16">
        <f t="shared" si="21"/>
        <v>6</v>
      </c>
      <c r="D276" s="17">
        <f t="shared" si="22"/>
        <v>532.04</v>
      </c>
      <c r="E276" s="18" cm="1">
        <f t="array" ref="E276">_xlfn.IFS(
B276&lt;=recencyQ1, 4,
B276&lt;=recencyQ2, 3,
B276&lt;=recencyQ3, 2,
TRUE, 1
)</f>
        <v>3</v>
      </c>
      <c r="F276" s="18" cm="1">
        <f t="array" ref="F276">_xlfn.IFS(
C276&lt;=frequencyQ1, 1,
C276&lt;=frequencyQ2, 2,
C276&lt;=frequencyQ3, 3,
TRUE, 4)</f>
        <v>3</v>
      </c>
      <c r="G276" s="18" cm="1">
        <f t="array" ref="G276">_xlfn.IFS(
D276&lt;=monetaryQ1, 1,
D276&lt;=monetaryQ2, 2,
D276&lt;=monetaryQ3, 3,
TRUE, 4)</f>
        <v>3</v>
      </c>
      <c r="H276" s="18" t="str">
        <f t="shared" si="23"/>
        <v>333</v>
      </c>
      <c r="I276" s="19">
        <f t="shared" si="24"/>
        <v>3</v>
      </c>
      <c r="J276" s="7" t="str" cm="1">
        <f t="array" ref="J276">_xlfn.IFS(
I276&gt;=Best_Customers, Best_Customers_name,
I276&gt;=Loyal_Customers, Loyal_Customers_name,
I276&gt;=Average_Customers, Average_Customers_name,
TRUE, Lost_Customers_name)</f>
        <v>Loyal Customers</v>
      </c>
    </row>
    <row r="277" spans="1:10" x14ac:dyDescent="0.25">
      <c r="A277" s="25" t="str">
        <v>CUST_0270</v>
      </c>
      <c r="B277" s="16">
        <f t="shared" si="20"/>
        <v>117</v>
      </c>
      <c r="C277" s="16">
        <f t="shared" si="21"/>
        <v>4</v>
      </c>
      <c r="D277" s="17">
        <f t="shared" si="22"/>
        <v>426.67</v>
      </c>
      <c r="E277" s="18" cm="1">
        <f t="array" ref="E277">_xlfn.IFS(
B277&lt;=recencyQ1, 4,
B277&lt;=recencyQ2, 3,
B277&lt;=recencyQ3, 2,
TRUE, 1
)</f>
        <v>1</v>
      </c>
      <c r="F277" s="18" cm="1">
        <f t="array" ref="F277">_xlfn.IFS(
C277&lt;=frequencyQ1, 1,
C277&lt;=frequencyQ2, 2,
C277&lt;=frequencyQ3, 3,
TRUE, 4)</f>
        <v>2</v>
      </c>
      <c r="G277" s="18" cm="1">
        <f t="array" ref="G277">_xlfn.IFS(
D277&lt;=monetaryQ1, 1,
D277&lt;=monetaryQ2, 2,
D277&lt;=monetaryQ3, 3,
TRUE, 4)</f>
        <v>2</v>
      </c>
      <c r="H277" s="18" t="str">
        <f t="shared" si="23"/>
        <v>122</v>
      </c>
      <c r="I277" s="19">
        <f t="shared" si="24"/>
        <v>1.6666666666666667</v>
      </c>
      <c r="J277" s="7" t="str" cm="1">
        <f t="array" ref="J277">_xlfn.IFS(
I277&gt;=Best_Customers, Best_Customers_name,
I277&gt;=Loyal_Customers, Loyal_Customers_name,
I277&gt;=Average_Customers, Average_Customers_name,
TRUE, Lost_Customers_name)</f>
        <v>Average Customers</v>
      </c>
    </row>
    <row r="278" spans="1:10" x14ac:dyDescent="0.25">
      <c r="A278" s="25" t="str">
        <v>CUST_0271</v>
      </c>
      <c r="B278" s="16">
        <f t="shared" si="20"/>
        <v>137</v>
      </c>
      <c r="C278" s="16">
        <f t="shared" si="21"/>
        <v>3</v>
      </c>
      <c r="D278" s="17">
        <f t="shared" si="22"/>
        <v>297.52999999999997</v>
      </c>
      <c r="E278" s="18" cm="1">
        <f t="array" ref="E278">_xlfn.IFS(
B278&lt;=recencyQ1, 4,
B278&lt;=recencyQ2, 3,
B278&lt;=recencyQ3, 2,
TRUE, 1
)</f>
        <v>1</v>
      </c>
      <c r="F278" s="18" cm="1">
        <f t="array" ref="F278">_xlfn.IFS(
C278&lt;=frequencyQ1, 1,
C278&lt;=frequencyQ2, 2,
C278&lt;=frequencyQ3, 3,
TRUE, 4)</f>
        <v>1</v>
      </c>
      <c r="G278" s="18" cm="1">
        <f t="array" ref="G278">_xlfn.IFS(
D278&lt;=monetaryQ1, 1,
D278&lt;=monetaryQ2, 2,
D278&lt;=monetaryQ3, 3,
TRUE, 4)</f>
        <v>1</v>
      </c>
      <c r="H278" s="18" t="str">
        <f t="shared" si="23"/>
        <v>111</v>
      </c>
      <c r="I278" s="19">
        <f t="shared" si="24"/>
        <v>1</v>
      </c>
      <c r="J278" s="7" t="str" cm="1">
        <f t="array" ref="J278">_xlfn.IFS(
I278&gt;=Best_Customers, Best_Customers_name,
I278&gt;=Loyal_Customers, Loyal_Customers_name,
I278&gt;=Average_Customers, Average_Customers_name,
TRUE, Lost_Customers_name)</f>
        <v>Lost Customers</v>
      </c>
    </row>
    <row r="279" spans="1:10" x14ac:dyDescent="0.25">
      <c r="A279" s="25" t="str">
        <v>CUST_0272</v>
      </c>
      <c r="B279" s="16">
        <f t="shared" si="20"/>
        <v>17</v>
      </c>
      <c r="C279" s="16">
        <f t="shared" si="21"/>
        <v>8</v>
      </c>
      <c r="D279" s="17">
        <f t="shared" si="22"/>
        <v>886.33</v>
      </c>
      <c r="E279" s="18" cm="1">
        <f t="array" ref="E279">_xlfn.IFS(
B279&lt;=recencyQ1, 4,
B279&lt;=recencyQ2, 3,
B279&lt;=recencyQ3, 2,
TRUE, 1
)</f>
        <v>4</v>
      </c>
      <c r="F279" s="18" cm="1">
        <f t="array" ref="F279">_xlfn.IFS(
C279&lt;=frequencyQ1, 1,
C279&lt;=frequencyQ2, 2,
C279&lt;=frequencyQ3, 3,
TRUE, 4)</f>
        <v>4</v>
      </c>
      <c r="G279" s="18" cm="1">
        <f t="array" ref="G279">_xlfn.IFS(
D279&lt;=monetaryQ1, 1,
D279&lt;=monetaryQ2, 2,
D279&lt;=monetaryQ3, 3,
TRUE, 4)</f>
        <v>4</v>
      </c>
      <c r="H279" s="18" t="str">
        <f t="shared" si="23"/>
        <v>444</v>
      </c>
      <c r="I279" s="19">
        <f t="shared" si="24"/>
        <v>4</v>
      </c>
      <c r="J279" s="7" t="str" cm="1">
        <f t="array" ref="J279">_xlfn.IFS(
I279&gt;=Best_Customers, Best_Customers_name,
I279&gt;=Loyal_Customers, Loyal_Customers_name,
I279&gt;=Average_Customers, Average_Customers_name,
TRUE, Lost_Customers_name)</f>
        <v>Best Customers</v>
      </c>
    </row>
    <row r="280" spans="1:10" x14ac:dyDescent="0.25">
      <c r="A280" s="25" t="str">
        <v>CUST_0273</v>
      </c>
      <c r="B280" s="16">
        <f t="shared" si="20"/>
        <v>11</v>
      </c>
      <c r="C280" s="16">
        <f t="shared" si="21"/>
        <v>4</v>
      </c>
      <c r="D280" s="17">
        <f t="shared" si="22"/>
        <v>382.96</v>
      </c>
      <c r="E280" s="18" cm="1">
        <f t="array" ref="E280">_xlfn.IFS(
B280&lt;=recencyQ1, 4,
B280&lt;=recencyQ2, 3,
B280&lt;=recencyQ3, 2,
TRUE, 1
)</f>
        <v>4</v>
      </c>
      <c r="F280" s="18" cm="1">
        <f t="array" ref="F280">_xlfn.IFS(
C280&lt;=frequencyQ1, 1,
C280&lt;=frequencyQ2, 2,
C280&lt;=frequencyQ3, 3,
TRUE, 4)</f>
        <v>2</v>
      </c>
      <c r="G280" s="18" cm="1">
        <f t="array" ref="G280">_xlfn.IFS(
D280&lt;=monetaryQ1, 1,
D280&lt;=monetaryQ2, 2,
D280&lt;=monetaryQ3, 3,
TRUE, 4)</f>
        <v>2</v>
      </c>
      <c r="H280" s="18" t="str">
        <f t="shared" si="23"/>
        <v>422</v>
      </c>
      <c r="I280" s="19">
        <f t="shared" si="24"/>
        <v>2.6666666666666665</v>
      </c>
      <c r="J280" s="7" t="str" cm="1">
        <f t="array" ref="J280">_xlfn.IFS(
I280&gt;=Best_Customers, Best_Customers_name,
I280&gt;=Loyal_Customers, Loyal_Customers_name,
I280&gt;=Average_Customers, Average_Customers_name,
TRUE, Lost_Customers_name)</f>
        <v>Loyal Customers</v>
      </c>
    </row>
    <row r="281" spans="1:10" x14ac:dyDescent="0.25">
      <c r="A281" s="25" t="str">
        <v>CUST_0274</v>
      </c>
      <c r="B281" s="16">
        <f t="shared" si="20"/>
        <v>213</v>
      </c>
      <c r="C281" s="16">
        <f t="shared" si="21"/>
        <v>2</v>
      </c>
      <c r="D281" s="17">
        <f t="shared" si="22"/>
        <v>262.07</v>
      </c>
      <c r="E281" s="18" cm="1">
        <f t="array" ref="E281">_xlfn.IFS(
B281&lt;=recencyQ1, 4,
B281&lt;=recencyQ2, 3,
B281&lt;=recencyQ3, 2,
TRUE, 1
)</f>
        <v>1</v>
      </c>
      <c r="F281" s="18" cm="1">
        <f t="array" ref="F281">_xlfn.IFS(
C281&lt;=frequencyQ1, 1,
C281&lt;=frequencyQ2, 2,
C281&lt;=frequencyQ3, 3,
TRUE, 4)</f>
        <v>1</v>
      </c>
      <c r="G281" s="18" cm="1">
        <f t="array" ref="G281">_xlfn.IFS(
D281&lt;=monetaryQ1, 1,
D281&lt;=monetaryQ2, 2,
D281&lt;=monetaryQ3, 3,
TRUE, 4)</f>
        <v>1</v>
      </c>
      <c r="H281" s="18" t="str">
        <f t="shared" si="23"/>
        <v>111</v>
      </c>
      <c r="I281" s="19">
        <f t="shared" si="24"/>
        <v>1</v>
      </c>
      <c r="J281" s="7" t="str" cm="1">
        <f t="array" ref="J281">_xlfn.IFS(
I281&gt;=Best_Customers, Best_Customers_name,
I281&gt;=Loyal_Customers, Loyal_Customers_name,
I281&gt;=Average_Customers, Average_Customers_name,
TRUE, Lost_Customers_name)</f>
        <v>Lost Customers</v>
      </c>
    </row>
    <row r="282" spans="1:10" x14ac:dyDescent="0.25">
      <c r="A282" s="25" t="str">
        <v>CUST_0275</v>
      </c>
      <c r="B282" s="16">
        <f t="shared" si="20"/>
        <v>18</v>
      </c>
      <c r="C282" s="16">
        <f t="shared" si="21"/>
        <v>3</v>
      </c>
      <c r="D282" s="17">
        <f t="shared" si="22"/>
        <v>239.97</v>
      </c>
      <c r="E282" s="18" cm="1">
        <f t="array" ref="E282">_xlfn.IFS(
B282&lt;=recencyQ1, 4,
B282&lt;=recencyQ2, 3,
B282&lt;=recencyQ3, 2,
TRUE, 1
)</f>
        <v>4</v>
      </c>
      <c r="F282" s="18" cm="1">
        <f t="array" ref="F282">_xlfn.IFS(
C282&lt;=frequencyQ1, 1,
C282&lt;=frequencyQ2, 2,
C282&lt;=frequencyQ3, 3,
TRUE, 4)</f>
        <v>1</v>
      </c>
      <c r="G282" s="18" cm="1">
        <f t="array" ref="G282">_xlfn.IFS(
D282&lt;=monetaryQ1, 1,
D282&lt;=monetaryQ2, 2,
D282&lt;=monetaryQ3, 3,
TRUE, 4)</f>
        <v>1</v>
      </c>
      <c r="H282" s="18" t="str">
        <f t="shared" si="23"/>
        <v>411</v>
      </c>
      <c r="I282" s="19">
        <f t="shared" si="24"/>
        <v>2</v>
      </c>
      <c r="J282" s="7" t="str" cm="1">
        <f t="array" ref="J282">_xlfn.IFS(
I282&gt;=Best_Customers, Best_Customers_name,
I282&gt;=Loyal_Customers, Loyal_Customers_name,
I282&gt;=Average_Customers, Average_Customers_name,
TRUE, Lost_Customers_name)</f>
        <v>Average Customers</v>
      </c>
    </row>
    <row r="283" spans="1:10" x14ac:dyDescent="0.25">
      <c r="A283" s="25" t="str">
        <v>CUST_0276</v>
      </c>
      <c r="B283" s="16">
        <f t="shared" si="20"/>
        <v>105</v>
      </c>
      <c r="C283" s="16">
        <f t="shared" si="21"/>
        <v>11</v>
      </c>
      <c r="D283" s="17">
        <f t="shared" si="22"/>
        <v>1061.3500000000001</v>
      </c>
      <c r="E283" s="18" cm="1">
        <f t="array" ref="E283">_xlfn.IFS(
B283&lt;=recencyQ1, 4,
B283&lt;=recencyQ2, 3,
B283&lt;=recencyQ3, 2,
TRUE, 1
)</f>
        <v>1</v>
      </c>
      <c r="F283" s="18" cm="1">
        <f t="array" ref="F283">_xlfn.IFS(
C283&lt;=frequencyQ1, 1,
C283&lt;=frequencyQ2, 2,
C283&lt;=frequencyQ3, 3,
TRUE, 4)</f>
        <v>4</v>
      </c>
      <c r="G283" s="18" cm="1">
        <f t="array" ref="G283">_xlfn.IFS(
D283&lt;=monetaryQ1, 1,
D283&lt;=monetaryQ2, 2,
D283&lt;=monetaryQ3, 3,
TRUE, 4)</f>
        <v>4</v>
      </c>
      <c r="H283" s="18" t="str">
        <f t="shared" si="23"/>
        <v>144</v>
      </c>
      <c r="I283" s="19">
        <f t="shared" si="24"/>
        <v>3</v>
      </c>
      <c r="J283" s="7" t="str" cm="1">
        <f t="array" ref="J283">_xlfn.IFS(
I283&gt;=Best_Customers, Best_Customers_name,
I283&gt;=Loyal_Customers, Loyal_Customers_name,
I283&gt;=Average_Customers, Average_Customers_name,
TRUE, Lost_Customers_name)</f>
        <v>Loyal Customers</v>
      </c>
    </row>
    <row r="284" spans="1:10" x14ac:dyDescent="0.25">
      <c r="A284" s="25" t="str">
        <v>CUST_0277</v>
      </c>
      <c r="B284" s="16">
        <f t="shared" si="20"/>
        <v>38</v>
      </c>
      <c r="C284" s="16">
        <f t="shared" si="21"/>
        <v>4</v>
      </c>
      <c r="D284" s="17">
        <f t="shared" si="22"/>
        <v>274.07</v>
      </c>
      <c r="E284" s="18" cm="1">
        <f t="array" ref="E284">_xlfn.IFS(
B284&lt;=recencyQ1, 4,
B284&lt;=recencyQ2, 3,
B284&lt;=recencyQ3, 2,
TRUE, 1
)</f>
        <v>3</v>
      </c>
      <c r="F284" s="18" cm="1">
        <f t="array" ref="F284">_xlfn.IFS(
C284&lt;=frequencyQ1, 1,
C284&lt;=frequencyQ2, 2,
C284&lt;=frequencyQ3, 3,
TRUE, 4)</f>
        <v>2</v>
      </c>
      <c r="G284" s="18" cm="1">
        <f t="array" ref="G284">_xlfn.IFS(
D284&lt;=monetaryQ1, 1,
D284&lt;=monetaryQ2, 2,
D284&lt;=monetaryQ3, 3,
TRUE, 4)</f>
        <v>1</v>
      </c>
      <c r="H284" s="18" t="str">
        <f t="shared" si="23"/>
        <v>321</v>
      </c>
      <c r="I284" s="19">
        <f t="shared" si="24"/>
        <v>2</v>
      </c>
      <c r="J284" s="7" t="str" cm="1">
        <f t="array" ref="J284">_xlfn.IFS(
I284&gt;=Best_Customers, Best_Customers_name,
I284&gt;=Loyal_Customers, Loyal_Customers_name,
I284&gt;=Average_Customers, Average_Customers_name,
TRUE, Lost_Customers_name)</f>
        <v>Average Customers</v>
      </c>
    </row>
    <row r="285" spans="1:10" x14ac:dyDescent="0.25">
      <c r="A285" s="25" t="str">
        <v>CUST_0278</v>
      </c>
      <c r="B285" s="16">
        <f t="shared" si="20"/>
        <v>33</v>
      </c>
      <c r="C285" s="16">
        <f t="shared" si="21"/>
        <v>5</v>
      </c>
      <c r="D285" s="17">
        <f t="shared" si="22"/>
        <v>511.5</v>
      </c>
      <c r="E285" s="18" cm="1">
        <f t="array" ref="E285">_xlfn.IFS(
B285&lt;=recencyQ1, 4,
B285&lt;=recencyQ2, 3,
B285&lt;=recencyQ3, 2,
TRUE, 1
)</f>
        <v>3</v>
      </c>
      <c r="F285" s="18" cm="1">
        <f t="array" ref="F285">_xlfn.IFS(
C285&lt;=frequencyQ1, 1,
C285&lt;=frequencyQ2, 2,
C285&lt;=frequencyQ3, 3,
TRUE, 4)</f>
        <v>2</v>
      </c>
      <c r="G285" s="18" cm="1">
        <f t="array" ref="G285">_xlfn.IFS(
D285&lt;=monetaryQ1, 1,
D285&lt;=monetaryQ2, 2,
D285&lt;=monetaryQ3, 3,
TRUE, 4)</f>
        <v>3</v>
      </c>
      <c r="H285" s="18" t="str">
        <f t="shared" si="23"/>
        <v>323</v>
      </c>
      <c r="I285" s="19">
        <f t="shared" si="24"/>
        <v>2.6666666666666665</v>
      </c>
      <c r="J285" s="7" t="str" cm="1">
        <f t="array" ref="J285">_xlfn.IFS(
I285&gt;=Best_Customers, Best_Customers_name,
I285&gt;=Loyal_Customers, Loyal_Customers_name,
I285&gt;=Average_Customers, Average_Customers_name,
TRUE, Lost_Customers_name)</f>
        <v>Loyal Customers</v>
      </c>
    </row>
    <row r="286" spans="1:10" x14ac:dyDescent="0.25">
      <c r="A286" s="25" t="str">
        <v>CUST_0279</v>
      </c>
      <c r="B286" s="16">
        <f t="shared" si="20"/>
        <v>23</v>
      </c>
      <c r="C286" s="16">
        <f t="shared" si="21"/>
        <v>5</v>
      </c>
      <c r="D286" s="17">
        <f t="shared" si="22"/>
        <v>570.3900000000001</v>
      </c>
      <c r="E286" s="18" cm="1">
        <f t="array" ref="E286">_xlfn.IFS(
B286&lt;=recencyQ1, 4,
B286&lt;=recencyQ2, 3,
B286&lt;=recencyQ3, 2,
TRUE, 1
)</f>
        <v>3</v>
      </c>
      <c r="F286" s="18" cm="1">
        <f t="array" ref="F286">_xlfn.IFS(
C286&lt;=frequencyQ1, 1,
C286&lt;=frequencyQ2, 2,
C286&lt;=frequencyQ3, 3,
TRUE, 4)</f>
        <v>2</v>
      </c>
      <c r="G286" s="18" cm="1">
        <f t="array" ref="G286">_xlfn.IFS(
D286&lt;=monetaryQ1, 1,
D286&lt;=monetaryQ2, 2,
D286&lt;=monetaryQ3, 3,
TRUE, 4)</f>
        <v>3</v>
      </c>
      <c r="H286" s="18" t="str">
        <f t="shared" si="23"/>
        <v>323</v>
      </c>
      <c r="I286" s="19">
        <f t="shared" si="24"/>
        <v>2.6666666666666665</v>
      </c>
      <c r="J286" s="7" t="str" cm="1">
        <f t="array" ref="J286">_xlfn.IFS(
I286&gt;=Best_Customers, Best_Customers_name,
I286&gt;=Loyal_Customers, Loyal_Customers_name,
I286&gt;=Average_Customers, Average_Customers_name,
TRUE, Lost_Customers_name)</f>
        <v>Loyal Customers</v>
      </c>
    </row>
    <row r="287" spans="1:10" x14ac:dyDescent="0.25">
      <c r="A287" s="25" t="str">
        <v>CUST_0280</v>
      </c>
      <c r="B287" s="16">
        <f t="shared" si="20"/>
        <v>142</v>
      </c>
      <c r="C287" s="16">
        <f t="shared" si="21"/>
        <v>4</v>
      </c>
      <c r="D287" s="17">
        <f t="shared" si="22"/>
        <v>394.37</v>
      </c>
      <c r="E287" s="18" cm="1">
        <f t="array" ref="E287">_xlfn.IFS(
B287&lt;=recencyQ1, 4,
B287&lt;=recencyQ2, 3,
B287&lt;=recencyQ3, 2,
TRUE, 1
)</f>
        <v>1</v>
      </c>
      <c r="F287" s="18" cm="1">
        <f t="array" ref="F287">_xlfn.IFS(
C287&lt;=frequencyQ1, 1,
C287&lt;=frequencyQ2, 2,
C287&lt;=frequencyQ3, 3,
TRUE, 4)</f>
        <v>2</v>
      </c>
      <c r="G287" s="18" cm="1">
        <f t="array" ref="G287">_xlfn.IFS(
D287&lt;=monetaryQ1, 1,
D287&lt;=monetaryQ2, 2,
D287&lt;=monetaryQ3, 3,
TRUE, 4)</f>
        <v>2</v>
      </c>
      <c r="H287" s="18" t="str">
        <f t="shared" si="23"/>
        <v>122</v>
      </c>
      <c r="I287" s="19">
        <f t="shared" si="24"/>
        <v>1.6666666666666667</v>
      </c>
      <c r="J287" s="7" t="str" cm="1">
        <f t="array" ref="J287">_xlfn.IFS(
I287&gt;=Best_Customers, Best_Customers_name,
I287&gt;=Loyal_Customers, Loyal_Customers_name,
I287&gt;=Average_Customers, Average_Customers_name,
TRUE, Lost_Customers_name)</f>
        <v>Average Customers</v>
      </c>
    </row>
    <row r="288" spans="1:10" x14ac:dyDescent="0.25">
      <c r="A288" s="25" t="str">
        <v>CUST_0281</v>
      </c>
      <c r="B288" s="16">
        <f t="shared" si="20"/>
        <v>206</v>
      </c>
      <c r="C288" s="16">
        <f t="shared" si="21"/>
        <v>3</v>
      </c>
      <c r="D288" s="17">
        <f t="shared" si="22"/>
        <v>351.58</v>
      </c>
      <c r="E288" s="18" cm="1">
        <f t="array" ref="E288">_xlfn.IFS(
B288&lt;=recencyQ1, 4,
B288&lt;=recencyQ2, 3,
B288&lt;=recencyQ3, 2,
TRUE, 1
)</f>
        <v>1</v>
      </c>
      <c r="F288" s="18" cm="1">
        <f t="array" ref="F288">_xlfn.IFS(
C288&lt;=frequencyQ1, 1,
C288&lt;=frequencyQ2, 2,
C288&lt;=frequencyQ3, 3,
TRUE, 4)</f>
        <v>1</v>
      </c>
      <c r="G288" s="18" cm="1">
        <f t="array" ref="G288">_xlfn.IFS(
D288&lt;=monetaryQ1, 1,
D288&lt;=monetaryQ2, 2,
D288&lt;=monetaryQ3, 3,
TRUE, 4)</f>
        <v>2</v>
      </c>
      <c r="H288" s="18" t="str">
        <f t="shared" si="23"/>
        <v>112</v>
      </c>
      <c r="I288" s="19">
        <f t="shared" si="24"/>
        <v>1.3333333333333333</v>
      </c>
      <c r="J288" s="7" t="str" cm="1">
        <f t="array" ref="J288">_xlfn.IFS(
I288&gt;=Best_Customers, Best_Customers_name,
I288&gt;=Loyal_Customers, Loyal_Customers_name,
I288&gt;=Average_Customers, Average_Customers_name,
TRUE, Lost_Customers_name)</f>
        <v>Lost Customers</v>
      </c>
    </row>
    <row r="289" spans="1:10" x14ac:dyDescent="0.25">
      <c r="A289" s="25" t="str">
        <v>CUST_0282</v>
      </c>
      <c r="B289" s="16">
        <f t="shared" si="20"/>
        <v>1</v>
      </c>
      <c r="C289" s="16">
        <f t="shared" si="21"/>
        <v>6</v>
      </c>
      <c r="D289" s="17">
        <f t="shared" si="22"/>
        <v>526.61</v>
      </c>
      <c r="E289" s="18" cm="1">
        <f t="array" ref="E289">_xlfn.IFS(
B289&lt;=recencyQ1, 4,
B289&lt;=recencyQ2, 3,
B289&lt;=recencyQ3, 2,
TRUE, 1
)</f>
        <v>4</v>
      </c>
      <c r="F289" s="18" cm="1">
        <f t="array" ref="F289">_xlfn.IFS(
C289&lt;=frequencyQ1, 1,
C289&lt;=frequencyQ2, 2,
C289&lt;=frequencyQ3, 3,
TRUE, 4)</f>
        <v>3</v>
      </c>
      <c r="G289" s="18" cm="1">
        <f t="array" ref="G289">_xlfn.IFS(
D289&lt;=monetaryQ1, 1,
D289&lt;=monetaryQ2, 2,
D289&lt;=monetaryQ3, 3,
TRUE, 4)</f>
        <v>3</v>
      </c>
      <c r="H289" s="18" t="str">
        <f t="shared" si="23"/>
        <v>433</v>
      </c>
      <c r="I289" s="19">
        <f t="shared" si="24"/>
        <v>3.3333333333333335</v>
      </c>
      <c r="J289" s="7" t="str" cm="1">
        <f t="array" ref="J289">_xlfn.IFS(
I289&gt;=Best_Customers, Best_Customers_name,
I289&gt;=Loyal_Customers, Loyal_Customers_name,
I289&gt;=Average_Customers, Average_Customers_name,
TRUE, Lost_Customers_name)</f>
        <v>Loyal Customers</v>
      </c>
    </row>
    <row r="290" spans="1:10" x14ac:dyDescent="0.25">
      <c r="A290" s="25" t="str">
        <v>CUST_0283</v>
      </c>
      <c r="B290" s="16">
        <f t="shared" si="20"/>
        <v>125</v>
      </c>
      <c r="C290" s="16">
        <f t="shared" si="21"/>
        <v>4</v>
      </c>
      <c r="D290" s="17">
        <f t="shared" si="22"/>
        <v>383.12</v>
      </c>
      <c r="E290" s="18" cm="1">
        <f t="array" ref="E290">_xlfn.IFS(
B290&lt;=recencyQ1, 4,
B290&lt;=recencyQ2, 3,
B290&lt;=recencyQ3, 2,
TRUE, 1
)</f>
        <v>1</v>
      </c>
      <c r="F290" s="18" cm="1">
        <f t="array" ref="F290">_xlfn.IFS(
C290&lt;=frequencyQ1, 1,
C290&lt;=frequencyQ2, 2,
C290&lt;=frequencyQ3, 3,
TRUE, 4)</f>
        <v>2</v>
      </c>
      <c r="G290" s="18" cm="1">
        <f t="array" ref="G290">_xlfn.IFS(
D290&lt;=monetaryQ1, 1,
D290&lt;=monetaryQ2, 2,
D290&lt;=monetaryQ3, 3,
TRUE, 4)</f>
        <v>2</v>
      </c>
      <c r="H290" s="18" t="str">
        <f t="shared" si="23"/>
        <v>122</v>
      </c>
      <c r="I290" s="19">
        <f t="shared" si="24"/>
        <v>1.6666666666666667</v>
      </c>
      <c r="J290" s="7" t="str" cm="1">
        <f t="array" ref="J290">_xlfn.IFS(
I290&gt;=Best_Customers, Best_Customers_name,
I290&gt;=Loyal_Customers, Loyal_Customers_name,
I290&gt;=Average_Customers, Average_Customers_name,
TRUE, Lost_Customers_name)</f>
        <v>Average Customers</v>
      </c>
    </row>
    <row r="291" spans="1:10" x14ac:dyDescent="0.25">
      <c r="A291" s="25" t="str">
        <v>CUST_0284</v>
      </c>
      <c r="B291" s="16">
        <f t="shared" si="20"/>
        <v>21</v>
      </c>
      <c r="C291" s="16">
        <f t="shared" si="21"/>
        <v>7</v>
      </c>
      <c r="D291" s="17">
        <f t="shared" si="22"/>
        <v>701.35</v>
      </c>
      <c r="E291" s="18" cm="1">
        <f t="array" ref="E291">_xlfn.IFS(
B291&lt;=recencyQ1, 4,
B291&lt;=recencyQ2, 3,
B291&lt;=recencyQ3, 2,
TRUE, 1
)</f>
        <v>3</v>
      </c>
      <c r="F291" s="18" cm="1">
        <f t="array" ref="F291">_xlfn.IFS(
C291&lt;=frequencyQ1, 1,
C291&lt;=frequencyQ2, 2,
C291&lt;=frequencyQ3, 3,
TRUE, 4)</f>
        <v>4</v>
      </c>
      <c r="G291" s="18" cm="1">
        <f t="array" ref="G291">_xlfn.IFS(
D291&lt;=monetaryQ1, 1,
D291&lt;=monetaryQ2, 2,
D291&lt;=monetaryQ3, 3,
TRUE, 4)</f>
        <v>4</v>
      </c>
      <c r="H291" s="18" t="str">
        <f t="shared" si="23"/>
        <v>344</v>
      </c>
      <c r="I291" s="19">
        <f t="shared" si="24"/>
        <v>3.6666666666666665</v>
      </c>
      <c r="J291" s="7" t="str" cm="1">
        <f t="array" ref="J291">_xlfn.IFS(
I291&gt;=Best_Customers, Best_Customers_name,
I291&gt;=Loyal_Customers, Loyal_Customers_name,
I291&gt;=Average_Customers, Average_Customers_name,
TRUE, Lost_Customers_name)</f>
        <v>Best Customers</v>
      </c>
    </row>
    <row r="292" spans="1:10" x14ac:dyDescent="0.25">
      <c r="A292" s="25" t="str">
        <v>CUST_0285</v>
      </c>
      <c r="B292" s="16">
        <f t="shared" si="20"/>
        <v>275</v>
      </c>
      <c r="C292" s="16">
        <f t="shared" si="21"/>
        <v>4</v>
      </c>
      <c r="D292" s="17">
        <f t="shared" si="22"/>
        <v>393.59</v>
      </c>
      <c r="E292" s="18" cm="1">
        <f t="array" ref="E292">_xlfn.IFS(
B292&lt;=recencyQ1, 4,
B292&lt;=recencyQ2, 3,
B292&lt;=recencyQ3, 2,
TRUE, 1
)</f>
        <v>1</v>
      </c>
      <c r="F292" s="18" cm="1">
        <f t="array" ref="F292">_xlfn.IFS(
C292&lt;=frequencyQ1, 1,
C292&lt;=frequencyQ2, 2,
C292&lt;=frequencyQ3, 3,
TRUE, 4)</f>
        <v>2</v>
      </c>
      <c r="G292" s="18" cm="1">
        <f t="array" ref="G292">_xlfn.IFS(
D292&lt;=monetaryQ1, 1,
D292&lt;=monetaryQ2, 2,
D292&lt;=monetaryQ3, 3,
TRUE, 4)</f>
        <v>2</v>
      </c>
      <c r="H292" s="18" t="str">
        <f t="shared" si="23"/>
        <v>122</v>
      </c>
      <c r="I292" s="19">
        <f t="shared" si="24"/>
        <v>1.6666666666666667</v>
      </c>
      <c r="J292" s="7" t="str" cm="1">
        <f t="array" ref="J292">_xlfn.IFS(
I292&gt;=Best_Customers, Best_Customers_name,
I292&gt;=Loyal_Customers, Loyal_Customers_name,
I292&gt;=Average_Customers, Average_Customers_name,
TRUE, Lost_Customers_name)</f>
        <v>Average Customers</v>
      </c>
    </row>
    <row r="293" spans="1:10" x14ac:dyDescent="0.25">
      <c r="A293" s="25" t="str">
        <v>CUST_0286</v>
      </c>
      <c r="B293" s="16">
        <f t="shared" si="20"/>
        <v>24</v>
      </c>
      <c r="C293" s="16">
        <f t="shared" si="21"/>
        <v>6</v>
      </c>
      <c r="D293" s="17">
        <f t="shared" si="22"/>
        <v>677.18</v>
      </c>
      <c r="E293" s="18" cm="1">
        <f t="array" ref="E293">_xlfn.IFS(
B293&lt;=recencyQ1, 4,
B293&lt;=recencyQ2, 3,
B293&lt;=recencyQ3, 2,
TRUE, 1
)</f>
        <v>3</v>
      </c>
      <c r="F293" s="18" cm="1">
        <f t="array" ref="F293">_xlfn.IFS(
C293&lt;=frequencyQ1, 1,
C293&lt;=frequencyQ2, 2,
C293&lt;=frequencyQ3, 3,
TRUE, 4)</f>
        <v>3</v>
      </c>
      <c r="G293" s="18" cm="1">
        <f t="array" ref="G293">_xlfn.IFS(
D293&lt;=monetaryQ1, 1,
D293&lt;=monetaryQ2, 2,
D293&lt;=monetaryQ3, 3,
TRUE, 4)</f>
        <v>4</v>
      </c>
      <c r="H293" s="18" t="str">
        <f t="shared" si="23"/>
        <v>334</v>
      </c>
      <c r="I293" s="19">
        <f t="shared" si="24"/>
        <v>3.3333333333333335</v>
      </c>
      <c r="J293" s="7" t="str" cm="1">
        <f t="array" ref="J293">_xlfn.IFS(
I293&gt;=Best_Customers, Best_Customers_name,
I293&gt;=Loyal_Customers, Loyal_Customers_name,
I293&gt;=Average_Customers, Average_Customers_name,
TRUE, Lost_Customers_name)</f>
        <v>Loyal Customers</v>
      </c>
    </row>
    <row r="294" spans="1:10" x14ac:dyDescent="0.25">
      <c r="A294" s="25" t="str">
        <v>CUST_0287</v>
      </c>
      <c r="B294" s="16">
        <f t="shared" si="20"/>
        <v>16</v>
      </c>
      <c r="C294" s="16">
        <f t="shared" si="21"/>
        <v>8</v>
      </c>
      <c r="D294" s="17">
        <f t="shared" si="22"/>
        <v>723.50000000000011</v>
      </c>
      <c r="E294" s="18" cm="1">
        <f t="array" ref="E294">_xlfn.IFS(
B294&lt;=recencyQ1, 4,
B294&lt;=recencyQ2, 3,
B294&lt;=recencyQ3, 2,
TRUE, 1
)</f>
        <v>4</v>
      </c>
      <c r="F294" s="18" cm="1">
        <f t="array" ref="F294">_xlfn.IFS(
C294&lt;=frequencyQ1, 1,
C294&lt;=frequencyQ2, 2,
C294&lt;=frequencyQ3, 3,
TRUE, 4)</f>
        <v>4</v>
      </c>
      <c r="G294" s="18" cm="1">
        <f t="array" ref="G294">_xlfn.IFS(
D294&lt;=monetaryQ1, 1,
D294&lt;=monetaryQ2, 2,
D294&lt;=monetaryQ3, 3,
TRUE, 4)</f>
        <v>4</v>
      </c>
      <c r="H294" s="18" t="str">
        <f t="shared" si="23"/>
        <v>444</v>
      </c>
      <c r="I294" s="19">
        <f t="shared" si="24"/>
        <v>4</v>
      </c>
      <c r="J294" s="7" t="str" cm="1">
        <f t="array" ref="J294">_xlfn.IFS(
I294&gt;=Best_Customers, Best_Customers_name,
I294&gt;=Loyal_Customers, Loyal_Customers_name,
I294&gt;=Average_Customers, Average_Customers_name,
TRUE, Lost_Customers_name)</f>
        <v>Best Customers</v>
      </c>
    </row>
    <row r="295" spans="1:10" x14ac:dyDescent="0.25">
      <c r="A295" s="25" t="str">
        <v>CUST_0288</v>
      </c>
      <c r="B295" s="16">
        <f t="shared" si="20"/>
        <v>13</v>
      </c>
      <c r="C295" s="16">
        <f t="shared" si="21"/>
        <v>10</v>
      </c>
      <c r="D295" s="17">
        <f t="shared" si="22"/>
        <v>1022.07</v>
      </c>
      <c r="E295" s="18" cm="1">
        <f t="array" ref="E295">_xlfn.IFS(
B295&lt;=recencyQ1, 4,
B295&lt;=recencyQ2, 3,
B295&lt;=recencyQ3, 2,
TRUE, 1
)</f>
        <v>4</v>
      </c>
      <c r="F295" s="18" cm="1">
        <f t="array" ref="F295">_xlfn.IFS(
C295&lt;=frequencyQ1, 1,
C295&lt;=frequencyQ2, 2,
C295&lt;=frequencyQ3, 3,
TRUE, 4)</f>
        <v>4</v>
      </c>
      <c r="G295" s="18" cm="1">
        <f t="array" ref="G295">_xlfn.IFS(
D295&lt;=monetaryQ1, 1,
D295&lt;=monetaryQ2, 2,
D295&lt;=monetaryQ3, 3,
TRUE, 4)</f>
        <v>4</v>
      </c>
      <c r="H295" s="18" t="str">
        <f t="shared" si="23"/>
        <v>444</v>
      </c>
      <c r="I295" s="19">
        <f t="shared" si="24"/>
        <v>4</v>
      </c>
      <c r="J295" s="7" t="str" cm="1">
        <f t="array" ref="J295">_xlfn.IFS(
I295&gt;=Best_Customers, Best_Customers_name,
I295&gt;=Loyal_Customers, Loyal_Customers_name,
I295&gt;=Average_Customers, Average_Customers_name,
TRUE, Lost_Customers_name)</f>
        <v>Best Customers</v>
      </c>
    </row>
    <row r="296" spans="1:10" x14ac:dyDescent="0.25">
      <c r="A296" s="25" t="str">
        <v>CUST_0289</v>
      </c>
      <c r="B296" s="16">
        <f t="shared" si="20"/>
        <v>10</v>
      </c>
      <c r="C296" s="16">
        <f t="shared" si="21"/>
        <v>3</v>
      </c>
      <c r="D296" s="17">
        <f t="shared" si="22"/>
        <v>336.61</v>
      </c>
      <c r="E296" s="18" cm="1">
        <f t="array" ref="E296">_xlfn.IFS(
B296&lt;=recencyQ1, 4,
B296&lt;=recencyQ2, 3,
B296&lt;=recencyQ3, 2,
TRUE, 1
)</f>
        <v>4</v>
      </c>
      <c r="F296" s="18" cm="1">
        <f t="array" ref="F296">_xlfn.IFS(
C296&lt;=frequencyQ1, 1,
C296&lt;=frequencyQ2, 2,
C296&lt;=frequencyQ3, 3,
TRUE, 4)</f>
        <v>1</v>
      </c>
      <c r="G296" s="18" cm="1">
        <f t="array" ref="G296">_xlfn.IFS(
D296&lt;=monetaryQ1, 1,
D296&lt;=monetaryQ2, 2,
D296&lt;=monetaryQ3, 3,
TRUE, 4)</f>
        <v>2</v>
      </c>
      <c r="H296" s="18" t="str">
        <f t="shared" si="23"/>
        <v>412</v>
      </c>
      <c r="I296" s="19">
        <f t="shared" si="24"/>
        <v>2.3333333333333335</v>
      </c>
      <c r="J296" s="7" t="str" cm="1">
        <f t="array" ref="J296">_xlfn.IFS(
I296&gt;=Best_Customers, Best_Customers_name,
I296&gt;=Loyal_Customers, Loyal_Customers_name,
I296&gt;=Average_Customers, Average_Customers_name,
TRUE, Lost_Customers_name)</f>
        <v>Average Customers</v>
      </c>
    </row>
    <row r="297" spans="1:10" x14ac:dyDescent="0.25">
      <c r="A297" s="25" t="str">
        <v>CUST_0290</v>
      </c>
      <c r="B297" s="16">
        <f t="shared" si="20"/>
        <v>12</v>
      </c>
      <c r="C297" s="16">
        <f t="shared" si="21"/>
        <v>4</v>
      </c>
      <c r="D297" s="17">
        <f t="shared" si="22"/>
        <v>481.17999999999995</v>
      </c>
      <c r="E297" s="18" cm="1">
        <f t="array" ref="E297">_xlfn.IFS(
B297&lt;=recencyQ1, 4,
B297&lt;=recencyQ2, 3,
B297&lt;=recencyQ3, 2,
TRUE, 1
)</f>
        <v>4</v>
      </c>
      <c r="F297" s="18" cm="1">
        <f t="array" ref="F297">_xlfn.IFS(
C297&lt;=frequencyQ1, 1,
C297&lt;=frequencyQ2, 2,
C297&lt;=frequencyQ3, 3,
TRUE, 4)</f>
        <v>2</v>
      </c>
      <c r="G297" s="18" cm="1">
        <f t="array" ref="G297">_xlfn.IFS(
D297&lt;=monetaryQ1, 1,
D297&lt;=monetaryQ2, 2,
D297&lt;=monetaryQ3, 3,
TRUE, 4)</f>
        <v>2</v>
      </c>
      <c r="H297" s="18" t="str">
        <f t="shared" si="23"/>
        <v>422</v>
      </c>
      <c r="I297" s="19">
        <f t="shared" si="24"/>
        <v>2.6666666666666665</v>
      </c>
      <c r="J297" s="7" t="str" cm="1">
        <f t="array" ref="J297">_xlfn.IFS(
I297&gt;=Best_Customers, Best_Customers_name,
I297&gt;=Loyal_Customers, Loyal_Customers_name,
I297&gt;=Average_Customers, Average_Customers_name,
TRUE, Lost_Customers_name)</f>
        <v>Loyal Customers</v>
      </c>
    </row>
    <row r="298" spans="1:10" x14ac:dyDescent="0.25">
      <c r="A298" s="25" t="str">
        <v>CUST_0291</v>
      </c>
      <c r="B298" s="16">
        <f t="shared" si="20"/>
        <v>155</v>
      </c>
      <c r="C298" s="16">
        <f t="shared" si="21"/>
        <v>3</v>
      </c>
      <c r="D298" s="17">
        <f t="shared" si="22"/>
        <v>340.07000000000005</v>
      </c>
      <c r="E298" s="18" cm="1">
        <f t="array" ref="E298">_xlfn.IFS(
B298&lt;=recencyQ1, 4,
B298&lt;=recencyQ2, 3,
B298&lt;=recencyQ3, 2,
TRUE, 1
)</f>
        <v>1</v>
      </c>
      <c r="F298" s="18" cm="1">
        <f t="array" ref="F298">_xlfn.IFS(
C298&lt;=frequencyQ1, 1,
C298&lt;=frequencyQ2, 2,
C298&lt;=frequencyQ3, 3,
TRUE, 4)</f>
        <v>1</v>
      </c>
      <c r="G298" s="18" cm="1">
        <f t="array" ref="G298">_xlfn.IFS(
D298&lt;=monetaryQ1, 1,
D298&lt;=monetaryQ2, 2,
D298&lt;=monetaryQ3, 3,
TRUE, 4)</f>
        <v>2</v>
      </c>
      <c r="H298" s="18" t="str">
        <f t="shared" si="23"/>
        <v>112</v>
      </c>
      <c r="I298" s="19">
        <f t="shared" si="24"/>
        <v>1.3333333333333333</v>
      </c>
      <c r="J298" s="7" t="str" cm="1">
        <f t="array" ref="J298">_xlfn.IFS(
I298&gt;=Best_Customers, Best_Customers_name,
I298&gt;=Loyal_Customers, Loyal_Customers_name,
I298&gt;=Average_Customers, Average_Customers_name,
TRUE, Lost_Customers_name)</f>
        <v>Lost Customers</v>
      </c>
    </row>
    <row r="299" spans="1:10" x14ac:dyDescent="0.25">
      <c r="A299" s="25" t="str">
        <v>CUST_0292</v>
      </c>
      <c r="B299" s="16">
        <f t="shared" si="20"/>
        <v>9</v>
      </c>
      <c r="C299" s="16">
        <f t="shared" si="21"/>
        <v>5</v>
      </c>
      <c r="D299" s="17">
        <f t="shared" si="22"/>
        <v>375.58</v>
      </c>
      <c r="E299" s="18" cm="1">
        <f t="array" ref="E299">_xlfn.IFS(
B299&lt;=recencyQ1, 4,
B299&lt;=recencyQ2, 3,
B299&lt;=recencyQ3, 2,
TRUE, 1
)</f>
        <v>4</v>
      </c>
      <c r="F299" s="18" cm="1">
        <f t="array" ref="F299">_xlfn.IFS(
C299&lt;=frequencyQ1, 1,
C299&lt;=frequencyQ2, 2,
C299&lt;=frequencyQ3, 3,
TRUE, 4)</f>
        <v>2</v>
      </c>
      <c r="G299" s="18" cm="1">
        <f t="array" ref="G299">_xlfn.IFS(
D299&lt;=monetaryQ1, 1,
D299&lt;=monetaryQ2, 2,
D299&lt;=monetaryQ3, 3,
TRUE, 4)</f>
        <v>2</v>
      </c>
      <c r="H299" s="18" t="str">
        <f t="shared" si="23"/>
        <v>422</v>
      </c>
      <c r="I299" s="19">
        <f t="shared" si="24"/>
        <v>2.6666666666666665</v>
      </c>
      <c r="J299" s="7" t="str" cm="1">
        <f t="array" ref="J299">_xlfn.IFS(
I299&gt;=Best_Customers, Best_Customers_name,
I299&gt;=Loyal_Customers, Loyal_Customers_name,
I299&gt;=Average_Customers, Average_Customers_name,
TRUE, Lost_Customers_name)</f>
        <v>Loyal Customers</v>
      </c>
    </row>
    <row r="300" spans="1:10" x14ac:dyDescent="0.25">
      <c r="A300" s="25" t="str">
        <v>CUST_0293</v>
      </c>
      <c r="B300" s="16">
        <f t="shared" si="20"/>
        <v>66</v>
      </c>
      <c r="C300" s="16">
        <f t="shared" si="21"/>
        <v>4</v>
      </c>
      <c r="D300" s="17">
        <f t="shared" si="22"/>
        <v>293.5</v>
      </c>
      <c r="E300" s="18" cm="1">
        <f t="array" ref="E300">_xlfn.IFS(
B300&lt;=recencyQ1, 4,
B300&lt;=recencyQ2, 3,
B300&lt;=recencyQ3, 2,
TRUE, 1
)</f>
        <v>2</v>
      </c>
      <c r="F300" s="18" cm="1">
        <f t="array" ref="F300">_xlfn.IFS(
C300&lt;=frequencyQ1, 1,
C300&lt;=frequencyQ2, 2,
C300&lt;=frequencyQ3, 3,
TRUE, 4)</f>
        <v>2</v>
      </c>
      <c r="G300" s="18" cm="1">
        <f t="array" ref="G300">_xlfn.IFS(
D300&lt;=monetaryQ1, 1,
D300&lt;=monetaryQ2, 2,
D300&lt;=monetaryQ3, 3,
TRUE, 4)</f>
        <v>1</v>
      </c>
      <c r="H300" s="18" t="str">
        <f t="shared" si="23"/>
        <v>221</v>
      </c>
      <c r="I300" s="19">
        <f t="shared" si="24"/>
        <v>1.6666666666666667</v>
      </c>
      <c r="J300" s="7" t="str" cm="1">
        <f t="array" ref="J300">_xlfn.IFS(
I300&gt;=Best_Customers, Best_Customers_name,
I300&gt;=Loyal_Customers, Loyal_Customers_name,
I300&gt;=Average_Customers, Average_Customers_name,
TRUE, Lost_Customers_name)</f>
        <v>Average Customers</v>
      </c>
    </row>
    <row r="301" spans="1:10" x14ac:dyDescent="0.25">
      <c r="A301" s="25" t="str">
        <v>CUST_0294</v>
      </c>
      <c r="B301" s="16">
        <f t="shared" si="20"/>
        <v>47</v>
      </c>
      <c r="C301" s="16">
        <f t="shared" si="21"/>
        <v>5</v>
      </c>
      <c r="D301" s="17">
        <f t="shared" si="22"/>
        <v>563.61</v>
      </c>
      <c r="E301" s="18" cm="1">
        <f t="array" ref="E301">_xlfn.IFS(
B301&lt;=recencyQ1, 4,
B301&lt;=recencyQ2, 3,
B301&lt;=recencyQ3, 2,
TRUE, 1
)</f>
        <v>3</v>
      </c>
      <c r="F301" s="18" cm="1">
        <f t="array" ref="F301">_xlfn.IFS(
C301&lt;=frequencyQ1, 1,
C301&lt;=frequencyQ2, 2,
C301&lt;=frequencyQ3, 3,
TRUE, 4)</f>
        <v>2</v>
      </c>
      <c r="G301" s="18" cm="1">
        <f t="array" ref="G301">_xlfn.IFS(
D301&lt;=monetaryQ1, 1,
D301&lt;=monetaryQ2, 2,
D301&lt;=monetaryQ3, 3,
TRUE, 4)</f>
        <v>3</v>
      </c>
      <c r="H301" s="18" t="str">
        <f t="shared" si="23"/>
        <v>323</v>
      </c>
      <c r="I301" s="19">
        <f t="shared" si="24"/>
        <v>2.6666666666666665</v>
      </c>
      <c r="J301" s="7" t="str" cm="1">
        <f t="array" ref="J301">_xlfn.IFS(
I301&gt;=Best_Customers, Best_Customers_name,
I301&gt;=Loyal_Customers, Loyal_Customers_name,
I301&gt;=Average_Customers, Average_Customers_name,
TRUE, Lost_Customers_name)</f>
        <v>Loyal Customers</v>
      </c>
    </row>
    <row r="302" spans="1:10" x14ac:dyDescent="0.25">
      <c r="A302" s="25" t="str">
        <v>CUST_0295</v>
      </c>
      <c r="B302" s="16">
        <f t="shared" si="20"/>
        <v>105</v>
      </c>
      <c r="C302" s="16">
        <f t="shared" si="21"/>
        <v>7</v>
      </c>
      <c r="D302" s="17">
        <f t="shared" si="22"/>
        <v>681.69</v>
      </c>
      <c r="E302" s="18" cm="1">
        <f t="array" ref="E302">_xlfn.IFS(
B302&lt;=recencyQ1, 4,
B302&lt;=recencyQ2, 3,
B302&lt;=recencyQ3, 2,
TRUE, 1
)</f>
        <v>1</v>
      </c>
      <c r="F302" s="18" cm="1">
        <f t="array" ref="F302">_xlfn.IFS(
C302&lt;=frequencyQ1, 1,
C302&lt;=frequencyQ2, 2,
C302&lt;=frequencyQ3, 3,
TRUE, 4)</f>
        <v>4</v>
      </c>
      <c r="G302" s="18" cm="1">
        <f t="array" ref="G302">_xlfn.IFS(
D302&lt;=monetaryQ1, 1,
D302&lt;=monetaryQ2, 2,
D302&lt;=monetaryQ3, 3,
TRUE, 4)</f>
        <v>4</v>
      </c>
      <c r="H302" s="18" t="str">
        <f t="shared" si="23"/>
        <v>144</v>
      </c>
      <c r="I302" s="19">
        <f t="shared" si="24"/>
        <v>3</v>
      </c>
      <c r="J302" s="7" t="str" cm="1">
        <f t="array" ref="J302">_xlfn.IFS(
I302&gt;=Best_Customers, Best_Customers_name,
I302&gt;=Loyal_Customers, Loyal_Customers_name,
I302&gt;=Average_Customers, Average_Customers_name,
TRUE, Lost_Customers_name)</f>
        <v>Loyal Customers</v>
      </c>
    </row>
    <row r="303" spans="1:10" x14ac:dyDescent="0.25">
      <c r="A303" s="25" t="str">
        <v>CUST_0296</v>
      </c>
      <c r="B303" s="16">
        <f t="shared" si="20"/>
        <v>267</v>
      </c>
      <c r="C303" s="16">
        <f t="shared" si="21"/>
        <v>2</v>
      </c>
      <c r="D303" s="17">
        <f t="shared" si="22"/>
        <v>217.07</v>
      </c>
      <c r="E303" s="18" cm="1">
        <f t="array" ref="E303">_xlfn.IFS(
B303&lt;=recencyQ1, 4,
B303&lt;=recencyQ2, 3,
B303&lt;=recencyQ3, 2,
TRUE, 1
)</f>
        <v>1</v>
      </c>
      <c r="F303" s="18" cm="1">
        <f t="array" ref="F303">_xlfn.IFS(
C303&lt;=frequencyQ1, 1,
C303&lt;=frequencyQ2, 2,
C303&lt;=frequencyQ3, 3,
TRUE, 4)</f>
        <v>1</v>
      </c>
      <c r="G303" s="18" cm="1">
        <f t="array" ref="G303">_xlfn.IFS(
D303&lt;=monetaryQ1, 1,
D303&lt;=monetaryQ2, 2,
D303&lt;=monetaryQ3, 3,
TRUE, 4)</f>
        <v>1</v>
      </c>
      <c r="H303" s="18" t="str">
        <f t="shared" si="23"/>
        <v>111</v>
      </c>
      <c r="I303" s="19">
        <f t="shared" si="24"/>
        <v>1</v>
      </c>
      <c r="J303" s="7" t="str" cm="1">
        <f t="array" ref="J303">_xlfn.IFS(
I303&gt;=Best_Customers, Best_Customers_name,
I303&gt;=Loyal_Customers, Loyal_Customers_name,
I303&gt;=Average_Customers, Average_Customers_name,
TRUE, Lost_Customers_name)</f>
        <v>Lost Customers</v>
      </c>
    </row>
    <row r="304" spans="1:10" x14ac:dyDescent="0.25">
      <c r="A304" s="25" t="str">
        <v>CUST_0297</v>
      </c>
      <c r="B304" s="16">
        <f t="shared" si="20"/>
        <v>80</v>
      </c>
      <c r="C304" s="16">
        <f t="shared" si="21"/>
        <v>3</v>
      </c>
      <c r="D304" s="17">
        <f t="shared" si="22"/>
        <v>287.02</v>
      </c>
      <c r="E304" s="18" cm="1">
        <f t="array" ref="E304">_xlfn.IFS(
B304&lt;=recencyQ1, 4,
B304&lt;=recencyQ2, 3,
B304&lt;=recencyQ3, 2,
TRUE, 1
)</f>
        <v>2</v>
      </c>
      <c r="F304" s="18" cm="1">
        <f t="array" ref="F304">_xlfn.IFS(
C304&lt;=frequencyQ1, 1,
C304&lt;=frequencyQ2, 2,
C304&lt;=frequencyQ3, 3,
TRUE, 4)</f>
        <v>1</v>
      </c>
      <c r="G304" s="18" cm="1">
        <f t="array" ref="G304">_xlfn.IFS(
D304&lt;=monetaryQ1, 1,
D304&lt;=monetaryQ2, 2,
D304&lt;=monetaryQ3, 3,
TRUE, 4)</f>
        <v>1</v>
      </c>
      <c r="H304" s="18" t="str">
        <f t="shared" si="23"/>
        <v>211</v>
      </c>
      <c r="I304" s="19">
        <f t="shared" si="24"/>
        <v>1.3333333333333333</v>
      </c>
      <c r="J304" s="7" t="str" cm="1">
        <f t="array" ref="J304">_xlfn.IFS(
I304&gt;=Best_Customers, Best_Customers_name,
I304&gt;=Loyal_Customers, Loyal_Customers_name,
I304&gt;=Average_Customers, Average_Customers_name,
TRUE, Lost_Customers_name)</f>
        <v>Lost Customers</v>
      </c>
    </row>
    <row r="305" spans="1:10" x14ac:dyDescent="0.25">
      <c r="A305" s="25" t="str">
        <v>CUST_0299</v>
      </c>
      <c r="B305" s="16">
        <f t="shared" si="20"/>
        <v>62</v>
      </c>
      <c r="C305" s="16">
        <f t="shared" si="21"/>
        <v>3</v>
      </c>
      <c r="D305" s="17">
        <f t="shared" si="22"/>
        <v>307.5</v>
      </c>
      <c r="E305" s="18" cm="1">
        <f t="array" ref="E305">_xlfn.IFS(
B305&lt;=recencyQ1, 4,
B305&lt;=recencyQ2, 3,
B305&lt;=recencyQ3, 2,
TRUE, 1
)</f>
        <v>2</v>
      </c>
      <c r="F305" s="18" cm="1">
        <f t="array" ref="F305">_xlfn.IFS(
C305&lt;=frequencyQ1, 1,
C305&lt;=frequencyQ2, 2,
C305&lt;=frequencyQ3, 3,
TRUE, 4)</f>
        <v>1</v>
      </c>
      <c r="G305" s="18" cm="1">
        <f t="array" ref="G305">_xlfn.IFS(
D305&lt;=monetaryQ1, 1,
D305&lt;=monetaryQ2, 2,
D305&lt;=monetaryQ3, 3,
TRUE, 4)</f>
        <v>1</v>
      </c>
      <c r="H305" s="18" t="str">
        <f t="shared" si="23"/>
        <v>211</v>
      </c>
      <c r="I305" s="19">
        <f t="shared" si="24"/>
        <v>1.3333333333333333</v>
      </c>
      <c r="J305" s="7" t="str" cm="1">
        <f t="array" ref="J305">_xlfn.IFS(
I305&gt;=Best_Customers, Best_Customers_name,
I305&gt;=Loyal_Customers, Loyal_Customers_name,
I305&gt;=Average_Customers, Average_Customers_name,
TRUE, Lost_Customers_name)</f>
        <v>Lost Customers</v>
      </c>
    </row>
    <row r="306" spans="1:10" x14ac:dyDescent="0.25">
      <c r="A306" s="25" t="str">
        <v>CUST_0300</v>
      </c>
      <c r="B306" s="16">
        <f t="shared" si="20"/>
        <v>11</v>
      </c>
      <c r="C306" s="16">
        <f t="shared" si="21"/>
        <v>7</v>
      </c>
      <c r="D306" s="17">
        <f t="shared" si="22"/>
        <v>719.45000000000016</v>
      </c>
      <c r="E306" s="18" cm="1">
        <f t="array" ref="E306">_xlfn.IFS(
B306&lt;=recencyQ1, 4,
B306&lt;=recencyQ2, 3,
B306&lt;=recencyQ3, 2,
TRUE, 1
)</f>
        <v>4</v>
      </c>
      <c r="F306" s="18" cm="1">
        <f t="array" ref="F306">_xlfn.IFS(
C306&lt;=frequencyQ1, 1,
C306&lt;=frequencyQ2, 2,
C306&lt;=frequencyQ3, 3,
TRUE, 4)</f>
        <v>4</v>
      </c>
      <c r="G306" s="18" cm="1">
        <f t="array" ref="G306">_xlfn.IFS(
D306&lt;=monetaryQ1, 1,
D306&lt;=monetaryQ2, 2,
D306&lt;=monetaryQ3, 3,
TRUE, 4)</f>
        <v>4</v>
      </c>
      <c r="H306" s="18" t="str">
        <f t="shared" si="23"/>
        <v>444</v>
      </c>
      <c r="I306" s="19">
        <f t="shared" si="24"/>
        <v>4</v>
      </c>
      <c r="J306" s="7" t="str" cm="1">
        <f t="array" ref="J306">_xlfn.IFS(
I306&gt;=Best_Customers, Best_Customers_name,
I306&gt;=Loyal_Customers, Loyal_Customers_name,
I306&gt;=Average_Customers, Average_Customers_name,
TRUE, Lost_Customers_name)</f>
        <v>Best Customers</v>
      </c>
    </row>
    <row r="307" spans="1:10" x14ac:dyDescent="0.25">
      <c r="A307" s="25" t="str">
        <v>CUST_0301</v>
      </c>
      <c r="B307" s="16">
        <f t="shared" si="20"/>
        <v>45</v>
      </c>
      <c r="C307" s="16">
        <f t="shared" si="21"/>
        <v>10</v>
      </c>
      <c r="D307" s="17">
        <f t="shared" si="22"/>
        <v>1089.73</v>
      </c>
      <c r="E307" s="18" cm="1">
        <f t="array" ref="E307">_xlfn.IFS(
B307&lt;=recencyQ1, 4,
B307&lt;=recencyQ2, 3,
B307&lt;=recencyQ3, 2,
TRUE, 1
)</f>
        <v>3</v>
      </c>
      <c r="F307" s="18" cm="1">
        <f t="array" ref="F307">_xlfn.IFS(
C307&lt;=frequencyQ1, 1,
C307&lt;=frequencyQ2, 2,
C307&lt;=frequencyQ3, 3,
TRUE, 4)</f>
        <v>4</v>
      </c>
      <c r="G307" s="18" cm="1">
        <f t="array" ref="G307">_xlfn.IFS(
D307&lt;=monetaryQ1, 1,
D307&lt;=monetaryQ2, 2,
D307&lt;=monetaryQ3, 3,
TRUE, 4)</f>
        <v>4</v>
      </c>
      <c r="H307" s="18" t="str">
        <f t="shared" si="23"/>
        <v>344</v>
      </c>
      <c r="I307" s="19">
        <f t="shared" si="24"/>
        <v>3.6666666666666665</v>
      </c>
      <c r="J307" s="7" t="str" cm="1">
        <f t="array" ref="J307">_xlfn.IFS(
I307&gt;=Best_Customers, Best_Customers_name,
I307&gt;=Loyal_Customers, Loyal_Customers_name,
I307&gt;=Average_Customers, Average_Customers_name,
TRUE, Lost_Customers_name)</f>
        <v>Best Customers</v>
      </c>
    </row>
    <row r="308" spans="1:10" x14ac:dyDescent="0.25">
      <c r="A308" s="25" t="str">
        <v>CUST_0302</v>
      </c>
      <c r="B308" s="16">
        <f t="shared" si="20"/>
        <v>1</v>
      </c>
      <c r="C308" s="16">
        <f t="shared" si="21"/>
        <v>8</v>
      </c>
      <c r="D308" s="17">
        <f t="shared" si="22"/>
        <v>717.80000000000007</v>
      </c>
      <c r="E308" s="18" cm="1">
        <f t="array" ref="E308">_xlfn.IFS(
B308&lt;=recencyQ1, 4,
B308&lt;=recencyQ2, 3,
B308&lt;=recencyQ3, 2,
TRUE, 1
)</f>
        <v>4</v>
      </c>
      <c r="F308" s="18" cm="1">
        <f t="array" ref="F308">_xlfn.IFS(
C308&lt;=frequencyQ1, 1,
C308&lt;=frequencyQ2, 2,
C308&lt;=frequencyQ3, 3,
TRUE, 4)</f>
        <v>4</v>
      </c>
      <c r="G308" s="18" cm="1">
        <f t="array" ref="G308">_xlfn.IFS(
D308&lt;=monetaryQ1, 1,
D308&lt;=monetaryQ2, 2,
D308&lt;=monetaryQ3, 3,
TRUE, 4)</f>
        <v>4</v>
      </c>
      <c r="H308" s="18" t="str">
        <f t="shared" si="23"/>
        <v>444</v>
      </c>
      <c r="I308" s="19">
        <f t="shared" si="24"/>
        <v>4</v>
      </c>
      <c r="J308" s="7" t="str" cm="1">
        <f t="array" ref="J308">_xlfn.IFS(
I308&gt;=Best_Customers, Best_Customers_name,
I308&gt;=Loyal_Customers, Loyal_Customers_name,
I308&gt;=Average_Customers, Average_Customers_name,
TRUE, Lost_Customers_name)</f>
        <v>Best Customers</v>
      </c>
    </row>
    <row r="309" spans="1:10" x14ac:dyDescent="0.25">
      <c r="A309" s="25" t="str">
        <v>CUST_0303</v>
      </c>
      <c r="B309" s="16">
        <f t="shared" si="20"/>
        <v>35</v>
      </c>
      <c r="C309" s="16">
        <f t="shared" si="21"/>
        <v>5</v>
      </c>
      <c r="D309" s="17">
        <f t="shared" si="22"/>
        <v>659.06000000000006</v>
      </c>
      <c r="E309" s="18" cm="1">
        <f t="array" ref="E309">_xlfn.IFS(
B309&lt;=recencyQ1, 4,
B309&lt;=recencyQ2, 3,
B309&lt;=recencyQ3, 2,
TRUE, 1
)</f>
        <v>3</v>
      </c>
      <c r="F309" s="18" cm="1">
        <f t="array" ref="F309">_xlfn.IFS(
C309&lt;=frequencyQ1, 1,
C309&lt;=frequencyQ2, 2,
C309&lt;=frequencyQ3, 3,
TRUE, 4)</f>
        <v>2</v>
      </c>
      <c r="G309" s="18" cm="1">
        <f t="array" ref="G309">_xlfn.IFS(
D309&lt;=monetaryQ1, 1,
D309&lt;=monetaryQ2, 2,
D309&lt;=monetaryQ3, 3,
TRUE, 4)</f>
        <v>4</v>
      </c>
      <c r="H309" s="18" t="str">
        <f t="shared" si="23"/>
        <v>324</v>
      </c>
      <c r="I309" s="19">
        <f t="shared" si="24"/>
        <v>3</v>
      </c>
      <c r="J309" s="7" t="str" cm="1">
        <f t="array" ref="J309">_xlfn.IFS(
I309&gt;=Best_Customers, Best_Customers_name,
I309&gt;=Loyal_Customers, Loyal_Customers_name,
I309&gt;=Average_Customers, Average_Customers_name,
TRUE, Lost_Customers_name)</f>
        <v>Loyal Customers</v>
      </c>
    </row>
    <row r="310" spans="1:10" x14ac:dyDescent="0.25">
      <c r="A310" s="25" t="str">
        <v>CUST_0304</v>
      </c>
      <c r="B310" s="16">
        <f t="shared" si="20"/>
        <v>34</v>
      </c>
      <c r="C310" s="16">
        <f t="shared" si="21"/>
        <v>8</v>
      </c>
      <c r="D310" s="17">
        <f t="shared" si="22"/>
        <v>752.78</v>
      </c>
      <c r="E310" s="18" cm="1">
        <f t="array" ref="E310">_xlfn.IFS(
B310&lt;=recencyQ1, 4,
B310&lt;=recencyQ2, 3,
B310&lt;=recencyQ3, 2,
TRUE, 1
)</f>
        <v>3</v>
      </c>
      <c r="F310" s="18" cm="1">
        <f t="array" ref="F310">_xlfn.IFS(
C310&lt;=frequencyQ1, 1,
C310&lt;=frequencyQ2, 2,
C310&lt;=frequencyQ3, 3,
TRUE, 4)</f>
        <v>4</v>
      </c>
      <c r="G310" s="18" cm="1">
        <f t="array" ref="G310">_xlfn.IFS(
D310&lt;=monetaryQ1, 1,
D310&lt;=monetaryQ2, 2,
D310&lt;=monetaryQ3, 3,
TRUE, 4)</f>
        <v>4</v>
      </c>
      <c r="H310" s="18" t="str">
        <f t="shared" si="23"/>
        <v>344</v>
      </c>
      <c r="I310" s="19">
        <f t="shared" si="24"/>
        <v>3.6666666666666665</v>
      </c>
      <c r="J310" s="7" t="str" cm="1">
        <f t="array" ref="J310">_xlfn.IFS(
I310&gt;=Best_Customers, Best_Customers_name,
I310&gt;=Loyal_Customers, Loyal_Customers_name,
I310&gt;=Average_Customers, Average_Customers_name,
TRUE, Lost_Customers_name)</f>
        <v>Best Customers</v>
      </c>
    </row>
    <row r="311" spans="1:10" x14ac:dyDescent="0.25">
      <c r="A311" s="25" t="str">
        <v>CUST_0305</v>
      </c>
      <c r="B311" s="16">
        <f t="shared" si="20"/>
        <v>70</v>
      </c>
      <c r="C311" s="16">
        <f t="shared" si="21"/>
        <v>4</v>
      </c>
      <c r="D311" s="17">
        <f t="shared" si="22"/>
        <v>392.09999999999997</v>
      </c>
      <c r="E311" s="18" cm="1">
        <f t="array" ref="E311">_xlfn.IFS(
B311&lt;=recencyQ1, 4,
B311&lt;=recencyQ2, 3,
B311&lt;=recencyQ3, 2,
TRUE, 1
)</f>
        <v>2</v>
      </c>
      <c r="F311" s="18" cm="1">
        <f t="array" ref="F311">_xlfn.IFS(
C311&lt;=frequencyQ1, 1,
C311&lt;=frequencyQ2, 2,
C311&lt;=frequencyQ3, 3,
TRUE, 4)</f>
        <v>2</v>
      </c>
      <c r="G311" s="18" cm="1">
        <f t="array" ref="G311">_xlfn.IFS(
D311&lt;=monetaryQ1, 1,
D311&lt;=monetaryQ2, 2,
D311&lt;=monetaryQ3, 3,
TRUE, 4)</f>
        <v>2</v>
      </c>
      <c r="H311" s="18" t="str">
        <f t="shared" si="23"/>
        <v>222</v>
      </c>
      <c r="I311" s="19">
        <f t="shared" si="24"/>
        <v>2</v>
      </c>
      <c r="J311" s="7" t="str" cm="1">
        <f t="array" ref="J311">_xlfn.IFS(
I311&gt;=Best_Customers, Best_Customers_name,
I311&gt;=Loyal_Customers, Loyal_Customers_name,
I311&gt;=Average_Customers, Average_Customers_name,
TRUE, Lost_Customers_name)</f>
        <v>Average Customers</v>
      </c>
    </row>
    <row r="312" spans="1:10" x14ac:dyDescent="0.25">
      <c r="A312" s="25" t="str">
        <v>CUST_0306</v>
      </c>
      <c r="B312" s="16">
        <f t="shared" si="20"/>
        <v>219</v>
      </c>
      <c r="C312" s="16">
        <f t="shared" si="21"/>
        <v>3</v>
      </c>
      <c r="D312" s="17">
        <f t="shared" si="22"/>
        <v>263.33999999999997</v>
      </c>
      <c r="E312" s="18" cm="1">
        <f t="array" ref="E312">_xlfn.IFS(
B312&lt;=recencyQ1, 4,
B312&lt;=recencyQ2, 3,
B312&lt;=recencyQ3, 2,
TRUE, 1
)</f>
        <v>1</v>
      </c>
      <c r="F312" s="18" cm="1">
        <f t="array" ref="F312">_xlfn.IFS(
C312&lt;=frequencyQ1, 1,
C312&lt;=frequencyQ2, 2,
C312&lt;=frequencyQ3, 3,
TRUE, 4)</f>
        <v>1</v>
      </c>
      <c r="G312" s="18" cm="1">
        <f t="array" ref="G312">_xlfn.IFS(
D312&lt;=monetaryQ1, 1,
D312&lt;=monetaryQ2, 2,
D312&lt;=monetaryQ3, 3,
TRUE, 4)</f>
        <v>1</v>
      </c>
      <c r="H312" s="18" t="str">
        <f t="shared" si="23"/>
        <v>111</v>
      </c>
      <c r="I312" s="19">
        <f t="shared" si="24"/>
        <v>1</v>
      </c>
      <c r="J312" s="7" t="str" cm="1">
        <f t="array" ref="J312">_xlfn.IFS(
I312&gt;=Best_Customers, Best_Customers_name,
I312&gt;=Loyal_Customers, Loyal_Customers_name,
I312&gt;=Average_Customers, Average_Customers_name,
TRUE, Lost_Customers_name)</f>
        <v>Lost Customers</v>
      </c>
    </row>
    <row r="313" spans="1:10" x14ac:dyDescent="0.25">
      <c r="A313" s="25" t="str">
        <v>CUST_0307</v>
      </c>
      <c r="B313" s="16">
        <f t="shared" si="20"/>
        <v>11</v>
      </c>
      <c r="C313" s="16">
        <f t="shared" si="21"/>
        <v>3</v>
      </c>
      <c r="D313" s="17">
        <f t="shared" si="22"/>
        <v>306.78000000000003</v>
      </c>
      <c r="E313" s="18" cm="1">
        <f t="array" ref="E313">_xlfn.IFS(
B313&lt;=recencyQ1, 4,
B313&lt;=recencyQ2, 3,
B313&lt;=recencyQ3, 2,
TRUE, 1
)</f>
        <v>4</v>
      </c>
      <c r="F313" s="18" cm="1">
        <f t="array" ref="F313">_xlfn.IFS(
C313&lt;=frequencyQ1, 1,
C313&lt;=frequencyQ2, 2,
C313&lt;=frequencyQ3, 3,
TRUE, 4)</f>
        <v>1</v>
      </c>
      <c r="G313" s="18" cm="1">
        <f t="array" ref="G313">_xlfn.IFS(
D313&lt;=monetaryQ1, 1,
D313&lt;=monetaryQ2, 2,
D313&lt;=monetaryQ3, 3,
TRUE, 4)</f>
        <v>1</v>
      </c>
      <c r="H313" s="18" t="str">
        <f t="shared" si="23"/>
        <v>411</v>
      </c>
      <c r="I313" s="19">
        <f t="shared" si="24"/>
        <v>2</v>
      </c>
      <c r="J313" s="7" t="str" cm="1">
        <f t="array" ref="J313">_xlfn.IFS(
I313&gt;=Best_Customers, Best_Customers_name,
I313&gt;=Loyal_Customers, Loyal_Customers_name,
I313&gt;=Average_Customers, Average_Customers_name,
TRUE, Lost_Customers_name)</f>
        <v>Average Customers</v>
      </c>
    </row>
    <row r="314" spans="1:10" x14ac:dyDescent="0.25">
      <c r="A314" s="25" t="str">
        <v>CUST_0308</v>
      </c>
      <c r="B314" s="16">
        <f t="shared" si="20"/>
        <v>15</v>
      </c>
      <c r="C314" s="16">
        <f t="shared" si="21"/>
        <v>4</v>
      </c>
      <c r="D314" s="17">
        <f t="shared" si="22"/>
        <v>319.60000000000002</v>
      </c>
      <c r="E314" s="18" cm="1">
        <f t="array" ref="E314">_xlfn.IFS(
B314&lt;=recencyQ1, 4,
B314&lt;=recencyQ2, 3,
B314&lt;=recencyQ3, 2,
TRUE, 1
)</f>
        <v>4</v>
      </c>
      <c r="F314" s="18" cm="1">
        <f t="array" ref="F314">_xlfn.IFS(
C314&lt;=frequencyQ1, 1,
C314&lt;=frequencyQ2, 2,
C314&lt;=frequencyQ3, 3,
TRUE, 4)</f>
        <v>2</v>
      </c>
      <c r="G314" s="18" cm="1">
        <f t="array" ref="G314">_xlfn.IFS(
D314&lt;=monetaryQ1, 1,
D314&lt;=monetaryQ2, 2,
D314&lt;=monetaryQ3, 3,
TRUE, 4)</f>
        <v>1</v>
      </c>
      <c r="H314" s="18" t="str">
        <f t="shared" si="23"/>
        <v>421</v>
      </c>
      <c r="I314" s="19">
        <f t="shared" si="24"/>
        <v>2.3333333333333335</v>
      </c>
      <c r="J314" s="7" t="str" cm="1">
        <f t="array" ref="J314">_xlfn.IFS(
I314&gt;=Best_Customers, Best_Customers_name,
I314&gt;=Loyal_Customers, Loyal_Customers_name,
I314&gt;=Average_Customers, Average_Customers_name,
TRUE, Lost_Customers_name)</f>
        <v>Average Customers</v>
      </c>
    </row>
    <row r="315" spans="1:10" x14ac:dyDescent="0.25">
      <c r="A315" s="25" t="str">
        <v>CUST_0309</v>
      </c>
      <c r="B315" s="16">
        <f t="shared" si="20"/>
        <v>195</v>
      </c>
      <c r="C315" s="16">
        <f t="shared" si="21"/>
        <v>3</v>
      </c>
      <c r="D315" s="17">
        <f t="shared" si="22"/>
        <v>342.24</v>
      </c>
      <c r="E315" s="18" cm="1">
        <f t="array" ref="E315">_xlfn.IFS(
B315&lt;=recencyQ1, 4,
B315&lt;=recencyQ2, 3,
B315&lt;=recencyQ3, 2,
TRUE, 1
)</f>
        <v>1</v>
      </c>
      <c r="F315" s="18" cm="1">
        <f t="array" ref="F315">_xlfn.IFS(
C315&lt;=frequencyQ1, 1,
C315&lt;=frequencyQ2, 2,
C315&lt;=frequencyQ3, 3,
TRUE, 4)</f>
        <v>1</v>
      </c>
      <c r="G315" s="18" cm="1">
        <f t="array" ref="G315">_xlfn.IFS(
D315&lt;=monetaryQ1, 1,
D315&lt;=monetaryQ2, 2,
D315&lt;=monetaryQ3, 3,
TRUE, 4)</f>
        <v>2</v>
      </c>
      <c r="H315" s="18" t="str">
        <f t="shared" si="23"/>
        <v>112</v>
      </c>
      <c r="I315" s="19">
        <f t="shared" si="24"/>
        <v>1.3333333333333333</v>
      </c>
      <c r="J315" s="7" t="str" cm="1">
        <f t="array" ref="J315">_xlfn.IFS(
I315&gt;=Best_Customers, Best_Customers_name,
I315&gt;=Loyal_Customers, Loyal_Customers_name,
I315&gt;=Average_Customers, Average_Customers_name,
TRUE, Lost_Customers_name)</f>
        <v>Lost Customers</v>
      </c>
    </row>
    <row r="316" spans="1:10" x14ac:dyDescent="0.25">
      <c r="A316" s="25" t="str">
        <v>CUST_0310</v>
      </c>
      <c r="B316" s="16">
        <f t="shared" si="20"/>
        <v>9</v>
      </c>
      <c r="C316" s="16">
        <f t="shared" si="21"/>
        <v>5</v>
      </c>
      <c r="D316" s="17">
        <f t="shared" si="22"/>
        <v>562.01</v>
      </c>
      <c r="E316" s="18" cm="1">
        <f t="array" ref="E316">_xlfn.IFS(
B316&lt;=recencyQ1, 4,
B316&lt;=recencyQ2, 3,
B316&lt;=recencyQ3, 2,
TRUE, 1
)</f>
        <v>4</v>
      </c>
      <c r="F316" s="18" cm="1">
        <f t="array" ref="F316">_xlfn.IFS(
C316&lt;=frequencyQ1, 1,
C316&lt;=frequencyQ2, 2,
C316&lt;=frequencyQ3, 3,
TRUE, 4)</f>
        <v>2</v>
      </c>
      <c r="G316" s="18" cm="1">
        <f t="array" ref="G316">_xlfn.IFS(
D316&lt;=monetaryQ1, 1,
D316&lt;=monetaryQ2, 2,
D316&lt;=monetaryQ3, 3,
TRUE, 4)</f>
        <v>3</v>
      </c>
      <c r="H316" s="18" t="str">
        <f t="shared" si="23"/>
        <v>423</v>
      </c>
      <c r="I316" s="19">
        <f t="shared" si="24"/>
        <v>3</v>
      </c>
      <c r="J316" s="7" t="str" cm="1">
        <f t="array" ref="J316">_xlfn.IFS(
I316&gt;=Best_Customers, Best_Customers_name,
I316&gt;=Loyal_Customers, Loyal_Customers_name,
I316&gt;=Average_Customers, Average_Customers_name,
TRUE, Lost_Customers_name)</f>
        <v>Loyal Customers</v>
      </c>
    </row>
    <row r="317" spans="1:10" x14ac:dyDescent="0.25">
      <c r="A317" s="25" t="str">
        <v>CUST_0311</v>
      </c>
      <c r="B317" s="16">
        <f t="shared" si="20"/>
        <v>60</v>
      </c>
      <c r="C317" s="16">
        <f t="shared" si="21"/>
        <v>4</v>
      </c>
      <c r="D317" s="17">
        <f t="shared" si="22"/>
        <v>387.47</v>
      </c>
      <c r="E317" s="18" cm="1">
        <f t="array" ref="E317">_xlfn.IFS(
B317&lt;=recencyQ1, 4,
B317&lt;=recencyQ2, 3,
B317&lt;=recencyQ3, 2,
TRUE, 1
)</f>
        <v>2</v>
      </c>
      <c r="F317" s="18" cm="1">
        <f t="array" ref="F317">_xlfn.IFS(
C317&lt;=frequencyQ1, 1,
C317&lt;=frequencyQ2, 2,
C317&lt;=frequencyQ3, 3,
TRUE, 4)</f>
        <v>2</v>
      </c>
      <c r="G317" s="18" cm="1">
        <f t="array" ref="G317">_xlfn.IFS(
D317&lt;=monetaryQ1, 1,
D317&lt;=monetaryQ2, 2,
D317&lt;=monetaryQ3, 3,
TRUE, 4)</f>
        <v>2</v>
      </c>
      <c r="H317" s="18" t="str">
        <f t="shared" si="23"/>
        <v>222</v>
      </c>
      <c r="I317" s="19">
        <f t="shared" si="24"/>
        <v>2</v>
      </c>
      <c r="J317" s="7" t="str" cm="1">
        <f t="array" ref="J317">_xlfn.IFS(
I317&gt;=Best_Customers, Best_Customers_name,
I317&gt;=Loyal_Customers, Loyal_Customers_name,
I317&gt;=Average_Customers, Average_Customers_name,
TRUE, Lost_Customers_name)</f>
        <v>Average Customers</v>
      </c>
    </row>
    <row r="318" spans="1:10" x14ac:dyDescent="0.25">
      <c r="A318" s="25" t="str">
        <v>CUST_0312</v>
      </c>
      <c r="B318" s="16">
        <f t="shared" si="20"/>
        <v>34</v>
      </c>
      <c r="C318" s="16">
        <f t="shared" si="21"/>
        <v>6</v>
      </c>
      <c r="D318" s="17">
        <f t="shared" si="22"/>
        <v>627.39</v>
      </c>
      <c r="E318" s="18" cm="1">
        <f t="array" ref="E318">_xlfn.IFS(
B318&lt;=recencyQ1, 4,
B318&lt;=recencyQ2, 3,
B318&lt;=recencyQ3, 2,
TRUE, 1
)</f>
        <v>3</v>
      </c>
      <c r="F318" s="18" cm="1">
        <f t="array" ref="F318">_xlfn.IFS(
C318&lt;=frequencyQ1, 1,
C318&lt;=frequencyQ2, 2,
C318&lt;=frequencyQ3, 3,
TRUE, 4)</f>
        <v>3</v>
      </c>
      <c r="G318" s="18" cm="1">
        <f t="array" ref="G318">_xlfn.IFS(
D318&lt;=monetaryQ1, 1,
D318&lt;=monetaryQ2, 2,
D318&lt;=monetaryQ3, 3,
TRUE, 4)</f>
        <v>3</v>
      </c>
      <c r="H318" s="18" t="str">
        <f t="shared" si="23"/>
        <v>333</v>
      </c>
      <c r="I318" s="19">
        <f t="shared" si="24"/>
        <v>3</v>
      </c>
      <c r="J318" s="7" t="str" cm="1">
        <f t="array" ref="J318">_xlfn.IFS(
I318&gt;=Best_Customers, Best_Customers_name,
I318&gt;=Loyal_Customers, Loyal_Customers_name,
I318&gt;=Average_Customers, Average_Customers_name,
TRUE, Lost_Customers_name)</f>
        <v>Loyal Customers</v>
      </c>
    </row>
    <row r="319" spans="1:10" x14ac:dyDescent="0.25">
      <c r="A319" s="25" t="str">
        <v>CUST_0313</v>
      </c>
      <c r="B319" s="16">
        <f t="shared" si="20"/>
        <v>21</v>
      </c>
      <c r="C319" s="16">
        <f t="shared" si="21"/>
        <v>7</v>
      </c>
      <c r="D319" s="17">
        <f t="shared" si="22"/>
        <v>700.09999999999991</v>
      </c>
      <c r="E319" s="18" cm="1">
        <f t="array" ref="E319">_xlfn.IFS(
B319&lt;=recencyQ1, 4,
B319&lt;=recencyQ2, 3,
B319&lt;=recencyQ3, 2,
TRUE, 1
)</f>
        <v>3</v>
      </c>
      <c r="F319" s="18" cm="1">
        <f t="array" ref="F319">_xlfn.IFS(
C319&lt;=frequencyQ1, 1,
C319&lt;=frequencyQ2, 2,
C319&lt;=frequencyQ3, 3,
TRUE, 4)</f>
        <v>4</v>
      </c>
      <c r="G319" s="18" cm="1">
        <f t="array" ref="G319">_xlfn.IFS(
D319&lt;=monetaryQ1, 1,
D319&lt;=monetaryQ2, 2,
D319&lt;=monetaryQ3, 3,
TRUE, 4)</f>
        <v>4</v>
      </c>
      <c r="H319" s="18" t="str">
        <f t="shared" si="23"/>
        <v>344</v>
      </c>
      <c r="I319" s="19">
        <f t="shared" si="24"/>
        <v>3.6666666666666665</v>
      </c>
      <c r="J319" s="7" t="str" cm="1">
        <f t="array" ref="J319">_xlfn.IFS(
I319&gt;=Best_Customers, Best_Customers_name,
I319&gt;=Loyal_Customers, Loyal_Customers_name,
I319&gt;=Average_Customers, Average_Customers_name,
TRUE, Lost_Customers_name)</f>
        <v>Best Customers</v>
      </c>
    </row>
    <row r="320" spans="1:10" x14ac:dyDescent="0.25">
      <c r="A320" s="25" t="str">
        <v>CUST_0314</v>
      </c>
      <c r="B320" s="16">
        <f t="shared" si="20"/>
        <v>221</v>
      </c>
      <c r="C320" s="16">
        <f t="shared" si="21"/>
        <v>1</v>
      </c>
      <c r="D320" s="17">
        <f t="shared" si="22"/>
        <v>114.38</v>
      </c>
      <c r="E320" s="18" cm="1">
        <f t="array" ref="E320">_xlfn.IFS(
B320&lt;=recencyQ1, 4,
B320&lt;=recencyQ2, 3,
B320&lt;=recencyQ3, 2,
TRUE, 1
)</f>
        <v>1</v>
      </c>
      <c r="F320" s="18" cm="1">
        <f t="array" ref="F320">_xlfn.IFS(
C320&lt;=frequencyQ1, 1,
C320&lt;=frequencyQ2, 2,
C320&lt;=frequencyQ3, 3,
TRUE, 4)</f>
        <v>1</v>
      </c>
      <c r="G320" s="18" cm="1">
        <f t="array" ref="G320">_xlfn.IFS(
D320&lt;=monetaryQ1, 1,
D320&lt;=monetaryQ2, 2,
D320&lt;=monetaryQ3, 3,
TRUE, 4)</f>
        <v>1</v>
      </c>
      <c r="H320" s="18" t="str">
        <f t="shared" si="23"/>
        <v>111</v>
      </c>
      <c r="I320" s="19">
        <f t="shared" si="24"/>
        <v>1</v>
      </c>
      <c r="J320" s="7" t="str" cm="1">
        <f t="array" ref="J320">_xlfn.IFS(
I320&gt;=Best_Customers, Best_Customers_name,
I320&gt;=Loyal_Customers, Loyal_Customers_name,
I320&gt;=Average_Customers, Average_Customers_name,
TRUE, Lost_Customers_name)</f>
        <v>Lost Customers</v>
      </c>
    </row>
    <row r="321" spans="1:10" x14ac:dyDescent="0.25">
      <c r="A321" s="25" t="str">
        <v>CUST_0315</v>
      </c>
      <c r="B321" s="16">
        <f t="shared" si="20"/>
        <v>14</v>
      </c>
      <c r="C321" s="16">
        <f t="shared" si="21"/>
        <v>4</v>
      </c>
      <c r="D321" s="17">
        <f t="shared" si="22"/>
        <v>414.99</v>
      </c>
      <c r="E321" s="18" cm="1">
        <f t="array" ref="E321">_xlfn.IFS(
B321&lt;=recencyQ1, 4,
B321&lt;=recencyQ2, 3,
B321&lt;=recencyQ3, 2,
TRUE, 1
)</f>
        <v>4</v>
      </c>
      <c r="F321" s="18" cm="1">
        <f t="array" ref="F321">_xlfn.IFS(
C321&lt;=frequencyQ1, 1,
C321&lt;=frequencyQ2, 2,
C321&lt;=frequencyQ3, 3,
TRUE, 4)</f>
        <v>2</v>
      </c>
      <c r="G321" s="18" cm="1">
        <f t="array" ref="G321">_xlfn.IFS(
D321&lt;=monetaryQ1, 1,
D321&lt;=monetaryQ2, 2,
D321&lt;=monetaryQ3, 3,
TRUE, 4)</f>
        <v>2</v>
      </c>
      <c r="H321" s="18" t="str">
        <f t="shared" si="23"/>
        <v>422</v>
      </c>
      <c r="I321" s="19">
        <f t="shared" si="24"/>
        <v>2.6666666666666665</v>
      </c>
      <c r="J321" s="7" t="str" cm="1">
        <f t="array" ref="J321">_xlfn.IFS(
I321&gt;=Best_Customers, Best_Customers_name,
I321&gt;=Loyal_Customers, Loyal_Customers_name,
I321&gt;=Average_Customers, Average_Customers_name,
TRUE, Lost_Customers_name)</f>
        <v>Loyal Customers</v>
      </c>
    </row>
    <row r="322" spans="1:10" x14ac:dyDescent="0.25">
      <c r="A322" s="25" t="str">
        <v>CUST_0316</v>
      </c>
      <c r="B322" s="16">
        <f t="shared" si="20"/>
        <v>293</v>
      </c>
      <c r="C322" s="16">
        <f t="shared" si="21"/>
        <v>1</v>
      </c>
      <c r="D322" s="17">
        <f t="shared" si="22"/>
        <v>89.58</v>
      </c>
      <c r="E322" s="18" cm="1">
        <f t="array" ref="E322">_xlfn.IFS(
B322&lt;=recencyQ1, 4,
B322&lt;=recencyQ2, 3,
B322&lt;=recencyQ3, 2,
TRUE, 1
)</f>
        <v>1</v>
      </c>
      <c r="F322" s="18" cm="1">
        <f t="array" ref="F322">_xlfn.IFS(
C322&lt;=frequencyQ1, 1,
C322&lt;=frequencyQ2, 2,
C322&lt;=frequencyQ3, 3,
TRUE, 4)</f>
        <v>1</v>
      </c>
      <c r="G322" s="18" cm="1">
        <f t="array" ref="G322">_xlfn.IFS(
D322&lt;=monetaryQ1, 1,
D322&lt;=monetaryQ2, 2,
D322&lt;=monetaryQ3, 3,
TRUE, 4)</f>
        <v>1</v>
      </c>
      <c r="H322" s="18" t="str">
        <f t="shared" si="23"/>
        <v>111</v>
      </c>
      <c r="I322" s="19">
        <f t="shared" si="24"/>
        <v>1</v>
      </c>
      <c r="J322" s="7" t="str" cm="1">
        <f t="array" ref="J322">_xlfn.IFS(
I322&gt;=Best_Customers, Best_Customers_name,
I322&gt;=Loyal_Customers, Loyal_Customers_name,
I322&gt;=Average_Customers, Average_Customers_name,
TRUE, Lost_Customers_name)</f>
        <v>Lost Customers</v>
      </c>
    </row>
    <row r="323" spans="1:10" x14ac:dyDescent="0.25">
      <c r="A323" s="25" t="str">
        <v>CUST_0317</v>
      </c>
      <c r="B323" s="16">
        <f t="shared" si="20"/>
        <v>8</v>
      </c>
      <c r="C323" s="16">
        <f t="shared" si="21"/>
        <v>10</v>
      </c>
      <c r="D323" s="17">
        <f t="shared" si="22"/>
        <v>879.5</v>
      </c>
      <c r="E323" s="18" cm="1">
        <f t="array" ref="E323">_xlfn.IFS(
B323&lt;=recencyQ1, 4,
B323&lt;=recencyQ2, 3,
B323&lt;=recencyQ3, 2,
TRUE, 1
)</f>
        <v>4</v>
      </c>
      <c r="F323" s="18" cm="1">
        <f t="array" ref="F323">_xlfn.IFS(
C323&lt;=frequencyQ1, 1,
C323&lt;=frequencyQ2, 2,
C323&lt;=frequencyQ3, 3,
TRUE, 4)</f>
        <v>4</v>
      </c>
      <c r="G323" s="18" cm="1">
        <f t="array" ref="G323">_xlfn.IFS(
D323&lt;=monetaryQ1, 1,
D323&lt;=monetaryQ2, 2,
D323&lt;=monetaryQ3, 3,
TRUE, 4)</f>
        <v>4</v>
      </c>
      <c r="H323" s="18" t="str">
        <f t="shared" si="23"/>
        <v>444</v>
      </c>
      <c r="I323" s="19">
        <f t="shared" si="24"/>
        <v>4</v>
      </c>
      <c r="J323" s="7" t="str" cm="1">
        <f t="array" ref="J323">_xlfn.IFS(
I323&gt;=Best_Customers, Best_Customers_name,
I323&gt;=Loyal_Customers, Loyal_Customers_name,
I323&gt;=Average_Customers, Average_Customers_name,
TRUE, Lost_Customers_name)</f>
        <v>Best Customers</v>
      </c>
    </row>
    <row r="324" spans="1:10" x14ac:dyDescent="0.25">
      <c r="A324" s="25" t="str">
        <v>CUST_0318</v>
      </c>
      <c r="B324" s="16">
        <f t="shared" si="20"/>
        <v>29</v>
      </c>
      <c r="C324" s="16">
        <f t="shared" si="21"/>
        <v>3</v>
      </c>
      <c r="D324" s="17">
        <f t="shared" si="22"/>
        <v>276.70999999999998</v>
      </c>
      <c r="E324" s="18" cm="1">
        <f t="array" ref="E324">_xlfn.IFS(
B324&lt;=recencyQ1, 4,
B324&lt;=recencyQ2, 3,
B324&lt;=recencyQ3, 2,
TRUE, 1
)</f>
        <v>3</v>
      </c>
      <c r="F324" s="18" cm="1">
        <f t="array" ref="F324">_xlfn.IFS(
C324&lt;=frequencyQ1, 1,
C324&lt;=frequencyQ2, 2,
C324&lt;=frequencyQ3, 3,
TRUE, 4)</f>
        <v>1</v>
      </c>
      <c r="G324" s="18" cm="1">
        <f t="array" ref="G324">_xlfn.IFS(
D324&lt;=monetaryQ1, 1,
D324&lt;=monetaryQ2, 2,
D324&lt;=monetaryQ3, 3,
TRUE, 4)</f>
        <v>1</v>
      </c>
      <c r="H324" s="18" t="str">
        <f t="shared" si="23"/>
        <v>311</v>
      </c>
      <c r="I324" s="19">
        <f t="shared" si="24"/>
        <v>1.6666666666666667</v>
      </c>
      <c r="J324" s="7" t="str" cm="1">
        <f t="array" ref="J324">_xlfn.IFS(
I324&gt;=Best_Customers, Best_Customers_name,
I324&gt;=Loyal_Customers, Loyal_Customers_name,
I324&gt;=Average_Customers, Average_Customers_name,
TRUE, Lost_Customers_name)</f>
        <v>Average Customers</v>
      </c>
    </row>
    <row r="325" spans="1:10" x14ac:dyDescent="0.25">
      <c r="A325" s="25" t="str">
        <v>CUST_0319</v>
      </c>
      <c r="B325" s="16">
        <f t="shared" si="20"/>
        <v>57</v>
      </c>
      <c r="C325" s="16">
        <f t="shared" si="21"/>
        <v>8</v>
      </c>
      <c r="D325" s="17">
        <f t="shared" si="22"/>
        <v>814.19</v>
      </c>
      <c r="E325" s="18" cm="1">
        <f t="array" ref="E325">_xlfn.IFS(
B325&lt;=recencyQ1, 4,
B325&lt;=recencyQ2, 3,
B325&lt;=recencyQ3, 2,
TRUE, 1
)</f>
        <v>2</v>
      </c>
      <c r="F325" s="18" cm="1">
        <f t="array" ref="F325">_xlfn.IFS(
C325&lt;=frequencyQ1, 1,
C325&lt;=frequencyQ2, 2,
C325&lt;=frequencyQ3, 3,
TRUE, 4)</f>
        <v>4</v>
      </c>
      <c r="G325" s="18" cm="1">
        <f t="array" ref="G325">_xlfn.IFS(
D325&lt;=monetaryQ1, 1,
D325&lt;=monetaryQ2, 2,
D325&lt;=monetaryQ3, 3,
TRUE, 4)</f>
        <v>4</v>
      </c>
      <c r="H325" s="18" t="str">
        <f t="shared" si="23"/>
        <v>244</v>
      </c>
      <c r="I325" s="19">
        <f t="shared" si="24"/>
        <v>3.3333333333333335</v>
      </c>
      <c r="J325" s="7" t="str" cm="1">
        <f t="array" ref="J325">_xlfn.IFS(
I325&gt;=Best_Customers, Best_Customers_name,
I325&gt;=Loyal_Customers, Loyal_Customers_name,
I325&gt;=Average_Customers, Average_Customers_name,
TRUE, Lost_Customers_name)</f>
        <v>Loyal Customers</v>
      </c>
    </row>
    <row r="326" spans="1:10" x14ac:dyDescent="0.25">
      <c r="A326" s="25" t="str">
        <v>CUST_0320</v>
      </c>
      <c r="B326" s="16">
        <f t="shared" si="20"/>
        <v>8</v>
      </c>
      <c r="C326" s="16">
        <f t="shared" si="21"/>
        <v>3</v>
      </c>
      <c r="D326" s="17">
        <f t="shared" si="22"/>
        <v>276.5</v>
      </c>
      <c r="E326" s="18" cm="1">
        <f t="array" ref="E326">_xlfn.IFS(
B326&lt;=recencyQ1, 4,
B326&lt;=recencyQ2, 3,
B326&lt;=recencyQ3, 2,
TRUE, 1
)</f>
        <v>4</v>
      </c>
      <c r="F326" s="18" cm="1">
        <f t="array" ref="F326">_xlfn.IFS(
C326&lt;=frequencyQ1, 1,
C326&lt;=frequencyQ2, 2,
C326&lt;=frequencyQ3, 3,
TRUE, 4)</f>
        <v>1</v>
      </c>
      <c r="G326" s="18" cm="1">
        <f t="array" ref="G326">_xlfn.IFS(
D326&lt;=monetaryQ1, 1,
D326&lt;=monetaryQ2, 2,
D326&lt;=monetaryQ3, 3,
TRUE, 4)</f>
        <v>1</v>
      </c>
      <c r="H326" s="18" t="str">
        <f t="shared" si="23"/>
        <v>411</v>
      </c>
      <c r="I326" s="19">
        <f t="shared" si="24"/>
        <v>2</v>
      </c>
      <c r="J326" s="7" t="str" cm="1">
        <f t="array" ref="J326">_xlfn.IFS(
I326&gt;=Best_Customers, Best_Customers_name,
I326&gt;=Loyal_Customers, Loyal_Customers_name,
I326&gt;=Average_Customers, Average_Customers_name,
TRUE, Lost_Customers_name)</f>
        <v>Average Customers</v>
      </c>
    </row>
    <row r="327" spans="1:10" x14ac:dyDescent="0.25">
      <c r="A327" s="25" t="str">
        <v>CUST_0321</v>
      </c>
      <c r="B327" s="16">
        <f t="shared" si="20"/>
        <v>180</v>
      </c>
      <c r="C327" s="16">
        <f t="shared" si="21"/>
        <v>2</v>
      </c>
      <c r="D327" s="17">
        <f t="shared" si="22"/>
        <v>219.92000000000002</v>
      </c>
      <c r="E327" s="18" cm="1">
        <f t="array" ref="E327">_xlfn.IFS(
B327&lt;=recencyQ1, 4,
B327&lt;=recencyQ2, 3,
B327&lt;=recencyQ3, 2,
TRUE, 1
)</f>
        <v>1</v>
      </c>
      <c r="F327" s="18" cm="1">
        <f t="array" ref="F327">_xlfn.IFS(
C327&lt;=frequencyQ1, 1,
C327&lt;=frequencyQ2, 2,
C327&lt;=frequencyQ3, 3,
TRUE, 4)</f>
        <v>1</v>
      </c>
      <c r="G327" s="18" cm="1">
        <f t="array" ref="G327">_xlfn.IFS(
D327&lt;=monetaryQ1, 1,
D327&lt;=monetaryQ2, 2,
D327&lt;=monetaryQ3, 3,
TRUE, 4)</f>
        <v>1</v>
      </c>
      <c r="H327" s="18" t="str">
        <f t="shared" si="23"/>
        <v>111</v>
      </c>
      <c r="I327" s="19">
        <f t="shared" si="24"/>
        <v>1</v>
      </c>
      <c r="J327" s="7" t="str" cm="1">
        <f t="array" ref="J327">_xlfn.IFS(
I327&gt;=Best_Customers, Best_Customers_name,
I327&gt;=Loyal_Customers, Loyal_Customers_name,
I327&gt;=Average_Customers, Average_Customers_name,
TRUE, Lost_Customers_name)</f>
        <v>Lost Customers</v>
      </c>
    </row>
    <row r="328" spans="1:10" x14ac:dyDescent="0.25">
      <c r="A328" s="25" t="str">
        <v>CUST_0322</v>
      </c>
      <c r="B328" s="16">
        <f t="shared" si="20"/>
        <v>102</v>
      </c>
      <c r="C328" s="16">
        <f t="shared" si="21"/>
        <v>5</v>
      </c>
      <c r="D328" s="17">
        <f t="shared" si="22"/>
        <v>478.12</v>
      </c>
      <c r="E328" s="18" cm="1">
        <f t="array" ref="E328">_xlfn.IFS(
B328&lt;=recencyQ1, 4,
B328&lt;=recencyQ2, 3,
B328&lt;=recencyQ3, 2,
TRUE, 1
)</f>
        <v>1</v>
      </c>
      <c r="F328" s="18" cm="1">
        <f t="array" ref="F328">_xlfn.IFS(
C328&lt;=frequencyQ1, 1,
C328&lt;=frequencyQ2, 2,
C328&lt;=frequencyQ3, 3,
TRUE, 4)</f>
        <v>2</v>
      </c>
      <c r="G328" s="18" cm="1">
        <f t="array" ref="G328">_xlfn.IFS(
D328&lt;=monetaryQ1, 1,
D328&lt;=monetaryQ2, 2,
D328&lt;=monetaryQ3, 3,
TRUE, 4)</f>
        <v>2</v>
      </c>
      <c r="H328" s="18" t="str">
        <f t="shared" si="23"/>
        <v>122</v>
      </c>
      <c r="I328" s="19">
        <f t="shared" si="24"/>
        <v>1.6666666666666667</v>
      </c>
      <c r="J328" s="7" t="str" cm="1">
        <f t="array" ref="J328">_xlfn.IFS(
I328&gt;=Best_Customers, Best_Customers_name,
I328&gt;=Loyal_Customers, Loyal_Customers_name,
I328&gt;=Average_Customers, Average_Customers_name,
TRUE, Lost_Customers_name)</f>
        <v>Average Customers</v>
      </c>
    </row>
    <row r="329" spans="1:10" x14ac:dyDescent="0.25">
      <c r="A329" s="25" t="str">
        <v>CUST_0323</v>
      </c>
      <c r="B329" s="16">
        <f t="shared" si="20"/>
        <v>10</v>
      </c>
      <c r="C329" s="16">
        <f t="shared" si="21"/>
        <v>8</v>
      </c>
      <c r="D329" s="17">
        <f t="shared" si="22"/>
        <v>729.31000000000006</v>
      </c>
      <c r="E329" s="18" cm="1">
        <f t="array" ref="E329">_xlfn.IFS(
B329&lt;=recencyQ1, 4,
B329&lt;=recencyQ2, 3,
B329&lt;=recencyQ3, 2,
TRUE, 1
)</f>
        <v>4</v>
      </c>
      <c r="F329" s="18" cm="1">
        <f t="array" ref="F329">_xlfn.IFS(
C329&lt;=frequencyQ1, 1,
C329&lt;=frequencyQ2, 2,
C329&lt;=frequencyQ3, 3,
TRUE, 4)</f>
        <v>4</v>
      </c>
      <c r="G329" s="18" cm="1">
        <f t="array" ref="G329">_xlfn.IFS(
D329&lt;=monetaryQ1, 1,
D329&lt;=monetaryQ2, 2,
D329&lt;=monetaryQ3, 3,
TRUE, 4)</f>
        <v>4</v>
      </c>
      <c r="H329" s="18" t="str">
        <f t="shared" si="23"/>
        <v>444</v>
      </c>
      <c r="I329" s="19">
        <f t="shared" si="24"/>
        <v>4</v>
      </c>
      <c r="J329" s="7" t="str" cm="1">
        <f t="array" ref="J329">_xlfn.IFS(
I329&gt;=Best_Customers, Best_Customers_name,
I329&gt;=Loyal_Customers, Loyal_Customers_name,
I329&gt;=Average_Customers, Average_Customers_name,
TRUE, Lost_Customers_name)</f>
        <v>Best Customers</v>
      </c>
    </row>
    <row r="330" spans="1:10" x14ac:dyDescent="0.25">
      <c r="A330" s="25" t="str">
        <v>CUST_0324</v>
      </c>
      <c r="B330" s="16">
        <f t="shared" ref="B330:B393" si="25">analysis_date-_xlfn.MAXIFS(transaction_date,customer_id,A330,included,1)</f>
        <v>57</v>
      </c>
      <c r="C330" s="16">
        <f t="shared" ref="C330:C393" si="26">COUNTIFS(customer_id,A330,included,1)</f>
        <v>3</v>
      </c>
      <c r="D330" s="17">
        <f t="shared" ref="D330:D393" si="27">SUMIFS(transaction_amount,customer_id,A330,included,1)</f>
        <v>193.16</v>
      </c>
      <c r="E330" s="18" cm="1">
        <f t="array" ref="E330">_xlfn.IFS(
B330&lt;=recencyQ1, 4,
B330&lt;=recencyQ2, 3,
B330&lt;=recencyQ3, 2,
TRUE, 1
)</f>
        <v>2</v>
      </c>
      <c r="F330" s="18" cm="1">
        <f t="array" ref="F330">_xlfn.IFS(
C330&lt;=frequencyQ1, 1,
C330&lt;=frequencyQ2, 2,
C330&lt;=frequencyQ3, 3,
TRUE, 4)</f>
        <v>1</v>
      </c>
      <c r="G330" s="18" cm="1">
        <f t="array" ref="G330">_xlfn.IFS(
D330&lt;=monetaryQ1, 1,
D330&lt;=monetaryQ2, 2,
D330&lt;=monetaryQ3, 3,
TRUE, 4)</f>
        <v>1</v>
      </c>
      <c r="H330" s="18" t="str">
        <f t="shared" ref="H330:H393" si="28">E330&amp;F330&amp;G330</f>
        <v>211</v>
      </c>
      <c r="I330" s="19">
        <f t="shared" ref="I330:I393" si="29">AVERAGE(E330:G330)</f>
        <v>1.3333333333333333</v>
      </c>
      <c r="J330" s="7" t="str" cm="1">
        <f t="array" ref="J330">_xlfn.IFS(
I330&gt;=Best_Customers, Best_Customers_name,
I330&gt;=Loyal_Customers, Loyal_Customers_name,
I330&gt;=Average_Customers, Average_Customers_name,
TRUE, Lost_Customers_name)</f>
        <v>Lost Customers</v>
      </c>
    </row>
    <row r="331" spans="1:10" x14ac:dyDescent="0.25">
      <c r="A331" s="25" t="str">
        <v>CUST_0325</v>
      </c>
      <c r="B331" s="16">
        <f t="shared" si="25"/>
        <v>47</v>
      </c>
      <c r="C331" s="16">
        <f t="shared" si="26"/>
        <v>4</v>
      </c>
      <c r="D331" s="17">
        <f t="shared" si="27"/>
        <v>282.60000000000002</v>
      </c>
      <c r="E331" s="18" cm="1">
        <f t="array" ref="E331">_xlfn.IFS(
B331&lt;=recencyQ1, 4,
B331&lt;=recencyQ2, 3,
B331&lt;=recencyQ3, 2,
TRUE, 1
)</f>
        <v>3</v>
      </c>
      <c r="F331" s="18" cm="1">
        <f t="array" ref="F331">_xlfn.IFS(
C331&lt;=frequencyQ1, 1,
C331&lt;=frequencyQ2, 2,
C331&lt;=frequencyQ3, 3,
TRUE, 4)</f>
        <v>2</v>
      </c>
      <c r="G331" s="18" cm="1">
        <f t="array" ref="G331">_xlfn.IFS(
D331&lt;=monetaryQ1, 1,
D331&lt;=monetaryQ2, 2,
D331&lt;=monetaryQ3, 3,
TRUE, 4)</f>
        <v>1</v>
      </c>
      <c r="H331" s="18" t="str">
        <f t="shared" si="28"/>
        <v>321</v>
      </c>
      <c r="I331" s="19">
        <f t="shared" si="29"/>
        <v>2</v>
      </c>
      <c r="J331" s="7" t="str" cm="1">
        <f t="array" ref="J331">_xlfn.IFS(
I331&gt;=Best_Customers, Best_Customers_name,
I331&gt;=Loyal_Customers, Loyal_Customers_name,
I331&gt;=Average_Customers, Average_Customers_name,
TRUE, Lost_Customers_name)</f>
        <v>Average Customers</v>
      </c>
    </row>
    <row r="332" spans="1:10" x14ac:dyDescent="0.25">
      <c r="A332" s="25" t="str">
        <v>CUST_0326</v>
      </c>
      <c r="B332" s="16">
        <f t="shared" si="25"/>
        <v>3</v>
      </c>
      <c r="C332" s="16">
        <f t="shared" si="26"/>
        <v>5</v>
      </c>
      <c r="D332" s="17">
        <f t="shared" si="27"/>
        <v>490.35</v>
      </c>
      <c r="E332" s="18" cm="1">
        <f t="array" ref="E332">_xlfn.IFS(
B332&lt;=recencyQ1, 4,
B332&lt;=recencyQ2, 3,
B332&lt;=recencyQ3, 2,
TRUE, 1
)</f>
        <v>4</v>
      </c>
      <c r="F332" s="18" cm="1">
        <f t="array" ref="F332">_xlfn.IFS(
C332&lt;=frequencyQ1, 1,
C332&lt;=frequencyQ2, 2,
C332&lt;=frequencyQ3, 3,
TRUE, 4)</f>
        <v>2</v>
      </c>
      <c r="G332" s="18" cm="1">
        <f t="array" ref="G332">_xlfn.IFS(
D332&lt;=monetaryQ1, 1,
D332&lt;=monetaryQ2, 2,
D332&lt;=monetaryQ3, 3,
TRUE, 4)</f>
        <v>3</v>
      </c>
      <c r="H332" s="18" t="str">
        <f t="shared" si="28"/>
        <v>423</v>
      </c>
      <c r="I332" s="19">
        <f t="shared" si="29"/>
        <v>3</v>
      </c>
      <c r="J332" s="7" t="str" cm="1">
        <f t="array" ref="J332">_xlfn.IFS(
I332&gt;=Best_Customers, Best_Customers_name,
I332&gt;=Loyal_Customers, Loyal_Customers_name,
I332&gt;=Average_Customers, Average_Customers_name,
TRUE, Lost_Customers_name)</f>
        <v>Loyal Customers</v>
      </c>
    </row>
    <row r="333" spans="1:10" x14ac:dyDescent="0.25">
      <c r="A333" s="25" t="str">
        <v>CUST_0327</v>
      </c>
      <c r="B333" s="16">
        <f t="shared" si="25"/>
        <v>34</v>
      </c>
      <c r="C333" s="16">
        <f t="shared" si="26"/>
        <v>3</v>
      </c>
      <c r="D333" s="17">
        <f t="shared" si="27"/>
        <v>371.63</v>
      </c>
      <c r="E333" s="18" cm="1">
        <f t="array" ref="E333">_xlfn.IFS(
B333&lt;=recencyQ1, 4,
B333&lt;=recencyQ2, 3,
B333&lt;=recencyQ3, 2,
TRUE, 1
)</f>
        <v>3</v>
      </c>
      <c r="F333" s="18" cm="1">
        <f t="array" ref="F333">_xlfn.IFS(
C333&lt;=frequencyQ1, 1,
C333&lt;=frequencyQ2, 2,
C333&lt;=frequencyQ3, 3,
TRUE, 4)</f>
        <v>1</v>
      </c>
      <c r="G333" s="18" cm="1">
        <f t="array" ref="G333">_xlfn.IFS(
D333&lt;=monetaryQ1, 1,
D333&lt;=monetaryQ2, 2,
D333&lt;=monetaryQ3, 3,
TRUE, 4)</f>
        <v>2</v>
      </c>
      <c r="H333" s="18" t="str">
        <f t="shared" si="28"/>
        <v>312</v>
      </c>
      <c r="I333" s="19">
        <f t="shared" si="29"/>
        <v>2</v>
      </c>
      <c r="J333" s="7" t="str" cm="1">
        <f t="array" ref="J333">_xlfn.IFS(
I333&gt;=Best_Customers, Best_Customers_name,
I333&gt;=Loyal_Customers, Loyal_Customers_name,
I333&gt;=Average_Customers, Average_Customers_name,
TRUE, Lost_Customers_name)</f>
        <v>Average Customers</v>
      </c>
    </row>
    <row r="334" spans="1:10" x14ac:dyDescent="0.25">
      <c r="A334" s="25" t="str">
        <v>CUST_0328</v>
      </c>
      <c r="B334" s="16">
        <f t="shared" si="25"/>
        <v>50</v>
      </c>
      <c r="C334" s="16">
        <f t="shared" si="26"/>
        <v>5</v>
      </c>
      <c r="D334" s="17">
        <f t="shared" si="27"/>
        <v>459.58</v>
      </c>
      <c r="E334" s="18" cm="1">
        <f t="array" ref="E334">_xlfn.IFS(
B334&lt;=recencyQ1, 4,
B334&lt;=recencyQ2, 3,
B334&lt;=recencyQ3, 2,
TRUE, 1
)</f>
        <v>2</v>
      </c>
      <c r="F334" s="18" cm="1">
        <f t="array" ref="F334">_xlfn.IFS(
C334&lt;=frequencyQ1, 1,
C334&lt;=frequencyQ2, 2,
C334&lt;=frequencyQ3, 3,
TRUE, 4)</f>
        <v>2</v>
      </c>
      <c r="G334" s="18" cm="1">
        <f t="array" ref="G334">_xlfn.IFS(
D334&lt;=monetaryQ1, 1,
D334&lt;=monetaryQ2, 2,
D334&lt;=monetaryQ3, 3,
TRUE, 4)</f>
        <v>2</v>
      </c>
      <c r="H334" s="18" t="str">
        <f t="shared" si="28"/>
        <v>222</v>
      </c>
      <c r="I334" s="19">
        <f t="shared" si="29"/>
        <v>2</v>
      </c>
      <c r="J334" s="7" t="str" cm="1">
        <f t="array" ref="J334">_xlfn.IFS(
I334&gt;=Best_Customers, Best_Customers_name,
I334&gt;=Loyal_Customers, Loyal_Customers_name,
I334&gt;=Average_Customers, Average_Customers_name,
TRUE, Lost_Customers_name)</f>
        <v>Average Customers</v>
      </c>
    </row>
    <row r="335" spans="1:10" x14ac:dyDescent="0.25">
      <c r="A335" s="25" t="str">
        <v>CUST_0329</v>
      </c>
      <c r="B335" s="16">
        <f t="shared" si="25"/>
        <v>137</v>
      </c>
      <c r="C335" s="16">
        <f t="shared" si="26"/>
        <v>5</v>
      </c>
      <c r="D335" s="17">
        <f t="shared" si="27"/>
        <v>472.87</v>
      </c>
      <c r="E335" s="18" cm="1">
        <f t="array" ref="E335">_xlfn.IFS(
B335&lt;=recencyQ1, 4,
B335&lt;=recencyQ2, 3,
B335&lt;=recencyQ3, 2,
TRUE, 1
)</f>
        <v>1</v>
      </c>
      <c r="F335" s="18" cm="1">
        <f t="array" ref="F335">_xlfn.IFS(
C335&lt;=frequencyQ1, 1,
C335&lt;=frequencyQ2, 2,
C335&lt;=frequencyQ3, 3,
TRUE, 4)</f>
        <v>2</v>
      </c>
      <c r="G335" s="18" cm="1">
        <f t="array" ref="G335">_xlfn.IFS(
D335&lt;=monetaryQ1, 1,
D335&lt;=monetaryQ2, 2,
D335&lt;=monetaryQ3, 3,
TRUE, 4)</f>
        <v>2</v>
      </c>
      <c r="H335" s="18" t="str">
        <f t="shared" si="28"/>
        <v>122</v>
      </c>
      <c r="I335" s="19">
        <f t="shared" si="29"/>
        <v>1.6666666666666667</v>
      </c>
      <c r="J335" s="7" t="str" cm="1">
        <f t="array" ref="J335">_xlfn.IFS(
I335&gt;=Best_Customers, Best_Customers_name,
I335&gt;=Loyal_Customers, Loyal_Customers_name,
I335&gt;=Average_Customers, Average_Customers_name,
TRUE, Lost_Customers_name)</f>
        <v>Average Customers</v>
      </c>
    </row>
    <row r="336" spans="1:10" x14ac:dyDescent="0.25">
      <c r="A336" s="25" t="str">
        <v>CUST_0330</v>
      </c>
      <c r="B336" s="16">
        <f t="shared" si="25"/>
        <v>20</v>
      </c>
      <c r="C336" s="16">
        <f t="shared" si="26"/>
        <v>3</v>
      </c>
      <c r="D336" s="17">
        <f t="shared" si="27"/>
        <v>369.18</v>
      </c>
      <c r="E336" s="18" cm="1">
        <f t="array" ref="E336">_xlfn.IFS(
B336&lt;=recencyQ1, 4,
B336&lt;=recencyQ2, 3,
B336&lt;=recencyQ3, 2,
TRUE, 1
)</f>
        <v>3</v>
      </c>
      <c r="F336" s="18" cm="1">
        <f t="array" ref="F336">_xlfn.IFS(
C336&lt;=frequencyQ1, 1,
C336&lt;=frequencyQ2, 2,
C336&lt;=frequencyQ3, 3,
TRUE, 4)</f>
        <v>1</v>
      </c>
      <c r="G336" s="18" cm="1">
        <f t="array" ref="G336">_xlfn.IFS(
D336&lt;=monetaryQ1, 1,
D336&lt;=monetaryQ2, 2,
D336&lt;=monetaryQ3, 3,
TRUE, 4)</f>
        <v>2</v>
      </c>
      <c r="H336" s="18" t="str">
        <f t="shared" si="28"/>
        <v>312</v>
      </c>
      <c r="I336" s="19">
        <f t="shared" si="29"/>
        <v>2</v>
      </c>
      <c r="J336" s="7" t="str" cm="1">
        <f t="array" ref="J336">_xlfn.IFS(
I336&gt;=Best_Customers, Best_Customers_name,
I336&gt;=Loyal_Customers, Loyal_Customers_name,
I336&gt;=Average_Customers, Average_Customers_name,
TRUE, Lost_Customers_name)</f>
        <v>Average Customers</v>
      </c>
    </row>
    <row r="337" spans="1:10" x14ac:dyDescent="0.25">
      <c r="A337" s="25" t="str">
        <v>CUST_0331</v>
      </c>
      <c r="B337" s="16">
        <f t="shared" si="25"/>
        <v>61</v>
      </c>
      <c r="C337" s="16">
        <f t="shared" si="26"/>
        <v>5</v>
      </c>
      <c r="D337" s="17">
        <f t="shared" si="27"/>
        <v>512.35</v>
      </c>
      <c r="E337" s="18" cm="1">
        <f t="array" ref="E337">_xlfn.IFS(
B337&lt;=recencyQ1, 4,
B337&lt;=recencyQ2, 3,
B337&lt;=recencyQ3, 2,
TRUE, 1
)</f>
        <v>2</v>
      </c>
      <c r="F337" s="18" cm="1">
        <f t="array" ref="F337">_xlfn.IFS(
C337&lt;=frequencyQ1, 1,
C337&lt;=frequencyQ2, 2,
C337&lt;=frequencyQ3, 3,
TRUE, 4)</f>
        <v>2</v>
      </c>
      <c r="G337" s="18" cm="1">
        <f t="array" ref="G337">_xlfn.IFS(
D337&lt;=monetaryQ1, 1,
D337&lt;=monetaryQ2, 2,
D337&lt;=monetaryQ3, 3,
TRUE, 4)</f>
        <v>3</v>
      </c>
      <c r="H337" s="18" t="str">
        <f t="shared" si="28"/>
        <v>223</v>
      </c>
      <c r="I337" s="19">
        <f t="shared" si="29"/>
        <v>2.3333333333333335</v>
      </c>
      <c r="J337" s="7" t="str" cm="1">
        <f t="array" ref="J337">_xlfn.IFS(
I337&gt;=Best_Customers, Best_Customers_name,
I337&gt;=Loyal_Customers, Loyal_Customers_name,
I337&gt;=Average_Customers, Average_Customers_name,
TRUE, Lost_Customers_name)</f>
        <v>Average Customers</v>
      </c>
    </row>
    <row r="338" spans="1:10" x14ac:dyDescent="0.25">
      <c r="A338" s="25" t="str">
        <v>CUST_0332</v>
      </c>
      <c r="B338" s="16">
        <f t="shared" si="25"/>
        <v>237</v>
      </c>
      <c r="C338" s="16">
        <f t="shared" si="26"/>
        <v>1</v>
      </c>
      <c r="D338" s="17">
        <f t="shared" si="27"/>
        <v>39.86</v>
      </c>
      <c r="E338" s="18" cm="1">
        <f t="array" ref="E338">_xlfn.IFS(
B338&lt;=recencyQ1, 4,
B338&lt;=recencyQ2, 3,
B338&lt;=recencyQ3, 2,
TRUE, 1
)</f>
        <v>1</v>
      </c>
      <c r="F338" s="18" cm="1">
        <f t="array" ref="F338">_xlfn.IFS(
C338&lt;=frequencyQ1, 1,
C338&lt;=frequencyQ2, 2,
C338&lt;=frequencyQ3, 3,
TRUE, 4)</f>
        <v>1</v>
      </c>
      <c r="G338" s="18" cm="1">
        <f t="array" ref="G338">_xlfn.IFS(
D338&lt;=monetaryQ1, 1,
D338&lt;=monetaryQ2, 2,
D338&lt;=monetaryQ3, 3,
TRUE, 4)</f>
        <v>1</v>
      </c>
      <c r="H338" s="18" t="str">
        <f t="shared" si="28"/>
        <v>111</v>
      </c>
      <c r="I338" s="19">
        <f t="shared" si="29"/>
        <v>1</v>
      </c>
      <c r="J338" s="7" t="str" cm="1">
        <f t="array" ref="J338">_xlfn.IFS(
I338&gt;=Best_Customers, Best_Customers_name,
I338&gt;=Loyal_Customers, Loyal_Customers_name,
I338&gt;=Average_Customers, Average_Customers_name,
TRUE, Lost_Customers_name)</f>
        <v>Lost Customers</v>
      </c>
    </row>
    <row r="339" spans="1:10" x14ac:dyDescent="0.25">
      <c r="A339" s="25" t="str">
        <v>CUST_0333</v>
      </c>
      <c r="B339" s="16">
        <f t="shared" si="25"/>
        <v>79</v>
      </c>
      <c r="C339" s="16">
        <f t="shared" si="26"/>
        <v>5</v>
      </c>
      <c r="D339" s="17">
        <f t="shared" si="27"/>
        <v>467.42999999999995</v>
      </c>
      <c r="E339" s="18" cm="1">
        <f t="array" ref="E339">_xlfn.IFS(
B339&lt;=recencyQ1, 4,
B339&lt;=recencyQ2, 3,
B339&lt;=recencyQ3, 2,
TRUE, 1
)</f>
        <v>2</v>
      </c>
      <c r="F339" s="18" cm="1">
        <f t="array" ref="F339">_xlfn.IFS(
C339&lt;=frequencyQ1, 1,
C339&lt;=frequencyQ2, 2,
C339&lt;=frequencyQ3, 3,
TRUE, 4)</f>
        <v>2</v>
      </c>
      <c r="G339" s="18" cm="1">
        <f t="array" ref="G339">_xlfn.IFS(
D339&lt;=monetaryQ1, 1,
D339&lt;=monetaryQ2, 2,
D339&lt;=monetaryQ3, 3,
TRUE, 4)</f>
        <v>2</v>
      </c>
      <c r="H339" s="18" t="str">
        <f t="shared" si="28"/>
        <v>222</v>
      </c>
      <c r="I339" s="19">
        <f t="shared" si="29"/>
        <v>2</v>
      </c>
      <c r="J339" s="7" t="str" cm="1">
        <f t="array" ref="J339">_xlfn.IFS(
I339&gt;=Best_Customers, Best_Customers_name,
I339&gt;=Loyal_Customers, Loyal_Customers_name,
I339&gt;=Average_Customers, Average_Customers_name,
TRUE, Lost_Customers_name)</f>
        <v>Average Customers</v>
      </c>
    </row>
    <row r="340" spans="1:10" x14ac:dyDescent="0.25">
      <c r="A340" s="25" t="str">
        <v>CUST_0334</v>
      </c>
      <c r="B340" s="16">
        <f t="shared" si="25"/>
        <v>136</v>
      </c>
      <c r="C340" s="16">
        <f t="shared" si="26"/>
        <v>5</v>
      </c>
      <c r="D340" s="17">
        <f t="shared" si="27"/>
        <v>469.64000000000004</v>
      </c>
      <c r="E340" s="18" cm="1">
        <f t="array" ref="E340">_xlfn.IFS(
B340&lt;=recencyQ1, 4,
B340&lt;=recencyQ2, 3,
B340&lt;=recencyQ3, 2,
TRUE, 1
)</f>
        <v>1</v>
      </c>
      <c r="F340" s="18" cm="1">
        <f t="array" ref="F340">_xlfn.IFS(
C340&lt;=frequencyQ1, 1,
C340&lt;=frequencyQ2, 2,
C340&lt;=frequencyQ3, 3,
TRUE, 4)</f>
        <v>2</v>
      </c>
      <c r="G340" s="18" cm="1">
        <f t="array" ref="G340">_xlfn.IFS(
D340&lt;=monetaryQ1, 1,
D340&lt;=monetaryQ2, 2,
D340&lt;=monetaryQ3, 3,
TRUE, 4)</f>
        <v>2</v>
      </c>
      <c r="H340" s="18" t="str">
        <f t="shared" si="28"/>
        <v>122</v>
      </c>
      <c r="I340" s="19">
        <f t="shared" si="29"/>
        <v>1.6666666666666667</v>
      </c>
      <c r="J340" s="7" t="str" cm="1">
        <f t="array" ref="J340">_xlfn.IFS(
I340&gt;=Best_Customers, Best_Customers_name,
I340&gt;=Loyal_Customers, Loyal_Customers_name,
I340&gt;=Average_Customers, Average_Customers_name,
TRUE, Lost_Customers_name)</f>
        <v>Average Customers</v>
      </c>
    </row>
    <row r="341" spans="1:10" x14ac:dyDescent="0.25">
      <c r="A341" s="25" t="str">
        <v>CUST_0335</v>
      </c>
      <c r="B341" s="16">
        <f t="shared" si="25"/>
        <v>75</v>
      </c>
      <c r="C341" s="16">
        <f t="shared" si="26"/>
        <v>6</v>
      </c>
      <c r="D341" s="17">
        <f t="shared" si="27"/>
        <v>587.64</v>
      </c>
      <c r="E341" s="18" cm="1">
        <f t="array" ref="E341">_xlfn.IFS(
B341&lt;=recencyQ1, 4,
B341&lt;=recencyQ2, 3,
B341&lt;=recencyQ3, 2,
TRUE, 1
)</f>
        <v>2</v>
      </c>
      <c r="F341" s="18" cm="1">
        <f t="array" ref="F341">_xlfn.IFS(
C341&lt;=frequencyQ1, 1,
C341&lt;=frequencyQ2, 2,
C341&lt;=frequencyQ3, 3,
TRUE, 4)</f>
        <v>3</v>
      </c>
      <c r="G341" s="18" cm="1">
        <f t="array" ref="G341">_xlfn.IFS(
D341&lt;=monetaryQ1, 1,
D341&lt;=monetaryQ2, 2,
D341&lt;=monetaryQ3, 3,
TRUE, 4)</f>
        <v>3</v>
      </c>
      <c r="H341" s="18" t="str">
        <f t="shared" si="28"/>
        <v>233</v>
      </c>
      <c r="I341" s="19">
        <f t="shared" si="29"/>
        <v>2.6666666666666665</v>
      </c>
      <c r="J341" s="7" t="str" cm="1">
        <f t="array" ref="J341">_xlfn.IFS(
I341&gt;=Best_Customers, Best_Customers_name,
I341&gt;=Loyal_Customers, Loyal_Customers_name,
I341&gt;=Average_Customers, Average_Customers_name,
TRUE, Lost_Customers_name)</f>
        <v>Loyal Customers</v>
      </c>
    </row>
    <row r="342" spans="1:10" x14ac:dyDescent="0.25">
      <c r="A342" s="25" t="str">
        <v>CUST_0336</v>
      </c>
      <c r="B342" s="16">
        <f t="shared" si="25"/>
        <v>43</v>
      </c>
      <c r="C342" s="16">
        <f t="shared" si="26"/>
        <v>3</v>
      </c>
      <c r="D342" s="17">
        <f t="shared" si="27"/>
        <v>321.21999999999997</v>
      </c>
      <c r="E342" s="18" cm="1">
        <f t="array" ref="E342">_xlfn.IFS(
B342&lt;=recencyQ1, 4,
B342&lt;=recencyQ2, 3,
B342&lt;=recencyQ3, 2,
TRUE, 1
)</f>
        <v>3</v>
      </c>
      <c r="F342" s="18" cm="1">
        <f t="array" ref="F342">_xlfn.IFS(
C342&lt;=frequencyQ1, 1,
C342&lt;=frequencyQ2, 2,
C342&lt;=frequencyQ3, 3,
TRUE, 4)</f>
        <v>1</v>
      </c>
      <c r="G342" s="18" cm="1">
        <f t="array" ref="G342">_xlfn.IFS(
D342&lt;=monetaryQ1, 1,
D342&lt;=monetaryQ2, 2,
D342&lt;=monetaryQ3, 3,
TRUE, 4)</f>
        <v>2</v>
      </c>
      <c r="H342" s="18" t="str">
        <f t="shared" si="28"/>
        <v>312</v>
      </c>
      <c r="I342" s="19">
        <f t="shared" si="29"/>
        <v>2</v>
      </c>
      <c r="J342" s="7" t="str" cm="1">
        <f t="array" ref="J342">_xlfn.IFS(
I342&gt;=Best_Customers, Best_Customers_name,
I342&gt;=Loyal_Customers, Loyal_Customers_name,
I342&gt;=Average_Customers, Average_Customers_name,
TRUE, Lost_Customers_name)</f>
        <v>Average Customers</v>
      </c>
    </row>
    <row r="343" spans="1:10" x14ac:dyDescent="0.25">
      <c r="A343" s="25" t="str">
        <v>CUST_0337</v>
      </c>
      <c r="B343" s="16">
        <f t="shared" si="25"/>
        <v>99</v>
      </c>
      <c r="C343" s="16">
        <f t="shared" si="26"/>
        <v>6</v>
      </c>
      <c r="D343" s="17">
        <f t="shared" si="27"/>
        <v>594.78</v>
      </c>
      <c r="E343" s="18" cm="1">
        <f t="array" ref="E343">_xlfn.IFS(
B343&lt;=recencyQ1, 4,
B343&lt;=recencyQ2, 3,
B343&lt;=recencyQ3, 2,
TRUE, 1
)</f>
        <v>1</v>
      </c>
      <c r="F343" s="18" cm="1">
        <f t="array" ref="F343">_xlfn.IFS(
C343&lt;=frequencyQ1, 1,
C343&lt;=frequencyQ2, 2,
C343&lt;=frequencyQ3, 3,
TRUE, 4)</f>
        <v>3</v>
      </c>
      <c r="G343" s="18" cm="1">
        <f t="array" ref="G343">_xlfn.IFS(
D343&lt;=monetaryQ1, 1,
D343&lt;=monetaryQ2, 2,
D343&lt;=monetaryQ3, 3,
TRUE, 4)</f>
        <v>3</v>
      </c>
      <c r="H343" s="18" t="str">
        <f t="shared" si="28"/>
        <v>133</v>
      </c>
      <c r="I343" s="19">
        <f t="shared" si="29"/>
        <v>2.3333333333333335</v>
      </c>
      <c r="J343" s="7" t="str" cm="1">
        <f t="array" ref="J343">_xlfn.IFS(
I343&gt;=Best_Customers, Best_Customers_name,
I343&gt;=Loyal_Customers, Loyal_Customers_name,
I343&gt;=Average_Customers, Average_Customers_name,
TRUE, Lost_Customers_name)</f>
        <v>Average Customers</v>
      </c>
    </row>
    <row r="344" spans="1:10" x14ac:dyDescent="0.25">
      <c r="A344" s="25" t="str">
        <v>CUST_0338</v>
      </c>
      <c r="B344" s="16">
        <f t="shared" si="25"/>
        <v>143</v>
      </c>
      <c r="C344" s="16">
        <f t="shared" si="26"/>
        <v>2</v>
      </c>
      <c r="D344" s="17">
        <f t="shared" si="27"/>
        <v>208.19</v>
      </c>
      <c r="E344" s="18" cm="1">
        <f t="array" ref="E344">_xlfn.IFS(
B344&lt;=recencyQ1, 4,
B344&lt;=recencyQ2, 3,
B344&lt;=recencyQ3, 2,
TRUE, 1
)</f>
        <v>1</v>
      </c>
      <c r="F344" s="18" cm="1">
        <f t="array" ref="F344">_xlfn.IFS(
C344&lt;=frequencyQ1, 1,
C344&lt;=frequencyQ2, 2,
C344&lt;=frequencyQ3, 3,
TRUE, 4)</f>
        <v>1</v>
      </c>
      <c r="G344" s="18" cm="1">
        <f t="array" ref="G344">_xlfn.IFS(
D344&lt;=monetaryQ1, 1,
D344&lt;=monetaryQ2, 2,
D344&lt;=monetaryQ3, 3,
TRUE, 4)</f>
        <v>1</v>
      </c>
      <c r="H344" s="18" t="str">
        <f t="shared" si="28"/>
        <v>111</v>
      </c>
      <c r="I344" s="19">
        <f t="shared" si="29"/>
        <v>1</v>
      </c>
      <c r="J344" s="7" t="str" cm="1">
        <f t="array" ref="J344">_xlfn.IFS(
I344&gt;=Best_Customers, Best_Customers_name,
I344&gt;=Loyal_Customers, Loyal_Customers_name,
I344&gt;=Average_Customers, Average_Customers_name,
TRUE, Lost_Customers_name)</f>
        <v>Lost Customers</v>
      </c>
    </row>
    <row r="345" spans="1:10" x14ac:dyDescent="0.25">
      <c r="A345" s="25" t="str">
        <v>CUST_0339</v>
      </c>
      <c r="B345" s="16">
        <f t="shared" si="25"/>
        <v>161</v>
      </c>
      <c r="C345" s="16">
        <f t="shared" si="26"/>
        <v>3</v>
      </c>
      <c r="D345" s="17">
        <f t="shared" si="27"/>
        <v>313.77999999999997</v>
      </c>
      <c r="E345" s="18" cm="1">
        <f t="array" ref="E345">_xlfn.IFS(
B345&lt;=recencyQ1, 4,
B345&lt;=recencyQ2, 3,
B345&lt;=recencyQ3, 2,
TRUE, 1
)</f>
        <v>1</v>
      </c>
      <c r="F345" s="18" cm="1">
        <f t="array" ref="F345">_xlfn.IFS(
C345&lt;=frequencyQ1, 1,
C345&lt;=frequencyQ2, 2,
C345&lt;=frequencyQ3, 3,
TRUE, 4)</f>
        <v>1</v>
      </c>
      <c r="G345" s="18" cm="1">
        <f t="array" ref="G345">_xlfn.IFS(
D345&lt;=monetaryQ1, 1,
D345&lt;=monetaryQ2, 2,
D345&lt;=monetaryQ3, 3,
TRUE, 4)</f>
        <v>1</v>
      </c>
      <c r="H345" s="18" t="str">
        <f t="shared" si="28"/>
        <v>111</v>
      </c>
      <c r="I345" s="19">
        <f t="shared" si="29"/>
        <v>1</v>
      </c>
      <c r="J345" s="7" t="str" cm="1">
        <f t="array" ref="J345">_xlfn.IFS(
I345&gt;=Best_Customers, Best_Customers_name,
I345&gt;=Loyal_Customers, Loyal_Customers_name,
I345&gt;=Average_Customers, Average_Customers_name,
TRUE, Lost_Customers_name)</f>
        <v>Lost Customers</v>
      </c>
    </row>
    <row r="346" spans="1:10" x14ac:dyDescent="0.25">
      <c r="A346" s="25" t="str">
        <v>CUST_0340</v>
      </c>
      <c r="B346" s="16">
        <f t="shared" si="25"/>
        <v>72</v>
      </c>
      <c r="C346" s="16">
        <f t="shared" si="26"/>
        <v>5</v>
      </c>
      <c r="D346" s="17">
        <f t="shared" si="27"/>
        <v>478.31</v>
      </c>
      <c r="E346" s="18" cm="1">
        <f t="array" ref="E346">_xlfn.IFS(
B346&lt;=recencyQ1, 4,
B346&lt;=recencyQ2, 3,
B346&lt;=recencyQ3, 2,
TRUE, 1
)</f>
        <v>2</v>
      </c>
      <c r="F346" s="18" cm="1">
        <f t="array" ref="F346">_xlfn.IFS(
C346&lt;=frequencyQ1, 1,
C346&lt;=frequencyQ2, 2,
C346&lt;=frequencyQ3, 3,
TRUE, 4)</f>
        <v>2</v>
      </c>
      <c r="G346" s="18" cm="1">
        <f t="array" ref="G346">_xlfn.IFS(
D346&lt;=monetaryQ1, 1,
D346&lt;=monetaryQ2, 2,
D346&lt;=monetaryQ3, 3,
TRUE, 4)</f>
        <v>2</v>
      </c>
      <c r="H346" s="18" t="str">
        <f t="shared" si="28"/>
        <v>222</v>
      </c>
      <c r="I346" s="19">
        <f t="shared" si="29"/>
        <v>2</v>
      </c>
      <c r="J346" s="7" t="str" cm="1">
        <f t="array" ref="J346">_xlfn.IFS(
I346&gt;=Best_Customers, Best_Customers_name,
I346&gt;=Loyal_Customers, Loyal_Customers_name,
I346&gt;=Average_Customers, Average_Customers_name,
TRUE, Lost_Customers_name)</f>
        <v>Average Customers</v>
      </c>
    </row>
    <row r="347" spans="1:10" x14ac:dyDescent="0.25">
      <c r="A347" s="25" t="str">
        <v>CUST_0341</v>
      </c>
      <c r="B347" s="16">
        <f t="shared" si="25"/>
        <v>0</v>
      </c>
      <c r="C347" s="16">
        <f t="shared" si="26"/>
        <v>8</v>
      </c>
      <c r="D347" s="17">
        <f t="shared" si="27"/>
        <v>583.91999999999996</v>
      </c>
      <c r="E347" s="18" cm="1">
        <f t="array" ref="E347">_xlfn.IFS(
B347&lt;=recencyQ1, 4,
B347&lt;=recencyQ2, 3,
B347&lt;=recencyQ3, 2,
TRUE, 1
)</f>
        <v>4</v>
      </c>
      <c r="F347" s="18" cm="1">
        <f t="array" ref="F347">_xlfn.IFS(
C347&lt;=frequencyQ1, 1,
C347&lt;=frequencyQ2, 2,
C347&lt;=frequencyQ3, 3,
TRUE, 4)</f>
        <v>4</v>
      </c>
      <c r="G347" s="18" cm="1">
        <f t="array" ref="G347">_xlfn.IFS(
D347&lt;=monetaryQ1, 1,
D347&lt;=monetaryQ2, 2,
D347&lt;=monetaryQ3, 3,
TRUE, 4)</f>
        <v>3</v>
      </c>
      <c r="H347" s="18" t="str">
        <f t="shared" si="28"/>
        <v>443</v>
      </c>
      <c r="I347" s="19">
        <f t="shared" si="29"/>
        <v>3.6666666666666665</v>
      </c>
      <c r="J347" s="7" t="str" cm="1">
        <f t="array" ref="J347">_xlfn.IFS(
I347&gt;=Best_Customers, Best_Customers_name,
I347&gt;=Loyal_Customers, Loyal_Customers_name,
I347&gt;=Average_Customers, Average_Customers_name,
TRUE, Lost_Customers_name)</f>
        <v>Best Customers</v>
      </c>
    </row>
    <row r="348" spans="1:10" x14ac:dyDescent="0.25">
      <c r="A348" s="25" t="str">
        <v>CUST_0342</v>
      </c>
      <c r="B348" s="16">
        <f t="shared" si="25"/>
        <v>81</v>
      </c>
      <c r="C348" s="16">
        <f t="shared" si="26"/>
        <v>4</v>
      </c>
      <c r="D348" s="17">
        <f t="shared" si="27"/>
        <v>380.84999999999997</v>
      </c>
      <c r="E348" s="18" cm="1">
        <f t="array" ref="E348">_xlfn.IFS(
B348&lt;=recencyQ1, 4,
B348&lt;=recencyQ2, 3,
B348&lt;=recencyQ3, 2,
TRUE, 1
)</f>
        <v>2</v>
      </c>
      <c r="F348" s="18" cm="1">
        <f t="array" ref="F348">_xlfn.IFS(
C348&lt;=frequencyQ1, 1,
C348&lt;=frequencyQ2, 2,
C348&lt;=frequencyQ3, 3,
TRUE, 4)</f>
        <v>2</v>
      </c>
      <c r="G348" s="18" cm="1">
        <f t="array" ref="G348">_xlfn.IFS(
D348&lt;=monetaryQ1, 1,
D348&lt;=monetaryQ2, 2,
D348&lt;=monetaryQ3, 3,
TRUE, 4)</f>
        <v>2</v>
      </c>
      <c r="H348" s="18" t="str">
        <f t="shared" si="28"/>
        <v>222</v>
      </c>
      <c r="I348" s="19">
        <f t="shared" si="29"/>
        <v>2</v>
      </c>
      <c r="J348" s="7" t="str" cm="1">
        <f t="array" ref="J348">_xlfn.IFS(
I348&gt;=Best_Customers, Best_Customers_name,
I348&gt;=Loyal_Customers, Loyal_Customers_name,
I348&gt;=Average_Customers, Average_Customers_name,
TRUE, Lost_Customers_name)</f>
        <v>Average Customers</v>
      </c>
    </row>
    <row r="349" spans="1:10" x14ac:dyDescent="0.25">
      <c r="A349" s="25" t="str">
        <v>CUST_0343</v>
      </c>
      <c r="B349" s="16">
        <f t="shared" si="25"/>
        <v>73</v>
      </c>
      <c r="C349" s="16">
        <f t="shared" si="26"/>
        <v>9</v>
      </c>
      <c r="D349" s="17">
        <f t="shared" si="27"/>
        <v>894.74</v>
      </c>
      <c r="E349" s="18" cm="1">
        <f t="array" ref="E349">_xlfn.IFS(
B349&lt;=recencyQ1, 4,
B349&lt;=recencyQ2, 3,
B349&lt;=recencyQ3, 2,
TRUE, 1
)</f>
        <v>2</v>
      </c>
      <c r="F349" s="18" cm="1">
        <f t="array" ref="F349">_xlfn.IFS(
C349&lt;=frequencyQ1, 1,
C349&lt;=frequencyQ2, 2,
C349&lt;=frequencyQ3, 3,
TRUE, 4)</f>
        <v>4</v>
      </c>
      <c r="G349" s="18" cm="1">
        <f t="array" ref="G349">_xlfn.IFS(
D349&lt;=monetaryQ1, 1,
D349&lt;=monetaryQ2, 2,
D349&lt;=monetaryQ3, 3,
TRUE, 4)</f>
        <v>4</v>
      </c>
      <c r="H349" s="18" t="str">
        <f t="shared" si="28"/>
        <v>244</v>
      </c>
      <c r="I349" s="19">
        <f t="shared" si="29"/>
        <v>3.3333333333333335</v>
      </c>
      <c r="J349" s="7" t="str" cm="1">
        <f t="array" ref="J349">_xlfn.IFS(
I349&gt;=Best_Customers, Best_Customers_name,
I349&gt;=Loyal_Customers, Loyal_Customers_name,
I349&gt;=Average_Customers, Average_Customers_name,
TRUE, Lost_Customers_name)</f>
        <v>Loyal Customers</v>
      </c>
    </row>
    <row r="350" spans="1:10" x14ac:dyDescent="0.25">
      <c r="A350" s="25" t="str">
        <v>CUST_0344</v>
      </c>
      <c r="B350" s="16">
        <f t="shared" si="25"/>
        <v>37</v>
      </c>
      <c r="C350" s="16">
        <f t="shared" si="26"/>
        <v>5</v>
      </c>
      <c r="D350" s="17">
        <f t="shared" si="27"/>
        <v>479.84999999999997</v>
      </c>
      <c r="E350" s="18" cm="1">
        <f t="array" ref="E350">_xlfn.IFS(
B350&lt;=recencyQ1, 4,
B350&lt;=recencyQ2, 3,
B350&lt;=recencyQ3, 2,
TRUE, 1
)</f>
        <v>3</v>
      </c>
      <c r="F350" s="18" cm="1">
        <f t="array" ref="F350">_xlfn.IFS(
C350&lt;=frequencyQ1, 1,
C350&lt;=frequencyQ2, 2,
C350&lt;=frequencyQ3, 3,
TRUE, 4)</f>
        <v>2</v>
      </c>
      <c r="G350" s="18" cm="1">
        <f t="array" ref="G350">_xlfn.IFS(
D350&lt;=monetaryQ1, 1,
D350&lt;=monetaryQ2, 2,
D350&lt;=monetaryQ3, 3,
TRUE, 4)</f>
        <v>2</v>
      </c>
      <c r="H350" s="18" t="str">
        <f t="shared" si="28"/>
        <v>322</v>
      </c>
      <c r="I350" s="19">
        <f t="shared" si="29"/>
        <v>2.3333333333333335</v>
      </c>
      <c r="J350" s="7" t="str" cm="1">
        <f t="array" ref="J350">_xlfn.IFS(
I350&gt;=Best_Customers, Best_Customers_name,
I350&gt;=Loyal_Customers, Loyal_Customers_name,
I350&gt;=Average_Customers, Average_Customers_name,
TRUE, Lost_Customers_name)</f>
        <v>Average Customers</v>
      </c>
    </row>
    <row r="351" spans="1:10" x14ac:dyDescent="0.25">
      <c r="A351" s="25" t="str">
        <v>CUST_0345</v>
      </c>
      <c r="B351" s="16">
        <f t="shared" si="25"/>
        <v>18</v>
      </c>
      <c r="C351" s="16">
        <f t="shared" si="26"/>
        <v>7</v>
      </c>
      <c r="D351" s="17">
        <f t="shared" si="27"/>
        <v>653.72</v>
      </c>
      <c r="E351" s="18" cm="1">
        <f t="array" ref="E351">_xlfn.IFS(
B351&lt;=recencyQ1, 4,
B351&lt;=recencyQ2, 3,
B351&lt;=recencyQ3, 2,
TRUE, 1
)</f>
        <v>4</v>
      </c>
      <c r="F351" s="18" cm="1">
        <f t="array" ref="F351">_xlfn.IFS(
C351&lt;=frequencyQ1, 1,
C351&lt;=frequencyQ2, 2,
C351&lt;=frequencyQ3, 3,
TRUE, 4)</f>
        <v>4</v>
      </c>
      <c r="G351" s="18" cm="1">
        <f t="array" ref="G351">_xlfn.IFS(
D351&lt;=monetaryQ1, 1,
D351&lt;=monetaryQ2, 2,
D351&lt;=monetaryQ3, 3,
TRUE, 4)</f>
        <v>3</v>
      </c>
      <c r="H351" s="18" t="str">
        <f t="shared" si="28"/>
        <v>443</v>
      </c>
      <c r="I351" s="19">
        <f t="shared" si="29"/>
        <v>3.6666666666666665</v>
      </c>
      <c r="J351" s="7" t="str" cm="1">
        <f t="array" ref="J351">_xlfn.IFS(
I351&gt;=Best_Customers, Best_Customers_name,
I351&gt;=Loyal_Customers, Loyal_Customers_name,
I351&gt;=Average_Customers, Average_Customers_name,
TRUE, Lost_Customers_name)</f>
        <v>Best Customers</v>
      </c>
    </row>
    <row r="352" spans="1:10" x14ac:dyDescent="0.25">
      <c r="A352" s="25" t="str">
        <v>CUST_0346</v>
      </c>
      <c r="B352" s="16">
        <f t="shared" si="25"/>
        <v>67</v>
      </c>
      <c r="C352" s="16">
        <f t="shared" si="26"/>
        <v>2</v>
      </c>
      <c r="D352" s="17">
        <f t="shared" si="27"/>
        <v>218.48000000000002</v>
      </c>
      <c r="E352" s="18" cm="1">
        <f t="array" ref="E352">_xlfn.IFS(
B352&lt;=recencyQ1, 4,
B352&lt;=recencyQ2, 3,
B352&lt;=recencyQ3, 2,
TRUE, 1
)</f>
        <v>2</v>
      </c>
      <c r="F352" s="18" cm="1">
        <f t="array" ref="F352">_xlfn.IFS(
C352&lt;=frequencyQ1, 1,
C352&lt;=frequencyQ2, 2,
C352&lt;=frequencyQ3, 3,
TRUE, 4)</f>
        <v>1</v>
      </c>
      <c r="G352" s="18" cm="1">
        <f t="array" ref="G352">_xlfn.IFS(
D352&lt;=monetaryQ1, 1,
D352&lt;=monetaryQ2, 2,
D352&lt;=monetaryQ3, 3,
TRUE, 4)</f>
        <v>1</v>
      </c>
      <c r="H352" s="18" t="str">
        <f t="shared" si="28"/>
        <v>211</v>
      </c>
      <c r="I352" s="19">
        <f t="shared" si="29"/>
        <v>1.3333333333333333</v>
      </c>
      <c r="J352" s="7" t="str" cm="1">
        <f t="array" ref="J352">_xlfn.IFS(
I352&gt;=Best_Customers, Best_Customers_name,
I352&gt;=Loyal_Customers, Loyal_Customers_name,
I352&gt;=Average_Customers, Average_Customers_name,
TRUE, Lost_Customers_name)</f>
        <v>Lost Customers</v>
      </c>
    </row>
    <row r="353" spans="1:10" x14ac:dyDescent="0.25">
      <c r="A353" s="25" t="str">
        <v>CUST_0347</v>
      </c>
      <c r="B353" s="16">
        <f t="shared" si="25"/>
        <v>2</v>
      </c>
      <c r="C353" s="16">
        <f t="shared" si="26"/>
        <v>6</v>
      </c>
      <c r="D353" s="17">
        <f t="shared" si="27"/>
        <v>676.04</v>
      </c>
      <c r="E353" s="18" cm="1">
        <f t="array" ref="E353">_xlfn.IFS(
B353&lt;=recencyQ1, 4,
B353&lt;=recencyQ2, 3,
B353&lt;=recencyQ3, 2,
TRUE, 1
)</f>
        <v>4</v>
      </c>
      <c r="F353" s="18" cm="1">
        <f t="array" ref="F353">_xlfn.IFS(
C353&lt;=frequencyQ1, 1,
C353&lt;=frequencyQ2, 2,
C353&lt;=frequencyQ3, 3,
TRUE, 4)</f>
        <v>3</v>
      </c>
      <c r="G353" s="18" cm="1">
        <f t="array" ref="G353">_xlfn.IFS(
D353&lt;=monetaryQ1, 1,
D353&lt;=monetaryQ2, 2,
D353&lt;=monetaryQ3, 3,
TRUE, 4)</f>
        <v>4</v>
      </c>
      <c r="H353" s="18" t="str">
        <f t="shared" si="28"/>
        <v>434</v>
      </c>
      <c r="I353" s="19">
        <f t="shared" si="29"/>
        <v>3.6666666666666665</v>
      </c>
      <c r="J353" s="7" t="str" cm="1">
        <f t="array" ref="J353">_xlfn.IFS(
I353&gt;=Best_Customers, Best_Customers_name,
I353&gt;=Loyal_Customers, Loyal_Customers_name,
I353&gt;=Average_Customers, Average_Customers_name,
TRUE, Lost_Customers_name)</f>
        <v>Best Customers</v>
      </c>
    </row>
    <row r="354" spans="1:10" x14ac:dyDescent="0.25">
      <c r="A354" s="25" t="str">
        <v>CUST_0348</v>
      </c>
      <c r="B354" s="16">
        <f t="shared" si="25"/>
        <v>3</v>
      </c>
      <c r="C354" s="16">
        <f t="shared" si="26"/>
        <v>9</v>
      </c>
      <c r="D354" s="17">
        <f t="shared" si="27"/>
        <v>919.49000000000012</v>
      </c>
      <c r="E354" s="18" cm="1">
        <f t="array" ref="E354">_xlfn.IFS(
B354&lt;=recencyQ1, 4,
B354&lt;=recencyQ2, 3,
B354&lt;=recencyQ3, 2,
TRUE, 1
)</f>
        <v>4</v>
      </c>
      <c r="F354" s="18" cm="1">
        <f t="array" ref="F354">_xlfn.IFS(
C354&lt;=frequencyQ1, 1,
C354&lt;=frequencyQ2, 2,
C354&lt;=frequencyQ3, 3,
TRUE, 4)</f>
        <v>4</v>
      </c>
      <c r="G354" s="18" cm="1">
        <f t="array" ref="G354">_xlfn.IFS(
D354&lt;=monetaryQ1, 1,
D354&lt;=monetaryQ2, 2,
D354&lt;=monetaryQ3, 3,
TRUE, 4)</f>
        <v>4</v>
      </c>
      <c r="H354" s="18" t="str">
        <f t="shared" si="28"/>
        <v>444</v>
      </c>
      <c r="I354" s="19">
        <f t="shared" si="29"/>
        <v>4</v>
      </c>
      <c r="J354" s="7" t="str" cm="1">
        <f t="array" ref="J354">_xlfn.IFS(
I354&gt;=Best_Customers, Best_Customers_name,
I354&gt;=Loyal_Customers, Loyal_Customers_name,
I354&gt;=Average_Customers, Average_Customers_name,
TRUE, Lost_Customers_name)</f>
        <v>Best Customers</v>
      </c>
    </row>
    <row r="355" spans="1:10" x14ac:dyDescent="0.25">
      <c r="A355" s="25" t="str">
        <v>CUST_0349</v>
      </c>
      <c r="B355" s="16">
        <f t="shared" si="25"/>
        <v>13</v>
      </c>
      <c r="C355" s="16">
        <f t="shared" si="26"/>
        <v>8</v>
      </c>
      <c r="D355" s="17">
        <f t="shared" si="27"/>
        <v>805.03</v>
      </c>
      <c r="E355" s="18" cm="1">
        <f t="array" ref="E355">_xlfn.IFS(
B355&lt;=recencyQ1, 4,
B355&lt;=recencyQ2, 3,
B355&lt;=recencyQ3, 2,
TRUE, 1
)</f>
        <v>4</v>
      </c>
      <c r="F355" s="18" cm="1">
        <f t="array" ref="F355">_xlfn.IFS(
C355&lt;=frequencyQ1, 1,
C355&lt;=frequencyQ2, 2,
C355&lt;=frequencyQ3, 3,
TRUE, 4)</f>
        <v>4</v>
      </c>
      <c r="G355" s="18" cm="1">
        <f t="array" ref="G355">_xlfn.IFS(
D355&lt;=monetaryQ1, 1,
D355&lt;=monetaryQ2, 2,
D355&lt;=monetaryQ3, 3,
TRUE, 4)</f>
        <v>4</v>
      </c>
      <c r="H355" s="18" t="str">
        <f t="shared" si="28"/>
        <v>444</v>
      </c>
      <c r="I355" s="19">
        <f t="shared" si="29"/>
        <v>4</v>
      </c>
      <c r="J355" s="7" t="str" cm="1">
        <f t="array" ref="J355">_xlfn.IFS(
I355&gt;=Best_Customers, Best_Customers_name,
I355&gt;=Loyal_Customers, Loyal_Customers_name,
I355&gt;=Average_Customers, Average_Customers_name,
TRUE, Lost_Customers_name)</f>
        <v>Best Customers</v>
      </c>
    </row>
    <row r="356" spans="1:10" x14ac:dyDescent="0.25">
      <c r="A356" s="25" t="str">
        <v>CUST_0350</v>
      </c>
      <c r="B356" s="16">
        <f t="shared" si="25"/>
        <v>179</v>
      </c>
      <c r="C356" s="16">
        <f t="shared" si="26"/>
        <v>2</v>
      </c>
      <c r="D356" s="17">
        <f t="shared" si="27"/>
        <v>227.20999999999998</v>
      </c>
      <c r="E356" s="18" cm="1">
        <f t="array" ref="E356">_xlfn.IFS(
B356&lt;=recencyQ1, 4,
B356&lt;=recencyQ2, 3,
B356&lt;=recencyQ3, 2,
TRUE, 1
)</f>
        <v>1</v>
      </c>
      <c r="F356" s="18" cm="1">
        <f t="array" ref="F356">_xlfn.IFS(
C356&lt;=frequencyQ1, 1,
C356&lt;=frequencyQ2, 2,
C356&lt;=frequencyQ3, 3,
TRUE, 4)</f>
        <v>1</v>
      </c>
      <c r="G356" s="18" cm="1">
        <f t="array" ref="G356">_xlfn.IFS(
D356&lt;=monetaryQ1, 1,
D356&lt;=monetaryQ2, 2,
D356&lt;=monetaryQ3, 3,
TRUE, 4)</f>
        <v>1</v>
      </c>
      <c r="H356" s="18" t="str">
        <f t="shared" si="28"/>
        <v>111</v>
      </c>
      <c r="I356" s="19">
        <f t="shared" si="29"/>
        <v>1</v>
      </c>
      <c r="J356" s="7" t="str" cm="1">
        <f t="array" ref="J356">_xlfn.IFS(
I356&gt;=Best_Customers, Best_Customers_name,
I356&gt;=Loyal_Customers, Loyal_Customers_name,
I356&gt;=Average_Customers, Average_Customers_name,
TRUE, Lost_Customers_name)</f>
        <v>Lost Customers</v>
      </c>
    </row>
    <row r="357" spans="1:10" x14ac:dyDescent="0.25">
      <c r="A357" s="25" t="str">
        <v>CUST_0351</v>
      </c>
      <c r="B357" s="16">
        <f t="shared" si="25"/>
        <v>215</v>
      </c>
      <c r="C357" s="16">
        <f t="shared" si="26"/>
        <v>3</v>
      </c>
      <c r="D357" s="17">
        <f t="shared" si="27"/>
        <v>285.23</v>
      </c>
      <c r="E357" s="18" cm="1">
        <f t="array" ref="E357">_xlfn.IFS(
B357&lt;=recencyQ1, 4,
B357&lt;=recencyQ2, 3,
B357&lt;=recencyQ3, 2,
TRUE, 1
)</f>
        <v>1</v>
      </c>
      <c r="F357" s="18" cm="1">
        <f t="array" ref="F357">_xlfn.IFS(
C357&lt;=frequencyQ1, 1,
C357&lt;=frequencyQ2, 2,
C357&lt;=frequencyQ3, 3,
TRUE, 4)</f>
        <v>1</v>
      </c>
      <c r="G357" s="18" cm="1">
        <f t="array" ref="G357">_xlfn.IFS(
D357&lt;=monetaryQ1, 1,
D357&lt;=monetaryQ2, 2,
D357&lt;=monetaryQ3, 3,
TRUE, 4)</f>
        <v>1</v>
      </c>
      <c r="H357" s="18" t="str">
        <f t="shared" si="28"/>
        <v>111</v>
      </c>
      <c r="I357" s="19">
        <f t="shared" si="29"/>
        <v>1</v>
      </c>
      <c r="J357" s="7" t="str" cm="1">
        <f t="array" ref="J357">_xlfn.IFS(
I357&gt;=Best_Customers, Best_Customers_name,
I357&gt;=Loyal_Customers, Loyal_Customers_name,
I357&gt;=Average_Customers, Average_Customers_name,
TRUE, Lost_Customers_name)</f>
        <v>Lost Customers</v>
      </c>
    </row>
    <row r="358" spans="1:10" x14ac:dyDescent="0.25">
      <c r="A358" s="25" t="str">
        <v>CUST_0352</v>
      </c>
      <c r="B358" s="16">
        <f t="shared" si="25"/>
        <v>21</v>
      </c>
      <c r="C358" s="16">
        <f t="shared" si="26"/>
        <v>6</v>
      </c>
      <c r="D358" s="17">
        <f t="shared" si="27"/>
        <v>498.34999999999997</v>
      </c>
      <c r="E358" s="18" cm="1">
        <f t="array" ref="E358">_xlfn.IFS(
B358&lt;=recencyQ1, 4,
B358&lt;=recencyQ2, 3,
B358&lt;=recencyQ3, 2,
TRUE, 1
)</f>
        <v>3</v>
      </c>
      <c r="F358" s="18" cm="1">
        <f t="array" ref="F358">_xlfn.IFS(
C358&lt;=frequencyQ1, 1,
C358&lt;=frequencyQ2, 2,
C358&lt;=frequencyQ3, 3,
TRUE, 4)</f>
        <v>3</v>
      </c>
      <c r="G358" s="18" cm="1">
        <f t="array" ref="G358">_xlfn.IFS(
D358&lt;=monetaryQ1, 1,
D358&lt;=monetaryQ2, 2,
D358&lt;=monetaryQ3, 3,
TRUE, 4)</f>
        <v>3</v>
      </c>
      <c r="H358" s="18" t="str">
        <f t="shared" si="28"/>
        <v>333</v>
      </c>
      <c r="I358" s="19">
        <f t="shared" si="29"/>
        <v>3</v>
      </c>
      <c r="J358" s="7" t="str" cm="1">
        <f t="array" ref="J358">_xlfn.IFS(
I358&gt;=Best_Customers, Best_Customers_name,
I358&gt;=Loyal_Customers, Loyal_Customers_name,
I358&gt;=Average_Customers, Average_Customers_name,
TRUE, Lost_Customers_name)</f>
        <v>Loyal Customers</v>
      </c>
    </row>
    <row r="359" spans="1:10" x14ac:dyDescent="0.25">
      <c r="A359" s="25" t="str">
        <v>CUST_0353</v>
      </c>
      <c r="B359" s="16">
        <f t="shared" si="25"/>
        <v>22</v>
      </c>
      <c r="C359" s="16">
        <f t="shared" si="26"/>
        <v>5</v>
      </c>
      <c r="D359" s="17">
        <f t="shared" si="27"/>
        <v>479.66</v>
      </c>
      <c r="E359" s="18" cm="1">
        <f t="array" ref="E359">_xlfn.IFS(
B359&lt;=recencyQ1, 4,
B359&lt;=recencyQ2, 3,
B359&lt;=recencyQ3, 2,
TRUE, 1
)</f>
        <v>3</v>
      </c>
      <c r="F359" s="18" cm="1">
        <f t="array" ref="F359">_xlfn.IFS(
C359&lt;=frequencyQ1, 1,
C359&lt;=frequencyQ2, 2,
C359&lt;=frequencyQ3, 3,
TRUE, 4)</f>
        <v>2</v>
      </c>
      <c r="G359" s="18" cm="1">
        <f t="array" ref="G359">_xlfn.IFS(
D359&lt;=monetaryQ1, 1,
D359&lt;=monetaryQ2, 2,
D359&lt;=monetaryQ3, 3,
TRUE, 4)</f>
        <v>2</v>
      </c>
      <c r="H359" s="18" t="str">
        <f t="shared" si="28"/>
        <v>322</v>
      </c>
      <c r="I359" s="19">
        <f t="shared" si="29"/>
        <v>2.3333333333333335</v>
      </c>
      <c r="J359" s="7" t="str" cm="1">
        <f t="array" ref="J359">_xlfn.IFS(
I359&gt;=Best_Customers, Best_Customers_name,
I359&gt;=Loyal_Customers, Loyal_Customers_name,
I359&gt;=Average_Customers, Average_Customers_name,
TRUE, Lost_Customers_name)</f>
        <v>Average Customers</v>
      </c>
    </row>
    <row r="360" spans="1:10" x14ac:dyDescent="0.25">
      <c r="A360" s="25" t="str">
        <v>CUST_0354</v>
      </c>
      <c r="B360" s="16">
        <f t="shared" si="25"/>
        <v>100</v>
      </c>
      <c r="C360" s="16">
        <f t="shared" si="26"/>
        <v>1</v>
      </c>
      <c r="D360" s="17">
        <f t="shared" si="27"/>
        <v>118.78</v>
      </c>
      <c r="E360" s="18" cm="1">
        <f t="array" ref="E360">_xlfn.IFS(
B360&lt;=recencyQ1, 4,
B360&lt;=recencyQ2, 3,
B360&lt;=recencyQ3, 2,
TRUE, 1
)</f>
        <v>1</v>
      </c>
      <c r="F360" s="18" cm="1">
        <f t="array" ref="F360">_xlfn.IFS(
C360&lt;=frequencyQ1, 1,
C360&lt;=frequencyQ2, 2,
C360&lt;=frequencyQ3, 3,
TRUE, 4)</f>
        <v>1</v>
      </c>
      <c r="G360" s="18" cm="1">
        <f t="array" ref="G360">_xlfn.IFS(
D360&lt;=monetaryQ1, 1,
D360&lt;=monetaryQ2, 2,
D360&lt;=monetaryQ3, 3,
TRUE, 4)</f>
        <v>1</v>
      </c>
      <c r="H360" s="18" t="str">
        <f t="shared" si="28"/>
        <v>111</v>
      </c>
      <c r="I360" s="19">
        <f t="shared" si="29"/>
        <v>1</v>
      </c>
      <c r="J360" s="7" t="str" cm="1">
        <f t="array" ref="J360">_xlfn.IFS(
I360&gt;=Best_Customers, Best_Customers_name,
I360&gt;=Loyal_Customers, Loyal_Customers_name,
I360&gt;=Average_Customers, Average_Customers_name,
TRUE, Lost_Customers_name)</f>
        <v>Lost Customers</v>
      </c>
    </row>
    <row r="361" spans="1:10" x14ac:dyDescent="0.25">
      <c r="A361" s="25" t="str">
        <v>CUST_0355</v>
      </c>
      <c r="B361" s="16">
        <f t="shared" si="25"/>
        <v>91</v>
      </c>
      <c r="C361" s="16">
        <f t="shared" si="26"/>
        <v>6</v>
      </c>
      <c r="D361" s="17">
        <f t="shared" si="27"/>
        <v>582.11</v>
      </c>
      <c r="E361" s="18" cm="1">
        <f t="array" ref="E361">_xlfn.IFS(
B361&lt;=recencyQ1, 4,
B361&lt;=recencyQ2, 3,
B361&lt;=recencyQ3, 2,
TRUE, 1
)</f>
        <v>2</v>
      </c>
      <c r="F361" s="18" cm="1">
        <f t="array" ref="F361">_xlfn.IFS(
C361&lt;=frequencyQ1, 1,
C361&lt;=frequencyQ2, 2,
C361&lt;=frequencyQ3, 3,
TRUE, 4)</f>
        <v>3</v>
      </c>
      <c r="G361" s="18" cm="1">
        <f t="array" ref="G361">_xlfn.IFS(
D361&lt;=monetaryQ1, 1,
D361&lt;=monetaryQ2, 2,
D361&lt;=monetaryQ3, 3,
TRUE, 4)</f>
        <v>3</v>
      </c>
      <c r="H361" s="18" t="str">
        <f t="shared" si="28"/>
        <v>233</v>
      </c>
      <c r="I361" s="19">
        <f t="shared" si="29"/>
        <v>2.6666666666666665</v>
      </c>
      <c r="J361" s="7" t="str" cm="1">
        <f t="array" ref="J361">_xlfn.IFS(
I361&gt;=Best_Customers, Best_Customers_name,
I361&gt;=Loyal_Customers, Loyal_Customers_name,
I361&gt;=Average_Customers, Average_Customers_name,
TRUE, Lost_Customers_name)</f>
        <v>Loyal Customers</v>
      </c>
    </row>
    <row r="362" spans="1:10" x14ac:dyDescent="0.25">
      <c r="A362" s="25" t="str">
        <v>CUST_0356</v>
      </c>
      <c r="B362" s="16">
        <f t="shared" si="25"/>
        <v>127</v>
      </c>
      <c r="C362" s="16">
        <f t="shared" si="26"/>
        <v>3</v>
      </c>
      <c r="D362" s="17">
        <f t="shared" si="27"/>
        <v>281.23</v>
      </c>
      <c r="E362" s="18" cm="1">
        <f t="array" ref="E362">_xlfn.IFS(
B362&lt;=recencyQ1, 4,
B362&lt;=recencyQ2, 3,
B362&lt;=recencyQ3, 2,
TRUE, 1
)</f>
        <v>1</v>
      </c>
      <c r="F362" s="18" cm="1">
        <f t="array" ref="F362">_xlfn.IFS(
C362&lt;=frequencyQ1, 1,
C362&lt;=frequencyQ2, 2,
C362&lt;=frequencyQ3, 3,
TRUE, 4)</f>
        <v>1</v>
      </c>
      <c r="G362" s="18" cm="1">
        <f t="array" ref="G362">_xlfn.IFS(
D362&lt;=monetaryQ1, 1,
D362&lt;=monetaryQ2, 2,
D362&lt;=monetaryQ3, 3,
TRUE, 4)</f>
        <v>1</v>
      </c>
      <c r="H362" s="18" t="str">
        <f t="shared" si="28"/>
        <v>111</v>
      </c>
      <c r="I362" s="19">
        <f t="shared" si="29"/>
        <v>1</v>
      </c>
      <c r="J362" s="7" t="str" cm="1">
        <f t="array" ref="J362">_xlfn.IFS(
I362&gt;=Best_Customers, Best_Customers_name,
I362&gt;=Loyal_Customers, Loyal_Customers_name,
I362&gt;=Average_Customers, Average_Customers_name,
TRUE, Lost_Customers_name)</f>
        <v>Lost Customers</v>
      </c>
    </row>
    <row r="363" spans="1:10" x14ac:dyDescent="0.25">
      <c r="A363" s="25" t="str">
        <v>CUST_0357</v>
      </c>
      <c r="B363" s="16">
        <f t="shared" si="25"/>
        <v>79</v>
      </c>
      <c r="C363" s="16">
        <f t="shared" si="26"/>
        <v>5</v>
      </c>
      <c r="D363" s="17">
        <f t="shared" si="27"/>
        <v>428.16999999999996</v>
      </c>
      <c r="E363" s="18" cm="1">
        <f t="array" ref="E363">_xlfn.IFS(
B363&lt;=recencyQ1, 4,
B363&lt;=recencyQ2, 3,
B363&lt;=recencyQ3, 2,
TRUE, 1
)</f>
        <v>2</v>
      </c>
      <c r="F363" s="18" cm="1">
        <f t="array" ref="F363">_xlfn.IFS(
C363&lt;=frequencyQ1, 1,
C363&lt;=frequencyQ2, 2,
C363&lt;=frequencyQ3, 3,
TRUE, 4)</f>
        <v>2</v>
      </c>
      <c r="G363" s="18" cm="1">
        <f t="array" ref="G363">_xlfn.IFS(
D363&lt;=monetaryQ1, 1,
D363&lt;=monetaryQ2, 2,
D363&lt;=monetaryQ3, 3,
TRUE, 4)</f>
        <v>2</v>
      </c>
      <c r="H363" s="18" t="str">
        <f t="shared" si="28"/>
        <v>222</v>
      </c>
      <c r="I363" s="19">
        <f t="shared" si="29"/>
        <v>2</v>
      </c>
      <c r="J363" s="7" t="str" cm="1">
        <f t="array" ref="J363">_xlfn.IFS(
I363&gt;=Best_Customers, Best_Customers_name,
I363&gt;=Loyal_Customers, Loyal_Customers_name,
I363&gt;=Average_Customers, Average_Customers_name,
TRUE, Lost_Customers_name)</f>
        <v>Average Customers</v>
      </c>
    </row>
    <row r="364" spans="1:10" x14ac:dyDescent="0.25">
      <c r="A364" s="25" t="str">
        <v>CUST_0358</v>
      </c>
      <c r="B364" s="16">
        <f t="shared" si="25"/>
        <v>142</v>
      </c>
      <c r="C364" s="16">
        <f t="shared" si="26"/>
        <v>6</v>
      </c>
      <c r="D364" s="17">
        <f t="shared" si="27"/>
        <v>631.83999999999992</v>
      </c>
      <c r="E364" s="18" cm="1">
        <f t="array" ref="E364">_xlfn.IFS(
B364&lt;=recencyQ1, 4,
B364&lt;=recencyQ2, 3,
B364&lt;=recencyQ3, 2,
TRUE, 1
)</f>
        <v>1</v>
      </c>
      <c r="F364" s="18" cm="1">
        <f t="array" ref="F364">_xlfn.IFS(
C364&lt;=frequencyQ1, 1,
C364&lt;=frequencyQ2, 2,
C364&lt;=frequencyQ3, 3,
TRUE, 4)</f>
        <v>3</v>
      </c>
      <c r="G364" s="18" cm="1">
        <f t="array" ref="G364">_xlfn.IFS(
D364&lt;=monetaryQ1, 1,
D364&lt;=monetaryQ2, 2,
D364&lt;=monetaryQ3, 3,
TRUE, 4)</f>
        <v>3</v>
      </c>
      <c r="H364" s="18" t="str">
        <f t="shared" si="28"/>
        <v>133</v>
      </c>
      <c r="I364" s="19">
        <f t="shared" si="29"/>
        <v>2.3333333333333335</v>
      </c>
      <c r="J364" s="7" t="str" cm="1">
        <f t="array" ref="J364">_xlfn.IFS(
I364&gt;=Best_Customers, Best_Customers_name,
I364&gt;=Loyal_Customers, Loyal_Customers_name,
I364&gt;=Average_Customers, Average_Customers_name,
TRUE, Lost_Customers_name)</f>
        <v>Average Customers</v>
      </c>
    </row>
    <row r="365" spans="1:10" x14ac:dyDescent="0.25">
      <c r="A365" s="25" t="str">
        <v>CUST_0359</v>
      </c>
      <c r="B365" s="16">
        <f t="shared" si="25"/>
        <v>17</v>
      </c>
      <c r="C365" s="16">
        <f t="shared" si="26"/>
        <v>6</v>
      </c>
      <c r="D365" s="17">
        <f t="shared" si="27"/>
        <v>516.01</v>
      </c>
      <c r="E365" s="18" cm="1">
        <f t="array" ref="E365">_xlfn.IFS(
B365&lt;=recencyQ1, 4,
B365&lt;=recencyQ2, 3,
B365&lt;=recencyQ3, 2,
TRUE, 1
)</f>
        <v>4</v>
      </c>
      <c r="F365" s="18" cm="1">
        <f t="array" ref="F365">_xlfn.IFS(
C365&lt;=frequencyQ1, 1,
C365&lt;=frequencyQ2, 2,
C365&lt;=frequencyQ3, 3,
TRUE, 4)</f>
        <v>3</v>
      </c>
      <c r="G365" s="18" cm="1">
        <f t="array" ref="G365">_xlfn.IFS(
D365&lt;=monetaryQ1, 1,
D365&lt;=monetaryQ2, 2,
D365&lt;=monetaryQ3, 3,
TRUE, 4)</f>
        <v>3</v>
      </c>
      <c r="H365" s="18" t="str">
        <f t="shared" si="28"/>
        <v>433</v>
      </c>
      <c r="I365" s="19">
        <f t="shared" si="29"/>
        <v>3.3333333333333335</v>
      </c>
      <c r="J365" s="7" t="str" cm="1">
        <f t="array" ref="J365">_xlfn.IFS(
I365&gt;=Best_Customers, Best_Customers_name,
I365&gt;=Loyal_Customers, Loyal_Customers_name,
I365&gt;=Average_Customers, Average_Customers_name,
TRUE, Lost_Customers_name)</f>
        <v>Loyal Customers</v>
      </c>
    </row>
    <row r="366" spans="1:10" x14ac:dyDescent="0.25">
      <c r="A366" s="25" t="str">
        <v>CUST_0360</v>
      </c>
      <c r="B366" s="16">
        <f t="shared" si="25"/>
        <v>31</v>
      </c>
      <c r="C366" s="16">
        <f t="shared" si="26"/>
        <v>6</v>
      </c>
      <c r="D366" s="17">
        <f t="shared" si="27"/>
        <v>649.04</v>
      </c>
      <c r="E366" s="18" cm="1">
        <f t="array" ref="E366">_xlfn.IFS(
B366&lt;=recencyQ1, 4,
B366&lt;=recencyQ2, 3,
B366&lt;=recencyQ3, 2,
TRUE, 1
)</f>
        <v>3</v>
      </c>
      <c r="F366" s="18" cm="1">
        <f t="array" ref="F366">_xlfn.IFS(
C366&lt;=frequencyQ1, 1,
C366&lt;=frequencyQ2, 2,
C366&lt;=frequencyQ3, 3,
TRUE, 4)</f>
        <v>3</v>
      </c>
      <c r="G366" s="18" cm="1">
        <f t="array" ref="G366">_xlfn.IFS(
D366&lt;=monetaryQ1, 1,
D366&lt;=monetaryQ2, 2,
D366&lt;=monetaryQ3, 3,
TRUE, 4)</f>
        <v>3</v>
      </c>
      <c r="H366" s="18" t="str">
        <f t="shared" si="28"/>
        <v>333</v>
      </c>
      <c r="I366" s="19">
        <f t="shared" si="29"/>
        <v>3</v>
      </c>
      <c r="J366" s="7" t="str" cm="1">
        <f t="array" ref="J366">_xlfn.IFS(
I366&gt;=Best_Customers, Best_Customers_name,
I366&gt;=Loyal_Customers, Loyal_Customers_name,
I366&gt;=Average_Customers, Average_Customers_name,
TRUE, Lost_Customers_name)</f>
        <v>Loyal Customers</v>
      </c>
    </row>
    <row r="367" spans="1:10" x14ac:dyDescent="0.25">
      <c r="A367" s="25" t="str">
        <v>CUST_0361</v>
      </c>
      <c r="B367" s="16">
        <f t="shared" si="25"/>
        <v>64</v>
      </c>
      <c r="C367" s="16">
        <f t="shared" si="26"/>
        <v>3</v>
      </c>
      <c r="D367" s="17">
        <f t="shared" si="27"/>
        <v>280.96000000000004</v>
      </c>
      <c r="E367" s="18" cm="1">
        <f t="array" ref="E367">_xlfn.IFS(
B367&lt;=recencyQ1, 4,
B367&lt;=recencyQ2, 3,
B367&lt;=recencyQ3, 2,
TRUE, 1
)</f>
        <v>2</v>
      </c>
      <c r="F367" s="18" cm="1">
        <f t="array" ref="F367">_xlfn.IFS(
C367&lt;=frequencyQ1, 1,
C367&lt;=frequencyQ2, 2,
C367&lt;=frequencyQ3, 3,
TRUE, 4)</f>
        <v>1</v>
      </c>
      <c r="G367" s="18" cm="1">
        <f t="array" ref="G367">_xlfn.IFS(
D367&lt;=monetaryQ1, 1,
D367&lt;=monetaryQ2, 2,
D367&lt;=monetaryQ3, 3,
TRUE, 4)</f>
        <v>1</v>
      </c>
      <c r="H367" s="18" t="str">
        <f t="shared" si="28"/>
        <v>211</v>
      </c>
      <c r="I367" s="19">
        <f t="shared" si="29"/>
        <v>1.3333333333333333</v>
      </c>
      <c r="J367" s="7" t="str" cm="1">
        <f t="array" ref="J367">_xlfn.IFS(
I367&gt;=Best_Customers, Best_Customers_name,
I367&gt;=Loyal_Customers, Loyal_Customers_name,
I367&gt;=Average_Customers, Average_Customers_name,
TRUE, Lost_Customers_name)</f>
        <v>Lost Customers</v>
      </c>
    </row>
    <row r="368" spans="1:10" x14ac:dyDescent="0.25">
      <c r="A368" s="25" t="str">
        <v>CUST_0362</v>
      </c>
      <c r="B368" s="16">
        <f t="shared" si="25"/>
        <v>71</v>
      </c>
      <c r="C368" s="16">
        <f t="shared" si="26"/>
        <v>7</v>
      </c>
      <c r="D368" s="17">
        <f t="shared" si="27"/>
        <v>755.93999999999994</v>
      </c>
      <c r="E368" s="18" cm="1">
        <f t="array" ref="E368">_xlfn.IFS(
B368&lt;=recencyQ1, 4,
B368&lt;=recencyQ2, 3,
B368&lt;=recencyQ3, 2,
TRUE, 1
)</f>
        <v>2</v>
      </c>
      <c r="F368" s="18" cm="1">
        <f t="array" ref="F368">_xlfn.IFS(
C368&lt;=frequencyQ1, 1,
C368&lt;=frequencyQ2, 2,
C368&lt;=frequencyQ3, 3,
TRUE, 4)</f>
        <v>4</v>
      </c>
      <c r="G368" s="18" cm="1">
        <f t="array" ref="G368">_xlfn.IFS(
D368&lt;=monetaryQ1, 1,
D368&lt;=monetaryQ2, 2,
D368&lt;=monetaryQ3, 3,
TRUE, 4)</f>
        <v>4</v>
      </c>
      <c r="H368" s="18" t="str">
        <f t="shared" si="28"/>
        <v>244</v>
      </c>
      <c r="I368" s="19">
        <f t="shared" si="29"/>
        <v>3.3333333333333335</v>
      </c>
      <c r="J368" s="7" t="str" cm="1">
        <f t="array" ref="J368">_xlfn.IFS(
I368&gt;=Best_Customers, Best_Customers_name,
I368&gt;=Loyal_Customers, Loyal_Customers_name,
I368&gt;=Average_Customers, Average_Customers_name,
TRUE, Lost_Customers_name)</f>
        <v>Loyal Customers</v>
      </c>
    </row>
    <row r="369" spans="1:10" x14ac:dyDescent="0.25">
      <c r="A369" s="25" t="str">
        <v>CUST_0363</v>
      </c>
      <c r="B369" s="16">
        <f t="shared" si="25"/>
        <v>21</v>
      </c>
      <c r="C369" s="16">
        <f t="shared" si="26"/>
        <v>8</v>
      </c>
      <c r="D369" s="17">
        <f t="shared" si="27"/>
        <v>936.18999999999994</v>
      </c>
      <c r="E369" s="18" cm="1">
        <f t="array" ref="E369">_xlfn.IFS(
B369&lt;=recencyQ1, 4,
B369&lt;=recencyQ2, 3,
B369&lt;=recencyQ3, 2,
TRUE, 1
)</f>
        <v>3</v>
      </c>
      <c r="F369" s="18" cm="1">
        <f t="array" ref="F369">_xlfn.IFS(
C369&lt;=frequencyQ1, 1,
C369&lt;=frequencyQ2, 2,
C369&lt;=frequencyQ3, 3,
TRUE, 4)</f>
        <v>4</v>
      </c>
      <c r="G369" s="18" cm="1">
        <f t="array" ref="G369">_xlfn.IFS(
D369&lt;=monetaryQ1, 1,
D369&lt;=monetaryQ2, 2,
D369&lt;=monetaryQ3, 3,
TRUE, 4)</f>
        <v>4</v>
      </c>
      <c r="H369" s="18" t="str">
        <f t="shared" si="28"/>
        <v>344</v>
      </c>
      <c r="I369" s="19">
        <f t="shared" si="29"/>
        <v>3.6666666666666665</v>
      </c>
      <c r="J369" s="7" t="str" cm="1">
        <f t="array" ref="J369">_xlfn.IFS(
I369&gt;=Best_Customers, Best_Customers_name,
I369&gt;=Loyal_Customers, Loyal_Customers_name,
I369&gt;=Average_Customers, Average_Customers_name,
TRUE, Lost_Customers_name)</f>
        <v>Best Customers</v>
      </c>
    </row>
    <row r="370" spans="1:10" x14ac:dyDescent="0.25">
      <c r="A370" s="25" t="str">
        <v>CUST_0364</v>
      </c>
      <c r="B370" s="16">
        <f t="shared" si="25"/>
        <v>5</v>
      </c>
      <c r="C370" s="16">
        <f t="shared" si="26"/>
        <v>8</v>
      </c>
      <c r="D370" s="17">
        <f t="shared" si="27"/>
        <v>699.1</v>
      </c>
      <c r="E370" s="18" cm="1">
        <f t="array" ref="E370">_xlfn.IFS(
B370&lt;=recencyQ1, 4,
B370&lt;=recencyQ2, 3,
B370&lt;=recencyQ3, 2,
TRUE, 1
)</f>
        <v>4</v>
      </c>
      <c r="F370" s="18" cm="1">
        <f t="array" ref="F370">_xlfn.IFS(
C370&lt;=frequencyQ1, 1,
C370&lt;=frequencyQ2, 2,
C370&lt;=frequencyQ3, 3,
TRUE, 4)</f>
        <v>4</v>
      </c>
      <c r="G370" s="18" cm="1">
        <f t="array" ref="G370">_xlfn.IFS(
D370&lt;=monetaryQ1, 1,
D370&lt;=monetaryQ2, 2,
D370&lt;=monetaryQ3, 3,
TRUE, 4)</f>
        <v>4</v>
      </c>
      <c r="H370" s="18" t="str">
        <f t="shared" si="28"/>
        <v>444</v>
      </c>
      <c r="I370" s="19">
        <f t="shared" si="29"/>
        <v>4</v>
      </c>
      <c r="J370" s="7" t="str" cm="1">
        <f t="array" ref="J370">_xlfn.IFS(
I370&gt;=Best_Customers, Best_Customers_name,
I370&gt;=Loyal_Customers, Loyal_Customers_name,
I370&gt;=Average_Customers, Average_Customers_name,
TRUE, Lost_Customers_name)</f>
        <v>Best Customers</v>
      </c>
    </row>
    <row r="371" spans="1:10" x14ac:dyDescent="0.25">
      <c r="A371" s="25" t="str">
        <v>CUST_0365</v>
      </c>
      <c r="B371" s="16">
        <f t="shared" si="25"/>
        <v>68</v>
      </c>
      <c r="C371" s="16">
        <f t="shared" si="26"/>
        <v>4</v>
      </c>
      <c r="D371" s="17">
        <f t="shared" si="27"/>
        <v>448</v>
      </c>
      <c r="E371" s="18" cm="1">
        <f t="array" ref="E371">_xlfn.IFS(
B371&lt;=recencyQ1, 4,
B371&lt;=recencyQ2, 3,
B371&lt;=recencyQ3, 2,
TRUE, 1
)</f>
        <v>2</v>
      </c>
      <c r="F371" s="18" cm="1">
        <f t="array" ref="F371">_xlfn.IFS(
C371&lt;=frequencyQ1, 1,
C371&lt;=frequencyQ2, 2,
C371&lt;=frequencyQ3, 3,
TRUE, 4)</f>
        <v>2</v>
      </c>
      <c r="G371" s="18" cm="1">
        <f t="array" ref="G371">_xlfn.IFS(
D371&lt;=monetaryQ1, 1,
D371&lt;=monetaryQ2, 2,
D371&lt;=monetaryQ3, 3,
TRUE, 4)</f>
        <v>2</v>
      </c>
      <c r="H371" s="18" t="str">
        <f t="shared" si="28"/>
        <v>222</v>
      </c>
      <c r="I371" s="19">
        <f t="shared" si="29"/>
        <v>2</v>
      </c>
      <c r="J371" s="7" t="str" cm="1">
        <f t="array" ref="J371">_xlfn.IFS(
I371&gt;=Best_Customers, Best_Customers_name,
I371&gt;=Loyal_Customers, Loyal_Customers_name,
I371&gt;=Average_Customers, Average_Customers_name,
TRUE, Lost_Customers_name)</f>
        <v>Average Customers</v>
      </c>
    </row>
    <row r="372" spans="1:10" x14ac:dyDescent="0.25">
      <c r="A372" s="25" t="str">
        <v>CUST_0366</v>
      </c>
      <c r="B372" s="16">
        <f t="shared" si="25"/>
        <v>33</v>
      </c>
      <c r="C372" s="16">
        <f t="shared" si="26"/>
        <v>4</v>
      </c>
      <c r="D372" s="17">
        <f t="shared" si="27"/>
        <v>427.24</v>
      </c>
      <c r="E372" s="18" cm="1">
        <f t="array" ref="E372">_xlfn.IFS(
B372&lt;=recencyQ1, 4,
B372&lt;=recencyQ2, 3,
B372&lt;=recencyQ3, 2,
TRUE, 1
)</f>
        <v>3</v>
      </c>
      <c r="F372" s="18" cm="1">
        <f t="array" ref="F372">_xlfn.IFS(
C372&lt;=frequencyQ1, 1,
C372&lt;=frequencyQ2, 2,
C372&lt;=frequencyQ3, 3,
TRUE, 4)</f>
        <v>2</v>
      </c>
      <c r="G372" s="18" cm="1">
        <f t="array" ref="G372">_xlfn.IFS(
D372&lt;=monetaryQ1, 1,
D372&lt;=monetaryQ2, 2,
D372&lt;=monetaryQ3, 3,
TRUE, 4)</f>
        <v>2</v>
      </c>
      <c r="H372" s="18" t="str">
        <f t="shared" si="28"/>
        <v>322</v>
      </c>
      <c r="I372" s="19">
        <f t="shared" si="29"/>
        <v>2.3333333333333335</v>
      </c>
      <c r="J372" s="7" t="str" cm="1">
        <f t="array" ref="J372">_xlfn.IFS(
I372&gt;=Best_Customers, Best_Customers_name,
I372&gt;=Loyal_Customers, Loyal_Customers_name,
I372&gt;=Average_Customers, Average_Customers_name,
TRUE, Lost_Customers_name)</f>
        <v>Average Customers</v>
      </c>
    </row>
    <row r="373" spans="1:10" x14ac:dyDescent="0.25">
      <c r="A373" s="25" t="str">
        <v>CUST_0367</v>
      </c>
      <c r="B373" s="16">
        <f t="shared" si="25"/>
        <v>43</v>
      </c>
      <c r="C373" s="16">
        <f t="shared" si="26"/>
        <v>1</v>
      </c>
      <c r="D373" s="17">
        <f t="shared" si="27"/>
        <v>60.36</v>
      </c>
      <c r="E373" s="18" cm="1">
        <f t="array" ref="E373">_xlfn.IFS(
B373&lt;=recencyQ1, 4,
B373&lt;=recencyQ2, 3,
B373&lt;=recencyQ3, 2,
TRUE, 1
)</f>
        <v>3</v>
      </c>
      <c r="F373" s="18" cm="1">
        <f t="array" ref="F373">_xlfn.IFS(
C373&lt;=frequencyQ1, 1,
C373&lt;=frequencyQ2, 2,
C373&lt;=frequencyQ3, 3,
TRUE, 4)</f>
        <v>1</v>
      </c>
      <c r="G373" s="18" cm="1">
        <f t="array" ref="G373">_xlfn.IFS(
D373&lt;=monetaryQ1, 1,
D373&lt;=monetaryQ2, 2,
D373&lt;=monetaryQ3, 3,
TRUE, 4)</f>
        <v>1</v>
      </c>
      <c r="H373" s="18" t="str">
        <f t="shared" si="28"/>
        <v>311</v>
      </c>
      <c r="I373" s="19">
        <f t="shared" si="29"/>
        <v>1.6666666666666667</v>
      </c>
      <c r="J373" s="7" t="str" cm="1">
        <f t="array" ref="J373">_xlfn.IFS(
I373&gt;=Best_Customers, Best_Customers_name,
I373&gt;=Loyal_Customers, Loyal_Customers_name,
I373&gt;=Average_Customers, Average_Customers_name,
TRUE, Lost_Customers_name)</f>
        <v>Average Customers</v>
      </c>
    </row>
    <row r="374" spans="1:10" x14ac:dyDescent="0.25">
      <c r="A374" s="25" t="str">
        <v>CUST_0368</v>
      </c>
      <c r="B374" s="16">
        <f t="shared" si="25"/>
        <v>50</v>
      </c>
      <c r="C374" s="16">
        <f t="shared" si="26"/>
        <v>4</v>
      </c>
      <c r="D374" s="17">
        <f t="shared" si="27"/>
        <v>370.15999999999997</v>
      </c>
      <c r="E374" s="18" cm="1">
        <f t="array" ref="E374">_xlfn.IFS(
B374&lt;=recencyQ1, 4,
B374&lt;=recencyQ2, 3,
B374&lt;=recencyQ3, 2,
TRUE, 1
)</f>
        <v>2</v>
      </c>
      <c r="F374" s="18" cm="1">
        <f t="array" ref="F374">_xlfn.IFS(
C374&lt;=frequencyQ1, 1,
C374&lt;=frequencyQ2, 2,
C374&lt;=frequencyQ3, 3,
TRUE, 4)</f>
        <v>2</v>
      </c>
      <c r="G374" s="18" cm="1">
        <f t="array" ref="G374">_xlfn.IFS(
D374&lt;=monetaryQ1, 1,
D374&lt;=monetaryQ2, 2,
D374&lt;=monetaryQ3, 3,
TRUE, 4)</f>
        <v>2</v>
      </c>
      <c r="H374" s="18" t="str">
        <f t="shared" si="28"/>
        <v>222</v>
      </c>
      <c r="I374" s="19">
        <f t="shared" si="29"/>
        <v>2</v>
      </c>
      <c r="J374" s="7" t="str" cm="1">
        <f t="array" ref="J374">_xlfn.IFS(
I374&gt;=Best_Customers, Best_Customers_name,
I374&gt;=Loyal_Customers, Loyal_Customers_name,
I374&gt;=Average_Customers, Average_Customers_name,
TRUE, Lost_Customers_name)</f>
        <v>Average Customers</v>
      </c>
    </row>
    <row r="375" spans="1:10" x14ac:dyDescent="0.25">
      <c r="A375" s="25" t="str">
        <v>CUST_0369</v>
      </c>
      <c r="B375" s="16">
        <f t="shared" si="25"/>
        <v>44</v>
      </c>
      <c r="C375" s="16">
        <f t="shared" si="26"/>
        <v>4</v>
      </c>
      <c r="D375" s="17">
        <f t="shared" si="27"/>
        <v>372.46999999999997</v>
      </c>
      <c r="E375" s="18" cm="1">
        <f t="array" ref="E375">_xlfn.IFS(
B375&lt;=recencyQ1, 4,
B375&lt;=recencyQ2, 3,
B375&lt;=recencyQ3, 2,
TRUE, 1
)</f>
        <v>3</v>
      </c>
      <c r="F375" s="18" cm="1">
        <f t="array" ref="F375">_xlfn.IFS(
C375&lt;=frequencyQ1, 1,
C375&lt;=frequencyQ2, 2,
C375&lt;=frequencyQ3, 3,
TRUE, 4)</f>
        <v>2</v>
      </c>
      <c r="G375" s="18" cm="1">
        <f t="array" ref="G375">_xlfn.IFS(
D375&lt;=monetaryQ1, 1,
D375&lt;=monetaryQ2, 2,
D375&lt;=monetaryQ3, 3,
TRUE, 4)</f>
        <v>2</v>
      </c>
      <c r="H375" s="18" t="str">
        <f t="shared" si="28"/>
        <v>322</v>
      </c>
      <c r="I375" s="19">
        <f t="shared" si="29"/>
        <v>2.3333333333333335</v>
      </c>
      <c r="J375" s="7" t="str" cm="1">
        <f t="array" ref="J375">_xlfn.IFS(
I375&gt;=Best_Customers, Best_Customers_name,
I375&gt;=Loyal_Customers, Loyal_Customers_name,
I375&gt;=Average_Customers, Average_Customers_name,
TRUE, Lost_Customers_name)</f>
        <v>Average Customers</v>
      </c>
    </row>
    <row r="376" spans="1:10" x14ac:dyDescent="0.25">
      <c r="A376" s="25" t="str">
        <v>CUST_0370</v>
      </c>
      <c r="B376" s="16">
        <f t="shared" si="25"/>
        <v>16</v>
      </c>
      <c r="C376" s="16">
        <f t="shared" si="26"/>
        <v>5</v>
      </c>
      <c r="D376" s="17">
        <f t="shared" si="27"/>
        <v>452.43</v>
      </c>
      <c r="E376" s="18" cm="1">
        <f t="array" ref="E376">_xlfn.IFS(
B376&lt;=recencyQ1, 4,
B376&lt;=recencyQ2, 3,
B376&lt;=recencyQ3, 2,
TRUE, 1
)</f>
        <v>4</v>
      </c>
      <c r="F376" s="18" cm="1">
        <f t="array" ref="F376">_xlfn.IFS(
C376&lt;=frequencyQ1, 1,
C376&lt;=frequencyQ2, 2,
C376&lt;=frequencyQ3, 3,
TRUE, 4)</f>
        <v>2</v>
      </c>
      <c r="G376" s="18" cm="1">
        <f t="array" ref="G376">_xlfn.IFS(
D376&lt;=monetaryQ1, 1,
D376&lt;=monetaryQ2, 2,
D376&lt;=monetaryQ3, 3,
TRUE, 4)</f>
        <v>2</v>
      </c>
      <c r="H376" s="18" t="str">
        <f t="shared" si="28"/>
        <v>422</v>
      </c>
      <c r="I376" s="19">
        <f t="shared" si="29"/>
        <v>2.6666666666666665</v>
      </c>
      <c r="J376" s="7" t="str" cm="1">
        <f t="array" ref="J376">_xlfn.IFS(
I376&gt;=Best_Customers, Best_Customers_name,
I376&gt;=Loyal_Customers, Loyal_Customers_name,
I376&gt;=Average_Customers, Average_Customers_name,
TRUE, Lost_Customers_name)</f>
        <v>Loyal Customers</v>
      </c>
    </row>
    <row r="377" spans="1:10" x14ac:dyDescent="0.25">
      <c r="A377" s="25" t="str">
        <v>CUST_0371</v>
      </c>
      <c r="B377" s="16">
        <f t="shared" si="25"/>
        <v>20</v>
      </c>
      <c r="C377" s="16">
        <f t="shared" si="26"/>
        <v>2</v>
      </c>
      <c r="D377" s="17">
        <f t="shared" si="27"/>
        <v>182.59</v>
      </c>
      <c r="E377" s="18" cm="1">
        <f t="array" ref="E377">_xlfn.IFS(
B377&lt;=recencyQ1, 4,
B377&lt;=recencyQ2, 3,
B377&lt;=recencyQ3, 2,
TRUE, 1
)</f>
        <v>3</v>
      </c>
      <c r="F377" s="18" cm="1">
        <f t="array" ref="F377">_xlfn.IFS(
C377&lt;=frequencyQ1, 1,
C377&lt;=frequencyQ2, 2,
C377&lt;=frequencyQ3, 3,
TRUE, 4)</f>
        <v>1</v>
      </c>
      <c r="G377" s="18" cm="1">
        <f t="array" ref="G377">_xlfn.IFS(
D377&lt;=monetaryQ1, 1,
D377&lt;=monetaryQ2, 2,
D377&lt;=monetaryQ3, 3,
TRUE, 4)</f>
        <v>1</v>
      </c>
      <c r="H377" s="18" t="str">
        <f t="shared" si="28"/>
        <v>311</v>
      </c>
      <c r="I377" s="19">
        <f t="shared" si="29"/>
        <v>1.6666666666666667</v>
      </c>
      <c r="J377" s="7" t="str" cm="1">
        <f t="array" ref="J377">_xlfn.IFS(
I377&gt;=Best_Customers, Best_Customers_name,
I377&gt;=Loyal_Customers, Loyal_Customers_name,
I377&gt;=Average_Customers, Average_Customers_name,
TRUE, Lost_Customers_name)</f>
        <v>Average Customers</v>
      </c>
    </row>
    <row r="378" spans="1:10" x14ac:dyDescent="0.25">
      <c r="A378" s="25" t="str">
        <v>CUST_0372</v>
      </c>
      <c r="B378" s="16">
        <f t="shared" si="25"/>
        <v>46</v>
      </c>
      <c r="C378" s="16">
        <f t="shared" si="26"/>
        <v>5</v>
      </c>
      <c r="D378" s="17">
        <f t="shared" si="27"/>
        <v>486.34999999999997</v>
      </c>
      <c r="E378" s="18" cm="1">
        <f t="array" ref="E378">_xlfn.IFS(
B378&lt;=recencyQ1, 4,
B378&lt;=recencyQ2, 3,
B378&lt;=recencyQ3, 2,
TRUE, 1
)</f>
        <v>3</v>
      </c>
      <c r="F378" s="18" cm="1">
        <f t="array" ref="F378">_xlfn.IFS(
C378&lt;=frequencyQ1, 1,
C378&lt;=frequencyQ2, 2,
C378&lt;=frequencyQ3, 3,
TRUE, 4)</f>
        <v>2</v>
      </c>
      <c r="G378" s="18" cm="1">
        <f t="array" ref="G378">_xlfn.IFS(
D378&lt;=monetaryQ1, 1,
D378&lt;=monetaryQ2, 2,
D378&lt;=monetaryQ3, 3,
TRUE, 4)</f>
        <v>3</v>
      </c>
      <c r="H378" s="18" t="str">
        <f t="shared" si="28"/>
        <v>323</v>
      </c>
      <c r="I378" s="19">
        <f t="shared" si="29"/>
        <v>2.6666666666666665</v>
      </c>
      <c r="J378" s="7" t="str" cm="1">
        <f t="array" ref="J378">_xlfn.IFS(
I378&gt;=Best_Customers, Best_Customers_name,
I378&gt;=Loyal_Customers, Loyal_Customers_name,
I378&gt;=Average_Customers, Average_Customers_name,
TRUE, Lost_Customers_name)</f>
        <v>Loyal Customers</v>
      </c>
    </row>
    <row r="379" spans="1:10" x14ac:dyDescent="0.25">
      <c r="A379" s="25" t="str">
        <v>CUST_0373</v>
      </c>
      <c r="B379" s="16">
        <f t="shared" si="25"/>
        <v>8</v>
      </c>
      <c r="C379" s="16">
        <f t="shared" si="26"/>
        <v>6</v>
      </c>
      <c r="D379" s="17">
        <f t="shared" si="27"/>
        <v>688.52</v>
      </c>
      <c r="E379" s="18" cm="1">
        <f t="array" ref="E379">_xlfn.IFS(
B379&lt;=recencyQ1, 4,
B379&lt;=recencyQ2, 3,
B379&lt;=recencyQ3, 2,
TRUE, 1
)</f>
        <v>4</v>
      </c>
      <c r="F379" s="18" cm="1">
        <f t="array" ref="F379">_xlfn.IFS(
C379&lt;=frequencyQ1, 1,
C379&lt;=frequencyQ2, 2,
C379&lt;=frequencyQ3, 3,
TRUE, 4)</f>
        <v>3</v>
      </c>
      <c r="G379" s="18" cm="1">
        <f t="array" ref="G379">_xlfn.IFS(
D379&lt;=monetaryQ1, 1,
D379&lt;=monetaryQ2, 2,
D379&lt;=monetaryQ3, 3,
TRUE, 4)</f>
        <v>4</v>
      </c>
      <c r="H379" s="18" t="str">
        <f t="shared" si="28"/>
        <v>434</v>
      </c>
      <c r="I379" s="19">
        <f t="shared" si="29"/>
        <v>3.6666666666666665</v>
      </c>
      <c r="J379" s="7" t="str" cm="1">
        <f t="array" ref="J379">_xlfn.IFS(
I379&gt;=Best_Customers, Best_Customers_name,
I379&gt;=Loyal_Customers, Loyal_Customers_name,
I379&gt;=Average_Customers, Average_Customers_name,
TRUE, Lost_Customers_name)</f>
        <v>Best Customers</v>
      </c>
    </row>
    <row r="380" spans="1:10" x14ac:dyDescent="0.25">
      <c r="A380" s="25" t="str">
        <v>CUST_0374</v>
      </c>
      <c r="B380" s="16">
        <f t="shared" si="25"/>
        <v>11</v>
      </c>
      <c r="C380" s="16">
        <f t="shared" si="26"/>
        <v>6</v>
      </c>
      <c r="D380" s="17">
        <f t="shared" si="27"/>
        <v>541.85</v>
      </c>
      <c r="E380" s="18" cm="1">
        <f t="array" ref="E380">_xlfn.IFS(
B380&lt;=recencyQ1, 4,
B380&lt;=recencyQ2, 3,
B380&lt;=recencyQ3, 2,
TRUE, 1
)</f>
        <v>4</v>
      </c>
      <c r="F380" s="18" cm="1">
        <f t="array" ref="F380">_xlfn.IFS(
C380&lt;=frequencyQ1, 1,
C380&lt;=frequencyQ2, 2,
C380&lt;=frequencyQ3, 3,
TRUE, 4)</f>
        <v>3</v>
      </c>
      <c r="G380" s="18" cm="1">
        <f t="array" ref="G380">_xlfn.IFS(
D380&lt;=monetaryQ1, 1,
D380&lt;=monetaryQ2, 2,
D380&lt;=monetaryQ3, 3,
TRUE, 4)</f>
        <v>3</v>
      </c>
      <c r="H380" s="18" t="str">
        <f t="shared" si="28"/>
        <v>433</v>
      </c>
      <c r="I380" s="19">
        <f t="shared" si="29"/>
        <v>3.3333333333333335</v>
      </c>
      <c r="J380" s="7" t="str" cm="1">
        <f t="array" ref="J380">_xlfn.IFS(
I380&gt;=Best_Customers, Best_Customers_name,
I380&gt;=Loyal_Customers, Loyal_Customers_name,
I380&gt;=Average_Customers, Average_Customers_name,
TRUE, Lost_Customers_name)</f>
        <v>Loyal Customers</v>
      </c>
    </row>
    <row r="381" spans="1:10" x14ac:dyDescent="0.25">
      <c r="A381" s="25" t="str">
        <v>CUST_0375</v>
      </c>
      <c r="B381" s="16">
        <f t="shared" si="25"/>
        <v>30</v>
      </c>
      <c r="C381" s="16">
        <f t="shared" si="26"/>
        <v>7</v>
      </c>
      <c r="D381" s="17">
        <f t="shared" si="27"/>
        <v>623.54999999999995</v>
      </c>
      <c r="E381" s="18" cm="1">
        <f t="array" ref="E381">_xlfn.IFS(
B381&lt;=recencyQ1, 4,
B381&lt;=recencyQ2, 3,
B381&lt;=recencyQ3, 2,
TRUE, 1
)</f>
        <v>3</v>
      </c>
      <c r="F381" s="18" cm="1">
        <f t="array" ref="F381">_xlfn.IFS(
C381&lt;=frequencyQ1, 1,
C381&lt;=frequencyQ2, 2,
C381&lt;=frequencyQ3, 3,
TRUE, 4)</f>
        <v>4</v>
      </c>
      <c r="G381" s="18" cm="1">
        <f t="array" ref="G381">_xlfn.IFS(
D381&lt;=monetaryQ1, 1,
D381&lt;=monetaryQ2, 2,
D381&lt;=monetaryQ3, 3,
TRUE, 4)</f>
        <v>3</v>
      </c>
      <c r="H381" s="18" t="str">
        <f t="shared" si="28"/>
        <v>343</v>
      </c>
      <c r="I381" s="19">
        <f t="shared" si="29"/>
        <v>3.3333333333333335</v>
      </c>
      <c r="J381" s="7" t="str" cm="1">
        <f t="array" ref="J381">_xlfn.IFS(
I381&gt;=Best_Customers, Best_Customers_name,
I381&gt;=Loyal_Customers, Loyal_Customers_name,
I381&gt;=Average_Customers, Average_Customers_name,
TRUE, Lost_Customers_name)</f>
        <v>Loyal Customers</v>
      </c>
    </row>
    <row r="382" spans="1:10" x14ac:dyDescent="0.25">
      <c r="A382" s="25" t="str">
        <v>CUST_0376</v>
      </c>
      <c r="B382" s="16">
        <f t="shared" si="25"/>
        <v>3</v>
      </c>
      <c r="C382" s="16">
        <f t="shared" si="26"/>
        <v>6</v>
      </c>
      <c r="D382" s="17">
        <f t="shared" si="27"/>
        <v>610.39</v>
      </c>
      <c r="E382" s="18" cm="1">
        <f t="array" ref="E382">_xlfn.IFS(
B382&lt;=recencyQ1, 4,
B382&lt;=recencyQ2, 3,
B382&lt;=recencyQ3, 2,
TRUE, 1
)</f>
        <v>4</v>
      </c>
      <c r="F382" s="18" cm="1">
        <f t="array" ref="F382">_xlfn.IFS(
C382&lt;=frequencyQ1, 1,
C382&lt;=frequencyQ2, 2,
C382&lt;=frequencyQ3, 3,
TRUE, 4)</f>
        <v>3</v>
      </c>
      <c r="G382" s="18" cm="1">
        <f t="array" ref="G382">_xlfn.IFS(
D382&lt;=monetaryQ1, 1,
D382&lt;=monetaryQ2, 2,
D382&lt;=monetaryQ3, 3,
TRUE, 4)</f>
        <v>3</v>
      </c>
      <c r="H382" s="18" t="str">
        <f t="shared" si="28"/>
        <v>433</v>
      </c>
      <c r="I382" s="19">
        <f t="shared" si="29"/>
        <v>3.3333333333333335</v>
      </c>
      <c r="J382" s="7" t="str" cm="1">
        <f t="array" ref="J382">_xlfn.IFS(
I382&gt;=Best_Customers, Best_Customers_name,
I382&gt;=Loyal_Customers, Loyal_Customers_name,
I382&gt;=Average_Customers, Average_Customers_name,
TRUE, Lost_Customers_name)</f>
        <v>Loyal Customers</v>
      </c>
    </row>
    <row r="383" spans="1:10" x14ac:dyDescent="0.25">
      <c r="A383" s="25" t="str">
        <v>CUST_0377</v>
      </c>
      <c r="B383" s="16">
        <f t="shared" si="25"/>
        <v>236</v>
      </c>
      <c r="C383" s="16">
        <f t="shared" si="26"/>
        <v>6</v>
      </c>
      <c r="D383" s="17">
        <f t="shared" si="27"/>
        <v>559.29999999999995</v>
      </c>
      <c r="E383" s="18" cm="1">
        <f t="array" ref="E383">_xlfn.IFS(
B383&lt;=recencyQ1, 4,
B383&lt;=recencyQ2, 3,
B383&lt;=recencyQ3, 2,
TRUE, 1
)</f>
        <v>1</v>
      </c>
      <c r="F383" s="18" cm="1">
        <f t="array" ref="F383">_xlfn.IFS(
C383&lt;=frequencyQ1, 1,
C383&lt;=frequencyQ2, 2,
C383&lt;=frequencyQ3, 3,
TRUE, 4)</f>
        <v>3</v>
      </c>
      <c r="G383" s="18" cm="1">
        <f t="array" ref="G383">_xlfn.IFS(
D383&lt;=monetaryQ1, 1,
D383&lt;=monetaryQ2, 2,
D383&lt;=monetaryQ3, 3,
TRUE, 4)</f>
        <v>3</v>
      </c>
      <c r="H383" s="18" t="str">
        <f t="shared" si="28"/>
        <v>133</v>
      </c>
      <c r="I383" s="19">
        <f t="shared" si="29"/>
        <v>2.3333333333333335</v>
      </c>
      <c r="J383" s="7" t="str" cm="1">
        <f t="array" ref="J383">_xlfn.IFS(
I383&gt;=Best_Customers, Best_Customers_name,
I383&gt;=Loyal_Customers, Loyal_Customers_name,
I383&gt;=Average_Customers, Average_Customers_name,
TRUE, Lost_Customers_name)</f>
        <v>Average Customers</v>
      </c>
    </row>
    <row r="384" spans="1:10" x14ac:dyDescent="0.25">
      <c r="A384" s="25" t="str">
        <v>CUST_0378</v>
      </c>
      <c r="B384" s="16">
        <f t="shared" si="25"/>
        <v>64</v>
      </c>
      <c r="C384" s="16">
        <f t="shared" si="26"/>
        <v>4</v>
      </c>
      <c r="D384" s="17">
        <f t="shared" si="27"/>
        <v>352.29</v>
      </c>
      <c r="E384" s="18" cm="1">
        <f t="array" ref="E384">_xlfn.IFS(
B384&lt;=recencyQ1, 4,
B384&lt;=recencyQ2, 3,
B384&lt;=recencyQ3, 2,
TRUE, 1
)</f>
        <v>2</v>
      </c>
      <c r="F384" s="18" cm="1">
        <f t="array" ref="F384">_xlfn.IFS(
C384&lt;=frequencyQ1, 1,
C384&lt;=frequencyQ2, 2,
C384&lt;=frequencyQ3, 3,
TRUE, 4)</f>
        <v>2</v>
      </c>
      <c r="G384" s="18" cm="1">
        <f t="array" ref="G384">_xlfn.IFS(
D384&lt;=monetaryQ1, 1,
D384&lt;=monetaryQ2, 2,
D384&lt;=monetaryQ3, 3,
TRUE, 4)</f>
        <v>2</v>
      </c>
      <c r="H384" s="18" t="str">
        <f t="shared" si="28"/>
        <v>222</v>
      </c>
      <c r="I384" s="19">
        <f t="shared" si="29"/>
        <v>2</v>
      </c>
      <c r="J384" s="7" t="str" cm="1">
        <f t="array" ref="J384">_xlfn.IFS(
I384&gt;=Best_Customers, Best_Customers_name,
I384&gt;=Loyal_Customers, Loyal_Customers_name,
I384&gt;=Average_Customers, Average_Customers_name,
TRUE, Lost_Customers_name)</f>
        <v>Average Customers</v>
      </c>
    </row>
    <row r="385" spans="1:10" x14ac:dyDescent="0.25">
      <c r="A385" s="25" t="str">
        <v>CUST_0379</v>
      </c>
      <c r="B385" s="16">
        <f t="shared" si="25"/>
        <v>1</v>
      </c>
      <c r="C385" s="16">
        <f t="shared" si="26"/>
        <v>8</v>
      </c>
      <c r="D385" s="17">
        <f t="shared" si="27"/>
        <v>967.5</v>
      </c>
      <c r="E385" s="18" cm="1">
        <f t="array" ref="E385">_xlfn.IFS(
B385&lt;=recencyQ1, 4,
B385&lt;=recencyQ2, 3,
B385&lt;=recencyQ3, 2,
TRUE, 1
)</f>
        <v>4</v>
      </c>
      <c r="F385" s="18" cm="1">
        <f t="array" ref="F385">_xlfn.IFS(
C385&lt;=frequencyQ1, 1,
C385&lt;=frequencyQ2, 2,
C385&lt;=frequencyQ3, 3,
TRUE, 4)</f>
        <v>4</v>
      </c>
      <c r="G385" s="18" cm="1">
        <f t="array" ref="G385">_xlfn.IFS(
D385&lt;=monetaryQ1, 1,
D385&lt;=monetaryQ2, 2,
D385&lt;=monetaryQ3, 3,
TRUE, 4)</f>
        <v>4</v>
      </c>
      <c r="H385" s="18" t="str">
        <f t="shared" si="28"/>
        <v>444</v>
      </c>
      <c r="I385" s="19">
        <f t="shared" si="29"/>
        <v>4</v>
      </c>
      <c r="J385" s="7" t="str" cm="1">
        <f t="array" ref="J385">_xlfn.IFS(
I385&gt;=Best_Customers, Best_Customers_name,
I385&gt;=Loyal_Customers, Loyal_Customers_name,
I385&gt;=Average_Customers, Average_Customers_name,
TRUE, Lost_Customers_name)</f>
        <v>Best Customers</v>
      </c>
    </row>
    <row r="386" spans="1:10" x14ac:dyDescent="0.25">
      <c r="A386" s="25" t="str">
        <v>CUST_0380</v>
      </c>
      <c r="B386" s="16">
        <f t="shared" si="25"/>
        <v>60</v>
      </c>
      <c r="C386" s="16">
        <f t="shared" si="26"/>
        <v>8</v>
      </c>
      <c r="D386" s="17">
        <f t="shared" si="27"/>
        <v>886.42000000000007</v>
      </c>
      <c r="E386" s="18" cm="1">
        <f t="array" ref="E386">_xlfn.IFS(
B386&lt;=recencyQ1, 4,
B386&lt;=recencyQ2, 3,
B386&lt;=recencyQ3, 2,
TRUE, 1
)</f>
        <v>2</v>
      </c>
      <c r="F386" s="18" cm="1">
        <f t="array" ref="F386">_xlfn.IFS(
C386&lt;=frequencyQ1, 1,
C386&lt;=frequencyQ2, 2,
C386&lt;=frequencyQ3, 3,
TRUE, 4)</f>
        <v>4</v>
      </c>
      <c r="G386" s="18" cm="1">
        <f t="array" ref="G386">_xlfn.IFS(
D386&lt;=monetaryQ1, 1,
D386&lt;=monetaryQ2, 2,
D386&lt;=monetaryQ3, 3,
TRUE, 4)</f>
        <v>4</v>
      </c>
      <c r="H386" s="18" t="str">
        <f t="shared" si="28"/>
        <v>244</v>
      </c>
      <c r="I386" s="19">
        <f t="shared" si="29"/>
        <v>3.3333333333333335</v>
      </c>
      <c r="J386" s="7" t="str" cm="1">
        <f t="array" ref="J386">_xlfn.IFS(
I386&gt;=Best_Customers, Best_Customers_name,
I386&gt;=Loyal_Customers, Loyal_Customers_name,
I386&gt;=Average_Customers, Average_Customers_name,
TRUE, Lost_Customers_name)</f>
        <v>Loyal Customers</v>
      </c>
    </row>
    <row r="387" spans="1:10" x14ac:dyDescent="0.25">
      <c r="A387" s="25" t="str">
        <v>CUST_0381</v>
      </c>
      <c r="B387" s="16">
        <f t="shared" si="25"/>
        <v>56</v>
      </c>
      <c r="C387" s="16">
        <f t="shared" si="26"/>
        <v>6</v>
      </c>
      <c r="D387" s="17">
        <f t="shared" si="27"/>
        <v>369.46000000000004</v>
      </c>
      <c r="E387" s="18" cm="1">
        <f t="array" ref="E387">_xlfn.IFS(
B387&lt;=recencyQ1, 4,
B387&lt;=recencyQ2, 3,
B387&lt;=recencyQ3, 2,
TRUE, 1
)</f>
        <v>2</v>
      </c>
      <c r="F387" s="18" cm="1">
        <f t="array" ref="F387">_xlfn.IFS(
C387&lt;=frequencyQ1, 1,
C387&lt;=frequencyQ2, 2,
C387&lt;=frequencyQ3, 3,
TRUE, 4)</f>
        <v>3</v>
      </c>
      <c r="G387" s="18" cm="1">
        <f t="array" ref="G387">_xlfn.IFS(
D387&lt;=monetaryQ1, 1,
D387&lt;=monetaryQ2, 2,
D387&lt;=monetaryQ3, 3,
TRUE, 4)</f>
        <v>2</v>
      </c>
      <c r="H387" s="18" t="str">
        <f t="shared" si="28"/>
        <v>232</v>
      </c>
      <c r="I387" s="19">
        <f t="shared" si="29"/>
        <v>2.3333333333333335</v>
      </c>
      <c r="J387" s="7" t="str" cm="1">
        <f t="array" ref="J387">_xlfn.IFS(
I387&gt;=Best_Customers, Best_Customers_name,
I387&gt;=Loyal_Customers, Loyal_Customers_name,
I387&gt;=Average_Customers, Average_Customers_name,
TRUE, Lost_Customers_name)</f>
        <v>Average Customers</v>
      </c>
    </row>
    <row r="388" spans="1:10" x14ac:dyDescent="0.25">
      <c r="A388" s="25" t="str">
        <v>CUST_0382</v>
      </c>
      <c r="B388" s="16">
        <f t="shared" si="25"/>
        <v>14</v>
      </c>
      <c r="C388" s="16">
        <f t="shared" si="26"/>
        <v>3</v>
      </c>
      <c r="D388" s="17">
        <f t="shared" si="27"/>
        <v>363.59</v>
      </c>
      <c r="E388" s="18" cm="1">
        <f t="array" ref="E388">_xlfn.IFS(
B388&lt;=recencyQ1, 4,
B388&lt;=recencyQ2, 3,
B388&lt;=recencyQ3, 2,
TRUE, 1
)</f>
        <v>4</v>
      </c>
      <c r="F388" s="18" cm="1">
        <f t="array" ref="F388">_xlfn.IFS(
C388&lt;=frequencyQ1, 1,
C388&lt;=frequencyQ2, 2,
C388&lt;=frequencyQ3, 3,
TRUE, 4)</f>
        <v>1</v>
      </c>
      <c r="G388" s="18" cm="1">
        <f t="array" ref="G388">_xlfn.IFS(
D388&lt;=monetaryQ1, 1,
D388&lt;=monetaryQ2, 2,
D388&lt;=monetaryQ3, 3,
TRUE, 4)</f>
        <v>2</v>
      </c>
      <c r="H388" s="18" t="str">
        <f t="shared" si="28"/>
        <v>412</v>
      </c>
      <c r="I388" s="19">
        <f t="shared" si="29"/>
        <v>2.3333333333333335</v>
      </c>
      <c r="J388" s="7" t="str" cm="1">
        <f t="array" ref="J388">_xlfn.IFS(
I388&gt;=Best_Customers, Best_Customers_name,
I388&gt;=Loyal_Customers, Loyal_Customers_name,
I388&gt;=Average_Customers, Average_Customers_name,
TRUE, Lost_Customers_name)</f>
        <v>Average Customers</v>
      </c>
    </row>
    <row r="389" spans="1:10" x14ac:dyDescent="0.25">
      <c r="A389" s="25" t="str">
        <v>CUST_0383</v>
      </c>
      <c r="B389" s="16">
        <f t="shared" si="25"/>
        <v>8</v>
      </c>
      <c r="C389" s="16">
        <f t="shared" si="26"/>
        <v>4</v>
      </c>
      <c r="D389" s="17">
        <f t="shared" si="27"/>
        <v>462.02</v>
      </c>
      <c r="E389" s="18" cm="1">
        <f t="array" ref="E389">_xlfn.IFS(
B389&lt;=recencyQ1, 4,
B389&lt;=recencyQ2, 3,
B389&lt;=recencyQ3, 2,
TRUE, 1
)</f>
        <v>4</v>
      </c>
      <c r="F389" s="18" cm="1">
        <f t="array" ref="F389">_xlfn.IFS(
C389&lt;=frequencyQ1, 1,
C389&lt;=frequencyQ2, 2,
C389&lt;=frequencyQ3, 3,
TRUE, 4)</f>
        <v>2</v>
      </c>
      <c r="G389" s="18" cm="1">
        <f t="array" ref="G389">_xlfn.IFS(
D389&lt;=monetaryQ1, 1,
D389&lt;=monetaryQ2, 2,
D389&lt;=monetaryQ3, 3,
TRUE, 4)</f>
        <v>2</v>
      </c>
      <c r="H389" s="18" t="str">
        <f t="shared" si="28"/>
        <v>422</v>
      </c>
      <c r="I389" s="19">
        <f t="shared" si="29"/>
        <v>2.6666666666666665</v>
      </c>
      <c r="J389" s="7" t="str" cm="1">
        <f t="array" ref="J389">_xlfn.IFS(
I389&gt;=Best_Customers, Best_Customers_name,
I389&gt;=Loyal_Customers, Loyal_Customers_name,
I389&gt;=Average_Customers, Average_Customers_name,
TRUE, Lost_Customers_name)</f>
        <v>Loyal Customers</v>
      </c>
    </row>
    <row r="390" spans="1:10" x14ac:dyDescent="0.25">
      <c r="A390" s="25" t="str">
        <v>CUST_0384</v>
      </c>
      <c r="B390" s="16">
        <f t="shared" si="25"/>
        <v>84</v>
      </c>
      <c r="C390" s="16">
        <f t="shared" si="26"/>
        <v>6</v>
      </c>
      <c r="D390" s="17">
        <f t="shared" si="27"/>
        <v>613.51</v>
      </c>
      <c r="E390" s="18" cm="1">
        <f t="array" ref="E390">_xlfn.IFS(
B390&lt;=recencyQ1, 4,
B390&lt;=recencyQ2, 3,
B390&lt;=recencyQ3, 2,
TRUE, 1
)</f>
        <v>2</v>
      </c>
      <c r="F390" s="18" cm="1">
        <f t="array" ref="F390">_xlfn.IFS(
C390&lt;=frequencyQ1, 1,
C390&lt;=frequencyQ2, 2,
C390&lt;=frequencyQ3, 3,
TRUE, 4)</f>
        <v>3</v>
      </c>
      <c r="G390" s="18" cm="1">
        <f t="array" ref="G390">_xlfn.IFS(
D390&lt;=monetaryQ1, 1,
D390&lt;=monetaryQ2, 2,
D390&lt;=monetaryQ3, 3,
TRUE, 4)</f>
        <v>3</v>
      </c>
      <c r="H390" s="18" t="str">
        <f t="shared" si="28"/>
        <v>233</v>
      </c>
      <c r="I390" s="19">
        <f t="shared" si="29"/>
        <v>2.6666666666666665</v>
      </c>
      <c r="J390" s="7" t="str" cm="1">
        <f t="array" ref="J390">_xlfn.IFS(
I390&gt;=Best_Customers, Best_Customers_name,
I390&gt;=Loyal_Customers, Loyal_Customers_name,
I390&gt;=Average_Customers, Average_Customers_name,
TRUE, Lost_Customers_name)</f>
        <v>Loyal Customers</v>
      </c>
    </row>
    <row r="391" spans="1:10" x14ac:dyDescent="0.25">
      <c r="A391" s="25" t="str">
        <v>CUST_0385</v>
      </c>
      <c r="B391" s="16">
        <f t="shared" si="25"/>
        <v>18</v>
      </c>
      <c r="C391" s="16">
        <f t="shared" si="26"/>
        <v>9</v>
      </c>
      <c r="D391" s="17">
        <f t="shared" si="27"/>
        <v>886.23</v>
      </c>
      <c r="E391" s="18" cm="1">
        <f t="array" ref="E391">_xlfn.IFS(
B391&lt;=recencyQ1, 4,
B391&lt;=recencyQ2, 3,
B391&lt;=recencyQ3, 2,
TRUE, 1
)</f>
        <v>4</v>
      </c>
      <c r="F391" s="18" cm="1">
        <f t="array" ref="F391">_xlfn.IFS(
C391&lt;=frequencyQ1, 1,
C391&lt;=frequencyQ2, 2,
C391&lt;=frequencyQ3, 3,
TRUE, 4)</f>
        <v>4</v>
      </c>
      <c r="G391" s="18" cm="1">
        <f t="array" ref="G391">_xlfn.IFS(
D391&lt;=monetaryQ1, 1,
D391&lt;=monetaryQ2, 2,
D391&lt;=monetaryQ3, 3,
TRUE, 4)</f>
        <v>4</v>
      </c>
      <c r="H391" s="18" t="str">
        <f t="shared" si="28"/>
        <v>444</v>
      </c>
      <c r="I391" s="19">
        <f t="shared" si="29"/>
        <v>4</v>
      </c>
      <c r="J391" s="7" t="str" cm="1">
        <f t="array" ref="J391">_xlfn.IFS(
I391&gt;=Best_Customers, Best_Customers_name,
I391&gt;=Loyal_Customers, Loyal_Customers_name,
I391&gt;=Average_Customers, Average_Customers_name,
TRUE, Lost_Customers_name)</f>
        <v>Best Customers</v>
      </c>
    </row>
    <row r="392" spans="1:10" x14ac:dyDescent="0.25">
      <c r="A392" s="25" t="str">
        <v>CUST_0386</v>
      </c>
      <c r="B392" s="16">
        <f t="shared" si="25"/>
        <v>16</v>
      </c>
      <c r="C392" s="16">
        <f t="shared" si="26"/>
        <v>6</v>
      </c>
      <c r="D392" s="17">
        <f t="shared" si="27"/>
        <v>520.3900000000001</v>
      </c>
      <c r="E392" s="18" cm="1">
        <f t="array" ref="E392">_xlfn.IFS(
B392&lt;=recencyQ1, 4,
B392&lt;=recencyQ2, 3,
B392&lt;=recencyQ3, 2,
TRUE, 1
)</f>
        <v>4</v>
      </c>
      <c r="F392" s="18" cm="1">
        <f t="array" ref="F392">_xlfn.IFS(
C392&lt;=frequencyQ1, 1,
C392&lt;=frequencyQ2, 2,
C392&lt;=frequencyQ3, 3,
TRUE, 4)</f>
        <v>3</v>
      </c>
      <c r="G392" s="18" cm="1">
        <f t="array" ref="G392">_xlfn.IFS(
D392&lt;=monetaryQ1, 1,
D392&lt;=monetaryQ2, 2,
D392&lt;=monetaryQ3, 3,
TRUE, 4)</f>
        <v>3</v>
      </c>
      <c r="H392" s="18" t="str">
        <f t="shared" si="28"/>
        <v>433</v>
      </c>
      <c r="I392" s="19">
        <f t="shared" si="29"/>
        <v>3.3333333333333335</v>
      </c>
      <c r="J392" s="7" t="str" cm="1">
        <f t="array" ref="J392">_xlfn.IFS(
I392&gt;=Best_Customers, Best_Customers_name,
I392&gt;=Loyal_Customers, Loyal_Customers_name,
I392&gt;=Average_Customers, Average_Customers_name,
TRUE, Lost_Customers_name)</f>
        <v>Loyal Customers</v>
      </c>
    </row>
    <row r="393" spans="1:10" x14ac:dyDescent="0.25">
      <c r="A393" s="25" t="str">
        <v>CUST_0387</v>
      </c>
      <c r="B393" s="16">
        <f t="shared" si="25"/>
        <v>119</v>
      </c>
      <c r="C393" s="16">
        <f t="shared" si="26"/>
        <v>3</v>
      </c>
      <c r="D393" s="17">
        <f t="shared" si="27"/>
        <v>318.33000000000004</v>
      </c>
      <c r="E393" s="18" cm="1">
        <f t="array" ref="E393">_xlfn.IFS(
B393&lt;=recencyQ1, 4,
B393&lt;=recencyQ2, 3,
B393&lt;=recencyQ3, 2,
TRUE, 1
)</f>
        <v>1</v>
      </c>
      <c r="F393" s="18" cm="1">
        <f t="array" ref="F393">_xlfn.IFS(
C393&lt;=frequencyQ1, 1,
C393&lt;=frequencyQ2, 2,
C393&lt;=frequencyQ3, 3,
TRUE, 4)</f>
        <v>1</v>
      </c>
      <c r="G393" s="18" cm="1">
        <f t="array" ref="G393">_xlfn.IFS(
D393&lt;=monetaryQ1, 1,
D393&lt;=monetaryQ2, 2,
D393&lt;=monetaryQ3, 3,
TRUE, 4)</f>
        <v>1</v>
      </c>
      <c r="H393" s="18" t="str">
        <f t="shared" si="28"/>
        <v>111</v>
      </c>
      <c r="I393" s="19">
        <f t="shared" si="29"/>
        <v>1</v>
      </c>
      <c r="J393" s="7" t="str" cm="1">
        <f t="array" ref="J393">_xlfn.IFS(
I393&gt;=Best_Customers, Best_Customers_name,
I393&gt;=Loyal_Customers, Loyal_Customers_name,
I393&gt;=Average_Customers, Average_Customers_name,
TRUE, Lost_Customers_name)</f>
        <v>Lost Customers</v>
      </c>
    </row>
    <row r="394" spans="1:10" x14ac:dyDescent="0.25">
      <c r="A394" s="25" t="str">
        <v>CUST_0388</v>
      </c>
      <c r="B394" s="16">
        <f t="shared" ref="B394:B457" si="30">analysis_date-_xlfn.MAXIFS(transaction_date,customer_id,A394,included,1)</f>
        <v>106</v>
      </c>
      <c r="C394" s="16">
        <f t="shared" ref="C394:C457" si="31">COUNTIFS(customer_id,A394,included,1)</f>
        <v>2</v>
      </c>
      <c r="D394" s="17">
        <f t="shared" ref="D394:D457" si="32">SUMIFS(transaction_amount,customer_id,A394,included,1)</f>
        <v>141.54</v>
      </c>
      <c r="E394" s="18" cm="1">
        <f t="array" ref="E394">_xlfn.IFS(
B394&lt;=recencyQ1, 4,
B394&lt;=recencyQ2, 3,
B394&lt;=recencyQ3, 2,
TRUE, 1
)</f>
        <v>1</v>
      </c>
      <c r="F394" s="18" cm="1">
        <f t="array" ref="F394">_xlfn.IFS(
C394&lt;=frequencyQ1, 1,
C394&lt;=frequencyQ2, 2,
C394&lt;=frequencyQ3, 3,
TRUE, 4)</f>
        <v>1</v>
      </c>
      <c r="G394" s="18" cm="1">
        <f t="array" ref="G394">_xlfn.IFS(
D394&lt;=monetaryQ1, 1,
D394&lt;=monetaryQ2, 2,
D394&lt;=monetaryQ3, 3,
TRUE, 4)</f>
        <v>1</v>
      </c>
      <c r="H394" s="18" t="str">
        <f t="shared" ref="H394:H457" si="33">E394&amp;F394&amp;G394</f>
        <v>111</v>
      </c>
      <c r="I394" s="19">
        <f t="shared" ref="I394:I457" si="34">AVERAGE(E394:G394)</f>
        <v>1</v>
      </c>
      <c r="J394" s="7" t="str" cm="1">
        <f t="array" ref="J394">_xlfn.IFS(
I394&gt;=Best_Customers, Best_Customers_name,
I394&gt;=Loyal_Customers, Loyal_Customers_name,
I394&gt;=Average_Customers, Average_Customers_name,
TRUE, Lost_Customers_name)</f>
        <v>Lost Customers</v>
      </c>
    </row>
    <row r="395" spans="1:10" x14ac:dyDescent="0.25">
      <c r="A395" s="25" t="str">
        <v>CUST_0389</v>
      </c>
      <c r="B395" s="16">
        <f t="shared" si="30"/>
        <v>0</v>
      </c>
      <c r="C395" s="16">
        <f t="shared" si="31"/>
        <v>4</v>
      </c>
      <c r="D395" s="17">
        <f t="shared" si="32"/>
        <v>437.96</v>
      </c>
      <c r="E395" s="18" cm="1">
        <f t="array" ref="E395">_xlfn.IFS(
B395&lt;=recencyQ1, 4,
B395&lt;=recencyQ2, 3,
B395&lt;=recencyQ3, 2,
TRUE, 1
)</f>
        <v>4</v>
      </c>
      <c r="F395" s="18" cm="1">
        <f t="array" ref="F395">_xlfn.IFS(
C395&lt;=frequencyQ1, 1,
C395&lt;=frequencyQ2, 2,
C395&lt;=frequencyQ3, 3,
TRUE, 4)</f>
        <v>2</v>
      </c>
      <c r="G395" s="18" cm="1">
        <f t="array" ref="G395">_xlfn.IFS(
D395&lt;=monetaryQ1, 1,
D395&lt;=monetaryQ2, 2,
D395&lt;=monetaryQ3, 3,
TRUE, 4)</f>
        <v>2</v>
      </c>
      <c r="H395" s="18" t="str">
        <f t="shared" si="33"/>
        <v>422</v>
      </c>
      <c r="I395" s="19">
        <f t="shared" si="34"/>
        <v>2.6666666666666665</v>
      </c>
      <c r="J395" s="7" t="str" cm="1">
        <f t="array" ref="J395">_xlfn.IFS(
I395&gt;=Best_Customers, Best_Customers_name,
I395&gt;=Loyal_Customers, Loyal_Customers_name,
I395&gt;=Average_Customers, Average_Customers_name,
TRUE, Lost_Customers_name)</f>
        <v>Loyal Customers</v>
      </c>
    </row>
    <row r="396" spans="1:10" x14ac:dyDescent="0.25">
      <c r="A396" s="25" t="str">
        <v>CUST_0390</v>
      </c>
      <c r="B396" s="16">
        <f t="shared" si="30"/>
        <v>0</v>
      </c>
      <c r="C396" s="16">
        <f t="shared" si="31"/>
        <v>5</v>
      </c>
      <c r="D396" s="17">
        <f t="shared" si="32"/>
        <v>513.42999999999995</v>
      </c>
      <c r="E396" s="18" cm="1">
        <f t="array" ref="E396">_xlfn.IFS(
B396&lt;=recencyQ1, 4,
B396&lt;=recencyQ2, 3,
B396&lt;=recencyQ3, 2,
TRUE, 1
)</f>
        <v>4</v>
      </c>
      <c r="F396" s="18" cm="1">
        <f t="array" ref="F396">_xlfn.IFS(
C396&lt;=frequencyQ1, 1,
C396&lt;=frequencyQ2, 2,
C396&lt;=frequencyQ3, 3,
TRUE, 4)</f>
        <v>2</v>
      </c>
      <c r="G396" s="18" cm="1">
        <f t="array" ref="G396">_xlfn.IFS(
D396&lt;=monetaryQ1, 1,
D396&lt;=monetaryQ2, 2,
D396&lt;=monetaryQ3, 3,
TRUE, 4)</f>
        <v>3</v>
      </c>
      <c r="H396" s="18" t="str">
        <f t="shared" si="33"/>
        <v>423</v>
      </c>
      <c r="I396" s="19">
        <f t="shared" si="34"/>
        <v>3</v>
      </c>
      <c r="J396" s="7" t="str" cm="1">
        <f t="array" ref="J396">_xlfn.IFS(
I396&gt;=Best_Customers, Best_Customers_name,
I396&gt;=Loyal_Customers, Loyal_Customers_name,
I396&gt;=Average_Customers, Average_Customers_name,
TRUE, Lost_Customers_name)</f>
        <v>Loyal Customers</v>
      </c>
    </row>
    <row r="397" spans="1:10" x14ac:dyDescent="0.25">
      <c r="A397" s="25" t="str">
        <v>CUST_0391</v>
      </c>
      <c r="B397" s="16">
        <f t="shared" si="30"/>
        <v>15</v>
      </c>
      <c r="C397" s="16">
        <f t="shared" si="31"/>
        <v>6</v>
      </c>
      <c r="D397" s="17">
        <f t="shared" si="32"/>
        <v>615.1400000000001</v>
      </c>
      <c r="E397" s="18" cm="1">
        <f t="array" ref="E397">_xlfn.IFS(
B397&lt;=recencyQ1, 4,
B397&lt;=recencyQ2, 3,
B397&lt;=recencyQ3, 2,
TRUE, 1
)</f>
        <v>4</v>
      </c>
      <c r="F397" s="18" cm="1">
        <f t="array" ref="F397">_xlfn.IFS(
C397&lt;=frequencyQ1, 1,
C397&lt;=frequencyQ2, 2,
C397&lt;=frequencyQ3, 3,
TRUE, 4)</f>
        <v>3</v>
      </c>
      <c r="G397" s="18" cm="1">
        <f t="array" ref="G397">_xlfn.IFS(
D397&lt;=monetaryQ1, 1,
D397&lt;=monetaryQ2, 2,
D397&lt;=monetaryQ3, 3,
TRUE, 4)</f>
        <v>3</v>
      </c>
      <c r="H397" s="18" t="str">
        <f t="shared" si="33"/>
        <v>433</v>
      </c>
      <c r="I397" s="19">
        <f t="shared" si="34"/>
        <v>3.3333333333333335</v>
      </c>
      <c r="J397" s="7" t="str" cm="1">
        <f t="array" ref="J397">_xlfn.IFS(
I397&gt;=Best_Customers, Best_Customers_name,
I397&gt;=Loyal_Customers, Loyal_Customers_name,
I397&gt;=Average_Customers, Average_Customers_name,
TRUE, Lost_Customers_name)</f>
        <v>Loyal Customers</v>
      </c>
    </row>
    <row r="398" spans="1:10" x14ac:dyDescent="0.25">
      <c r="A398" s="25" t="str">
        <v>CUST_0392</v>
      </c>
      <c r="B398" s="16">
        <f t="shared" si="30"/>
        <v>16</v>
      </c>
      <c r="C398" s="16">
        <f t="shared" si="31"/>
        <v>7</v>
      </c>
      <c r="D398" s="17">
        <f t="shared" si="32"/>
        <v>677.36</v>
      </c>
      <c r="E398" s="18" cm="1">
        <f t="array" ref="E398">_xlfn.IFS(
B398&lt;=recencyQ1, 4,
B398&lt;=recencyQ2, 3,
B398&lt;=recencyQ3, 2,
TRUE, 1
)</f>
        <v>4</v>
      </c>
      <c r="F398" s="18" cm="1">
        <f t="array" ref="F398">_xlfn.IFS(
C398&lt;=frequencyQ1, 1,
C398&lt;=frequencyQ2, 2,
C398&lt;=frequencyQ3, 3,
TRUE, 4)</f>
        <v>4</v>
      </c>
      <c r="G398" s="18" cm="1">
        <f t="array" ref="G398">_xlfn.IFS(
D398&lt;=monetaryQ1, 1,
D398&lt;=monetaryQ2, 2,
D398&lt;=monetaryQ3, 3,
TRUE, 4)</f>
        <v>4</v>
      </c>
      <c r="H398" s="18" t="str">
        <f t="shared" si="33"/>
        <v>444</v>
      </c>
      <c r="I398" s="19">
        <f t="shared" si="34"/>
        <v>4</v>
      </c>
      <c r="J398" s="7" t="str" cm="1">
        <f t="array" ref="J398">_xlfn.IFS(
I398&gt;=Best_Customers, Best_Customers_name,
I398&gt;=Loyal_Customers, Loyal_Customers_name,
I398&gt;=Average_Customers, Average_Customers_name,
TRUE, Lost_Customers_name)</f>
        <v>Best Customers</v>
      </c>
    </row>
    <row r="399" spans="1:10" x14ac:dyDescent="0.25">
      <c r="A399" s="25" t="str">
        <v>CUST_0393</v>
      </c>
      <c r="B399" s="16">
        <f t="shared" si="30"/>
        <v>82</v>
      </c>
      <c r="C399" s="16">
        <f t="shared" si="31"/>
        <v>3</v>
      </c>
      <c r="D399" s="17">
        <f t="shared" si="32"/>
        <v>333.87</v>
      </c>
      <c r="E399" s="18" cm="1">
        <f t="array" ref="E399">_xlfn.IFS(
B399&lt;=recencyQ1, 4,
B399&lt;=recencyQ2, 3,
B399&lt;=recencyQ3, 2,
TRUE, 1
)</f>
        <v>2</v>
      </c>
      <c r="F399" s="18" cm="1">
        <f t="array" ref="F399">_xlfn.IFS(
C399&lt;=frequencyQ1, 1,
C399&lt;=frequencyQ2, 2,
C399&lt;=frequencyQ3, 3,
TRUE, 4)</f>
        <v>1</v>
      </c>
      <c r="G399" s="18" cm="1">
        <f t="array" ref="G399">_xlfn.IFS(
D399&lt;=monetaryQ1, 1,
D399&lt;=monetaryQ2, 2,
D399&lt;=monetaryQ3, 3,
TRUE, 4)</f>
        <v>2</v>
      </c>
      <c r="H399" s="18" t="str">
        <f t="shared" si="33"/>
        <v>212</v>
      </c>
      <c r="I399" s="19">
        <f t="shared" si="34"/>
        <v>1.6666666666666667</v>
      </c>
      <c r="J399" s="7" t="str" cm="1">
        <f t="array" ref="J399">_xlfn.IFS(
I399&gt;=Best_Customers, Best_Customers_name,
I399&gt;=Loyal_Customers, Loyal_Customers_name,
I399&gt;=Average_Customers, Average_Customers_name,
TRUE, Lost_Customers_name)</f>
        <v>Average Customers</v>
      </c>
    </row>
    <row r="400" spans="1:10" x14ac:dyDescent="0.25">
      <c r="A400" s="25" t="str">
        <v>CUST_0394</v>
      </c>
      <c r="B400" s="16">
        <f t="shared" si="30"/>
        <v>57</v>
      </c>
      <c r="C400" s="16">
        <f t="shared" si="31"/>
        <v>7</v>
      </c>
      <c r="D400" s="17">
        <f t="shared" si="32"/>
        <v>731.99</v>
      </c>
      <c r="E400" s="18" cm="1">
        <f t="array" ref="E400">_xlfn.IFS(
B400&lt;=recencyQ1, 4,
B400&lt;=recencyQ2, 3,
B400&lt;=recencyQ3, 2,
TRUE, 1
)</f>
        <v>2</v>
      </c>
      <c r="F400" s="18" cm="1">
        <f t="array" ref="F400">_xlfn.IFS(
C400&lt;=frequencyQ1, 1,
C400&lt;=frequencyQ2, 2,
C400&lt;=frequencyQ3, 3,
TRUE, 4)</f>
        <v>4</v>
      </c>
      <c r="G400" s="18" cm="1">
        <f t="array" ref="G400">_xlfn.IFS(
D400&lt;=monetaryQ1, 1,
D400&lt;=monetaryQ2, 2,
D400&lt;=monetaryQ3, 3,
TRUE, 4)</f>
        <v>4</v>
      </c>
      <c r="H400" s="18" t="str">
        <f t="shared" si="33"/>
        <v>244</v>
      </c>
      <c r="I400" s="19">
        <f t="shared" si="34"/>
        <v>3.3333333333333335</v>
      </c>
      <c r="J400" s="7" t="str" cm="1">
        <f t="array" ref="J400">_xlfn.IFS(
I400&gt;=Best_Customers, Best_Customers_name,
I400&gt;=Loyal_Customers, Loyal_Customers_name,
I400&gt;=Average_Customers, Average_Customers_name,
TRUE, Lost_Customers_name)</f>
        <v>Loyal Customers</v>
      </c>
    </row>
    <row r="401" spans="1:10" x14ac:dyDescent="0.25">
      <c r="A401" s="25" t="str">
        <v>CUST_0395</v>
      </c>
      <c r="B401" s="16">
        <f t="shared" si="30"/>
        <v>77</v>
      </c>
      <c r="C401" s="16">
        <f t="shared" si="31"/>
        <v>4</v>
      </c>
      <c r="D401" s="17">
        <f t="shared" si="32"/>
        <v>408.11</v>
      </c>
      <c r="E401" s="18" cm="1">
        <f t="array" ref="E401">_xlfn.IFS(
B401&lt;=recencyQ1, 4,
B401&lt;=recencyQ2, 3,
B401&lt;=recencyQ3, 2,
TRUE, 1
)</f>
        <v>2</v>
      </c>
      <c r="F401" s="18" cm="1">
        <f t="array" ref="F401">_xlfn.IFS(
C401&lt;=frequencyQ1, 1,
C401&lt;=frequencyQ2, 2,
C401&lt;=frequencyQ3, 3,
TRUE, 4)</f>
        <v>2</v>
      </c>
      <c r="G401" s="18" cm="1">
        <f t="array" ref="G401">_xlfn.IFS(
D401&lt;=monetaryQ1, 1,
D401&lt;=monetaryQ2, 2,
D401&lt;=monetaryQ3, 3,
TRUE, 4)</f>
        <v>2</v>
      </c>
      <c r="H401" s="18" t="str">
        <f t="shared" si="33"/>
        <v>222</v>
      </c>
      <c r="I401" s="19">
        <f t="shared" si="34"/>
        <v>2</v>
      </c>
      <c r="J401" s="7" t="str" cm="1">
        <f t="array" ref="J401">_xlfn.IFS(
I401&gt;=Best_Customers, Best_Customers_name,
I401&gt;=Loyal_Customers, Loyal_Customers_name,
I401&gt;=Average_Customers, Average_Customers_name,
TRUE, Lost_Customers_name)</f>
        <v>Average Customers</v>
      </c>
    </row>
    <row r="402" spans="1:10" x14ac:dyDescent="0.25">
      <c r="A402" s="25" t="str">
        <v>CUST_0396</v>
      </c>
      <c r="B402" s="16">
        <f t="shared" si="30"/>
        <v>9</v>
      </c>
      <c r="C402" s="16">
        <f t="shared" si="31"/>
        <v>8</v>
      </c>
      <c r="D402" s="17">
        <f t="shared" si="32"/>
        <v>847.15</v>
      </c>
      <c r="E402" s="18" cm="1">
        <f t="array" ref="E402">_xlfn.IFS(
B402&lt;=recencyQ1, 4,
B402&lt;=recencyQ2, 3,
B402&lt;=recencyQ3, 2,
TRUE, 1
)</f>
        <v>4</v>
      </c>
      <c r="F402" s="18" cm="1">
        <f t="array" ref="F402">_xlfn.IFS(
C402&lt;=frequencyQ1, 1,
C402&lt;=frequencyQ2, 2,
C402&lt;=frequencyQ3, 3,
TRUE, 4)</f>
        <v>4</v>
      </c>
      <c r="G402" s="18" cm="1">
        <f t="array" ref="G402">_xlfn.IFS(
D402&lt;=monetaryQ1, 1,
D402&lt;=monetaryQ2, 2,
D402&lt;=monetaryQ3, 3,
TRUE, 4)</f>
        <v>4</v>
      </c>
      <c r="H402" s="18" t="str">
        <f t="shared" si="33"/>
        <v>444</v>
      </c>
      <c r="I402" s="19">
        <f t="shared" si="34"/>
        <v>4</v>
      </c>
      <c r="J402" s="7" t="str" cm="1">
        <f t="array" ref="J402">_xlfn.IFS(
I402&gt;=Best_Customers, Best_Customers_name,
I402&gt;=Loyal_Customers, Loyal_Customers_name,
I402&gt;=Average_Customers, Average_Customers_name,
TRUE, Lost_Customers_name)</f>
        <v>Best Customers</v>
      </c>
    </row>
    <row r="403" spans="1:10" x14ac:dyDescent="0.25">
      <c r="A403" s="25" t="str">
        <v>CUST_0397</v>
      </c>
      <c r="B403" s="16">
        <f t="shared" si="30"/>
        <v>81</v>
      </c>
      <c r="C403" s="16">
        <f t="shared" si="31"/>
        <v>4</v>
      </c>
      <c r="D403" s="17">
        <f t="shared" si="32"/>
        <v>529.29</v>
      </c>
      <c r="E403" s="18" cm="1">
        <f t="array" ref="E403">_xlfn.IFS(
B403&lt;=recencyQ1, 4,
B403&lt;=recencyQ2, 3,
B403&lt;=recencyQ3, 2,
TRUE, 1
)</f>
        <v>2</v>
      </c>
      <c r="F403" s="18" cm="1">
        <f t="array" ref="F403">_xlfn.IFS(
C403&lt;=frequencyQ1, 1,
C403&lt;=frequencyQ2, 2,
C403&lt;=frequencyQ3, 3,
TRUE, 4)</f>
        <v>2</v>
      </c>
      <c r="G403" s="18" cm="1">
        <f t="array" ref="G403">_xlfn.IFS(
D403&lt;=monetaryQ1, 1,
D403&lt;=monetaryQ2, 2,
D403&lt;=monetaryQ3, 3,
TRUE, 4)</f>
        <v>3</v>
      </c>
      <c r="H403" s="18" t="str">
        <f t="shared" si="33"/>
        <v>223</v>
      </c>
      <c r="I403" s="19">
        <f t="shared" si="34"/>
        <v>2.3333333333333335</v>
      </c>
      <c r="J403" s="7" t="str" cm="1">
        <f t="array" ref="J403">_xlfn.IFS(
I403&gt;=Best_Customers, Best_Customers_name,
I403&gt;=Loyal_Customers, Loyal_Customers_name,
I403&gt;=Average_Customers, Average_Customers_name,
TRUE, Lost_Customers_name)</f>
        <v>Average Customers</v>
      </c>
    </row>
    <row r="404" spans="1:10" x14ac:dyDescent="0.25">
      <c r="A404" s="25" t="str">
        <v>CUST_0398</v>
      </c>
      <c r="B404" s="16">
        <f t="shared" si="30"/>
        <v>16</v>
      </c>
      <c r="C404" s="16">
        <f t="shared" si="31"/>
        <v>7</v>
      </c>
      <c r="D404" s="17">
        <f t="shared" si="32"/>
        <v>699.85</v>
      </c>
      <c r="E404" s="18" cm="1">
        <f t="array" ref="E404">_xlfn.IFS(
B404&lt;=recencyQ1, 4,
B404&lt;=recencyQ2, 3,
B404&lt;=recencyQ3, 2,
TRUE, 1
)</f>
        <v>4</v>
      </c>
      <c r="F404" s="18" cm="1">
        <f t="array" ref="F404">_xlfn.IFS(
C404&lt;=frequencyQ1, 1,
C404&lt;=frequencyQ2, 2,
C404&lt;=frequencyQ3, 3,
TRUE, 4)</f>
        <v>4</v>
      </c>
      <c r="G404" s="18" cm="1">
        <f t="array" ref="G404">_xlfn.IFS(
D404&lt;=monetaryQ1, 1,
D404&lt;=monetaryQ2, 2,
D404&lt;=monetaryQ3, 3,
TRUE, 4)</f>
        <v>4</v>
      </c>
      <c r="H404" s="18" t="str">
        <f t="shared" si="33"/>
        <v>444</v>
      </c>
      <c r="I404" s="19">
        <f t="shared" si="34"/>
        <v>4</v>
      </c>
      <c r="J404" s="7" t="str" cm="1">
        <f t="array" ref="J404">_xlfn.IFS(
I404&gt;=Best_Customers, Best_Customers_name,
I404&gt;=Loyal_Customers, Loyal_Customers_name,
I404&gt;=Average_Customers, Average_Customers_name,
TRUE, Lost_Customers_name)</f>
        <v>Best Customers</v>
      </c>
    </row>
    <row r="405" spans="1:10" x14ac:dyDescent="0.25">
      <c r="A405" s="25" t="str">
        <v>CUST_0399</v>
      </c>
      <c r="B405" s="16">
        <f t="shared" si="30"/>
        <v>18</v>
      </c>
      <c r="C405" s="16">
        <f t="shared" si="31"/>
        <v>5</v>
      </c>
      <c r="D405" s="17">
        <f t="shared" si="32"/>
        <v>592.66999999999996</v>
      </c>
      <c r="E405" s="18" cm="1">
        <f t="array" ref="E405">_xlfn.IFS(
B405&lt;=recencyQ1, 4,
B405&lt;=recencyQ2, 3,
B405&lt;=recencyQ3, 2,
TRUE, 1
)</f>
        <v>4</v>
      </c>
      <c r="F405" s="18" cm="1">
        <f t="array" ref="F405">_xlfn.IFS(
C405&lt;=frequencyQ1, 1,
C405&lt;=frequencyQ2, 2,
C405&lt;=frequencyQ3, 3,
TRUE, 4)</f>
        <v>2</v>
      </c>
      <c r="G405" s="18" cm="1">
        <f t="array" ref="G405">_xlfn.IFS(
D405&lt;=monetaryQ1, 1,
D405&lt;=monetaryQ2, 2,
D405&lt;=monetaryQ3, 3,
TRUE, 4)</f>
        <v>3</v>
      </c>
      <c r="H405" s="18" t="str">
        <f t="shared" si="33"/>
        <v>423</v>
      </c>
      <c r="I405" s="19">
        <f t="shared" si="34"/>
        <v>3</v>
      </c>
      <c r="J405" s="7" t="str" cm="1">
        <f t="array" ref="J405">_xlfn.IFS(
I405&gt;=Best_Customers, Best_Customers_name,
I405&gt;=Loyal_Customers, Loyal_Customers_name,
I405&gt;=Average_Customers, Average_Customers_name,
TRUE, Lost_Customers_name)</f>
        <v>Loyal Customers</v>
      </c>
    </row>
    <row r="406" spans="1:10" x14ac:dyDescent="0.25">
      <c r="A406" s="25" t="str">
        <v>CUST_0400</v>
      </c>
      <c r="B406" s="16">
        <f t="shared" si="30"/>
        <v>7</v>
      </c>
      <c r="C406" s="16">
        <f t="shared" si="31"/>
        <v>10</v>
      </c>
      <c r="D406" s="17">
        <f t="shared" si="32"/>
        <v>895.8</v>
      </c>
      <c r="E406" s="18" cm="1">
        <f t="array" ref="E406">_xlfn.IFS(
B406&lt;=recencyQ1, 4,
B406&lt;=recencyQ2, 3,
B406&lt;=recencyQ3, 2,
TRUE, 1
)</f>
        <v>4</v>
      </c>
      <c r="F406" s="18" cm="1">
        <f t="array" ref="F406">_xlfn.IFS(
C406&lt;=frequencyQ1, 1,
C406&lt;=frequencyQ2, 2,
C406&lt;=frequencyQ3, 3,
TRUE, 4)</f>
        <v>4</v>
      </c>
      <c r="G406" s="18" cm="1">
        <f t="array" ref="G406">_xlfn.IFS(
D406&lt;=monetaryQ1, 1,
D406&lt;=monetaryQ2, 2,
D406&lt;=monetaryQ3, 3,
TRUE, 4)</f>
        <v>4</v>
      </c>
      <c r="H406" s="18" t="str">
        <f t="shared" si="33"/>
        <v>444</v>
      </c>
      <c r="I406" s="19">
        <f t="shared" si="34"/>
        <v>4</v>
      </c>
      <c r="J406" s="7" t="str" cm="1">
        <f t="array" ref="J406">_xlfn.IFS(
I406&gt;=Best_Customers, Best_Customers_name,
I406&gt;=Loyal_Customers, Loyal_Customers_name,
I406&gt;=Average_Customers, Average_Customers_name,
TRUE, Lost_Customers_name)</f>
        <v>Best Customers</v>
      </c>
    </row>
    <row r="407" spans="1:10" x14ac:dyDescent="0.25">
      <c r="A407" s="25" t="str">
        <v>CUST_0401</v>
      </c>
      <c r="B407" s="16">
        <f t="shared" si="30"/>
        <v>10</v>
      </c>
      <c r="C407" s="16">
        <f t="shared" si="31"/>
        <v>5</v>
      </c>
      <c r="D407" s="17">
        <f t="shared" si="32"/>
        <v>509.26</v>
      </c>
      <c r="E407" s="18" cm="1">
        <f t="array" ref="E407">_xlfn.IFS(
B407&lt;=recencyQ1, 4,
B407&lt;=recencyQ2, 3,
B407&lt;=recencyQ3, 2,
TRUE, 1
)</f>
        <v>4</v>
      </c>
      <c r="F407" s="18" cm="1">
        <f t="array" ref="F407">_xlfn.IFS(
C407&lt;=frequencyQ1, 1,
C407&lt;=frequencyQ2, 2,
C407&lt;=frequencyQ3, 3,
TRUE, 4)</f>
        <v>2</v>
      </c>
      <c r="G407" s="18" cm="1">
        <f t="array" ref="G407">_xlfn.IFS(
D407&lt;=monetaryQ1, 1,
D407&lt;=monetaryQ2, 2,
D407&lt;=monetaryQ3, 3,
TRUE, 4)</f>
        <v>3</v>
      </c>
      <c r="H407" s="18" t="str">
        <f t="shared" si="33"/>
        <v>423</v>
      </c>
      <c r="I407" s="19">
        <f t="shared" si="34"/>
        <v>3</v>
      </c>
      <c r="J407" s="7" t="str" cm="1">
        <f t="array" ref="J407">_xlfn.IFS(
I407&gt;=Best_Customers, Best_Customers_name,
I407&gt;=Loyal_Customers, Loyal_Customers_name,
I407&gt;=Average_Customers, Average_Customers_name,
TRUE, Lost_Customers_name)</f>
        <v>Loyal Customers</v>
      </c>
    </row>
    <row r="408" spans="1:10" x14ac:dyDescent="0.25">
      <c r="A408" s="25" t="str">
        <v>CUST_0402</v>
      </c>
      <c r="B408" s="16">
        <f t="shared" si="30"/>
        <v>45</v>
      </c>
      <c r="C408" s="16">
        <f t="shared" si="31"/>
        <v>3</v>
      </c>
      <c r="D408" s="17">
        <f t="shared" si="32"/>
        <v>285.39</v>
      </c>
      <c r="E408" s="18" cm="1">
        <f t="array" ref="E408">_xlfn.IFS(
B408&lt;=recencyQ1, 4,
B408&lt;=recencyQ2, 3,
B408&lt;=recencyQ3, 2,
TRUE, 1
)</f>
        <v>3</v>
      </c>
      <c r="F408" s="18" cm="1">
        <f t="array" ref="F408">_xlfn.IFS(
C408&lt;=frequencyQ1, 1,
C408&lt;=frequencyQ2, 2,
C408&lt;=frequencyQ3, 3,
TRUE, 4)</f>
        <v>1</v>
      </c>
      <c r="G408" s="18" cm="1">
        <f t="array" ref="G408">_xlfn.IFS(
D408&lt;=monetaryQ1, 1,
D408&lt;=monetaryQ2, 2,
D408&lt;=monetaryQ3, 3,
TRUE, 4)</f>
        <v>1</v>
      </c>
      <c r="H408" s="18" t="str">
        <f t="shared" si="33"/>
        <v>311</v>
      </c>
      <c r="I408" s="19">
        <f t="shared" si="34"/>
        <v>1.6666666666666667</v>
      </c>
      <c r="J408" s="7" t="str" cm="1">
        <f t="array" ref="J408">_xlfn.IFS(
I408&gt;=Best_Customers, Best_Customers_name,
I408&gt;=Loyal_Customers, Loyal_Customers_name,
I408&gt;=Average_Customers, Average_Customers_name,
TRUE, Lost_Customers_name)</f>
        <v>Average Customers</v>
      </c>
    </row>
    <row r="409" spans="1:10" x14ac:dyDescent="0.25">
      <c r="A409" s="25" t="str">
        <v>CUST_0403</v>
      </c>
      <c r="B409" s="16">
        <f t="shared" si="30"/>
        <v>100</v>
      </c>
      <c r="C409" s="16">
        <f t="shared" si="31"/>
        <v>3</v>
      </c>
      <c r="D409" s="17">
        <f t="shared" si="32"/>
        <v>356.82</v>
      </c>
      <c r="E409" s="18" cm="1">
        <f t="array" ref="E409">_xlfn.IFS(
B409&lt;=recencyQ1, 4,
B409&lt;=recencyQ2, 3,
B409&lt;=recencyQ3, 2,
TRUE, 1
)</f>
        <v>1</v>
      </c>
      <c r="F409" s="18" cm="1">
        <f t="array" ref="F409">_xlfn.IFS(
C409&lt;=frequencyQ1, 1,
C409&lt;=frequencyQ2, 2,
C409&lt;=frequencyQ3, 3,
TRUE, 4)</f>
        <v>1</v>
      </c>
      <c r="G409" s="18" cm="1">
        <f t="array" ref="G409">_xlfn.IFS(
D409&lt;=monetaryQ1, 1,
D409&lt;=monetaryQ2, 2,
D409&lt;=monetaryQ3, 3,
TRUE, 4)</f>
        <v>2</v>
      </c>
      <c r="H409" s="18" t="str">
        <f t="shared" si="33"/>
        <v>112</v>
      </c>
      <c r="I409" s="19">
        <f t="shared" si="34"/>
        <v>1.3333333333333333</v>
      </c>
      <c r="J409" s="7" t="str" cm="1">
        <f t="array" ref="J409">_xlfn.IFS(
I409&gt;=Best_Customers, Best_Customers_name,
I409&gt;=Loyal_Customers, Loyal_Customers_name,
I409&gt;=Average_Customers, Average_Customers_name,
TRUE, Lost_Customers_name)</f>
        <v>Lost Customers</v>
      </c>
    </row>
    <row r="410" spans="1:10" x14ac:dyDescent="0.25">
      <c r="A410" s="25" t="str">
        <v>CUST_0404</v>
      </c>
      <c r="B410" s="16">
        <f t="shared" si="30"/>
        <v>102</v>
      </c>
      <c r="C410" s="16">
        <f t="shared" si="31"/>
        <v>7</v>
      </c>
      <c r="D410" s="17">
        <f t="shared" si="32"/>
        <v>717.63000000000011</v>
      </c>
      <c r="E410" s="18" cm="1">
        <f t="array" ref="E410">_xlfn.IFS(
B410&lt;=recencyQ1, 4,
B410&lt;=recencyQ2, 3,
B410&lt;=recencyQ3, 2,
TRUE, 1
)</f>
        <v>1</v>
      </c>
      <c r="F410" s="18" cm="1">
        <f t="array" ref="F410">_xlfn.IFS(
C410&lt;=frequencyQ1, 1,
C410&lt;=frequencyQ2, 2,
C410&lt;=frequencyQ3, 3,
TRUE, 4)</f>
        <v>4</v>
      </c>
      <c r="G410" s="18" cm="1">
        <f t="array" ref="G410">_xlfn.IFS(
D410&lt;=monetaryQ1, 1,
D410&lt;=monetaryQ2, 2,
D410&lt;=monetaryQ3, 3,
TRUE, 4)</f>
        <v>4</v>
      </c>
      <c r="H410" s="18" t="str">
        <f t="shared" si="33"/>
        <v>144</v>
      </c>
      <c r="I410" s="19">
        <f t="shared" si="34"/>
        <v>3</v>
      </c>
      <c r="J410" s="7" t="str" cm="1">
        <f t="array" ref="J410">_xlfn.IFS(
I410&gt;=Best_Customers, Best_Customers_name,
I410&gt;=Loyal_Customers, Loyal_Customers_name,
I410&gt;=Average_Customers, Average_Customers_name,
TRUE, Lost_Customers_name)</f>
        <v>Loyal Customers</v>
      </c>
    </row>
    <row r="411" spans="1:10" x14ac:dyDescent="0.25">
      <c r="A411" s="25" t="str">
        <v>CUST_0405</v>
      </c>
      <c r="B411" s="16">
        <f t="shared" si="30"/>
        <v>125</v>
      </c>
      <c r="C411" s="16">
        <f t="shared" si="31"/>
        <v>6</v>
      </c>
      <c r="D411" s="17">
        <f t="shared" si="32"/>
        <v>613.72</v>
      </c>
      <c r="E411" s="18" cm="1">
        <f t="array" ref="E411">_xlfn.IFS(
B411&lt;=recencyQ1, 4,
B411&lt;=recencyQ2, 3,
B411&lt;=recencyQ3, 2,
TRUE, 1
)</f>
        <v>1</v>
      </c>
      <c r="F411" s="18" cm="1">
        <f t="array" ref="F411">_xlfn.IFS(
C411&lt;=frequencyQ1, 1,
C411&lt;=frequencyQ2, 2,
C411&lt;=frequencyQ3, 3,
TRUE, 4)</f>
        <v>3</v>
      </c>
      <c r="G411" s="18" cm="1">
        <f t="array" ref="G411">_xlfn.IFS(
D411&lt;=monetaryQ1, 1,
D411&lt;=monetaryQ2, 2,
D411&lt;=monetaryQ3, 3,
TRUE, 4)</f>
        <v>3</v>
      </c>
      <c r="H411" s="18" t="str">
        <f t="shared" si="33"/>
        <v>133</v>
      </c>
      <c r="I411" s="19">
        <f t="shared" si="34"/>
        <v>2.3333333333333335</v>
      </c>
      <c r="J411" s="7" t="str" cm="1">
        <f t="array" ref="J411">_xlfn.IFS(
I411&gt;=Best_Customers, Best_Customers_name,
I411&gt;=Loyal_Customers, Loyal_Customers_name,
I411&gt;=Average_Customers, Average_Customers_name,
TRUE, Lost_Customers_name)</f>
        <v>Average Customers</v>
      </c>
    </row>
    <row r="412" spans="1:10" x14ac:dyDescent="0.25">
      <c r="A412" s="25" t="str">
        <v>CUST_0406</v>
      </c>
      <c r="B412" s="16">
        <f t="shared" si="30"/>
        <v>102</v>
      </c>
      <c r="C412" s="16">
        <f t="shared" si="31"/>
        <v>8</v>
      </c>
      <c r="D412" s="17">
        <f t="shared" si="32"/>
        <v>893.52</v>
      </c>
      <c r="E412" s="18" cm="1">
        <f t="array" ref="E412">_xlfn.IFS(
B412&lt;=recencyQ1, 4,
B412&lt;=recencyQ2, 3,
B412&lt;=recencyQ3, 2,
TRUE, 1
)</f>
        <v>1</v>
      </c>
      <c r="F412" s="18" cm="1">
        <f t="array" ref="F412">_xlfn.IFS(
C412&lt;=frequencyQ1, 1,
C412&lt;=frequencyQ2, 2,
C412&lt;=frequencyQ3, 3,
TRUE, 4)</f>
        <v>4</v>
      </c>
      <c r="G412" s="18" cm="1">
        <f t="array" ref="G412">_xlfn.IFS(
D412&lt;=monetaryQ1, 1,
D412&lt;=monetaryQ2, 2,
D412&lt;=monetaryQ3, 3,
TRUE, 4)</f>
        <v>4</v>
      </c>
      <c r="H412" s="18" t="str">
        <f t="shared" si="33"/>
        <v>144</v>
      </c>
      <c r="I412" s="19">
        <f t="shared" si="34"/>
        <v>3</v>
      </c>
      <c r="J412" s="7" t="str" cm="1">
        <f t="array" ref="J412">_xlfn.IFS(
I412&gt;=Best_Customers, Best_Customers_name,
I412&gt;=Loyal_Customers, Loyal_Customers_name,
I412&gt;=Average_Customers, Average_Customers_name,
TRUE, Lost_Customers_name)</f>
        <v>Loyal Customers</v>
      </c>
    </row>
    <row r="413" spans="1:10" x14ac:dyDescent="0.25">
      <c r="A413" s="25" t="str">
        <v>CUST_0407</v>
      </c>
      <c r="B413" s="16">
        <f t="shared" si="30"/>
        <v>24</v>
      </c>
      <c r="C413" s="16">
        <f t="shared" si="31"/>
        <v>5</v>
      </c>
      <c r="D413" s="17">
        <f t="shared" si="32"/>
        <v>453.37999999999994</v>
      </c>
      <c r="E413" s="18" cm="1">
        <f t="array" ref="E413">_xlfn.IFS(
B413&lt;=recencyQ1, 4,
B413&lt;=recencyQ2, 3,
B413&lt;=recencyQ3, 2,
TRUE, 1
)</f>
        <v>3</v>
      </c>
      <c r="F413" s="18" cm="1">
        <f t="array" ref="F413">_xlfn.IFS(
C413&lt;=frequencyQ1, 1,
C413&lt;=frequencyQ2, 2,
C413&lt;=frequencyQ3, 3,
TRUE, 4)</f>
        <v>2</v>
      </c>
      <c r="G413" s="18" cm="1">
        <f t="array" ref="G413">_xlfn.IFS(
D413&lt;=monetaryQ1, 1,
D413&lt;=monetaryQ2, 2,
D413&lt;=monetaryQ3, 3,
TRUE, 4)</f>
        <v>2</v>
      </c>
      <c r="H413" s="18" t="str">
        <f t="shared" si="33"/>
        <v>322</v>
      </c>
      <c r="I413" s="19">
        <f t="shared" si="34"/>
        <v>2.3333333333333335</v>
      </c>
      <c r="J413" s="7" t="str" cm="1">
        <f t="array" ref="J413">_xlfn.IFS(
I413&gt;=Best_Customers, Best_Customers_name,
I413&gt;=Loyal_Customers, Loyal_Customers_name,
I413&gt;=Average_Customers, Average_Customers_name,
TRUE, Lost_Customers_name)</f>
        <v>Average Customers</v>
      </c>
    </row>
    <row r="414" spans="1:10" x14ac:dyDescent="0.25">
      <c r="A414" s="25" t="str">
        <v>CUST_0408</v>
      </c>
      <c r="B414" s="16">
        <f t="shared" si="30"/>
        <v>96</v>
      </c>
      <c r="C414" s="16">
        <f t="shared" si="31"/>
        <v>1</v>
      </c>
      <c r="D414" s="17">
        <f t="shared" si="32"/>
        <v>99.08</v>
      </c>
      <c r="E414" s="18" cm="1">
        <f t="array" ref="E414">_xlfn.IFS(
B414&lt;=recencyQ1, 4,
B414&lt;=recencyQ2, 3,
B414&lt;=recencyQ3, 2,
TRUE, 1
)</f>
        <v>2</v>
      </c>
      <c r="F414" s="18" cm="1">
        <f t="array" ref="F414">_xlfn.IFS(
C414&lt;=frequencyQ1, 1,
C414&lt;=frequencyQ2, 2,
C414&lt;=frequencyQ3, 3,
TRUE, 4)</f>
        <v>1</v>
      </c>
      <c r="G414" s="18" cm="1">
        <f t="array" ref="G414">_xlfn.IFS(
D414&lt;=monetaryQ1, 1,
D414&lt;=monetaryQ2, 2,
D414&lt;=monetaryQ3, 3,
TRUE, 4)</f>
        <v>1</v>
      </c>
      <c r="H414" s="18" t="str">
        <f t="shared" si="33"/>
        <v>211</v>
      </c>
      <c r="I414" s="19">
        <f t="shared" si="34"/>
        <v>1.3333333333333333</v>
      </c>
      <c r="J414" s="7" t="str" cm="1">
        <f t="array" ref="J414">_xlfn.IFS(
I414&gt;=Best_Customers, Best_Customers_name,
I414&gt;=Loyal_Customers, Loyal_Customers_name,
I414&gt;=Average_Customers, Average_Customers_name,
TRUE, Lost_Customers_name)</f>
        <v>Lost Customers</v>
      </c>
    </row>
    <row r="415" spans="1:10" x14ac:dyDescent="0.25">
      <c r="A415" s="25" t="str">
        <v>CUST_0409</v>
      </c>
      <c r="B415" s="16">
        <f t="shared" si="30"/>
        <v>81</v>
      </c>
      <c r="C415" s="16">
        <f t="shared" si="31"/>
        <v>3</v>
      </c>
      <c r="D415" s="17">
        <f t="shared" si="32"/>
        <v>292.94</v>
      </c>
      <c r="E415" s="18" cm="1">
        <f t="array" ref="E415">_xlfn.IFS(
B415&lt;=recencyQ1, 4,
B415&lt;=recencyQ2, 3,
B415&lt;=recencyQ3, 2,
TRUE, 1
)</f>
        <v>2</v>
      </c>
      <c r="F415" s="18" cm="1">
        <f t="array" ref="F415">_xlfn.IFS(
C415&lt;=frequencyQ1, 1,
C415&lt;=frequencyQ2, 2,
C415&lt;=frequencyQ3, 3,
TRUE, 4)</f>
        <v>1</v>
      </c>
      <c r="G415" s="18" cm="1">
        <f t="array" ref="G415">_xlfn.IFS(
D415&lt;=monetaryQ1, 1,
D415&lt;=monetaryQ2, 2,
D415&lt;=monetaryQ3, 3,
TRUE, 4)</f>
        <v>1</v>
      </c>
      <c r="H415" s="18" t="str">
        <f t="shared" si="33"/>
        <v>211</v>
      </c>
      <c r="I415" s="19">
        <f t="shared" si="34"/>
        <v>1.3333333333333333</v>
      </c>
      <c r="J415" s="7" t="str" cm="1">
        <f t="array" ref="J415">_xlfn.IFS(
I415&gt;=Best_Customers, Best_Customers_name,
I415&gt;=Loyal_Customers, Loyal_Customers_name,
I415&gt;=Average_Customers, Average_Customers_name,
TRUE, Lost_Customers_name)</f>
        <v>Lost Customers</v>
      </c>
    </row>
    <row r="416" spans="1:10" x14ac:dyDescent="0.25">
      <c r="A416" s="25" t="str">
        <v>CUST_0410</v>
      </c>
      <c r="B416" s="16">
        <f t="shared" si="30"/>
        <v>75</v>
      </c>
      <c r="C416" s="16">
        <f t="shared" si="31"/>
        <v>3</v>
      </c>
      <c r="D416" s="17">
        <f t="shared" si="32"/>
        <v>258.02</v>
      </c>
      <c r="E416" s="18" cm="1">
        <f t="array" ref="E416">_xlfn.IFS(
B416&lt;=recencyQ1, 4,
B416&lt;=recencyQ2, 3,
B416&lt;=recencyQ3, 2,
TRUE, 1
)</f>
        <v>2</v>
      </c>
      <c r="F416" s="18" cm="1">
        <f t="array" ref="F416">_xlfn.IFS(
C416&lt;=frequencyQ1, 1,
C416&lt;=frequencyQ2, 2,
C416&lt;=frequencyQ3, 3,
TRUE, 4)</f>
        <v>1</v>
      </c>
      <c r="G416" s="18" cm="1">
        <f t="array" ref="G416">_xlfn.IFS(
D416&lt;=monetaryQ1, 1,
D416&lt;=monetaryQ2, 2,
D416&lt;=monetaryQ3, 3,
TRUE, 4)</f>
        <v>1</v>
      </c>
      <c r="H416" s="18" t="str">
        <f t="shared" si="33"/>
        <v>211</v>
      </c>
      <c r="I416" s="19">
        <f t="shared" si="34"/>
        <v>1.3333333333333333</v>
      </c>
      <c r="J416" s="7" t="str" cm="1">
        <f t="array" ref="J416">_xlfn.IFS(
I416&gt;=Best_Customers, Best_Customers_name,
I416&gt;=Loyal_Customers, Loyal_Customers_name,
I416&gt;=Average_Customers, Average_Customers_name,
TRUE, Lost_Customers_name)</f>
        <v>Lost Customers</v>
      </c>
    </row>
    <row r="417" spans="1:10" x14ac:dyDescent="0.25">
      <c r="A417" s="25" t="str">
        <v>CUST_0411</v>
      </c>
      <c r="B417" s="16">
        <f t="shared" si="30"/>
        <v>230</v>
      </c>
      <c r="C417" s="16">
        <f t="shared" si="31"/>
        <v>2</v>
      </c>
      <c r="D417" s="17">
        <f t="shared" si="32"/>
        <v>179.98</v>
      </c>
      <c r="E417" s="18" cm="1">
        <f t="array" ref="E417">_xlfn.IFS(
B417&lt;=recencyQ1, 4,
B417&lt;=recencyQ2, 3,
B417&lt;=recencyQ3, 2,
TRUE, 1
)</f>
        <v>1</v>
      </c>
      <c r="F417" s="18" cm="1">
        <f t="array" ref="F417">_xlfn.IFS(
C417&lt;=frequencyQ1, 1,
C417&lt;=frequencyQ2, 2,
C417&lt;=frequencyQ3, 3,
TRUE, 4)</f>
        <v>1</v>
      </c>
      <c r="G417" s="18" cm="1">
        <f t="array" ref="G417">_xlfn.IFS(
D417&lt;=monetaryQ1, 1,
D417&lt;=monetaryQ2, 2,
D417&lt;=monetaryQ3, 3,
TRUE, 4)</f>
        <v>1</v>
      </c>
      <c r="H417" s="18" t="str">
        <f t="shared" si="33"/>
        <v>111</v>
      </c>
      <c r="I417" s="19">
        <f t="shared" si="34"/>
        <v>1</v>
      </c>
      <c r="J417" s="7" t="str" cm="1">
        <f t="array" ref="J417">_xlfn.IFS(
I417&gt;=Best_Customers, Best_Customers_name,
I417&gt;=Loyal_Customers, Loyal_Customers_name,
I417&gt;=Average_Customers, Average_Customers_name,
TRUE, Lost_Customers_name)</f>
        <v>Lost Customers</v>
      </c>
    </row>
    <row r="418" spans="1:10" x14ac:dyDescent="0.25">
      <c r="A418" s="25" t="str">
        <v>CUST_0412</v>
      </c>
      <c r="B418" s="16">
        <f t="shared" si="30"/>
        <v>126</v>
      </c>
      <c r="C418" s="16">
        <f t="shared" si="31"/>
        <v>2</v>
      </c>
      <c r="D418" s="17">
        <f t="shared" si="32"/>
        <v>232.32</v>
      </c>
      <c r="E418" s="18" cm="1">
        <f t="array" ref="E418">_xlfn.IFS(
B418&lt;=recencyQ1, 4,
B418&lt;=recencyQ2, 3,
B418&lt;=recencyQ3, 2,
TRUE, 1
)</f>
        <v>1</v>
      </c>
      <c r="F418" s="18" cm="1">
        <f t="array" ref="F418">_xlfn.IFS(
C418&lt;=frequencyQ1, 1,
C418&lt;=frequencyQ2, 2,
C418&lt;=frequencyQ3, 3,
TRUE, 4)</f>
        <v>1</v>
      </c>
      <c r="G418" s="18" cm="1">
        <f t="array" ref="G418">_xlfn.IFS(
D418&lt;=monetaryQ1, 1,
D418&lt;=monetaryQ2, 2,
D418&lt;=monetaryQ3, 3,
TRUE, 4)</f>
        <v>1</v>
      </c>
      <c r="H418" s="18" t="str">
        <f t="shared" si="33"/>
        <v>111</v>
      </c>
      <c r="I418" s="19">
        <f t="shared" si="34"/>
        <v>1</v>
      </c>
      <c r="J418" s="7" t="str" cm="1">
        <f t="array" ref="J418">_xlfn.IFS(
I418&gt;=Best_Customers, Best_Customers_name,
I418&gt;=Loyal_Customers, Loyal_Customers_name,
I418&gt;=Average_Customers, Average_Customers_name,
TRUE, Lost_Customers_name)</f>
        <v>Lost Customers</v>
      </c>
    </row>
    <row r="419" spans="1:10" x14ac:dyDescent="0.25">
      <c r="A419" s="25" t="str">
        <v>CUST_0413</v>
      </c>
      <c r="B419" s="16">
        <f t="shared" si="30"/>
        <v>18</v>
      </c>
      <c r="C419" s="16">
        <f t="shared" si="31"/>
        <v>7</v>
      </c>
      <c r="D419" s="17">
        <f t="shared" si="32"/>
        <v>594.93000000000006</v>
      </c>
      <c r="E419" s="18" cm="1">
        <f t="array" ref="E419">_xlfn.IFS(
B419&lt;=recencyQ1, 4,
B419&lt;=recencyQ2, 3,
B419&lt;=recencyQ3, 2,
TRUE, 1
)</f>
        <v>4</v>
      </c>
      <c r="F419" s="18" cm="1">
        <f t="array" ref="F419">_xlfn.IFS(
C419&lt;=frequencyQ1, 1,
C419&lt;=frequencyQ2, 2,
C419&lt;=frequencyQ3, 3,
TRUE, 4)</f>
        <v>4</v>
      </c>
      <c r="G419" s="18" cm="1">
        <f t="array" ref="G419">_xlfn.IFS(
D419&lt;=monetaryQ1, 1,
D419&lt;=monetaryQ2, 2,
D419&lt;=monetaryQ3, 3,
TRUE, 4)</f>
        <v>3</v>
      </c>
      <c r="H419" s="18" t="str">
        <f t="shared" si="33"/>
        <v>443</v>
      </c>
      <c r="I419" s="19">
        <f t="shared" si="34"/>
        <v>3.6666666666666665</v>
      </c>
      <c r="J419" s="7" t="str" cm="1">
        <f t="array" ref="J419">_xlfn.IFS(
I419&gt;=Best_Customers, Best_Customers_name,
I419&gt;=Loyal_Customers, Loyal_Customers_name,
I419&gt;=Average_Customers, Average_Customers_name,
TRUE, Lost_Customers_name)</f>
        <v>Best Customers</v>
      </c>
    </row>
    <row r="420" spans="1:10" x14ac:dyDescent="0.25">
      <c r="A420" s="25" t="str">
        <v>CUST_0414</v>
      </c>
      <c r="B420" s="16">
        <f t="shared" si="30"/>
        <v>20</v>
      </c>
      <c r="C420" s="16">
        <f t="shared" si="31"/>
        <v>3</v>
      </c>
      <c r="D420" s="17">
        <f t="shared" si="32"/>
        <v>324.5</v>
      </c>
      <c r="E420" s="18" cm="1">
        <f t="array" ref="E420">_xlfn.IFS(
B420&lt;=recencyQ1, 4,
B420&lt;=recencyQ2, 3,
B420&lt;=recencyQ3, 2,
TRUE, 1
)</f>
        <v>3</v>
      </c>
      <c r="F420" s="18" cm="1">
        <f t="array" ref="F420">_xlfn.IFS(
C420&lt;=frequencyQ1, 1,
C420&lt;=frequencyQ2, 2,
C420&lt;=frequencyQ3, 3,
TRUE, 4)</f>
        <v>1</v>
      </c>
      <c r="G420" s="18" cm="1">
        <f t="array" ref="G420">_xlfn.IFS(
D420&lt;=monetaryQ1, 1,
D420&lt;=monetaryQ2, 2,
D420&lt;=monetaryQ3, 3,
TRUE, 4)</f>
        <v>2</v>
      </c>
      <c r="H420" s="18" t="str">
        <f t="shared" si="33"/>
        <v>312</v>
      </c>
      <c r="I420" s="19">
        <f t="shared" si="34"/>
        <v>2</v>
      </c>
      <c r="J420" s="7" t="str" cm="1">
        <f t="array" ref="J420">_xlfn.IFS(
I420&gt;=Best_Customers, Best_Customers_name,
I420&gt;=Loyal_Customers, Loyal_Customers_name,
I420&gt;=Average_Customers, Average_Customers_name,
TRUE, Lost_Customers_name)</f>
        <v>Average Customers</v>
      </c>
    </row>
    <row r="421" spans="1:10" x14ac:dyDescent="0.25">
      <c r="A421" s="25" t="str">
        <v>CUST_0415</v>
      </c>
      <c r="B421" s="16">
        <f t="shared" si="30"/>
        <v>120</v>
      </c>
      <c r="C421" s="16">
        <f t="shared" si="31"/>
        <v>5</v>
      </c>
      <c r="D421" s="17">
        <f t="shared" si="32"/>
        <v>662.93000000000006</v>
      </c>
      <c r="E421" s="18" cm="1">
        <f t="array" ref="E421">_xlfn.IFS(
B421&lt;=recencyQ1, 4,
B421&lt;=recencyQ2, 3,
B421&lt;=recencyQ3, 2,
TRUE, 1
)</f>
        <v>1</v>
      </c>
      <c r="F421" s="18" cm="1">
        <f t="array" ref="F421">_xlfn.IFS(
C421&lt;=frequencyQ1, 1,
C421&lt;=frequencyQ2, 2,
C421&lt;=frequencyQ3, 3,
TRUE, 4)</f>
        <v>2</v>
      </c>
      <c r="G421" s="18" cm="1">
        <f t="array" ref="G421">_xlfn.IFS(
D421&lt;=monetaryQ1, 1,
D421&lt;=monetaryQ2, 2,
D421&lt;=monetaryQ3, 3,
TRUE, 4)</f>
        <v>4</v>
      </c>
      <c r="H421" s="18" t="str">
        <f t="shared" si="33"/>
        <v>124</v>
      </c>
      <c r="I421" s="19">
        <f t="shared" si="34"/>
        <v>2.3333333333333335</v>
      </c>
      <c r="J421" s="7" t="str" cm="1">
        <f t="array" ref="J421">_xlfn.IFS(
I421&gt;=Best_Customers, Best_Customers_name,
I421&gt;=Loyal_Customers, Loyal_Customers_name,
I421&gt;=Average_Customers, Average_Customers_name,
TRUE, Lost_Customers_name)</f>
        <v>Average Customers</v>
      </c>
    </row>
    <row r="422" spans="1:10" x14ac:dyDescent="0.25">
      <c r="A422" s="25" t="str">
        <v>CUST_0416</v>
      </c>
      <c r="B422" s="16">
        <f t="shared" si="30"/>
        <v>20</v>
      </c>
      <c r="C422" s="16">
        <f t="shared" si="31"/>
        <v>4</v>
      </c>
      <c r="D422" s="17">
        <f t="shared" si="32"/>
        <v>375</v>
      </c>
      <c r="E422" s="18" cm="1">
        <f t="array" ref="E422">_xlfn.IFS(
B422&lt;=recencyQ1, 4,
B422&lt;=recencyQ2, 3,
B422&lt;=recencyQ3, 2,
TRUE, 1
)</f>
        <v>3</v>
      </c>
      <c r="F422" s="18" cm="1">
        <f t="array" ref="F422">_xlfn.IFS(
C422&lt;=frequencyQ1, 1,
C422&lt;=frequencyQ2, 2,
C422&lt;=frequencyQ3, 3,
TRUE, 4)</f>
        <v>2</v>
      </c>
      <c r="G422" s="18" cm="1">
        <f t="array" ref="G422">_xlfn.IFS(
D422&lt;=monetaryQ1, 1,
D422&lt;=monetaryQ2, 2,
D422&lt;=monetaryQ3, 3,
TRUE, 4)</f>
        <v>2</v>
      </c>
      <c r="H422" s="18" t="str">
        <f t="shared" si="33"/>
        <v>322</v>
      </c>
      <c r="I422" s="19">
        <f t="shared" si="34"/>
        <v>2.3333333333333335</v>
      </c>
      <c r="J422" s="7" t="str" cm="1">
        <f t="array" ref="J422">_xlfn.IFS(
I422&gt;=Best_Customers, Best_Customers_name,
I422&gt;=Loyal_Customers, Loyal_Customers_name,
I422&gt;=Average_Customers, Average_Customers_name,
TRUE, Lost_Customers_name)</f>
        <v>Average Customers</v>
      </c>
    </row>
    <row r="423" spans="1:10" x14ac:dyDescent="0.25">
      <c r="A423" s="25" t="str">
        <v>CUST_0417</v>
      </c>
      <c r="B423" s="16">
        <f t="shared" si="30"/>
        <v>77</v>
      </c>
      <c r="C423" s="16">
        <f t="shared" si="31"/>
        <v>5</v>
      </c>
      <c r="D423" s="17">
        <f t="shared" si="32"/>
        <v>527.24</v>
      </c>
      <c r="E423" s="18" cm="1">
        <f t="array" ref="E423">_xlfn.IFS(
B423&lt;=recencyQ1, 4,
B423&lt;=recencyQ2, 3,
B423&lt;=recencyQ3, 2,
TRUE, 1
)</f>
        <v>2</v>
      </c>
      <c r="F423" s="18" cm="1">
        <f t="array" ref="F423">_xlfn.IFS(
C423&lt;=frequencyQ1, 1,
C423&lt;=frequencyQ2, 2,
C423&lt;=frequencyQ3, 3,
TRUE, 4)</f>
        <v>2</v>
      </c>
      <c r="G423" s="18" cm="1">
        <f t="array" ref="G423">_xlfn.IFS(
D423&lt;=monetaryQ1, 1,
D423&lt;=monetaryQ2, 2,
D423&lt;=monetaryQ3, 3,
TRUE, 4)</f>
        <v>3</v>
      </c>
      <c r="H423" s="18" t="str">
        <f t="shared" si="33"/>
        <v>223</v>
      </c>
      <c r="I423" s="19">
        <f t="shared" si="34"/>
        <v>2.3333333333333335</v>
      </c>
      <c r="J423" s="7" t="str" cm="1">
        <f t="array" ref="J423">_xlfn.IFS(
I423&gt;=Best_Customers, Best_Customers_name,
I423&gt;=Loyal_Customers, Loyal_Customers_name,
I423&gt;=Average_Customers, Average_Customers_name,
TRUE, Lost_Customers_name)</f>
        <v>Average Customers</v>
      </c>
    </row>
    <row r="424" spans="1:10" x14ac:dyDescent="0.25">
      <c r="A424" s="25" t="str">
        <v>CUST_0418</v>
      </c>
      <c r="B424" s="16">
        <f t="shared" si="30"/>
        <v>25</v>
      </c>
      <c r="C424" s="16">
        <f t="shared" si="31"/>
        <v>7</v>
      </c>
      <c r="D424" s="17">
        <f t="shared" si="32"/>
        <v>651.39</v>
      </c>
      <c r="E424" s="18" cm="1">
        <f t="array" ref="E424">_xlfn.IFS(
B424&lt;=recencyQ1, 4,
B424&lt;=recencyQ2, 3,
B424&lt;=recencyQ3, 2,
TRUE, 1
)</f>
        <v>3</v>
      </c>
      <c r="F424" s="18" cm="1">
        <f t="array" ref="F424">_xlfn.IFS(
C424&lt;=frequencyQ1, 1,
C424&lt;=frequencyQ2, 2,
C424&lt;=frequencyQ3, 3,
TRUE, 4)</f>
        <v>4</v>
      </c>
      <c r="G424" s="18" cm="1">
        <f t="array" ref="G424">_xlfn.IFS(
D424&lt;=monetaryQ1, 1,
D424&lt;=monetaryQ2, 2,
D424&lt;=monetaryQ3, 3,
TRUE, 4)</f>
        <v>3</v>
      </c>
      <c r="H424" s="18" t="str">
        <f t="shared" si="33"/>
        <v>343</v>
      </c>
      <c r="I424" s="19">
        <f t="shared" si="34"/>
        <v>3.3333333333333335</v>
      </c>
      <c r="J424" s="7" t="str" cm="1">
        <f t="array" ref="J424">_xlfn.IFS(
I424&gt;=Best_Customers, Best_Customers_name,
I424&gt;=Loyal_Customers, Loyal_Customers_name,
I424&gt;=Average_Customers, Average_Customers_name,
TRUE, Lost_Customers_name)</f>
        <v>Loyal Customers</v>
      </c>
    </row>
    <row r="425" spans="1:10" x14ac:dyDescent="0.25">
      <c r="A425" s="25" t="str">
        <v>CUST_0419</v>
      </c>
      <c r="B425" s="16">
        <f t="shared" si="30"/>
        <v>5</v>
      </c>
      <c r="C425" s="16">
        <f t="shared" si="31"/>
        <v>9</v>
      </c>
      <c r="D425" s="17">
        <f t="shared" si="32"/>
        <v>1067.3599999999999</v>
      </c>
      <c r="E425" s="18" cm="1">
        <f t="array" ref="E425">_xlfn.IFS(
B425&lt;=recencyQ1, 4,
B425&lt;=recencyQ2, 3,
B425&lt;=recencyQ3, 2,
TRUE, 1
)</f>
        <v>4</v>
      </c>
      <c r="F425" s="18" cm="1">
        <f t="array" ref="F425">_xlfn.IFS(
C425&lt;=frequencyQ1, 1,
C425&lt;=frequencyQ2, 2,
C425&lt;=frequencyQ3, 3,
TRUE, 4)</f>
        <v>4</v>
      </c>
      <c r="G425" s="18" cm="1">
        <f t="array" ref="G425">_xlfn.IFS(
D425&lt;=monetaryQ1, 1,
D425&lt;=monetaryQ2, 2,
D425&lt;=monetaryQ3, 3,
TRUE, 4)</f>
        <v>4</v>
      </c>
      <c r="H425" s="18" t="str">
        <f t="shared" si="33"/>
        <v>444</v>
      </c>
      <c r="I425" s="19">
        <f t="shared" si="34"/>
        <v>4</v>
      </c>
      <c r="J425" s="7" t="str" cm="1">
        <f t="array" ref="J425">_xlfn.IFS(
I425&gt;=Best_Customers, Best_Customers_name,
I425&gt;=Loyal_Customers, Loyal_Customers_name,
I425&gt;=Average_Customers, Average_Customers_name,
TRUE, Lost_Customers_name)</f>
        <v>Best Customers</v>
      </c>
    </row>
    <row r="426" spans="1:10" x14ac:dyDescent="0.25">
      <c r="A426" s="25" t="str">
        <v>CUST_0420</v>
      </c>
      <c r="B426" s="16">
        <f t="shared" si="30"/>
        <v>328</v>
      </c>
      <c r="C426" s="16">
        <f t="shared" si="31"/>
        <v>2</v>
      </c>
      <c r="D426" s="17">
        <f t="shared" si="32"/>
        <v>210.84</v>
      </c>
      <c r="E426" s="18" cm="1">
        <f t="array" ref="E426">_xlfn.IFS(
B426&lt;=recencyQ1, 4,
B426&lt;=recencyQ2, 3,
B426&lt;=recencyQ3, 2,
TRUE, 1
)</f>
        <v>1</v>
      </c>
      <c r="F426" s="18" cm="1">
        <f t="array" ref="F426">_xlfn.IFS(
C426&lt;=frequencyQ1, 1,
C426&lt;=frequencyQ2, 2,
C426&lt;=frequencyQ3, 3,
TRUE, 4)</f>
        <v>1</v>
      </c>
      <c r="G426" s="18" cm="1">
        <f t="array" ref="G426">_xlfn.IFS(
D426&lt;=monetaryQ1, 1,
D426&lt;=monetaryQ2, 2,
D426&lt;=monetaryQ3, 3,
TRUE, 4)</f>
        <v>1</v>
      </c>
      <c r="H426" s="18" t="str">
        <f t="shared" si="33"/>
        <v>111</v>
      </c>
      <c r="I426" s="19">
        <f t="shared" si="34"/>
        <v>1</v>
      </c>
      <c r="J426" s="7" t="str" cm="1">
        <f t="array" ref="J426">_xlfn.IFS(
I426&gt;=Best_Customers, Best_Customers_name,
I426&gt;=Loyal_Customers, Loyal_Customers_name,
I426&gt;=Average_Customers, Average_Customers_name,
TRUE, Lost_Customers_name)</f>
        <v>Lost Customers</v>
      </c>
    </row>
    <row r="427" spans="1:10" x14ac:dyDescent="0.25">
      <c r="A427" s="25" t="str">
        <v>CUST_0421</v>
      </c>
      <c r="B427" s="16">
        <f t="shared" si="30"/>
        <v>10</v>
      </c>
      <c r="C427" s="16">
        <f t="shared" si="31"/>
        <v>7</v>
      </c>
      <c r="D427" s="17">
        <f t="shared" si="32"/>
        <v>721.89</v>
      </c>
      <c r="E427" s="18" cm="1">
        <f t="array" ref="E427">_xlfn.IFS(
B427&lt;=recencyQ1, 4,
B427&lt;=recencyQ2, 3,
B427&lt;=recencyQ3, 2,
TRUE, 1
)</f>
        <v>4</v>
      </c>
      <c r="F427" s="18" cm="1">
        <f t="array" ref="F427">_xlfn.IFS(
C427&lt;=frequencyQ1, 1,
C427&lt;=frequencyQ2, 2,
C427&lt;=frequencyQ3, 3,
TRUE, 4)</f>
        <v>4</v>
      </c>
      <c r="G427" s="18" cm="1">
        <f t="array" ref="G427">_xlfn.IFS(
D427&lt;=monetaryQ1, 1,
D427&lt;=monetaryQ2, 2,
D427&lt;=monetaryQ3, 3,
TRUE, 4)</f>
        <v>4</v>
      </c>
      <c r="H427" s="18" t="str">
        <f t="shared" si="33"/>
        <v>444</v>
      </c>
      <c r="I427" s="19">
        <f t="shared" si="34"/>
        <v>4</v>
      </c>
      <c r="J427" s="7" t="str" cm="1">
        <f t="array" ref="J427">_xlfn.IFS(
I427&gt;=Best_Customers, Best_Customers_name,
I427&gt;=Loyal_Customers, Loyal_Customers_name,
I427&gt;=Average_Customers, Average_Customers_name,
TRUE, Lost_Customers_name)</f>
        <v>Best Customers</v>
      </c>
    </row>
    <row r="428" spans="1:10" x14ac:dyDescent="0.25">
      <c r="A428" s="25" t="str">
        <v>CUST_0422</v>
      </c>
      <c r="B428" s="16">
        <f t="shared" si="30"/>
        <v>46</v>
      </c>
      <c r="C428" s="16">
        <f t="shared" si="31"/>
        <v>2</v>
      </c>
      <c r="D428" s="17">
        <f t="shared" si="32"/>
        <v>213.12</v>
      </c>
      <c r="E428" s="18" cm="1">
        <f t="array" ref="E428">_xlfn.IFS(
B428&lt;=recencyQ1, 4,
B428&lt;=recencyQ2, 3,
B428&lt;=recencyQ3, 2,
TRUE, 1
)</f>
        <v>3</v>
      </c>
      <c r="F428" s="18" cm="1">
        <f t="array" ref="F428">_xlfn.IFS(
C428&lt;=frequencyQ1, 1,
C428&lt;=frequencyQ2, 2,
C428&lt;=frequencyQ3, 3,
TRUE, 4)</f>
        <v>1</v>
      </c>
      <c r="G428" s="18" cm="1">
        <f t="array" ref="G428">_xlfn.IFS(
D428&lt;=monetaryQ1, 1,
D428&lt;=monetaryQ2, 2,
D428&lt;=monetaryQ3, 3,
TRUE, 4)</f>
        <v>1</v>
      </c>
      <c r="H428" s="18" t="str">
        <f t="shared" si="33"/>
        <v>311</v>
      </c>
      <c r="I428" s="19">
        <f t="shared" si="34"/>
        <v>1.6666666666666667</v>
      </c>
      <c r="J428" s="7" t="str" cm="1">
        <f t="array" ref="J428">_xlfn.IFS(
I428&gt;=Best_Customers, Best_Customers_name,
I428&gt;=Loyal_Customers, Loyal_Customers_name,
I428&gt;=Average_Customers, Average_Customers_name,
TRUE, Lost_Customers_name)</f>
        <v>Average Customers</v>
      </c>
    </row>
    <row r="429" spans="1:10" x14ac:dyDescent="0.25">
      <c r="A429" s="25" t="str">
        <v>CUST_0423</v>
      </c>
      <c r="B429" s="16">
        <f t="shared" si="30"/>
        <v>0</v>
      </c>
      <c r="C429" s="16">
        <f t="shared" si="31"/>
        <v>5</v>
      </c>
      <c r="D429" s="17">
        <f t="shared" si="32"/>
        <v>509.88</v>
      </c>
      <c r="E429" s="18" cm="1">
        <f t="array" ref="E429">_xlfn.IFS(
B429&lt;=recencyQ1, 4,
B429&lt;=recencyQ2, 3,
B429&lt;=recencyQ3, 2,
TRUE, 1
)</f>
        <v>4</v>
      </c>
      <c r="F429" s="18" cm="1">
        <f t="array" ref="F429">_xlfn.IFS(
C429&lt;=frequencyQ1, 1,
C429&lt;=frequencyQ2, 2,
C429&lt;=frequencyQ3, 3,
TRUE, 4)</f>
        <v>2</v>
      </c>
      <c r="G429" s="18" cm="1">
        <f t="array" ref="G429">_xlfn.IFS(
D429&lt;=monetaryQ1, 1,
D429&lt;=monetaryQ2, 2,
D429&lt;=monetaryQ3, 3,
TRUE, 4)</f>
        <v>3</v>
      </c>
      <c r="H429" s="18" t="str">
        <f t="shared" si="33"/>
        <v>423</v>
      </c>
      <c r="I429" s="19">
        <f t="shared" si="34"/>
        <v>3</v>
      </c>
      <c r="J429" s="7" t="str" cm="1">
        <f t="array" ref="J429">_xlfn.IFS(
I429&gt;=Best_Customers, Best_Customers_name,
I429&gt;=Loyal_Customers, Loyal_Customers_name,
I429&gt;=Average_Customers, Average_Customers_name,
TRUE, Lost_Customers_name)</f>
        <v>Loyal Customers</v>
      </c>
    </row>
    <row r="430" spans="1:10" x14ac:dyDescent="0.25">
      <c r="A430" s="25" t="str">
        <v>CUST_0424</v>
      </c>
      <c r="B430" s="16">
        <f t="shared" si="30"/>
        <v>141</v>
      </c>
      <c r="C430" s="16">
        <f t="shared" si="31"/>
        <v>5</v>
      </c>
      <c r="D430" s="17">
        <f t="shared" si="32"/>
        <v>463.99</v>
      </c>
      <c r="E430" s="18" cm="1">
        <f t="array" ref="E430">_xlfn.IFS(
B430&lt;=recencyQ1, 4,
B430&lt;=recencyQ2, 3,
B430&lt;=recencyQ3, 2,
TRUE, 1
)</f>
        <v>1</v>
      </c>
      <c r="F430" s="18" cm="1">
        <f t="array" ref="F430">_xlfn.IFS(
C430&lt;=frequencyQ1, 1,
C430&lt;=frequencyQ2, 2,
C430&lt;=frequencyQ3, 3,
TRUE, 4)</f>
        <v>2</v>
      </c>
      <c r="G430" s="18" cm="1">
        <f t="array" ref="G430">_xlfn.IFS(
D430&lt;=monetaryQ1, 1,
D430&lt;=monetaryQ2, 2,
D430&lt;=monetaryQ3, 3,
TRUE, 4)</f>
        <v>2</v>
      </c>
      <c r="H430" s="18" t="str">
        <f t="shared" si="33"/>
        <v>122</v>
      </c>
      <c r="I430" s="19">
        <f t="shared" si="34"/>
        <v>1.6666666666666667</v>
      </c>
      <c r="J430" s="7" t="str" cm="1">
        <f t="array" ref="J430">_xlfn.IFS(
I430&gt;=Best_Customers, Best_Customers_name,
I430&gt;=Loyal_Customers, Loyal_Customers_name,
I430&gt;=Average_Customers, Average_Customers_name,
TRUE, Lost_Customers_name)</f>
        <v>Average Customers</v>
      </c>
    </row>
    <row r="431" spans="1:10" x14ac:dyDescent="0.25">
      <c r="A431" s="25" t="str">
        <v>CUST_0425</v>
      </c>
      <c r="B431" s="16">
        <f t="shared" si="30"/>
        <v>4</v>
      </c>
      <c r="C431" s="16">
        <f t="shared" si="31"/>
        <v>5</v>
      </c>
      <c r="D431" s="17">
        <f t="shared" si="32"/>
        <v>374.6</v>
      </c>
      <c r="E431" s="18" cm="1">
        <f t="array" ref="E431">_xlfn.IFS(
B431&lt;=recencyQ1, 4,
B431&lt;=recencyQ2, 3,
B431&lt;=recencyQ3, 2,
TRUE, 1
)</f>
        <v>4</v>
      </c>
      <c r="F431" s="18" cm="1">
        <f t="array" ref="F431">_xlfn.IFS(
C431&lt;=frequencyQ1, 1,
C431&lt;=frequencyQ2, 2,
C431&lt;=frequencyQ3, 3,
TRUE, 4)</f>
        <v>2</v>
      </c>
      <c r="G431" s="18" cm="1">
        <f t="array" ref="G431">_xlfn.IFS(
D431&lt;=monetaryQ1, 1,
D431&lt;=monetaryQ2, 2,
D431&lt;=monetaryQ3, 3,
TRUE, 4)</f>
        <v>2</v>
      </c>
      <c r="H431" s="18" t="str">
        <f t="shared" si="33"/>
        <v>422</v>
      </c>
      <c r="I431" s="19">
        <f t="shared" si="34"/>
        <v>2.6666666666666665</v>
      </c>
      <c r="J431" s="7" t="str" cm="1">
        <f t="array" ref="J431">_xlfn.IFS(
I431&gt;=Best_Customers, Best_Customers_name,
I431&gt;=Loyal_Customers, Loyal_Customers_name,
I431&gt;=Average_Customers, Average_Customers_name,
TRUE, Lost_Customers_name)</f>
        <v>Loyal Customers</v>
      </c>
    </row>
    <row r="432" spans="1:10" x14ac:dyDescent="0.25">
      <c r="A432" s="25" t="str">
        <v>CUST_0426</v>
      </c>
      <c r="B432" s="16">
        <f t="shared" si="30"/>
        <v>26</v>
      </c>
      <c r="C432" s="16">
        <f t="shared" si="31"/>
        <v>6</v>
      </c>
      <c r="D432" s="17">
        <f t="shared" si="32"/>
        <v>691.22</v>
      </c>
      <c r="E432" s="18" cm="1">
        <f t="array" ref="E432">_xlfn.IFS(
B432&lt;=recencyQ1, 4,
B432&lt;=recencyQ2, 3,
B432&lt;=recencyQ3, 2,
TRUE, 1
)</f>
        <v>3</v>
      </c>
      <c r="F432" s="18" cm="1">
        <f t="array" ref="F432">_xlfn.IFS(
C432&lt;=frequencyQ1, 1,
C432&lt;=frequencyQ2, 2,
C432&lt;=frequencyQ3, 3,
TRUE, 4)</f>
        <v>3</v>
      </c>
      <c r="G432" s="18" cm="1">
        <f t="array" ref="G432">_xlfn.IFS(
D432&lt;=monetaryQ1, 1,
D432&lt;=monetaryQ2, 2,
D432&lt;=monetaryQ3, 3,
TRUE, 4)</f>
        <v>4</v>
      </c>
      <c r="H432" s="18" t="str">
        <f t="shared" si="33"/>
        <v>334</v>
      </c>
      <c r="I432" s="19">
        <f t="shared" si="34"/>
        <v>3.3333333333333335</v>
      </c>
      <c r="J432" s="7" t="str" cm="1">
        <f t="array" ref="J432">_xlfn.IFS(
I432&gt;=Best_Customers, Best_Customers_name,
I432&gt;=Loyal_Customers, Loyal_Customers_name,
I432&gt;=Average_Customers, Average_Customers_name,
TRUE, Lost_Customers_name)</f>
        <v>Loyal Customers</v>
      </c>
    </row>
    <row r="433" spans="1:10" x14ac:dyDescent="0.25">
      <c r="A433" s="25" t="str">
        <v>CUST_0427</v>
      </c>
      <c r="B433" s="16">
        <f t="shared" si="30"/>
        <v>7</v>
      </c>
      <c r="C433" s="16">
        <f t="shared" si="31"/>
        <v>4</v>
      </c>
      <c r="D433" s="17">
        <f t="shared" si="32"/>
        <v>329.07</v>
      </c>
      <c r="E433" s="18" cm="1">
        <f t="array" ref="E433">_xlfn.IFS(
B433&lt;=recencyQ1, 4,
B433&lt;=recencyQ2, 3,
B433&lt;=recencyQ3, 2,
TRUE, 1
)</f>
        <v>4</v>
      </c>
      <c r="F433" s="18" cm="1">
        <f t="array" ref="F433">_xlfn.IFS(
C433&lt;=frequencyQ1, 1,
C433&lt;=frequencyQ2, 2,
C433&lt;=frequencyQ3, 3,
TRUE, 4)</f>
        <v>2</v>
      </c>
      <c r="G433" s="18" cm="1">
        <f t="array" ref="G433">_xlfn.IFS(
D433&lt;=monetaryQ1, 1,
D433&lt;=monetaryQ2, 2,
D433&lt;=monetaryQ3, 3,
TRUE, 4)</f>
        <v>2</v>
      </c>
      <c r="H433" s="18" t="str">
        <f t="shared" si="33"/>
        <v>422</v>
      </c>
      <c r="I433" s="19">
        <f t="shared" si="34"/>
        <v>2.6666666666666665</v>
      </c>
      <c r="J433" s="7" t="str" cm="1">
        <f t="array" ref="J433">_xlfn.IFS(
I433&gt;=Best_Customers, Best_Customers_name,
I433&gt;=Loyal_Customers, Loyal_Customers_name,
I433&gt;=Average_Customers, Average_Customers_name,
TRUE, Lost_Customers_name)</f>
        <v>Loyal Customers</v>
      </c>
    </row>
    <row r="434" spans="1:10" x14ac:dyDescent="0.25">
      <c r="A434" s="25" t="str">
        <v>CUST_0428</v>
      </c>
      <c r="B434" s="16">
        <f t="shared" si="30"/>
        <v>61</v>
      </c>
      <c r="C434" s="16">
        <f t="shared" si="31"/>
        <v>4</v>
      </c>
      <c r="D434" s="17">
        <f t="shared" si="32"/>
        <v>439.65</v>
      </c>
      <c r="E434" s="18" cm="1">
        <f t="array" ref="E434">_xlfn.IFS(
B434&lt;=recencyQ1, 4,
B434&lt;=recencyQ2, 3,
B434&lt;=recencyQ3, 2,
TRUE, 1
)</f>
        <v>2</v>
      </c>
      <c r="F434" s="18" cm="1">
        <f t="array" ref="F434">_xlfn.IFS(
C434&lt;=frequencyQ1, 1,
C434&lt;=frequencyQ2, 2,
C434&lt;=frequencyQ3, 3,
TRUE, 4)</f>
        <v>2</v>
      </c>
      <c r="G434" s="18" cm="1">
        <f t="array" ref="G434">_xlfn.IFS(
D434&lt;=monetaryQ1, 1,
D434&lt;=monetaryQ2, 2,
D434&lt;=monetaryQ3, 3,
TRUE, 4)</f>
        <v>2</v>
      </c>
      <c r="H434" s="18" t="str">
        <f t="shared" si="33"/>
        <v>222</v>
      </c>
      <c r="I434" s="19">
        <f t="shared" si="34"/>
        <v>2</v>
      </c>
      <c r="J434" s="7" t="str" cm="1">
        <f t="array" ref="J434">_xlfn.IFS(
I434&gt;=Best_Customers, Best_Customers_name,
I434&gt;=Loyal_Customers, Loyal_Customers_name,
I434&gt;=Average_Customers, Average_Customers_name,
TRUE, Lost_Customers_name)</f>
        <v>Average Customers</v>
      </c>
    </row>
    <row r="435" spans="1:10" x14ac:dyDescent="0.25">
      <c r="A435" s="25" t="str">
        <v>CUST_0429</v>
      </c>
      <c r="B435" s="16">
        <f t="shared" si="30"/>
        <v>27</v>
      </c>
      <c r="C435" s="16">
        <f t="shared" si="31"/>
        <v>3</v>
      </c>
      <c r="D435" s="17">
        <f t="shared" si="32"/>
        <v>284.60000000000002</v>
      </c>
      <c r="E435" s="18" cm="1">
        <f t="array" ref="E435">_xlfn.IFS(
B435&lt;=recencyQ1, 4,
B435&lt;=recencyQ2, 3,
B435&lt;=recencyQ3, 2,
TRUE, 1
)</f>
        <v>3</v>
      </c>
      <c r="F435" s="18" cm="1">
        <f t="array" ref="F435">_xlfn.IFS(
C435&lt;=frequencyQ1, 1,
C435&lt;=frequencyQ2, 2,
C435&lt;=frequencyQ3, 3,
TRUE, 4)</f>
        <v>1</v>
      </c>
      <c r="G435" s="18" cm="1">
        <f t="array" ref="G435">_xlfn.IFS(
D435&lt;=monetaryQ1, 1,
D435&lt;=monetaryQ2, 2,
D435&lt;=monetaryQ3, 3,
TRUE, 4)</f>
        <v>1</v>
      </c>
      <c r="H435" s="18" t="str">
        <f t="shared" si="33"/>
        <v>311</v>
      </c>
      <c r="I435" s="19">
        <f t="shared" si="34"/>
        <v>1.6666666666666667</v>
      </c>
      <c r="J435" s="7" t="str" cm="1">
        <f t="array" ref="J435">_xlfn.IFS(
I435&gt;=Best_Customers, Best_Customers_name,
I435&gt;=Loyal_Customers, Loyal_Customers_name,
I435&gt;=Average_Customers, Average_Customers_name,
TRUE, Lost_Customers_name)</f>
        <v>Average Customers</v>
      </c>
    </row>
    <row r="436" spans="1:10" x14ac:dyDescent="0.25">
      <c r="A436" s="25" t="str">
        <v>CUST_0430</v>
      </c>
      <c r="B436" s="16">
        <f t="shared" si="30"/>
        <v>86</v>
      </c>
      <c r="C436" s="16">
        <f t="shared" si="31"/>
        <v>4</v>
      </c>
      <c r="D436" s="17">
        <f t="shared" si="32"/>
        <v>491.59</v>
      </c>
      <c r="E436" s="18" cm="1">
        <f t="array" ref="E436">_xlfn.IFS(
B436&lt;=recencyQ1, 4,
B436&lt;=recencyQ2, 3,
B436&lt;=recencyQ3, 2,
TRUE, 1
)</f>
        <v>2</v>
      </c>
      <c r="F436" s="18" cm="1">
        <f t="array" ref="F436">_xlfn.IFS(
C436&lt;=frequencyQ1, 1,
C436&lt;=frequencyQ2, 2,
C436&lt;=frequencyQ3, 3,
TRUE, 4)</f>
        <v>2</v>
      </c>
      <c r="G436" s="18" cm="1">
        <f t="array" ref="G436">_xlfn.IFS(
D436&lt;=monetaryQ1, 1,
D436&lt;=monetaryQ2, 2,
D436&lt;=monetaryQ3, 3,
TRUE, 4)</f>
        <v>3</v>
      </c>
      <c r="H436" s="18" t="str">
        <f t="shared" si="33"/>
        <v>223</v>
      </c>
      <c r="I436" s="19">
        <f t="shared" si="34"/>
        <v>2.3333333333333335</v>
      </c>
      <c r="J436" s="7" t="str" cm="1">
        <f t="array" ref="J436">_xlfn.IFS(
I436&gt;=Best_Customers, Best_Customers_name,
I436&gt;=Loyal_Customers, Loyal_Customers_name,
I436&gt;=Average_Customers, Average_Customers_name,
TRUE, Lost_Customers_name)</f>
        <v>Average Customers</v>
      </c>
    </row>
    <row r="437" spans="1:10" x14ac:dyDescent="0.25">
      <c r="A437" s="25" t="str">
        <v>CUST_0431</v>
      </c>
      <c r="B437" s="16">
        <f t="shared" si="30"/>
        <v>34</v>
      </c>
      <c r="C437" s="16">
        <f t="shared" si="31"/>
        <v>6</v>
      </c>
      <c r="D437" s="17">
        <f t="shared" si="32"/>
        <v>618.71</v>
      </c>
      <c r="E437" s="18" cm="1">
        <f t="array" ref="E437">_xlfn.IFS(
B437&lt;=recencyQ1, 4,
B437&lt;=recencyQ2, 3,
B437&lt;=recencyQ3, 2,
TRUE, 1
)</f>
        <v>3</v>
      </c>
      <c r="F437" s="18" cm="1">
        <f t="array" ref="F437">_xlfn.IFS(
C437&lt;=frequencyQ1, 1,
C437&lt;=frequencyQ2, 2,
C437&lt;=frequencyQ3, 3,
TRUE, 4)</f>
        <v>3</v>
      </c>
      <c r="G437" s="18" cm="1">
        <f t="array" ref="G437">_xlfn.IFS(
D437&lt;=monetaryQ1, 1,
D437&lt;=monetaryQ2, 2,
D437&lt;=monetaryQ3, 3,
TRUE, 4)</f>
        <v>3</v>
      </c>
      <c r="H437" s="18" t="str">
        <f t="shared" si="33"/>
        <v>333</v>
      </c>
      <c r="I437" s="19">
        <f t="shared" si="34"/>
        <v>3</v>
      </c>
      <c r="J437" s="7" t="str" cm="1">
        <f t="array" ref="J437">_xlfn.IFS(
I437&gt;=Best_Customers, Best_Customers_name,
I437&gt;=Loyal_Customers, Loyal_Customers_name,
I437&gt;=Average_Customers, Average_Customers_name,
TRUE, Lost_Customers_name)</f>
        <v>Loyal Customers</v>
      </c>
    </row>
    <row r="438" spans="1:10" x14ac:dyDescent="0.25">
      <c r="A438" s="25" t="str">
        <v>CUST_0433</v>
      </c>
      <c r="B438" s="16">
        <f t="shared" si="30"/>
        <v>132</v>
      </c>
      <c r="C438" s="16">
        <f t="shared" si="31"/>
        <v>2</v>
      </c>
      <c r="D438" s="17">
        <f t="shared" si="32"/>
        <v>241.79000000000002</v>
      </c>
      <c r="E438" s="18" cm="1">
        <f t="array" ref="E438">_xlfn.IFS(
B438&lt;=recencyQ1, 4,
B438&lt;=recencyQ2, 3,
B438&lt;=recencyQ3, 2,
TRUE, 1
)</f>
        <v>1</v>
      </c>
      <c r="F438" s="18" cm="1">
        <f t="array" ref="F438">_xlfn.IFS(
C438&lt;=frequencyQ1, 1,
C438&lt;=frequencyQ2, 2,
C438&lt;=frequencyQ3, 3,
TRUE, 4)</f>
        <v>1</v>
      </c>
      <c r="G438" s="18" cm="1">
        <f t="array" ref="G438">_xlfn.IFS(
D438&lt;=monetaryQ1, 1,
D438&lt;=monetaryQ2, 2,
D438&lt;=monetaryQ3, 3,
TRUE, 4)</f>
        <v>1</v>
      </c>
      <c r="H438" s="18" t="str">
        <f t="shared" si="33"/>
        <v>111</v>
      </c>
      <c r="I438" s="19">
        <f t="shared" si="34"/>
        <v>1</v>
      </c>
      <c r="J438" s="7" t="str" cm="1">
        <f t="array" ref="J438">_xlfn.IFS(
I438&gt;=Best_Customers, Best_Customers_name,
I438&gt;=Loyal_Customers, Loyal_Customers_name,
I438&gt;=Average_Customers, Average_Customers_name,
TRUE, Lost_Customers_name)</f>
        <v>Lost Customers</v>
      </c>
    </row>
    <row r="439" spans="1:10" x14ac:dyDescent="0.25">
      <c r="A439" s="25" t="str">
        <v>CUST_0434</v>
      </c>
      <c r="B439" s="16">
        <f t="shared" si="30"/>
        <v>28</v>
      </c>
      <c r="C439" s="16">
        <f t="shared" si="31"/>
        <v>10</v>
      </c>
      <c r="D439" s="17">
        <f t="shared" si="32"/>
        <v>987.89</v>
      </c>
      <c r="E439" s="18" cm="1">
        <f t="array" ref="E439">_xlfn.IFS(
B439&lt;=recencyQ1, 4,
B439&lt;=recencyQ2, 3,
B439&lt;=recencyQ3, 2,
TRUE, 1
)</f>
        <v>3</v>
      </c>
      <c r="F439" s="18" cm="1">
        <f t="array" ref="F439">_xlfn.IFS(
C439&lt;=frequencyQ1, 1,
C439&lt;=frequencyQ2, 2,
C439&lt;=frequencyQ3, 3,
TRUE, 4)</f>
        <v>4</v>
      </c>
      <c r="G439" s="18" cm="1">
        <f t="array" ref="G439">_xlfn.IFS(
D439&lt;=monetaryQ1, 1,
D439&lt;=monetaryQ2, 2,
D439&lt;=monetaryQ3, 3,
TRUE, 4)</f>
        <v>4</v>
      </c>
      <c r="H439" s="18" t="str">
        <f t="shared" si="33"/>
        <v>344</v>
      </c>
      <c r="I439" s="19">
        <f t="shared" si="34"/>
        <v>3.6666666666666665</v>
      </c>
      <c r="J439" s="7" t="str" cm="1">
        <f t="array" ref="J439">_xlfn.IFS(
I439&gt;=Best_Customers, Best_Customers_name,
I439&gt;=Loyal_Customers, Loyal_Customers_name,
I439&gt;=Average_Customers, Average_Customers_name,
TRUE, Lost_Customers_name)</f>
        <v>Best Customers</v>
      </c>
    </row>
    <row r="440" spans="1:10" x14ac:dyDescent="0.25">
      <c r="A440" s="25" t="str">
        <v>CUST_0435</v>
      </c>
      <c r="B440" s="16">
        <f t="shared" si="30"/>
        <v>50</v>
      </c>
      <c r="C440" s="16">
        <f t="shared" si="31"/>
        <v>7</v>
      </c>
      <c r="D440" s="17">
        <f t="shared" si="32"/>
        <v>673.19999999999993</v>
      </c>
      <c r="E440" s="18" cm="1">
        <f t="array" ref="E440">_xlfn.IFS(
B440&lt;=recencyQ1, 4,
B440&lt;=recencyQ2, 3,
B440&lt;=recencyQ3, 2,
TRUE, 1
)</f>
        <v>2</v>
      </c>
      <c r="F440" s="18" cm="1">
        <f t="array" ref="F440">_xlfn.IFS(
C440&lt;=frequencyQ1, 1,
C440&lt;=frequencyQ2, 2,
C440&lt;=frequencyQ3, 3,
TRUE, 4)</f>
        <v>4</v>
      </c>
      <c r="G440" s="18" cm="1">
        <f t="array" ref="G440">_xlfn.IFS(
D440&lt;=monetaryQ1, 1,
D440&lt;=monetaryQ2, 2,
D440&lt;=monetaryQ3, 3,
TRUE, 4)</f>
        <v>4</v>
      </c>
      <c r="H440" s="18" t="str">
        <f t="shared" si="33"/>
        <v>244</v>
      </c>
      <c r="I440" s="19">
        <f t="shared" si="34"/>
        <v>3.3333333333333335</v>
      </c>
      <c r="J440" s="7" t="str" cm="1">
        <f t="array" ref="J440">_xlfn.IFS(
I440&gt;=Best_Customers, Best_Customers_name,
I440&gt;=Loyal_Customers, Loyal_Customers_name,
I440&gt;=Average_Customers, Average_Customers_name,
TRUE, Lost_Customers_name)</f>
        <v>Loyal Customers</v>
      </c>
    </row>
    <row r="441" spans="1:10" x14ac:dyDescent="0.25">
      <c r="A441" s="25" t="str">
        <v>CUST_0436</v>
      </c>
      <c r="B441" s="16">
        <f t="shared" si="30"/>
        <v>5</v>
      </c>
      <c r="C441" s="16">
        <f t="shared" si="31"/>
        <v>5</v>
      </c>
      <c r="D441" s="17">
        <f t="shared" si="32"/>
        <v>634.41999999999996</v>
      </c>
      <c r="E441" s="18" cm="1">
        <f t="array" ref="E441">_xlfn.IFS(
B441&lt;=recencyQ1, 4,
B441&lt;=recencyQ2, 3,
B441&lt;=recencyQ3, 2,
TRUE, 1
)</f>
        <v>4</v>
      </c>
      <c r="F441" s="18" cm="1">
        <f t="array" ref="F441">_xlfn.IFS(
C441&lt;=frequencyQ1, 1,
C441&lt;=frequencyQ2, 2,
C441&lt;=frequencyQ3, 3,
TRUE, 4)</f>
        <v>2</v>
      </c>
      <c r="G441" s="18" cm="1">
        <f t="array" ref="G441">_xlfn.IFS(
D441&lt;=monetaryQ1, 1,
D441&lt;=monetaryQ2, 2,
D441&lt;=monetaryQ3, 3,
TRUE, 4)</f>
        <v>3</v>
      </c>
      <c r="H441" s="18" t="str">
        <f t="shared" si="33"/>
        <v>423</v>
      </c>
      <c r="I441" s="19">
        <f t="shared" si="34"/>
        <v>3</v>
      </c>
      <c r="J441" s="7" t="str" cm="1">
        <f t="array" ref="J441">_xlfn.IFS(
I441&gt;=Best_Customers, Best_Customers_name,
I441&gt;=Loyal_Customers, Loyal_Customers_name,
I441&gt;=Average_Customers, Average_Customers_name,
TRUE, Lost_Customers_name)</f>
        <v>Loyal Customers</v>
      </c>
    </row>
    <row r="442" spans="1:10" x14ac:dyDescent="0.25">
      <c r="A442" s="25" t="str">
        <v>CUST_0437</v>
      </c>
      <c r="B442" s="16">
        <f t="shared" si="30"/>
        <v>98</v>
      </c>
      <c r="C442" s="16">
        <f t="shared" si="31"/>
        <v>4</v>
      </c>
      <c r="D442" s="17">
        <f t="shared" si="32"/>
        <v>295.89</v>
      </c>
      <c r="E442" s="18" cm="1">
        <f t="array" ref="E442">_xlfn.IFS(
B442&lt;=recencyQ1, 4,
B442&lt;=recencyQ2, 3,
B442&lt;=recencyQ3, 2,
TRUE, 1
)</f>
        <v>1</v>
      </c>
      <c r="F442" s="18" cm="1">
        <f t="array" ref="F442">_xlfn.IFS(
C442&lt;=frequencyQ1, 1,
C442&lt;=frequencyQ2, 2,
C442&lt;=frequencyQ3, 3,
TRUE, 4)</f>
        <v>2</v>
      </c>
      <c r="G442" s="18" cm="1">
        <f t="array" ref="G442">_xlfn.IFS(
D442&lt;=monetaryQ1, 1,
D442&lt;=monetaryQ2, 2,
D442&lt;=monetaryQ3, 3,
TRUE, 4)</f>
        <v>1</v>
      </c>
      <c r="H442" s="18" t="str">
        <f t="shared" si="33"/>
        <v>121</v>
      </c>
      <c r="I442" s="19">
        <f t="shared" si="34"/>
        <v>1.3333333333333333</v>
      </c>
      <c r="J442" s="7" t="str" cm="1">
        <f t="array" ref="J442">_xlfn.IFS(
I442&gt;=Best_Customers, Best_Customers_name,
I442&gt;=Loyal_Customers, Loyal_Customers_name,
I442&gt;=Average_Customers, Average_Customers_name,
TRUE, Lost_Customers_name)</f>
        <v>Lost Customers</v>
      </c>
    </row>
    <row r="443" spans="1:10" x14ac:dyDescent="0.25">
      <c r="A443" s="25" t="str">
        <v>CUST_0438</v>
      </c>
      <c r="B443" s="16">
        <f t="shared" si="30"/>
        <v>5</v>
      </c>
      <c r="C443" s="16">
        <f t="shared" si="31"/>
        <v>2</v>
      </c>
      <c r="D443" s="17">
        <f t="shared" si="32"/>
        <v>190.42000000000002</v>
      </c>
      <c r="E443" s="18" cm="1">
        <f t="array" ref="E443">_xlfn.IFS(
B443&lt;=recencyQ1, 4,
B443&lt;=recencyQ2, 3,
B443&lt;=recencyQ3, 2,
TRUE, 1
)</f>
        <v>4</v>
      </c>
      <c r="F443" s="18" cm="1">
        <f t="array" ref="F443">_xlfn.IFS(
C443&lt;=frequencyQ1, 1,
C443&lt;=frequencyQ2, 2,
C443&lt;=frequencyQ3, 3,
TRUE, 4)</f>
        <v>1</v>
      </c>
      <c r="G443" s="18" cm="1">
        <f t="array" ref="G443">_xlfn.IFS(
D443&lt;=monetaryQ1, 1,
D443&lt;=monetaryQ2, 2,
D443&lt;=monetaryQ3, 3,
TRUE, 4)</f>
        <v>1</v>
      </c>
      <c r="H443" s="18" t="str">
        <f t="shared" si="33"/>
        <v>411</v>
      </c>
      <c r="I443" s="19">
        <f t="shared" si="34"/>
        <v>2</v>
      </c>
      <c r="J443" s="7" t="str" cm="1">
        <f t="array" ref="J443">_xlfn.IFS(
I443&gt;=Best_Customers, Best_Customers_name,
I443&gt;=Loyal_Customers, Loyal_Customers_name,
I443&gt;=Average_Customers, Average_Customers_name,
TRUE, Lost_Customers_name)</f>
        <v>Average Customers</v>
      </c>
    </row>
    <row r="444" spans="1:10" x14ac:dyDescent="0.25">
      <c r="A444" s="25" t="str">
        <v>CUST_0439</v>
      </c>
      <c r="B444" s="16">
        <f t="shared" si="30"/>
        <v>129</v>
      </c>
      <c r="C444" s="16">
        <f t="shared" si="31"/>
        <v>5</v>
      </c>
      <c r="D444" s="17">
        <f t="shared" si="32"/>
        <v>567.57000000000005</v>
      </c>
      <c r="E444" s="18" cm="1">
        <f t="array" ref="E444">_xlfn.IFS(
B444&lt;=recencyQ1, 4,
B444&lt;=recencyQ2, 3,
B444&lt;=recencyQ3, 2,
TRUE, 1
)</f>
        <v>1</v>
      </c>
      <c r="F444" s="18" cm="1">
        <f t="array" ref="F444">_xlfn.IFS(
C444&lt;=frequencyQ1, 1,
C444&lt;=frequencyQ2, 2,
C444&lt;=frequencyQ3, 3,
TRUE, 4)</f>
        <v>2</v>
      </c>
      <c r="G444" s="18" cm="1">
        <f t="array" ref="G444">_xlfn.IFS(
D444&lt;=monetaryQ1, 1,
D444&lt;=monetaryQ2, 2,
D444&lt;=monetaryQ3, 3,
TRUE, 4)</f>
        <v>3</v>
      </c>
      <c r="H444" s="18" t="str">
        <f t="shared" si="33"/>
        <v>123</v>
      </c>
      <c r="I444" s="19">
        <f t="shared" si="34"/>
        <v>2</v>
      </c>
      <c r="J444" s="7" t="str" cm="1">
        <f t="array" ref="J444">_xlfn.IFS(
I444&gt;=Best_Customers, Best_Customers_name,
I444&gt;=Loyal_Customers, Loyal_Customers_name,
I444&gt;=Average_Customers, Average_Customers_name,
TRUE, Lost_Customers_name)</f>
        <v>Average Customers</v>
      </c>
    </row>
    <row r="445" spans="1:10" x14ac:dyDescent="0.25">
      <c r="A445" s="25" t="str">
        <v>CUST_0440</v>
      </c>
      <c r="B445" s="16">
        <f t="shared" si="30"/>
        <v>98</v>
      </c>
      <c r="C445" s="16">
        <f t="shared" si="31"/>
        <v>6</v>
      </c>
      <c r="D445" s="17">
        <f t="shared" si="32"/>
        <v>629.48</v>
      </c>
      <c r="E445" s="18" cm="1">
        <f t="array" ref="E445">_xlfn.IFS(
B445&lt;=recencyQ1, 4,
B445&lt;=recencyQ2, 3,
B445&lt;=recencyQ3, 2,
TRUE, 1
)</f>
        <v>1</v>
      </c>
      <c r="F445" s="18" cm="1">
        <f t="array" ref="F445">_xlfn.IFS(
C445&lt;=frequencyQ1, 1,
C445&lt;=frequencyQ2, 2,
C445&lt;=frequencyQ3, 3,
TRUE, 4)</f>
        <v>3</v>
      </c>
      <c r="G445" s="18" cm="1">
        <f t="array" ref="G445">_xlfn.IFS(
D445&lt;=monetaryQ1, 1,
D445&lt;=monetaryQ2, 2,
D445&lt;=monetaryQ3, 3,
TRUE, 4)</f>
        <v>3</v>
      </c>
      <c r="H445" s="18" t="str">
        <f t="shared" si="33"/>
        <v>133</v>
      </c>
      <c r="I445" s="19">
        <f t="shared" si="34"/>
        <v>2.3333333333333335</v>
      </c>
      <c r="J445" s="7" t="str" cm="1">
        <f t="array" ref="J445">_xlfn.IFS(
I445&gt;=Best_Customers, Best_Customers_name,
I445&gt;=Loyal_Customers, Loyal_Customers_name,
I445&gt;=Average_Customers, Average_Customers_name,
TRUE, Lost_Customers_name)</f>
        <v>Average Customers</v>
      </c>
    </row>
    <row r="446" spans="1:10" x14ac:dyDescent="0.25">
      <c r="A446" s="25" t="str">
        <v>CUST_0441</v>
      </c>
      <c r="B446" s="16">
        <f t="shared" si="30"/>
        <v>2</v>
      </c>
      <c r="C446" s="16">
        <f t="shared" si="31"/>
        <v>6</v>
      </c>
      <c r="D446" s="17">
        <f t="shared" si="32"/>
        <v>630.74</v>
      </c>
      <c r="E446" s="18" cm="1">
        <f t="array" ref="E446">_xlfn.IFS(
B446&lt;=recencyQ1, 4,
B446&lt;=recencyQ2, 3,
B446&lt;=recencyQ3, 2,
TRUE, 1
)</f>
        <v>4</v>
      </c>
      <c r="F446" s="18" cm="1">
        <f t="array" ref="F446">_xlfn.IFS(
C446&lt;=frequencyQ1, 1,
C446&lt;=frequencyQ2, 2,
C446&lt;=frequencyQ3, 3,
TRUE, 4)</f>
        <v>3</v>
      </c>
      <c r="G446" s="18" cm="1">
        <f t="array" ref="G446">_xlfn.IFS(
D446&lt;=monetaryQ1, 1,
D446&lt;=monetaryQ2, 2,
D446&lt;=monetaryQ3, 3,
TRUE, 4)</f>
        <v>3</v>
      </c>
      <c r="H446" s="18" t="str">
        <f t="shared" si="33"/>
        <v>433</v>
      </c>
      <c r="I446" s="19">
        <f t="shared" si="34"/>
        <v>3.3333333333333335</v>
      </c>
      <c r="J446" s="7" t="str" cm="1">
        <f t="array" ref="J446">_xlfn.IFS(
I446&gt;=Best_Customers, Best_Customers_name,
I446&gt;=Loyal_Customers, Loyal_Customers_name,
I446&gt;=Average_Customers, Average_Customers_name,
TRUE, Lost_Customers_name)</f>
        <v>Loyal Customers</v>
      </c>
    </row>
    <row r="447" spans="1:10" x14ac:dyDescent="0.25">
      <c r="A447" s="25" t="str">
        <v>CUST_0442</v>
      </c>
      <c r="B447" s="16">
        <f t="shared" si="30"/>
        <v>117</v>
      </c>
      <c r="C447" s="16">
        <f t="shared" si="31"/>
        <v>6</v>
      </c>
      <c r="D447" s="17">
        <f t="shared" si="32"/>
        <v>538.80999999999995</v>
      </c>
      <c r="E447" s="18" cm="1">
        <f t="array" ref="E447">_xlfn.IFS(
B447&lt;=recencyQ1, 4,
B447&lt;=recencyQ2, 3,
B447&lt;=recencyQ3, 2,
TRUE, 1
)</f>
        <v>1</v>
      </c>
      <c r="F447" s="18" cm="1">
        <f t="array" ref="F447">_xlfn.IFS(
C447&lt;=frequencyQ1, 1,
C447&lt;=frequencyQ2, 2,
C447&lt;=frequencyQ3, 3,
TRUE, 4)</f>
        <v>3</v>
      </c>
      <c r="G447" s="18" cm="1">
        <f t="array" ref="G447">_xlfn.IFS(
D447&lt;=monetaryQ1, 1,
D447&lt;=monetaryQ2, 2,
D447&lt;=monetaryQ3, 3,
TRUE, 4)</f>
        <v>3</v>
      </c>
      <c r="H447" s="18" t="str">
        <f t="shared" si="33"/>
        <v>133</v>
      </c>
      <c r="I447" s="19">
        <f t="shared" si="34"/>
        <v>2.3333333333333335</v>
      </c>
      <c r="J447" s="7" t="str" cm="1">
        <f t="array" ref="J447">_xlfn.IFS(
I447&gt;=Best_Customers, Best_Customers_name,
I447&gt;=Loyal_Customers, Loyal_Customers_name,
I447&gt;=Average_Customers, Average_Customers_name,
TRUE, Lost_Customers_name)</f>
        <v>Average Customers</v>
      </c>
    </row>
    <row r="448" spans="1:10" x14ac:dyDescent="0.25">
      <c r="A448" s="25" t="str">
        <v>CUST_0443</v>
      </c>
      <c r="B448" s="16">
        <f t="shared" si="30"/>
        <v>72</v>
      </c>
      <c r="C448" s="16">
        <f t="shared" si="31"/>
        <v>2</v>
      </c>
      <c r="D448" s="17">
        <f t="shared" si="32"/>
        <v>169.15</v>
      </c>
      <c r="E448" s="18" cm="1">
        <f t="array" ref="E448">_xlfn.IFS(
B448&lt;=recencyQ1, 4,
B448&lt;=recencyQ2, 3,
B448&lt;=recencyQ3, 2,
TRUE, 1
)</f>
        <v>2</v>
      </c>
      <c r="F448" s="18" cm="1">
        <f t="array" ref="F448">_xlfn.IFS(
C448&lt;=frequencyQ1, 1,
C448&lt;=frequencyQ2, 2,
C448&lt;=frequencyQ3, 3,
TRUE, 4)</f>
        <v>1</v>
      </c>
      <c r="G448" s="18" cm="1">
        <f t="array" ref="G448">_xlfn.IFS(
D448&lt;=monetaryQ1, 1,
D448&lt;=monetaryQ2, 2,
D448&lt;=monetaryQ3, 3,
TRUE, 4)</f>
        <v>1</v>
      </c>
      <c r="H448" s="18" t="str">
        <f t="shared" si="33"/>
        <v>211</v>
      </c>
      <c r="I448" s="19">
        <f t="shared" si="34"/>
        <v>1.3333333333333333</v>
      </c>
      <c r="J448" s="7" t="str" cm="1">
        <f t="array" ref="J448">_xlfn.IFS(
I448&gt;=Best_Customers, Best_Customers_name,
I448&gt;=Loyal_Customers, Loyal_Customers_name,
I448&gt;=Average_Customers, Average_Customers_name,
TRUE, Lost_Customers_name)</f>
        <v>Lost Customers</v>
      </c>
    </row>
    <row r="449" spans="1:10" x14ac:dyDescent="0.25">
      <c r="A449" s="25" t="str">
        <v>CUST_0444</v>
      </c>
      <c r="B449" s="16">
        <f t="shared" si="30"/>
        <v>28</v>
      </c>
      <c r="C449" s="16">
        <f t="shared" si="31"/>
        <v>7</v>
      </c>
      <c r="D449" s="17">
        <f t="shared" si="32"/>
        <v>656.85</v>
      </c>
      <c r="E449" s="18" cm="1">
        <f t="array" ref="E449">_xlfn.IFS(
B449&lt;=recencyQ1, 4,
B449&lt;=recencyQ2, 3,
B449&lt;=recencyQ3, 2,
TRUE, 1
)</f>
        <v>3</v>
      </c>
      <c r="F449" s="18" cm="1">
        <f t="array" ref="F449">_xlfn.IFS(
C449&lt;=frequencyQ1, 1,
C449&lt;=frequencyQ2, 2,
C449&lt;=frequencyQ3, 3,
TRUE, 4)</f>
        <v>4</v>
      </c>
      <c r="G449" s="18" cm="1">
        <f t="array" ref="G449">_xlfn.IFS(
D449&lt;=monetaryQ1, 1,
D449&lt;=monetaryQ2, 2,
D449&lt;=monetaryQ3, 3,
TRUE, 4)</f>
        <v>4</v>
      </c>
      <c r="H449" s="18" t="str">
        <f t="shared" si="33"/>
        <v>344</v>
      </c>
      <c r="I449" s="19">
        <f t="shared" si="34"/>
        <v>3.6666666666666665</v>
      </c>
      <c r="J449" s="7" t="str" cm="1">
        <f t="array" ref="J449">_xlfn.IFS(
I449&gt;=Best_Customers, Best_Customers_name,
I449&gt;=Loyal_Customers, Loyal_Customers_name,
I449&gt;=Average_Customers, Average_Customers_name,
TRUE, Lost_Customers_name)</f>
        <v>Best Customers</v>
      </c>
    </row>
    <row r="450" spans="1:10" x14ac:dyDescent="0.25">
      <c r="A450" s="25" t="str">
        <v>CUST_0445</v>
      </c>
      <c r="B450" s="16">
        <f t="shared" si="30"/>
        <v>139</v>
      </c>
      <c r="C450" s="16">
        <f t="shared" si="31"/>
        <v>3</v>
      </c>
      <c r="D450" s="17">
        <f t="shared" si="32"/>
        <v>300.41000000000003</v>
      </c>
      <c r="E450" s="18" cm="1">
        <f t="array" ref="E450">_xlfn.IFS(
B450&lt;=recencyQ1, 4,
B450&lt;=recencyQ2, 3,
B450&lt;=recencyQ3, 2,
TRUE, 1
)</f>
        <v>1</v>
      </c>
      <c r="F450" s="18" cm="1">
        <f t="array" ref="F450">_xlfn.IFS(
C450&lt;=frequencyQ1, 1,
C450&lt;=frequencyQ2, 2,
C450&lt;=frequencyQ3, 3,
TRUE, 4)</f>
        <v>1</v>
      </c>
      <c r="G450" s="18" cm="1">
        <f t="array" ref="G450">_xlfn.IFS(
D450&lt;=monetaryQ1, 1,
D450&lt;=monetaryQ2, 2,
D450&lt;=monetaryQ3, 3,
TRUE, 4)</f>
        <v>1</v>
      </c>
      <c r="H450" s="18" t="str">
        <f t="shared" si="33"/>
        <v>111</v>
      </c>
      <c r="I450" s="19">
        <f t="shared" si="34"/>
        <v>1</v>
      </c>
      <c r="J450" s="7" t="str" cm="1">
        <f t="array" ref="J450">_xlfn.IFS(
I450&gt;=Best_Customers, Best_Customers_name,
I450&gt;=Loyal_Customers, Loyal_Customers_name,
I450&gt;=Average_Customers, Average_Customers_name,
TRUE, Lost_Customers_name)</f>
        <v>Lost Customers</v>
      </c>
    </row>
    <row r="451" spans="1:10" x14ac:dyDescent="0.25">
      <c r="A451" s="25" t="str">
        <v>CUST_0446</v>
      </c>
      <c r="B451" s="16">
        <f t="shared" si="30"/>
        <v>18</v>
      </c>
      <c r="C451" s="16">
        <f t="shared" si="31"/>
        <v>4</v>
      </c>
      <c r="D451" s="17">
        <f t="shared" si="32"/>
        <v>443.84</v>
      </c>
      <c r="E451" s="18" cm="1">
        <f t="array" ref="E451">_xlfn.IFS(
B451&lt;=recencyQ1, 4,
B451&lt;=recencyQ2, 3,
B451&lt;=recencyQ3, 2,
TRUE, 1
)</f>
        <v>4</v>
      </c>
      <c r="F451" s="18" cm="1">
        <f t="array" ref="F451">_xlfn.IFS(
C451&lt;=frequencyQ1, 1,
C451&lt;=frequencyQ2, 2,
C451&lt;=frequencyQ3, 3,
TRUE, 4)</f>
        <v>2</v>
      </c>
      <c r="G451" s="18" cm="1">
        <f t="array" ref="G451">_xlfn.IFS(
D451&lt;=monetaryQ1, 1,
D451&lt;=monetaryQ2, 2,
D451&lt;=monetaryQ3, 3,
TRUE, 4)</f>
        <v>2</v>
      </c>
      <c r="H451" s="18" t="str">
        <f t="shared" si="33"/>
        <v>422</v>
      </c>
      <c r="I451" s="19">
        <f t="shared" si="34"/>
        <v>2.6666666666666665</v>
      </c>
      <c r="J451" s="7" t="str" cm="1">
        <f t="array" ref="J451">_xlfn.IFS(
I451&gt;=Best_Customers, Best_Customers_name,
I451&gt;=Loyal_Customers, Loyal_Customers_name,
I451&gt;=Average_Customers, Average_Customers_name,
TRUE, Lost_Customers_name)</f>
        <v>Loyal Customers</v>
      </c>
    </row>
    <row r="452" spans="1:10" x14ac:dyDescent="0.25">
      <c r="A452" s="25" t="str">
        <v>CUST_0447</v>
      </c>
      <c r="B452" s="16">
        <f t="shared" si="30"/>
        <v>85</v>
      </c>
      <c r="C452" s="16">
        <f t="shared" si="31"/>
        <v>3</v>
      </c>
      <c r="D452" s="17">
        <f t="shared" si="32"/>
        <v>349.40999999999997</v>
      </c>
      <c r="E452" s="18" cm="1">
        <f t="array" ref="E452">_xlfn.IFS(
B452&lt;=recencyQ1, 4,
B452&lt;=recencyQ2, 3,
B452&lt;=recencyQ3, 2,
TRUE, 1
)</f>
        <v>2</v>
      </c>
      <c r="F452" s="18" cm="1">
        <f t="array" ref="F452">_xlfn.IFS(
C452&lt;=frequencyQ1, 1,
C452&lt;=frequencyQ2, 2,
C452&lt;=frequencyQ3, 3,
TRUE, 4)</f>
        <v>1</v>
      </c>
      <c r="G452" s="18" cm="1">
        <f t="array" ref="G452">_xlfn.IFS(
D452&lt;=monetaryQ1, 1,
D452&lt;=monetaryQ2, 2,
D452&lt;=monetaryQ3, 3,
TRUE, 4)</f>
        <v>2</v>
      </c>
      <c r="H452" s="18" t="str">
        <f t="shared" si="33"/>
        <v>212</v>
      </c>
      <c r="I452" s="19">
        <f t="shared" si="34"/>
        <v>1.6666666666666667</v>
      </c>
      <c r="J452" s="7" t="str" cm="1">
        <f t="array" ref="J452">_xlfn.IFS(
I452&gt;=Best_Customers, Best_Customers_name,
I452&gt;=Loyal_Customers, Loyal_Customers_name,
I452&gt;=Average_Customers, Average_Customers_name,
TRUE, Lost_Customers_name)</f>
        <v>Average Customers</v>
      </c>
    </row>
    <row r="453" spans="1:10" x14ac:dyDescent="0.25">
      <c r="A453" s="25" t="str">
        <v>CUST_0448</v>
      </c>
      <c r="B453" s="16">
        <f t="shared" si="30"/>
        <v>60</v>
      </c>
      <c r="C453" s="16">
        <f t="shared" si="31"/>
        <v>6</v>
      </c>
      <c r="D453" s="17">
        <f t="shared" si="32"/>
        <v>600.81999999999994</v>
      </c>
      <c r="E453" s="18" cm="1">
        <f t="array" ref="E453">_xlfn.IFS(
B453&lt;=recencyQ1, 4,
B453&lt;=recencyQ2, 3,
B453&lt;=recencyQ3, 2,
TRUE, 1
)</f>
        <v>2</v>
      </c>
      <c r="F453" s="18" cm="1">
        <f t="array" ref="F453">_xlfn.IFS(
C453&lt;=frequencyQ1, 1,
C453&lt;=frequencyQ2, 2,
C453&lt;=frequencyQ3, 3,
TRUE, 4)</f>
        <v>3</v>
      </c>
      <c r="G453" s="18" cm="1">
        <f t="array" ref="G453">_xlfn.IFS(
D453&lt;=monetaryQ1, 1,
D453&lt;=monetaryQ2, 2,
D453&lt;=monetaryQ3, 3,
TRUE, 4)</f>
        <v>3</v>
      </c>
      <c r="H453" s="18" t="str">
        <f t="shared" si="33"/>
        <v>233</v>
      </c>
      <c r="I453" s="19">
        <f t="shared" si="34"/>
        <v>2.6666666666666665</v>
      </c>
      <c r="J453" s="7" t="str" cm="1">
        <f t="array" ref="J453">_xlfn.IFS(
I453&gt;=Best_Customers, Best_Customers_name,
I453&gt;=Loyal_Customers, Loyal_Customers_name,
I453&gt;=Average_Customers, Average_Customers_name,
TRUE, Lost_Customers_name)</f>
        <v>Loyal Customers</v>
      </c>
    </row>
    <row r="454" spans="1:10" x14ac:dyDescent="0.25">
      <c r="A454" s="25" t="str">
        <v>CUST_0449</v>
      </c>
      <c r="B454" s="16">
        <f t="shared" si="30"/>
        <v>74</v>
      </c>
      <c r="C454" s="16">
        <f t="shared" si="31"/>
        <v>8</v>
      </c>
      <c r="D454" s="17">
        <f t="shared" si="32"/>
        <v>734.03</v>
      </c>
      <c r="E454" s="18" cm="1">
        <f t="array" ref="E454">_xlfn.IFS(
B454&lt;=recencyQ1, 4,
B454&lt;=recencyQ2, 3,
B454&lt;=recencyQ3, 2,
TRUE, 1
)</f>
        <v>2</v>
      </c>
      <c r="F454" s="18" cm="1">
        <f t="array" ref="F454">_xlfn.IFS(
C454&lt;=frequencyQ1, 1,
C454&lt;=frequencyQ2, 2,
C454&lt;=frequencyQ3, 3,
TRUE, 4)</f>
        <v>4</v>
      </c>
      <c r="G454" s="18" cm="1">
        <f t="array" ref="G454">_xlfn.IFS(
D454&lt;=monetaryQ1, 1,
D454&lt;=monetaryQ2, 2,
D454&lt;=monetaryQ3, 3,
TRUE, 4)</f>
        <v>4</v>
      </c>
      <c r="H454" s="18" t="str">
        <f t="shared" si="33"/>
        <v>244</v>
      </c>
      <c r="I454" s="19">
        <f t="shared" si="34"/>
        <v>3.3333333333333335</v>
      </c>
      <c r="J454" s="7" t="str" cm="1">
        <f t="array" ref="J454">_xlfn.IFS(
I454&gt;=Best_Customers, Best_Customers_name,
I454&gt;=Loyal_Customers, Loyal_Customers_name,
I454&gt;=Average_Customers, Average_Customers_name,
TRUE, Lost_Customers_name)</f>
        <v>Loyal Customers</v>
      </c>
    </row>
    <row r="455" spans="1:10" x14ac:dyDescent="0.25">
      <c r="A455" s="25" t="str">
        <v>CUST_0450</v>
      </c>
      <c r="B455" s="16">
        <f t="shared" si="30"/>
        <v>102</v>
      </c>
      <c r="C455" s="16">
        <f t="shared" si="31"/>
        <v>3</v>
      </c>
      <c r="D455" s="17">
        <f t="shared" si="32"/>
        <v>309.95</v>
      </c>
      <c r="E455" s="18" cm="1">
        <f t="array" ref="E455">_xlfn.IFS(
B455&lt;=recencyQ1, 4,
B455&lt;=recencyQ2, 3,
B455&lt;=recencyQ3, 2,
TRUE, 1
)</f>
        <v>1</v>
      </c>
      <c r="F455" s="18" cm="1">
        <f t="array" ref="F455">_xlfn.IFS(
C455&lt;=frequencyQ1, 1,
C455&lt;=frequencyQ2, 2,
C455&lt;=frequencyQ3, 3,
TRUE, 4)</f>
        <v>1</v>
      </c>
      <c r="G455" s="18" cm="1">
        <f t="array" ref="G455">_xlfn.IFS(
D455&lt;=monetaryQ1, 1,
D455&lt;=monetaryQ2, 2,
D455&lt;=monetaryQ3, 3,
TRUE, 4)</f>
        <v>1</v>
      </c>
      <c r="H455" s="18" t="str">
        <f t="shared" si="33"/>
        <v>111</v>
      </c>
      <c r="I455" s="19">
        <f t="shared" si="34"/>
        <v>1</v>
      </c>
      <c r="J455" s="7" t="str" cm="1">
        <f t="array" ref="J455">_xlfn.IFS(
I455&gt;=Best_Customers, Best_Customers_name,
I455&gt;=Loyal_Customers, Loyal_Customers_name,
I455&gt;=Average_Customers, Average_Customers_name,
TRUE, Lost_Customers_name)</f>
        <v>Lost Customers</v>
      </c>
    </row>
    <row r="456" spans="1:10" x14ac:dyDescent="0.25">
      <c r="A456" s="25" t="str">
        <v>CUST_0451</v>
      </c>
      <c r="B456" s="16">
        <f t="shared" si="30"/>
        <v>93</v>
      </c>
      <c r="C456" s="16">
        <f t="shared" si="31"/>
        <v>2</v>
      </c>
      <c r="D456" s="17">
        <f t="shared" si="32"/>
        <v>220.32</v>
      </c>
      <c r="E456" s="18" cm="1">
        <f t="array" ref="E456">_xlfn.IFS(
B456&lt;=recencyQ1, 4,
B456&lt;=recencyQ2, 3,
B456&lt;=recencyQ3, 2,
TRUE, 1
)</f>
        <v>2</v>
      </c>
      <c r="F456" s="18" cm="1">
        <f t="array" ref="F456">_xlfn.IFS(
C456&lt;=frequencyQ1, 1,
C456&lt;=frequencyQ2, 2,
C456&lt;=frequencyQ3, 3,
TRUE, 4)</f>
        <v>1</v>
      </c>
      <c r="G456" s="18" cm="1">
        <f t="array" ref="G456">_xlfn.IFS(
D456&lt;=monetaryQ1, 1,
D456&lt;=monetaryQ2, 2,
D456&lt;=monetaryQ3, 3,
TRUE, 4)</f>
        <v>1</v>
      </c>
      <c r="H456" s="18" t="str">
        <f t="shared" si="33"/>
        <v>211</v>
      </c>
      <c r="I456" s="19">
        <f t="shared" si="34"/>
        <v>1.3333333333333333</v>
      </c>
      <c r="J456" s="7" t="str" cm="1">
        <f t="array" ref="J456">_xlfn.IFS(
I456&gt;=Best_Customers, Best_Customers_name,
I456&gt;=Loyal_Customers, Loyal_Customers_name,
I456&gt;=Average_Customers, Average_Customers_name,
TRUE, Lost_Customers_name)</f>
        <v>Lost Customers</v>
      </c>
    </row>
    <row r="457" spans="1:10" x14ac:dyDescent="0.25">
      <c r="A457" s="25" t="str">
        <v>CUST_0452</v>
      </c>
      <c r="B457" s="16">
        <f t="shared" si="30"/>
        <v>15</v>
      </c>
      <c r="C457" s="16">
        <f t="shared" si="31"/>
        <v>6</v>
      </c>
      <c r="D457" s="17">
        <f t="shared" si="32"/>
        <v>504.17999999999995</v>
      </c>
      <c r="E457" s="18" cm="1">
        <f t="array" ref="E457">_xlfn.IFS(
B457&lt;=recencyQ1, 4,
B457&lt;=recencyQ2, 3,
B457&lt;=recencyQ3, 2,
TRUE, 1
)</f>
        <v>4</v>
      </c>
      <c r="F457" s="18" cm="1">
        <f t="array" ref="F457">_xlfn.IFS(
C457&lt;=frequencyQ1, 1,
C457&lt;=frequencyQ2, 2,
C457&lt;=frequencyQ3, 3,
TRUE, 4)</f>
        <v>3</v>
      </c>
      <c r="G457" s="18" cm="1">
        <f t="array" ref="G457">_xlfn.IFS(
D457&lt;=monetaryQ1, 1,
D457&lt;=monetaryQ2, 2,
D457&lt;=monetaryQ3, 3,
TRUE, 4)</f>
        <v>3</v>
      </c>
      <c r="H457" s="18" t="str">
        <f t="shared" si="33"/>
        <v>433</v>
      </c>
      <c r="I457" s="19">
        <f t="shared" si="34"/>
        <v>3.3333333333333335</v>
      </c>
      <c r="J457" s="7" t="str" cm="1">
        <f t="array" ref="J457">_xlfn.IFS(
I457&gt;=Best_Customers, Best_Customers_name,
I457&gt;=Loyal_Customers, Loyal_Customers_name,
I457&gt;=Average_Customers, Average_Customers_name,
TRUE, Lost_Customers_name)</f>
        <v>Loyal Customers</v>
      </c>
    </row>
    <row r="458" spans="1:10" x14ac:dyDescent="0.25">
      <c r="A458" s="25" t="str">
        <v>CUST_0453</v>
      </c>
      <c r="B458" s="16">
        <f t="shared" ref="B458:B521" si="35">analysis_date-_xlfn.MAXIFS(transaction_date,customer_id,A458,included,1)</f>
        <v>45</v>
      </c>
      <c r="C458" s="16">
        <f t="shared" ref="C458:C521" si="36">COUNTIFS(customer_id,A458,included,1)</f>
        <v>6</v>
      </c>
      <c r="D458" s="17">
        <f t="shared" ref="D458:D521" si="37">SUMIFS(transaction_amount,customer_id,A458,included,1)</f>
        <v>485.68</v>
      </c>
      <c r="E458" s="18" cm="1">
        <f t="array" ref="E458">_xlfn.IFS(
B458&lt;=recencyQ1, 4,
B458&lt;=recencyQ2, 3,
B458&lt;=recencyQ3, 2,
TRUE, 1
)</f>
        <v>3</v>
      </c>
      <c r="F458" s="18" cm="1">
        <f t="array" ref="F458">_xlfn.IFS(
C458&lt;=frequencyQ1, 1,
C458&lt;=frequencyQ2, 2,
C458&lt;=frequencyQ3, 3,
TRUE, 4)</f>
        <v>3</v>
      </c>
      <c r="G458" s="18" cm="1">
        <f t="array" ref="G458">_xlfn.IFS(
D458&lt;=monetaryQ1, 1,
D458&lt;=monetaryQ2, 2,
D458&lt;=monetaryQ3, 3,
TRUE, 4)</f>
        <v>3</v>
      </c>
      <c r="H458" s="18" t="str">
        <f t="shared" ref="H458:H521" si="38">E458&amp;F458&amp;G458</f>
        <v>333</v>
      </c>
      <c r="I458" s="19">
        <f t="shared" ref="I458:I521" si="39">AVERAGE(E458:G458)</f>
        <v>3</v>
      </c>
      <c r="J458" s="7" t="str" cm="1">
        <f t="array" ref="J458">_xlfn.IFS(
I458&gt;=Best_Customers, Best_Customers_name,
I458&gt;=Loyal_Customers, Loyal_Customers_name,
I458&gt;=Average_Customers, Average_Customers_name,
TRUE, Lost_Customers_name)</f>
        <v>Loyal Customers</v>
      </c>
    </row>
    <row r="459" spans="1:10" x14ac:dyDescent="0.25">
      <c r="A459" s="25" t="str">
        <v>CUST_0454</v>
      </c>
      <c r="B459" s="16">
        <f t="shared" si="35"/>
        <v>23</v>
      </c>
      <c r="C459" s="16">
        <f t="shared" si="36"/>
        <v>9</v>
      </c>
      <c r="D459" s="17">
        <f t="shared" si="37"/>
        <v>964.22000000000014</v>
      </c>
      <c r="E459" s="18" cm="1">
        <f t="array" ref="E459">_xlfn.IFS(
B459&lt;=recencyQ1, 4,
B459&lt;=recencyQ2, 3,
B459&lt;=recencyQ3, 2,
TRUE, 1
)</f>
        <v>3</v>
      </c>
      <c r="F459" s="18" cm="1">
        <f t="array" ref="F459">_xlfn.IFS(
C459&lt;=frequencyQ1, 1,
C459&lt;=frequencyQ2, 2,
C459&lt;=frequencyQ3, 3,
TRUE, 4)</f>
        <v>4</v>
      </c>
      <c r="G459" s="18" cm="1">
        <f t="array" ref="G459">_xlfn.IFS(
D459&lt;=monetaryQ1, 1,
D459&lt;=monetaryQ2, 2,
D459&lt;=monetaryQ3, 3,
TRUE, 4)</f>
        <v>4</v>
      </c>
      <c r="H459" s="18" t="str">
        <f t="shared" si="38"/>
        <v>344</v>
      </c>
      <c r="I459" s="19">
        <f t="shared" si="39"/>
        <v>3.6666666666666665</v>
      </c>
      <c r="J459" s="7" t="str" cm="1">
        <f t="array" ref="J459">_xlfn.IFS(
I459&gt;=Best_Customers, Best_Customers_name,
I459&gt;=Loyal_Customers, Loyal_Customers_name,
I459&gt;=Average_Customers, Average_Customers_name,
TRUE, Lost_Customers_name)</f>
        <v>Best Customers</v>
      </c>
    </row>
    <row r="460" spans="1:10" x14ac:dyDescent="0.25">
      <c r="A460" s="25" t="str">
        <v>CUST_0455</v>
      </c>
      <c r="B460" s="16">
        <f t="shared" si="35"/>
        <v>27</v>
      </c>
      <c r="C460" s="16">
        <f t="shared" si="36"/>
        <v>5</v>
      </c>
      <c r="D460" s="17">
        <f t="shared" si="37"/>
        <v>512.5</v>
      </c>
      <c r="E460" s="18" cm="1">
        <f t="array" ref="E460">_xlfn.IFS(
B460&lt;=recencyQ1, 4,
B460&lt;=recencyQ2, 3,
B460&lt;=recencyQ3, 2,
TRUE, 1
)</f>
        <v>3</v>
      </c>
      <c r="F460" s="18" cm="1">
        <f t="array" ref="F460">_xlfn.IFS(
C460&lt;=frequencyQ1, 1,
C460&lt;=frequencyQ2, 2,
C460&lt;=frequencyQ3, 3,
TRUE, 4)</f>
        <v>2</v>
      </c>
      <c r="G460" s="18" cm="1">
        <f t="array" ref="G460">_xlfn.IFS(
D460&lt;=monetaryQ1, 1,
D460&lt;=monetaryQ2, 2,
D460&lt;=monetaryQ3, 3,
TRUE, 4)</f>
        <v>3</v>
      </c>
      <c r="H460" s="18" t="str">
        <f t="shared" si="38"/>
        <v>323</v>
      </c>
      <c r="I460" s="19">
        <f t="shared" si="39"/>
        <v>2.6666666666666665</v>
      </c>
      <c r="J460" s="7" t="str" cm="1">
        <f t="array" ref="J460">_xlfn.IFS(
I460&gt;=Best_Customers, Best_Customers_name,
I460&gt;=Loyal_Customers, Loyal_Customers_name,
I460&gt;=Average_Customers, Average_Customers_name,
TRUE, Lost_Customers_name)</f>
        <v>Loyal Customers</v>
      </c>
    </row>
    <row r="461" spans="1:10" x14ac:dyDescent="0.25">
      <c r="A461" s="25" t="str">
        <v>CUST_0456</v>
      </c>
      <c r="B461" s="16">
        <f t="shared" si="35"/>
        <v>72</v>
      </c>
      <c r="C461" s="16">
        <f t="shared" si="36"/>
        <v>4</v>
      </c>
      <c r="D461" s="17">
        <f t="shared" si="37"/>
        <v>419.05000000000007</v>
      </c>
      <c r="E461" s="18" cm="1">
        <f t="array" ref="E461">_xlfn.IFS(
B461&lt;=recencyQ1, 4,
B461&lt;=recencyQ2, 3,
B461&lt;=recencyQ3, 2,
TRUE, 1
)</f>
        <v>2</v>
      </c>
      <c r="F461" s="18" cm="1">
        <f t="array" ref="F461">_xlfn.IFS(
C461&lt;=frequencyQ1, 1,
C461&lt;=frequencyQ2, 2,
C461&lt;=frequencyQ3, 3,
TRUE, 4)</f>
        <v>2</v>
      </c>
      <c r="G461" s="18" cm="1">
        <f t="array" ref="G461">_xlfn.IFS(
D461&lt;=monetaryQ1, 1,
D461&lt;=monetaryQ2, 2,
D461&lt;=monetaryQ3, 3,
TRUE, 4)</f>
        <v>2</v>
      </c>
      <c r="H461" s="18" t="str">
        <f t="shared" si="38"/>
        <v>222</v>
      </c>
      <c r="I461" s="19">
        <f t="shared" si="39"/>
        <v>2</v>
      </c>
      <c r="J461" s="7" t="str" cm="1">
        <f t="array" ref="J461">_xlfn.IFS(
I461&gt;=Best_Customers, Best_Customers_name,
I461&gt;=Loyal_Customers, Loyal_Customers_name,
I461&gt;=Average_Customers, Average_Customers_name,
TRUE, Lost_Customers_name)</f>
        <v>Average Customers</v>
      </c>
    </row>
    <row r="462" spans="1:10" x14ac:dyDescent="0.25">
      <c r="A462" s="25" t="str">
        <v>CUST_0457</v>
      </c>
      <c r="B462" s="16">
        <f t="shared" si="35"/>
        <v>302</v>
      </c>
      <c r="C462" s="16">
        <f t="shared" si="36"/>
        <v>2</v>
      </c>
      <c r="D462" s="17">
        <f t="shared" si="37"/>
        <v>221.81</v>
      </c>
      <c r="E462" s="18" cm="1">
        <f t="array" ref="E462">_xlfn.IFS(
B462&lt;=recencyQ1, 4,
B462&lt;=recencyQ2, 3,
B462&lt;=recencyQ3, 2,
TRUE, 1
)</f>
        <v>1</v>
      </c>
      <c r="F462" s="18" cm="1">
        <f t="array" ref="F462">_xlfn.IFS(
C462&lt;=frequencyQ1, 1,
C462&lt;=frequencyQ2, 2,
C462&lt;=frequencyQ3, 3,
TRUE, 4)</f>
        <v>1</v>
      </c>
      <c r="G462" s="18" cm="1">
        <f t="array" ref="G462">_xlfn.IFS(
D462&lt;=monetaryQ1, 1,
D462&lt;=monetaryQ2, 2,
D462&lt;=monetaryQ3, 3,
TRUE, 4)</f>
        <v>1</v>
      </c>
      <c r="H462" s="18" t="str">
        <f t="shared" si="38"/>
        <v>111</v>
      </c>
      <c r="I462" s="19">
        <f t="shared" si="39"/>
        <v>1</v>
      </c>
      <c r="J462" s="7" t="str" cm="1">
        <f t="array" ref="J462">_xlfn.IFS(
I462&gt;=Best_Customers, Best_Customers_name,
I462&gt;=Loyal_Customers, Loyal_Customers_name,
I462&gt;=Average_Customers, Average_Customers_name,
TRUE, Lost_Customers_name)</f>
        <v>Lost Customers</v>
      </c>
    </row>
    <row r="463" spans="1:10" x14ac:dyDescent="0.25">
      <c r="A463" s="25" t="str">
        <v>CUST_0458</v>
      </c>
      <c r="B463" s="16">
        <f t="shared" si="35"/>
        <v>52</v>
      </c>
      <c r="C463" s="16">
        <f t="shared" si="36"/>
        <v>7</v>
      </c>
      <c r="D463" s="17">
        <f t="shared" si="37"/>
        <v>759.06999999999994</v>
      </c>
      <c r="E463" s="18" cm="1">
        <f t="array" ref="E463">_xlfn.IFS(
B463&lt;=recencyQ1, 4,
B463&lt;=recencyQ2, 3,
B463&lt;=recencyQ3, 2,
TRUE, 1
)</f>
        <v>2</v>
      </c>
      <c r="F463" s="18" cm="1">
        <f t="array" ref="F463">_xlfn.IFS(
C463&lt;=frequencyQ1, 1,
C463&lt;=frequencyQ2, 2,
C463&lt;=frequencyQ3, 3,
TRUE, 4)</f>
        <v>4</v>
      </c>
      <c r="G463" s="18" cm="1">
        <f t="array" ref="G463">_xlfn.IFS(
D463&lt;=monetaryQ1, 1,
D463&lt;=monetaryQ2, 2,
D463&lt;=monetaryQ3, 3,
TRUE, 4)</f>
        <v>4</v>
      </c>
      <c r="H463" s="18" t="str">
        <f t="shared" si="38"/>
        <v>244</v>
      </c>
      <c r="I463" s="19">
        <f t="shared" si="39"/>
        <v>3.3333333333333335</v>
      </c>
      <c r="J463" s="7" t="str" cm="1">
        <f t="array" ref="J463">_xlfn.IFS(
I463&gt;=Best_Customers, Best_Customers_name,
I463&gt;=Loyal_Customers, Loyal_Customers_name,
I463&gt;=Average_Customers, Average_Customers_name,
TRUE, Lost_Customers_name)</f>
        <v>Loyal Customers</v>
      </c>
    </row>
    <row r="464" spans="1:10" x14ac:dyDescent="0.25">
      <c r="A464" s="25" t="str">
        <v>CUST_0459</v>
      </c>
      <c r="B464" s="16">
        <f t="shared" si="35"/>
        <v>34</v>
      </c>
      <c r="C464" s="16">
        <f t="shared" si="36"/>
        <v>7</v>
      </c>
      <c r="D464" s="17">
        <f t="shared" si="37"/>
        <v>787.69000000000017</v>
      </c>
      <c r="E464" s="18" cm="1">
        <f t="array" ref="E464">_xlfn.IFS(
B464&lt;=recencyQ1, 4,
B464&lt;=recencyQ2, 3,
B464&lt;=recencyQ3, 2,
TRUE, 1
)</f>
        <v>3</v>
      </c>
      <c r="F464" s="18" cm="1">
        <f t="array" ref="F464">_xlfn.IFS(
C464&lt;=frequencyQ1, 1,
C464&lt;=frequencyQ2, 2,
C464&lt;=frequencyQ3, 3,
TRUE, 4)</f>
        <v>4</v>
      </c>
      <c r="G464" s="18" cm="1">
        <f t="array" ref="G464">_xlfn.IFS(
D464&lt;=monetaryQ1, 1,
D464&lt;=monetaryQ2, 2,
D464&lt;=monetaryQ3, 3,
TRUE, 4)</f>
        <v>4</v>
      </c>
      <c r="H464" s="18" t="str">
        <f t="shared" si="38"/>
        <v>344</v>
      </c>
      <c r="I464" s="19">
        <f t="shared" si="39"/>
        <v>3.6666666666666665</v>
      </c>
      <c r="J464" s="7" t="str" cm="1">
        <f t="array" ref="J464">_xlfn.IFS(
I464&gt;=Best_Customers, Best_Customers_name,
I464&gt;=Loyal_Customers, Loyal_Customers_name,
I464&gt;=Average_Customers, Average_Customers_name,
TRUE, Lost_Customers_name)</f>
        <v>Best Customers</v>
      </c>
    </row>
    <row r="465" spans="1:10" x14ac:dyDescent="0.25">
      <c r="A465" s="25" t="str">
        <v>CUST_0460</v>
      </c>
      <c r="B465" s="16">
        <f t="shared" si="35"/>
        <v>31</v>
      </c>
      <c r="C465" s="16">
        <f t="shared" si="36"/>
        <v>4</v>
      </c>
      <c r="D465" s="17">
        <f t="shared" si="37"/>
        <v>361.89</v>
      </c>
      <c r="E465" s="18" cm="1">
        <f t="array" ref="E465">_xlfn.IFS(
B465&lt;=recencyQ1, 4,
B465&lt;=recencyQ2, 3,
B465&lt;=recencyQ3, 2,
TRUE, 1
)</f>
        <v>3</v>
      </c>
      <c r="F465" s="18" cm="1">
        <f t="array" ref="F465">_xlfn.IFS(
C465&lt;=frequencyQ1, 1,
C465&lt;=frequencyQ2, 2,
C465&lt;=frequencyQ3, 3,
TRUE, 4)</f>
        <v>2</v>
      </c>
      <c r="G465" s="18" cm="1">
        <f t="array" ref="G465">_xlfn.IFS(
D465&lt;=monetaryQ1, 1,
D465&lt;=monetaryQ2, 2,
D465&lt;=monetaryQ3, 3,
TRUE, 4)</f>
        <v>2</v>
      </c>
      <c r="H465" s="18" t="str">
        <f t="shared" si="38"/>
        <v>322</v>
      </c>
      <c r="I465" s="19">
        <f t="shared" si="39"/>
        <v>2.3333333333333335</v>
      </c>
      <c r="J465" s="7" t="str" cm="1">
        <f t="array" ref="J465">_xlfn.IFS(
I465&gt;=Best_Customers, Best_Customers_name,
I465&gt;=Loyal_Customers, Loyal_Customers_name,
I465&gt;=Average_Customers, Average_Customers_name,
TRUE, Lost_Customers_name)</f>
        <v>Average Customers</v>
      </c>
    </row>
    <row r="466" spans="1:10" x14ac:dyDescent="0.25">
      <c r="A466" s="25" t="str">
        <v>CUST_0461</v>
      </c>
      <c r="B466" s="16">
        <f t="shared" si="35"/>
        <v>101</v>
      </c>
      <c r="C466" s="16">
        <f t="shared" si="36"/>
        <v>4</v>
      </c>
      <c r="D466" s="17">
        <f t="shared" si="37"/>
        <v>432.78000000000003</v>
      </c>
      <c r="E466" s="18" cm="1">
        <f t="array" ref="E466">_xlfn.IFS(
B466&lt;=recencyQ1, 4,
B466&lt;=recencyQ2, 3,
B466&lt;=recencyQ3, 2,
TRUE, 1
)</f>
        <v>1</v>
      </c>
      <c r="F466" s="18" cm="1">
        <f t="array" ref="F466">_xlfn.IFS(
C466&lt;=frequencyQ1, 1,
C466&lt;=frequencyQ2, 2,
C466&lt;=frequencyQ3, 3,
TRUE, 4)</f>
        <v>2</v>
      </c>
      <c r="G466" s="18" cm="1">
        <f t="array" ref="G466">_xlfn.IFS(
D466&lt;=monetaryQ1, 1,
D466&lt;=monetaryQ2, 2,
D466&lt;=monetaryQ3, 3,
TRUE, 4)</f>
        <v>2</v>
      </c>
      <c r="H466" s="18" t="str">
        <f t="shared" si="38"/>
        <v>122</v>
      </c>
      <c r="I466" s="19">
        <f t="shared" si="39"/>
        <v>1.6666666666666667</v>
      </c>
      <c r="J466" s="7" t="str" cm="1">
        <f t="array" ref="J466">_xlfn.IFS(
I466&gt;=Best_Customers, Best_Customers_name,
I466&gt;=Loyal_Customers, Loyal_Customers_name,
I466&gt;=Average_Customers, Average_Customers_name,
TRUE, Lost_Customers_name)</f>
        <v>Average Customers</v>
      </c>
    </row>
    <row r="467" spans="1:10" x14ac:dyDescent="0.25">
      <c r="A467" s="25" t="str">
        <v>CUST_0462</v>
      </c>
      <c r="B467" s="16">
        <f t="shared" si="35"/>
        <v>67</v>
      </c>
      <c r="C467" s="16">
        <f t="shared" si="36"/>
        <v>6</v>
      </c>
      <c r="D467" s="17">
        <f t="shared" si="37"/>
        <v>670.21</v>
      </c>
      <c r="E467" s="18" cm="1">
        <f t="array" ref="E467">_xlfn.IFS(
B467&lt;=recencyQ1, 4,
B467&lt;=recencyQ2, 3,
B467&lt;=recencyQ3, 2,
TRUE, 1
)</f>
        <v>2</v>
      </c>
      <c r="F467" s="18" cm="1">
        <f t="array" ref="F467">_xlfn.IFS(
C467&lt;=frequencyQ1, 1,
C467&lt;=frequencyQ2, 2,
C467&lt;=frequencyQ3, 3,
TRUE, 4)</f>
        <v>3</v>
      </c>
      <c r="G467" s="18" cm="1">
        <f t="array" ref="G467">_xlfn.IFS(
D467&lt;=monetaryQ1, 1,
D467&lt;=monetaryQ2, 2,
D467&lt;=monetaryQ3, 3,
TRUE, 4)</f>
        <v>4</v>
      </c>
      <c r="H467" s="18" t="str">
        <f t="shared" si="38"/>
        <v>234</v>
      </c>
      <c r="I467" s="19">
        <f t="shared" si="39"/>
        <v>3</v>
      </c>
      <c r="J467" s="7" t="str" cm="1">
        <f t="array" ref="J467">_xlfn.IFS(
I467&gt;=Best_Customers, Best_Customers_name,
I467&gt;=Loyal_Customers, Loyal_Customers_name,
I467&gt;=Average_Customers, Average_Customers_name,
TRUE, Lost_Customers_name)</f>
        <v>Loyal Customers</v>
      </c>
    </row>
    <row r="468" spans="1:10" x14ac:dyDescent="0.25">
      <c r="A468" s="25" t="str">
        <v>CUST_0463</v>
      </c>
      <c r="B468" s="16">
        <f t="shared" si="35"/>
        <v>319</v>
      </c>
      <c r="C468" s="16">
        <f t="shared" si="36"/>
        <v>1</v>
      </c>
      <c r="D468" s="17">
        <f t="shared" si="37"/>
        <v>140.44999999999999</v>
      </c>
      <c r="E468" s="18" cm="1">
        <f t="array" ref="E468">_xlfn.IFS(
B468&lt;=recencyQ1, 4,
B468&lt;=recencyQ2, 3,
B468&lt;=recencyQ3, 2,
TRUE, 1
)</f>
        <v>1</v>
      </c>
      <c r="F468" s="18" cm="1">
        <f t="array" ref="F468">_xlfn.IFS(
C468&lt;=frequencyQ1, 1,
C468&lt;=frequencyQ2, 2,
C468&lt;=frequencyQ3, 3,
TRUE, 4)</f>
        <v>1</v>
      </c>
      <c r="G468" s="18" cm="1">
        <f t="array" ref="G468">_xlfn.IFS(
D468&lt;=monetaryQ1, 1,
D468&lt;=monetaryQ2, 2,
D468&lt;=monetaryQ3, 3,
TRUE, 4)</f>
        <v>1</v>
      </c>
      <c r="H468" s="18" t="str">
        <f t="shared" si="38"/>
        <v>111</v>
      </c>
      <c r="I468" s="19">
        <f t="shared" si="39"/>
        <v>1</v>
      </c>
      <c r="J468" s="7" t="str" cm="1">
        <f t="array" ref="J468">_xlfn.IFS(
I468&gt;=Best_Customers, Best_Customers_name,
I468&gt;=Loyal_Customers, Loyal_Customers_name,
I468&gt;=Average_Customers, Average_Customers_name,
TRUE, Lost_Customers_name)</f>
        <v>Lost Customers</v>
      </c>
    </row>
    <row r="469" spans="1:10" x14ac:dyDescent="0.25">
      <c r="A469" s="25" t="str">
        <v>CUST_0464</v>
      </c>
      <c r="B469" s="16">
        <f t="shared" si="35"/>
        <v>1</v>
      </c>
      <c r="C469" s="16">
        <f t="shared" si="36"/>
        <v>3</v>
      </c>
      <c r="D469" s="17">
        <f t="shared" si="37"/>
        <v>321.99</v>
      </c>
      <c r="E469" s="18" cm="1">
        <f t="array" ref="E469">_xlfn.IFS(
B469&lt;=recencyQ1, 4,
B469&lt;=recencyQ2, 3,
B469&lt;=recencyQ3, 2,
TRUE, 1
)</f>
        <v>4</v>
      </c>
      <c r="F469" s="18" cm="1">
        <f t="array" ref="F469">_xlfn.IFS(
C469&lt;=frequencyQ1, 1,
C469&lt;=frequencyQ2, 2,
C469&lt;=frequencyQ3, 3,
TRUE, 4)</f>
        <v>1</v>
      </c>
      <c r="G469" s="18" cm="1">
        <f t="array" ref="G469">_xlfn.IFS(
D469&lt;=monetaryQ1, 1,
D469&lt;=monetaryQ2, 2,
D469&lt;=monetaryQ3, 3,
TRUE, 4)</f>
        <v>2</v>
      </c>
      <c r="H469" s="18" t="str">
        <f t="shared" si="38"/>
        <v>412</v>
      </c>
      <c r="I469" s="19">
        <f t="shared" si="39"/>
        <v>2.3333333333333335</v>
      </c>
      <c r="J469" s="7" t="str" cm="1">
        <f t="array" ref="J469">_xlfn.IFS(
I469&gt;=Best_Customers, Best_Customers_name,
I469&gt;=Loyal_Customers, Loyal_Customers_name,
I469&gt;=Average_Customers, Average_Customers_name,
TRUE, Lost_Customers_name)</f>
        <v>Average Customers</v>
      </c>
    </row>
    <row r="470" spans="1:10" x14ac:dyDescent="0.25">
      <c r="A470" s="25" t="str">
        <v>CUST_0465</v>
      </c>
      <c r="B470" s="16">
        <f t="shared" si="35"/>
        <v>4</v>
      </c>
      <c r="C470" s="16">
        <f t="shared" si="36"/>
        <v>5</v>
      </c>
      <c r="D470" s="17">
        <f t="shared" si="37"/>
        <v>600.83000000000004</v>
      </c>
      <c r="E470" s="18" cm="1">
        <f t="array" ref="E470">_xlfn.IFS(
B470&lt;=recencyQ1, 4,
B470&lt;=recencyQ2, 3,
B470&lt;=recencyQ3, 2,
TRUE, 1
)</f>
        <v>4</v>
      </c>
      <c r="F470" s="18" cm="1">
        <f t="array" ref="F470">_xlfn.IFS(
C470&lt;=frequencyQ1, 1,
C470&lt;=frequencyQ2, 2,
C470&lt;=frequencyQ3, 3,
TRUE, 4)</f>
        <v>2</v>
      </c>
      <c r="G470" s="18" cm="1">
        <f t="array" ref="G470">_xlfn.IFS(
D470&lt;=monetaryQ1, 1,
D470&lt;=monetaryQ2, 2,
D470&lt;=monetaryQ3, 3,
TRUE, 4)</f>
        <v>3</v>
      </c>
      <c r="H470" s="18" t="str">
        <f t="shared" si="38"/>
        <v>423</v>
      </c>
      <c r="I470" s="19">
        <f t="shared" si="39"/>
        <v>3</v>
      </c>
      <c r="J470" s="7" t="str" cm="1">
        <f t="array" ref="J470">_xlfn.IFS(
I470&gt;=Best_Customers, Best_Customers_name,
I470&gt;=Loyal_Customers, Loyal_Customers_name,
I470&gt;=Average_Customers, Average_Customers_name,
TRUE, Lost_Customers_name)</f>
        <v>Loyal Customers</v>
      </c>
    </row>
    <row r="471" spans="1:10" x14ac:dyDescent="0.25">
      <c r="A471" s="25" t="str">
        <v>CUST_0466</v>
      </c>
      <c r="B471" s="16">
        <f t="shared" si="35"/>
        <v>42</v>
      </c>
      <c r="C471" s="16">
        <f t="shared" si="36"/>
        <v>7</v>
      </c>
      <c r="D471" s="17">
        <f t="shared" si="37"/>
        <v>738.04</v>
      </c>
      <c r="E471" s="18" cm="1">
        <f t="array" ref="E471">_xlfn.IFS(
B471&lt;=recencyQ1, 4,
B471&lt;=recencyQ2, 3,
B471&lt;=recencyQ3, 2,
TRUE, 1
)</f>
        <v>3</v>
      </c>
      <c r="F471" s="18" cm="1">
        <f t="array" ref="F471">_xlfn.IFS(
C471&lt;=frequencyQ1, 1,
C471&lt;=frequencyQ2, 2,
C471&lt;=frequencyQ3, 3,
TRUE, 4)</f>
        <v>4</v>
      </c>
      <c r="G471" s="18" cm="1">
        <f t="array" ref="G471">_xlfn.IFS(
D471&lt;=monetaryQ1, 1,
D471&lt;=monetaryQ2, 2,
D471&lt;=monetaryQ3, 3,
TRUE, 4)</f>
        <v>4</v>
      </c>
      <c r="H471" s="18" t="str">
        <f t="shared" si="38"/>
        <v>344</v>
      </c>
      <c r="I471" s="19">
        <f t="shared" si="39"/>
        <v>3.6666666666666665</v>
      </c>
      <c r="J471" s="7" t="str" cm="1">
        <f t="array" ref="J471">_xlfn.IFS(
I471&gt;=Best_Customers, Best_Customers_name,
I471&gt;=Loyal_Customers, Loyal_Customers_name,
I471&gt;=Average_Customers, Average_Customers_name,
TRUE, Lost_Customers_name)</f>
        <v>Best Customers</v>
      </c>
    </row>
    <row r="472" spans="1:10" x14ac:dyDescent="0.25">
      <c r="A472" s="25" t="str">
        <v>CUST_0467</v>
      </c>
      <c r="B472" s="16">
        <f t="shared" si="35"/>
        <v>55</v>
      </c>
      <c r="C472" s="16">
        <f t="shared" si="36"/>
        <v>2</v>
      </c>
      <c r="D472" s="17">
        <f t="shared" si="37"/>
        <v>250.6</v>
      </c>
      <c r="E472" s="18" cm="1">
        <f t="array" ref="E472">_xlfn.IFS(
B472&lt;=recencyQ1, 4,
B472&lt;=recencyQ2, 3,
B472&lt;=recencyQ3, 2,
TRUE, 1
)</f>
        <v>2</v>
      </c>
      <c r="F472" s="18" cm="1">
        <f t="array" ref="F472">_xlfn.IFS(
C472&lt;=frequencyQ1, 1,
C472&lt;=frequencyQ2, 2,
C472&lt;=frequencyQ3, 3,
TRUE, 4)</f>
        <v>1</v>
      </c>
      <c r="G472" s="18" cm="1">
        <f t="array" ref="G472">_xlfn.IFS(
D472&lt;=monetaryQ1, 1,
D472&lt;=monetaryQ2, 2,
D472&lt;=monetaryQ3, 3,
TRUE, 4)</f>
        <v>1</v>
      </c>
      <c r="H472" s="18" t="str">
        <f t="shared" si="38"/>
        <v>211</v>
      </c>
      <c r="I472" s="19">
        <f t="shared" si="39"/>
        <v>1.3333333333333333</v>
      </c>
      <c r="J472" s="7" t="str" cm="1">
        <f t="array" ref="J472">_xlfn.IFS(
I472&gt;=Best_Customers, Best_Customers_name,
I472&gt;=Loyal_Customers, Loyal_Customers_name,
I472&gt;=Average_Customers, Average_Customers_name,
TRUE, Lost_Customers_name)</f>
        <v>Lost Customers</v>
      </c>
    </row>
    <row r="473" spans="1:10" x14ac:dyDescent="0.25">
      <c r="A473" s="25" t="str">
        <v>CUST_0468</v>
      </c>
      <c r="B473" s="16">
        <f t="shared" si="35"/>
        <v>163</v>
      </c>
      <c r="C473" s="16">
        <f t="shared" si="36"/>
        <v>5</v>
      </c>
      <c r="D473" s="17">
        <f t="shared" si="37"/>
        <v>649.57000000000005</v>
      </c>
      <c r="E473" s="18" cm="1">
        <f t="array" ref="E473">_xlfn.IFS(
B473&lt;=recencyQ1, 4,
B473&lt;=recencyQ2, 3,
B473&lt;=recencyQ3, 2,
TRUE, 1
)</f>
        <v>1</v>
      </c>
      <c r="F473" s="18" cm="1">
        <f t="array" ref="F473">_xlfn.IFS(
C473&lt;=frequencyQ1, 1,
C473&lt;=frequencyQ2, 2,
C473&lt;=frequencyQ3, 3,
TRUE, 4)</f>
        <v>2</v>
      </c>
      <c r="G473" s="18" cm="1">
        <f t="array" ref="G473">_xlfn.IFS(
D473&lt;=monetaryQ1, 1,
D473&lt;=monetaryQ2, 2,
D473&lt;=monetaryQ3, 3,
TRUE, 4)</f>
        <v>3</v>
      </c>
      <c r="H473" s="18" t="str">
        <f t="shared" si="38"/>
        <v>123</v>
      </c>
      <c r="I473" s="19">
        <f t="shared" si="39"/>
        <v>2</v>
      </c>
      <c r="J473" s="7" t="str" cm="1">
        <f t="array" ref="J473">_xlfn.IFS(
I473&gt;=Best_Customers, Best_Customers_name,
I473&gt;=Loyal_Customers, Loyal_Customers_name,
I473&gt;=Average_Customers, Average_Customers_name,
TRUE, Lost_Customers_name)</f>
        <v>Average Customers</v>
      </c>
    </row>
    <row r="474" spans="1:10" x14ac:dyDescent="0.25">
      <c r="A474" s="25" t="str">
        <v>CUST_0469</v>
      </c>
      <c r="B474" s="16">
        <f t="shared" si="35"/>
        <v>49</v>
      </c>
      <c r="C474" s="16">
        <f t="shared" si="36"/>
        <v>3</v>
      </c>
      <c r="D474" s="17">
        <f t="shared" si="37"/>
        <v>304.13</v>
      </c>
      <c r="E474" s="18" cm="1">
        <f t="array" ref="E474">_xlfn.IFS(
B474&lt;=recencyQ1, 4,
B474&lt;=recencyQ2, 3,
B474&lt;=recencyQ3, 2,
TRUE, 1
)</f>
        <v>2</v>
      </c>
      <c r="F474" s="18" cm="1">
        <f t="array" ref="F474">_xlfn.IFS(
C474&lt;=frequencyQ1, 1,
C474&lt;=frequencyQ2, 2,
C474&lt;=frequencyQ3, 3,
TRUE, 4)</f>
        <v>1</v>
      </c>
      <c r="G474" s="18" cm="1">
        <f t="array" ref="G474">_xlfn.IFS(
D474&lt;=monetaryQ1, 1,
D474&lt;=monetaryQ2, 2,
D474&lt;=monetaryQ3, 3,
TRUE, 4)</f>
        <v>1</v>
      </c>
      <c r="H474" s="18" t="str">
        <f t="shared" si="38"/>
        <v>211</v>
      </c>
      <c r="I474" s="19">
        <f t="shared" si="39"/>
        <v>1.3333333333333333</v>
      </c>
      <c r="J474" s="7" t="str" cm="1">
        <f t="array" ref="J474">_xlfn.IFS(
I474&gt;=Best_Customers, Best_Customers_name,
I474&gt;=Loyal_Customers, Loyal_Customers_name,
I474&gt;=Average_Customers, Average_Customers_name,
TRUE, Lost_Customers_name)</f>
        <v>Lost Customers</v>
      </c>
    </row>
    <row r="475" spans="1:10" x14ac:dyDescent="0.25">
      <c r="A475" s="25" t="str">
        <v>CUST_0470</v>
      </c>
      <c r="B475" s="16">
        <f t="shared" si="35"/>
        <v>110</v>
      </c>
      <c r="C475" s="16">
        <f t="shared" si="36"/>
        <v>5</v>
      </c>
      <c r="D475" s="17">
        <f t="shared" si="37"/>
        <v>512.11</v>
      </c>
      <c r="E475" s="18" cm="1">
        <f t="array" ref="E475">_xlfn.IFS(
B475&lt;=recencyQ1, 4,
B475&lt;=recencyQ2, 3,
B475&lt;=recencyQ3, 2,
TRUE, 1
)</f>
        <v>1</v>
      </c>
      <c r="F475" s="18" cm="1">
        <f t="array" ref="F475">_xlfn.IFS(
C475&lt;=frequencyQ1, 1,
C475&lt;=frequencyQ2, 2,
C475&lt;=frequencyQ3, 3,
TRUE, 4)</f>
        <v>2</v>
      </c>
      <c r="G475" s="18" cm="1">
        <f t="array" ref="G475">_xlfn.IFS(
D475&lt;=monetaryQ1, 1,
D475&lt;=monetaryQ2, 2,
D475&lt;=monetaryQ3, 3,
TRUE, 4)</f>
        <v>3</v>
      </c>
      <c r="H475" s="18" t="str">
        <f t="shared" si="38"/>
        <v>123</v>
      </c>
      <c r="I475" s="19">
        <f t="shared" si="39"/>
        <v>2</v>
      </c>
      <c r="J475" s="7" t="str" cm="1">
        <f t="array" ref="J475">_xlfn.IFS(
I475&gt;=Best_Customers, Best_Customers_name,
I475&gt;=Loyal_Customers, Loyal_Customers_name,
I475&gt;=Average_Customers, Average_Customers_name,
TRUE, Lost_Customers_name)</f>
        <v>Average Customers</v>
      </c>
    </row>
    <row r="476" spans="1:10" x14ac:dyDescent="0.25">
      <c r="A476" s="25" t="str">
        <v>CUST_0471</v>
      </c>
      <c r="B476" s="16">
        <f t="shared" si="35"/>
        <v>18</v>
      </c>
      <c r="C476" s="16">
        <f t="shared" si="36"/>
        <v>3</v>
      </c>
      <c r="D476" s="17">
        <f t="shared" si="37"/>
        <v>292.76</v>
      </c>
      <c r="E476" s="18" cm="1">
        <f t="array" ref="E476">_xlfn.IFS(
B476&lt;=recencyQ1, 4,
B476&lt;=recencyQ2, 3,
B476&lt;=recencyQ3, 2,
TRUE, 1
)</f>
        <v>4</v>
      </c>
      <c r="F476" s="18" cm="1">
        <f t="array" ref="F476">_xlfn.IFS(
C476&lt;=frequencyQ1, 1,
C476&lt;=frequencyQ2, 2,
C476&lt;=frequencyQ3, 3,
TRUE, 4)</f>
        <v>1</v>
      </c>
      <c r="G476" s="18" cm="1">
        <f t="array" ref="G476">_xlfn.IFS(
D476&lt;=monetaryQ1, 1,
D476&lt;=monetaryQ2, 2,
D476&lt;=monetaryQ3, 3,
TRUE, 4)</f>
        <v>1</v>
      </c>
      <c r="H476" s="18" t="str">
        <f t="shared" si="38"/>
        <v>411</v>
      </c>
      <c r="I476" s="19">
        <f t="shared" si="39"/>
        <v>2</v>
      </c>
      <c r="J476" s="7" t="str" cm="1">
        <f t="array" ref="J476">_xlfn.IFS(
I476&gt;=Best_Customers, Best_Customers_name,
I476&gt;=Loyal_Customers, Loyal_Customers_name,
I476&gt;=Average_Customers, Average_Customers_name,
TRUE, Lost_Customers_name)</f>
        <v>Average Customers</v>
      </c>
    </row>
    <row r="477" spans="1:10" x14ac:dyDescent="0.25">
      <c r="A477" s="25" t="str">
        <v>CUST_0472</v>
      </c>
      <c r="B477" s="16">
        <f t="shared" si="35"/>
        <v>7</v>
      </c>
      <c r="C477" s="16">
        <f t="shared" si="36"/>
        <v>5</v>
      </c>
      <c r="D477" s="17">
        <f t="shared" si="37"/>
        <v>434.72</v>
      </c>
      <c r="E477" s="18" cm="1">
        <f t="array" ref="E477">_xlfn.IFS(
B477&lt;=recencyQ1, 4,
B477&lt;=recencyQ2, 3,
B477&lt;=recencyQ3, 2,
TRUE, 1
)</f>
        <v>4</v>
      </c>
      <c r="F477" s="18" cm="1">
        <f t="array" ref="F477">_xlfn.IFS(
C477&lt;=frequencyQ1, 1,
C477&lt;=frequencyQ2, 2,
C477&lt;=frequencyQ3, 3,
TRUE, 4)</f>
        <v>2</v>
      </c>
      <c r="G477" s="18" cm="1">
        <f t="array" ref="G477">_xlfn.IFS(
D477&lt;=monetaryQ1, 1,
D477&lt;=monetaryQ2, 2,
D477&lt;=monetaryQ3, 3,
TRUE, 4)</f>
        <v>2</v>
      </c>
      <c r="H477" s="18" t="str">
        <f t="shared" si="38"/>
        <v>422</v>
      </c>
      <c r="I477" s="19">
        <f t="shared" si="39"/>
        <v>2.6666666666666665</v>
      </c>
      <c r="J477" s="7" t="str" cm="1">
        <f t="array" ref="J477">_xlfn.IFS(
I477&gt;=Best_Customers, Best_Customers_name,
I477&gt;=Loyal_Customers, Loyal_Customers_name,
I477&gt;=Average_Customers, Average_Customers_name,
TRUE, Lost_Customers_name)</f>
        <v>Loyal Customers</v>
      </c>
    </row>
    <row r="478" spans="1:10" x14ac:dyDescent="0.25">
      <c r="A478" s="25" t="str">
        <v>CUST_0473</v>
      </c>
      <c r="B478" s="16">
        <f t="shared" si="35"/>
        <v>133</v>
      </c>
      <c r="C478" s="16">
        <f t="shared" si="36"/>
        <v>6</v>
      </c>
      <c r="D478" s="17">
        <f t="shared" si="37"/>
        <v>742.93999999999994</v>
      </c>
      <c r="E478" s="18" cm="1">
        <f t="array" ref="E478">_xlfn.IFS(
B478&lt;=recencyQ1, 4,
B478&lt;=recencyQ2, 3,
B478&lt;=recencyQ3, 2,
TRUE, 1
)</f>
        <v>1</v>
      </c>
      <c r="F478" s="18" cm="1">
        <f t="array" ref="F478">_xlfn.IFS(
C478&lt;=frequencyQ1, 1,
C478&lt;=frequencyQ2, 2,
C478&lt;=frequencyQ3, 3,
TRUE, 4)</f>
        <v>3</v>
      </c>
      <c r="G478" s="18" cm="1">
        <f t="array" ref="G478">_xlfn.IFS(
D478&lt;=monetaryQ1, 1,
D478&lt;=monetaryQ2, 2,
D478&lt;=monetaryQ3, 3,
TRUE, 4)</f>
        <v>4</v>
      </c>
      <c r="H478" s="18" t="str">
        <f t="shared" si="38"/>
        <v>134</v>
      </c>
      <c r="I478" s="19">
        <f t="shared" si="39"/>
        <v>2.6666666666666665</v>
      </c>
      <c r="J478" s="7" t="str" cm="1">
        <f t="array" ref="J478">_xlfn.IFS(
I478&gt;=Best_Customers, Best_Customers_name,
I478&gt;=Loyal_Customers, Loyal_Customers_name,
I478&gt;=Average_Customers, Average_Customers_name,
TRUE, Lost_Customers_name)</f>
        <v>Loyal Customers</v>
      </c>
    </row>
    <row r="479" spans="1:10" x14ac:dyDescent="0.25">
      <c r="A479" s="25" t="str">
        <v>CUST_0474</v>
      </c>
      <c r="B479" s="16">
        <f t="shared" si="35"/>
        <v>82</v>
      </c>
      <c r="C479" s="16">
        <f t="shared" si="36"/>
        <v>4</v>
      </c>
      <c r="D479" s="17">
        <f t="shared" si="37"/>
        <v>420.78999999999996</v>
      </c>
      <c r="E479" s="18" cm="1">
        <f t="array" ref="E479">_xlfn.IFS(
B479&lt;=recencyQ1, 4,
B479&lt;=recencyQ2, 3,
B479&lt;=recencyQ3, 2,
TRUE, 1
)</f>
        <v>2</v>
      </c>
      <c r="F479" s="18" cm="1">
        <f t="array" ref="F479">_xlfn.IFS(
C479&lt;=frequencyQ1, 1,
C479&lt;=frequencyQ2, 2,
C479&lt;=frequencyQ3, 3,
TRUE, 4)</f>
        <v>2</v>
      </c>
      <c r="G479" s="18" cm="1">
        <f t="array" ref="G479">_xlfn.IFS(
D479&lt;=monetaryQ1, 1,
D479&lt;=monetaryQ2, 2,
D479&lt;=monetaryQ3, 3,
TRUE, 4)</f>
        <v>2</v>
      </c>
      <c r="H479" s="18" t="str">
        <f t="shared" si="38"/>
        <v>222</v>
      </c>
      <c r="I479" s="19">
        <f t="shared" si="39"/>
        <v>2</v>
      </c>
      <c r="J479" s="7" t="str" cm="1">
        <f t="array" ref="J479">_xlfn.IFS(
I479&gt;=Best_Customers, Best_Customers_name,
I479&gt;=Loyal_Customers, Loyal_Customers_name,
I479&gt;=Average_Customers, Average_Customers_name,
TRUE, Lost_Customers_name)</f>
        <v>Average Customers</v>
      </c>
    </row>
    <row r="480" spans="1:10" x14ac:dyDescent="0.25">
      <c r="A480" s="25" t="str">
        <v>CUST_0475</v>
      </c>
      <c r="B480" s="16">
        <f t="shared" si="35"/>
        <v>38</v>
      </c>
      <c r="C480" s="16">
        <f t="shared" si="36"/>
        <v>11</v>
      </c>
      <c r="D480" s="17">
        <f t="shared" si="37"/>
        <v>1020.1300000000001</v>
      </c>
      <c r="E480" s="18" cm="1">
        <f t="array" ref="E480">_xlfn.IFS(
B480&lt;=recencyQ1, 4,
B480&lt;=recencyQ2, 3,
B480&lt;=recencyQ3, 2,
TRUE, 1
)</f>
        <v>3</v>
      </c>
      <c r="F480" s="18" cm="1">
        <f t="array" ref="F480">_xlfn.IFS(
C480&lt;=frequencyQ1, 1,
C480&lt;=frequencyQ2, 2,
C480&lt;=frequencyQ3, 3,
TRUE, 4)</f>
        <v>4</v>
      </c>
      <c r="G480" s="18" cm="1">
        <f t="array" ref="G480">_xlfn.IFS(
D480&lt;=monetaryQ1, 1,
D480&lt;=monetaryQ2, 2,
D480&lt;=monetaryQ3, 3,
TRUE, 4)</f>
        <v>4</v>
      </c>
      <c r="H480" s="18" t="str">
        <f t="shared" si="38"/>
        <v>344</v>
      </c>
      <c r="I480" s="19">
        <f t="shared" si="39"/>
        <v>3.6666666666666665</v>
      </c>
      <c r="J480" s="7" t="str" cm="1">
        <f t="array" ref="J480">_xlfn.IFS(
I480&gt;=Best_Customers, Best_Customers_name,
I480&gt;=Loyal_Customers, Loyal_Customers_name,
I480&gt;=Average_Customers, Average_Customers_name,
TRUE, Lost_Customers_name)</f>
        <v>Best Customers</v>
      </c>
    </row>
    <row r="481" spans="1:10" x14ac:dyDescent="0.25">
      <c r="A481" s="25" t="str">
        <v>CUST_0476</v>
      </c>
      <c r="B481" s="16">
        <f t="shared" si="35"/>
        <v>23</v>
      </c>
      <c r="C481" s="16">
        <f t="shared" si="36"/>
        <v>9</v>
      </c>
      <c r="D481" s="17">
        <f t="shared" si="37"/>
        <v>1012.86</v>
      </c>
      <c r="E481" s="18" cm="1">
        <f t="array" ref="E481">_xlfn.IFS(
B481&lt;=recencyQ1, 4,
B481&lt;=recencyQ2, 3,
B481&lt;=recencyQ3, 2,
TRUE, 1
)</f>
        <v>3</v>
      </c>
      <c r="F481" s="18" cm="1">
        <f t="array" ref="F481">_xlfn.IFS(
C481&lt;=frequencyQ1, 1,
C481&lt;=frequencyQ2, 2,
C481&lt;=frequencyQ3, 3,
TRUE, 4)</f>
        <v>4</v>
      </c>
      <c r="G481" s="18" cm="1">
        <f t="array" ref="G481">_xlfn.IFS(
D481&lt;=monetaryQ1, 1,
D481&lt;=monetaryQ2, 2,
D481&lt;=monetaryQ3, 3,
TRUE, 4)</f>
        <v>4</v>
      </c>
      <c r="H481" s="18" t="str">
        <f t="shared" si="38"/>
        <v>344</v>
      </c>
      <c r="I481" s="19">
        <f t="shared" si="39"/>
        <v>3.6666666666666665</v>
      </c>
      <c r="J481" s="7" t="str" cm="1">
        <f t="array" ref="J481">_xlfn.IFS(
I481&gt;=Best_Customers, Best_Customers_name,
I481&gt;=Loyal_Customers, Loyal_Customers_name,
I481&gt;=Average_Customers, Average_Customers_name,
TRUE, Lost_Customers_name)</f>
        <v>Best Customers</v>
      </c>
    </row>
    <row r="482" spans="1:10" x14ac:dyDescent="0.25">
      <c r="A482" s="25" t="str">
        <v>CUST_0477</v>
      </c>
      <c r="B482" s="16">
        <f t="shared" si="35"/>
        <v>71</v>
      </c>
      <c r="C482" s="16">
        <f t="shared" si="36"/>
        <v>3</v>
      </c>
      <c r="D482" s="17">
        <f t="shared" si="37"/>
        <v>234.79000000000002</v>
      </c>
      <c r="E482" s="18" cm="1">
        <f t="array" ref="E482">_xlfn.IFS(
B482&lt;=recencyQ1, 4,
B482&lt;=recencyQ2, 3,
B482&lt;=recencyQ3, 2,
TRUE, 1
)</f>
        <v>2</v>
      </c>
      <c r="F482" s="18" cm="1">
        <f t="array" ref="F482">_xlfn.IFS(
C482&lt;=frequencyQ1, 1,
C482&lt;=frequencyQ2, 2,
C482&lt;=frequencyQ3, 3,
TRUE, 4)</f>
        <v>1</v>
      </c>
      <c r="G482" s="18" cm="1">
        <f t="array" ref="G482">_xlfn.IFS(
D482&lt;=monetaryQ1, 1,
D482&lt;=monetaryQ2, 2,
D482&lt;=monetaryQ3, 3,
TRUE, 4)</f>
        <v>1</v>
      </c>
      <c r="H482" s="18" t="str">
        <f t="shared" si="38"/>
        <v>211</v>
      </c>
      <c r="I482" s="19">
        <f t="shared" si="39"/>
        <v>1.3333333333333333</v>
      </c>
      <c r="J482" s="7" t="str" cm="1">
        <f t="array" ref="J482">_xlfn.IFS(
I482&gt;=Best_Customers, Best_Customers_name,
I482&gt;=Loyal_Customers, Loyal_Customers_name,
I482&gt;=Average_Customers, Average_Customers_name,
TRUE, Lost_Customers_name)</f>
        <v>Lost Customers</v>
      </c>
    </row>
    <row r="483" spans="1:10" x14ac:dyDescent="0.25">
      <c r="A483" s="25" t="str">
        <v>CUST_0478</v>
      </c>
      <c r="B483" s="16">
        <f t="shared" si="35"/>
        <v>189</v>
      </c>
      <c r="C483" s="16">
        <f t="shared" si="36"/>
        <v>1</v>
      </c>
      <c r="D483" s="17">
        <f t="shared" si="37"/>
        <v>126.97</v>
      </c>
      <c r="E483" s="18" cm="1">
        <f t="array" ref="E483">_xlfn.IFS(
B483&lt;=recencyQ1, 4,
B483&lt;=recencyQ2, 3,
B483&lt;=recencyQ3, 2,
TRUE, 1
)</f>
        <v>1</v>
      </c>
      <c r="F483" s="18" cm="1">
        <f t="array" ref="F483">_xlfn.IFS(
C483&lt;=frequencyQ1, 1,
C483&lt;=frequencyQ2, 2,
C483&lt;=frequencyQ3, 3,
TRUE, 4)</f>
        <v>1</v>
      </c>
      <c r="G483" s="18" cm="1">
        <f t="array" ref="G483">_xlfn.IFS(
D483&lt;=monetaryQ1, 1,
D483&lt;=monetaryQ2, 2,
D483&lt;=monetaryQ3, 3,
TRUE, 4)</f>
        <v>1</v>
      </c>
      <c r="H483" s="18" t="str">
        <f t="shared" si="38"/>
        <v>111</v>
      </c>
      <c r="I483" s="19">
        <f t="shared" si="39"/>
        <v>1</v>
      </c>
      <c r="J483" s="7" t="str" cm="1">
        <f t="array" ref="J483">_xlfn.IFS(
I483&gt;=Best_Customers, Best_Customers_name,
I483&gt;=Loyal_Customers, Loyal_Customers_name,
I483&gt;=Average_Customers, Average_Customers_name,
TRUE, Lost_Customers_name)</f>
        <v>Lost Customers</v>
      </c>
    </row>
    <row r="484" spans="1:10" x14ac:dyDescent="0.25">
      <c r="A484" s="25" t="str">
        <v>CUST_0479</v>
      </c>
      <c r="B484" s="16">
        <f t="shared" si="35"/>
        <v>199</v>
      </c>
      <c r="C484" s="16">
        <f t="shared" si="36"/>
        <v>2</v>
      </c>
      <c r="D484" s="17">
        <f t="shared" si="37"/>
        <v>170.16</v>
      </c>
      <c r="E484" s="18" cm="1">
        <f t="array" ref="E484">_xlfn.IFS(
B484&lt;=recencyQ1, 4,
B484&lt;=recencyQ2, 3,
B484&lt;=recencyQ3, 2,
TRUE, 1
)</f>
        <v>1</v>
      </c>
      <c r="F484" s="18" cm="1">
        <f t="array" ref="F484">_xlfn.IFS(
C484&lt;=frequencyQ1, 1,
C484&lt;=frequencyQ2, 2,
C484&lt;=frequencyQ3, 3,
TRUE, 4)</f>
        <v>1</v>
      </c>
      <c r="G484" s="18" cm="1">
        <f t="array" ref="G484">_xlfn.IFS(
D484&lt;=monetaryQ1, 1,
D484&lt;=monetaryQ2, 2,
D484&lt;=monetaryQ3, 3,
TRUE, 4)</f>
        <v>1</v>
      </c>
      <c r="H484" s="18" t="str">
        <f t="shared" si="38"/>
        <v>111</v>
      </c>
      <c r="I484" s="19">
        <f t="shared" si="39"/>
        <v>1</v>
      </c>
      <c r="J484" s="7" t="str" cm="1">
        <f t="array" ref="J484">_xlfn.IFS(
I484&gt;=Best_Customers, Best_Customers_name,
I484&gt;=Loyal_Customers, Loyal_Customers_name,
I484&gt;=Average_Customers, Average_Customers_name,
TRUE, Lost_Customers_name)</f>
        <v>Lost Customers</v>
      </c>
    </row>
    <row r="485" spans="1:10" x14ac:dyDescent="0.25">
      <c r="A485" s="25" t="str">
        <v>CUST_0480</v>
      </c>
      <c r="B485" s="16">
        <f t="shared" si="35"/>
        <v>131</v>
      </c>
      <c r="C485" s="16">
        <f t="shared" si="36"/>
        <v>4</v>
      </c>
      <c r="D485" s="17">
        <f t="shared" si="37"/>
        <v>418.46000000000004</v>
      </c>
      <c r="E485" s="18" cm="1">
        <f t="array" ref="E485">_xlfn.IFS(
B485&lt;=recencyQ1, 4,
B485&lt;=recencyQ2, 3,
B485&lt;=recencyQ3, 2,
TRUE, 1
)</f>
        <v>1</v>
      </c>
      <c r="F485" s="18" cm="1">
        <f t="array" ref="F485">_xlfn.IFS(
C485&lt;=frequencyQ1, 1,
C485&lt;=frequencyQ2, 2,
C485&lt;=frequencyQ3, 3,
TRUE, 4)</f>
        <v>2</v>
      </c>
      <c r="G485" s="18" cm="1">
        <f t="array" ref="G485">_xlfn.IFS(
D485&lt;=monetaryQ1, 1,
D485&lt;=monetaryQ2, 2,
D485&lt;=monetaryQ3, 3,
TRUE, 4)</f>
        <v>2</v>
      </c>
      <c r="H485" s="18" t="str">
        <f t="shared" si="38"/>
        <v>122</v>
      </c>
      <c r="I485" s="19">
        <f t="shared" si="39"/>
        <v>1.6666666666666667</v>
      </c>
      <c r="J485" s="7" t="str" cm="1">
        <f t="array" ref="J485">_xlfn.IFS(
I485&gt;=Best_Customers, Best_Customers_name,
I485&gt;=Loyal_Customers, Loyal_Customers_name,
I485&gt;=Average_Customers, Average_Customers_name,
TRUE, Lost_Customers_name)</f>
        <v>Average Customers</v>
      </c>
    </row>
    <row r="486" spans="1:10" x14ac:dyDescent="0.25">
      <c r="A486" s="25" t="str">
        <v>CUST_0481</v>
      </c>
      <c r="B486" s="16">
        <f t="shared" si="35"/>
        <v>6</v>
      </c>
      <c r="C486" s="16">
        <f t="shared" si="36"/>
        <v>5</v>
      </c>
      <c r="D486" s="17">
        <f t="shared" si="37"/>
        <v>500.68999999999994</v>
      </c>
      <c r="E486" s="18" cm="1">
        <f t="array" ref="E486">_xlfn.IFS(
B486&lt;=recencyQ1, 4,
B486&lt;=recencyQ2, 3,
B486&lt;=recencyQ3, 2,
TRUE, 1
)</f>
        <v>4</v>
      </c>
      <c r="F486" s="18" cm="1">
        <f t="array" ref="F486">_xlfn.IFS(
C486&lt;=frequencyQ1, 1,
C486&lt;=frequencyQ2, 2,
C486&lt;=frequencyQ3, 3,
TRUE, 4)</f>
        <v>2</v>
      </c>
      <c r="G486" s="18" cm="1">
        <f t="array" ref="G486">_xlfn.IFS(
D486&lt;=monetaryQ1, 1,
D486&lt;=monetaryQ2, 2,
D486&lt;=monetaryQ3, 3,
TRUE, 4)</f>
        <v>3</v>
      </c>
      <c r="H486" s="18" t="str">
        <f t="shared" si="38"/>
        <v>423</v>
      </c>
      <c r="I486" s="19">
        <f t="shared" si="39"/>
        <v>3</v>
      </c>
      <c r="J486" s="7" t="str" cm="1">
        <f t="array" ref="J486">_xlfn.IFS(
I486&gt;=Best_Customers, Best_Customers_name,
I486&gt;=Loyal_Customers, Loyal_Customers_name,
I486&gt;=Average_Customers, Average_Customers_name,
TRUE, Lost_Customers_name)</f>
        <v>Loyal Customers</v>
      </c>
    </row>
    <row r="487" spans="1:10" x14ac:dyDescent="0.25">
      <c r="A487" s="25" t="str">
        <v>CUST_0482</v>
      </c>
      <c r="B487" s="16">
        <f t="shared" si="35"/>
        <v>23</v>
      </c>
      <c r="C487" s="16">
        <f t="shared" si="36"/>
        <v>7</v>
      </c>
      <c r="D487" s="17">
        <f t="shared" si="37"/>
        <v>665.92</v>
      </c>
      <c r="E487" s="18" cm="1">
        <f t="array" ref="E487">_xlfn.IFS(
B487&lt;=recencyQ1, 4,
B487&lt;=recencyQ2, 3,
B487&lt;=recencyQ3, 2,
TRUE, 1
)</f>
        <v>3</v>
      </c>
      <c r="F487" s="18" cm="1">
        <f t="array" ref="F487">_xlfn.IFS(
C487&lt;=frequencyQ1, 1,
C487&lt;=frequencyQ2, 2,
C487&lt;=frequencyQ3, 3,
TRUE, 4)</f>
        <v>4</v>
      </c>
      <c r="G487" s="18" cm="1">
        <f t="array" ref="G487">_xlfn.IFS(
D487&lt;=monetaryQ1, 1,
D487&lt;=monetaryQ2, 2,
D487&lt;=monetaryQ3, 3,
TRUE, 4)</f>
        <v>4</v>
      </c>
      <c r="H487" s="18" t="str">
        <f t="shared" si="38"/>
        <v>344</v>
      </c>
      <c r="I487" s="19">
        <f t="shared" si="39"/>
        <v>3.6666666666666665</v>
      </c>
      <c r="J487" s="7" t="str" cm="1">
        <f t="array" ref="J487">_xlfn.IFS(
I487&gt;=Best_Customers, Best_Customers_name,
I487&gt;=Loyal_Customers, Loyal_Customers_name,
I487&gt;=Average_Customers, Average_Customers_name,
TRUE, Lost_Customers_name)</f>
        <v>Best Customers</v>
      </c>
    </row>
    <row r="488" spans="1:10" x14ac:dyDescent="0.25">
      <c r="A488" s="25" t="str">
        <v>CUST_0483</v>
      </c>
      <c r="B488" s="16">
        <f t="shared" si="35"/>
        <v>90</v>
      </c>
      <c r="C488" s="16">
        <f t="shared" si="36"/>
        <v>2</v>
      </c>
      <c r="D488" s="17">
        <f t="shared" si="37"/>
        <v>192.94</v>
      </c>
      <c r="E488" s="18" cm="1">
        <f t="array" ref="E488">_xlfn.IFS(
B488&lt;=recencyQ1, 4,
B488&lt;=recencyQ2, 3,
B488&lt;=recencyQ3, 2,
TRUE, 1
)</f>
        <v>2</v>
      </c>
      <c r="F488" s="18" cm="1">
        <f t="array" ref="F488">_xlfn.IFS(
C488&lt;=frequencyQ1, 1,
C488&lt;=frequencyQ2, 2,
C488&lt;=frequencyQ3, 3,
TRUE, 4)</f>
        <v>1</v>
      </c>
      <c r="G488" s="18" cm="1">
        <f t="array" ref="G488">_xlfn.IFS(
D488&lt;=monetaryQ1, 1,
D488&lt;=monetaryQ2, 2,
D488&lt;=monetaryQ3, 3,
TRUE, 4)</f>
        <v>1</v>
      </c>
      <c r="H488" s="18" t="str">
        <f t="shared" si="38"/>
        <v>211</v>
      </c>
      <c r="I488" s="19">
        <f t="shared" si="39"/>
        <v>1.3333333333333333</v>
      </c>
      <c r="J488" s="7" t="str" cm="1">
        <f t="array" ref="J488">_xlfn.IFS(
I488&gt;=Best_Customers, Best_Customers_name,
I488&gt;=Loyal_Customers, Loyal_Customers_name,
I488&gt;=Average_Customers, Average_Customers_name,
TRUE, Lost_Customers_name)</f>
        <v>Lost Customers</v>
      </c>
    </row>
    <row r="489" spans="1:10" x14ac:dyDescent="0.25">
      <c r="A489" s="25" t="str">
        <v>CUST_0484</v>
      </c>
      <c r="B489" s="16">
        <f t="shared" si="35"/>
        <v>3</v>
      </c>
      <c r="C489" s="16">
        <f t="shared" si="36"/>
        <v>9</v>
      </c>
      <c r="D489" s="17">
        <f t="shared" si="37"/>
        <v>943.56999999999994</v>
      </c>
      <c r="E489" s="18" cm="1">
        <f t="array" ref="E489">_xlfn.IFS(
B489&lt;=recencyQ1, 4,
B489&lt;=recencyQ2, 3,
B489&lt;=recencyQ3, 2,
TRUE, 1
)</f>
        <v>4</v>
      </c>
      <c r="F489" s="18" cm="1">
        <f t="array" ref="F489">_xlfn.IFS(
C489&lt;=frequencyQ1, 1,
C489&lt;=frequencyQ2, 2,
C489&lt;=frequencyQ3, 3,
TRUE, 4)</f>
        <v>4</v>
      </c>
      <c r="G489" s="18" cm="1">
        <f t="array" ref="G489">_xlfn.IFS(
D489&lt;=monetaryQ1, 1,
D489&lt;=monetaryQ2, 2,
D489&lt;=monetaryQ3, 3,
TRUE, 4)</f>
        <v>4</v>
      </c>
      <c r="H489" s="18" t="str">
        <f t="shared" si="38"/>
        <v>444</v>
      </c>
      <c r="I489" s="19">
        <f t="shared" si="39"/>
        <v>4</v>
      </c>
      <c r="J489" s="7" t="str" cm="1">
        <f t="array" ref="J489">_xlfn.IFS(
I489&gt;=Best_Customers, Best_Customers_name,
I489&gt;=Loyal_Customers, Loyal_Customers_name,
I489&gt;=Average_Customers, Average_Customers_name,
TRUE, Lost_Customers_name)</f>
        <v>Best Customers</v>
      </c>
    </row>
    <row r="490" spans="1:10" x14ac:dyDescent="0.25">
      <c r="A490" s="25" t="str">
        <v>CUST_0485</v>
      </c>
      <c r="B490" s="16">
        <f t="shared" si="35"/>
        <v>71</v>
      </c>
      <c r="C490" s="16">
        <f t="shared" si="36"/>
        <v>3</v>
      </c>
      <c r="D490" s="17">
        <f t="shared" si="37"/>
        <v>255.93</v>
      </c>
      <c r="E490" s="18" cm="1">
        <f t="array" ref="E490">_xlfn.IFS(
B490&lt;=recencyQ1, 4,
B490&lt;=recencyQ2, 3,
B490&lt;=recencyQ3, 2,
TRUE, 1
)</f>
        <v>2</v>
      </c>
      <c r="F490" s="18" cm="1">
        <f t="array" ref="F490">_xlfn.IFS(
C490&lt;=frequencyQ1, 1,
C490&lt;=frequencyQ2, 2,
C490&lt;=frequencyQ3, 3,
TRUE, 4)</f>
        <v>1</v>
      </c>
      <c r="G490" s="18" cm="1">
        <f t="array" ref="G490">_xlfn.IFS(
D490&lt;=monetaryQ1, 1,
D490&lt;=monetaryQ2, 2,
D490&lt;=monetaryQ3, 3,
TRUE, 4)</f>
        <v>1</v>
      </c>
      <c r="H490" s="18" t="str">
        <f t="shared" si="38"/>
        <v>211</v>
      </c>
      <c r="I490" s="19">
        <f t="shared" si="39"/>
        <v>1.3333333333333333</v>
      </c>
      <c r="J490" s="7" t="str" cm="1">
        <f t="array" ref="J490">_xlfn.IFS(
I490&gt;=Best_Customers, Best_Customers_name,
I490&gt;=Loyal_Customers, Loyal_Customers_name,
I490&gt;=Average_Customers, Average_Customers_name,
TRUE, Lost_Customers_name)</f>
        <v>Lost Customers</v>
      </c>
    </row>
    <row r="491" spans="1:10" x14ac:dyDescent="0.25">
      <c r="A491" s="25" t="str">
        <v>CUST_0486</v>
      </c>
      <c r="B491" s="16">
        <f t="shared" si="35"/>
        <v>197</v>
      </c>
      <c r="C491" s="16">
        <f t="shared" si="36"/>
        <v>1</v>
      </c>
      <c r="D491" s="17">
        <f t="shared" si="37"/>
        <v>107.67</v>
      </c>
      <c r="E491" s="18" cm="1">
        <f t="array" ref="E491">_xlfn.IFS(
B491&lt;=recencyQ1, 4,
B491&lt;=recencyQ2, 3,
B491&lt;=recencyQ3, 2,
TRUE, 1
)</f>
        <v>1</v>
      </c>
      <c r="F491" s="18" cm="1">
        <f t="array" ref="F491">_xlfn.IFS(
C491&lt;=frequencyQ1, 1,
C491&lt;=frequencyQ2, 2,
C491&lt;=frequencyQ3, 3,
TRUE, 4)</f>
        <v>1</v>
      </c>
      <c r="G491" s="18" cm="1">
        <f t="array" ref="G491">_xlfn.IFS(
D491&lt;=monetaryQ1, 1,
D491&lt;=monetaryQ2, 2,
D491&lt;=monetaryQ3, 3,
TRUE, 4)</f>
        <v>1</v>
      </c>
      <c r="H491" s="18" t="str">
        <f t="shared" si="38"/>
        <v>111</v>
      </c>
      <c r="I491" s="19">
        <f t="shared" si="39"/>
        <v>1</v>
      </c>
      <c r="J491" s="7" t="str" cm="1">
        <f t="array" ref="J491">_xlfn.IFS(
I491&gt;=Best_Customers, Best_Customers_name,
I491&gt;=Loyal_Customers, Loyal_Customers_name,
I491&gt;=Average_Customers, Average_Customers_name,
TRUE, Lost_Customers_name)</f>
        <v>Lost Customers</v>
      </c>
    </row>
    <row r="492" spans="1:10" x14ac:dyDescent="0.25">
      <c r="A492" s="25" t="str">
        <v>CUST_0487</v>
      </c>
      <c r="B492" s="16">
        <f t="shared" si="35"/>
        <v>220</v>
      </c>
      <c r="C492" s="16">
        <f t="shared" si="36"/>
        <v>5</v>
      </c>
      <c r="D492" s="17">
        <f t="shared" si="37"/>
        <v>446.01</v>
      </c>
      <c r="E492" s="18" cm="1">
        <f t="array" ref="E492">_xlfn.IFS(
B492&lt;=recencyQ1, 4,
B492&lt;=recencyQ2, 3,
B492&lt;=recencyQ3, 2,
TRUE, 1
)</f>
        <v>1</v>
      </c>
      <c r="F492" s="18" cm="1">
        <f t="array" ref="F492">_xlfn.IFS(
C492&lt;=frequencyQ1, 1,
C492&lt;=frequencyQ2, 2,
C492&lt;=frequencyQ3, 3,
TRUE, 4)</f>
        <v>2</v>
      </c>
      <c r="G492" s="18" cm="1">
        <f t="array" ref="G492">_xlfn.IFS(
D492&lt;=monetaryQ1, 1,
D492&lt;=monetaryQ2, 2,
D492&lt;=monetaryQ3, 3,
TRUE, 4)</f>
        <v>2</v>
      </c>
      <c r="H492" s="18" t="str">
        <f t="shared" si="38"/>
        <v>122</v>
      </c>
      <c r="I492" s="19">
        <f t="shared" si="39"/>
        <v>1.6666666666666667</v>
      </c>
      <c r="J492" s="7" t="str" cm="1">
        <f t="array" ref="J492">_xlfn.IFS(
I492&gt;=Best_Customers, Best_Customers_name,
I492&gt;=Loyal_Customers, Loyal_Customers_name,
I492&gt;=Average_Customers, Average_Customers_name,
TRUE, Lost_Customers_name)</f>
        <v>Average Customers</v>
      </c>
    </row>
    <row r="493" spans="1:10" x14ac:dyDescent="0.25">
      <c r="A493" s="25" t="str">
        <v>CUST_0488</v>
      </c>
      <c r="B493" s="16">
        <f t="shared" si="35"/>
        <v>11</v>
      </c>
      <c r="C493" s="16">
        <f t="shared" si="36"/>
        <v>5</v>
      </c>
      <c r="D493" s="17">
        <f t="shared" si="37"/>
        <v>516.51</v>
      </c>
      <c r="E493" s="18" cm="1">
        <f t="array" ref="E493">_xlfn.IFS(
B493&lt;=recencyQ1, 4,
B493&lt;=recencyQ2, 3,
B493&lt;=recencyQ3, 2,
TRUE, 1
)</f>
        <v>4</v>
      </c>
      <c r="F493" s="18" cm="1">
        <f t="array" ref="F493">_xlfn.IFS(
C493&lt;=frequencyQ1, 1,
C493&lt;=frequencyQ2, 2,
C493&lt;=frequencyQ3, 3,
TRUE, 4)</f>
        <v>2</v>
      </c>
      <c r="G493" s="18" cm="1">
        <f t="array" ref="G493">_xlfn.IFS(
D493&lt;=monetaryQ1, 1,
D493&lt;=monetaryQ2, 2,
D493&lt;=monetaryQ3, 3,
TRUE, 4)</f>
        <v>3</v>
      </c>
      <c r="H493" s="18" t="str">
        <f t="shared" si="38"/>
        <v>423</v>
      </c>
      <c r="I493" s="19">
        <f t="shared" si="39"/>
        <v>3</v>
      </c>
      <c r="J493" s="7" t="str" cm="1">
        <f t="array" ref="J493">_xlfn.IFS(
I493&gt;=Best_Customers, Best_Customers_name,
I493&gt;=Loyal_Customers, Loyal_Customers_name,
I493&gt;=Average_Customers, Average_Customers_name,
TRUE, Lost_Customers_name)</f>
        <v>Loyal Customers</v>
      </c>
    </row>
    <row r="494" spans="1:10" x14ac:dyDescent="0.25">
      <c r="A494" s="25" t="str">
        <v>CUST_0489</v>
      </c>
      <c r="B494" s="16">
        <f t="shared" si="35"/>
        <v>20</v>
      </c>
      <c r="C494" s="16">
        <f t="shared" si="36"/>
        <v>7</v>
      </c>
      <c r="D494" s="17">
        <f t="shared" si="37"/>
        <v>764.2</v>
      </c>
      <c r="E494" s="18" cm="1">
        <f t="array" ref="E494">_xlfn.IFS(
B494&lt;=recencyQ1, 4,
B494&lt;=recencyQ2, 3,
B494&lt;=recencyQ3, 2,
TRUE, 1
)</f>
        <v>3</v>
      </c>
      <c r="F494" s="18" cm="1">
        <f t="array" ref="F494">_xlfn.IFS(
C494&lt;=frequencyQ1, 1,
C494&lt;=frequencyQ2, 2,
C494&lt;=frequencyQ3, 3,
TRUE, 4)</f>
        <v>4</v>
      </c>
      <c r="G494" s="18" cm="1">
        <f t="array" ref="G494">_xlfn.IFS(
D494&lt;=monetaryQ1, 1,
D494&lt;=monetaryQ2, 2,
D494&lt;=monetaryQ3, 3,
TRUE, 4)</f>
        <v>4</v>
      </c>
      <c r="H494" s="18" t="str">
        <f t="shared" si="38"/>
        <v>344</v>
      </c>
      <c r="I494" s="19">
        <f t="shared" si="39"/>
        <v>3.6666666666666665</v>
      </c>
      <c r="J494" s="7" t="str" cm="1">
        <f t="array" ref="J494">_xlfn.IFS(
I494&gt;=Best_Customers, Best_Customers_name,
I494&gt;=Loyal_Customers, Loyal_Customers_name,
I494&gt;=Average_Customers, Average_Customers_name,
TRUE, Lost_Customers_name)</f>
        <v>Best Customers</v>
      </c>
    </row>
    <row r="495" spans="1:10" x14ac:dyDescent="0.25">
      <c r="A495" s="25" t="str">
        <v>CUST_0490</v>
      </c>
      <c r="B495" s="16">
        <f t="shared" si="35"/>
        <v>103</v>
      </c>
      <c r="C495" s="16">
        <f t="shared" si="36"/>
        <v>4</v>
      </c>
      <c r="D495" s="17">
        <f t="shared" si="37"/>
        <v>376.46000000000004</v>
      </c>
      <c r="E495" s="18" cm="1">
        <f t="array" ref="E495">_xlfn.IFS(
B495&lt;=recencyQ1, 4,
B495&lt;=recencyQ2, 3,
B495&lt;=recencyQ3, 2,
TRUE, 1
)</f>
        <v>1</v>
      </c>
      <c r="F495" s="18" cm="1">
        <f t="array" ref="F495">_xlfn.IFS(
C495&lt;=frequencyQ1, 1,
C495&lt;=frequencyQ2, 2,
C495&lt;=frequencyQ3, 3,
TRUE, 4)</f>
        <v>2</v>
      </c>
      <c r="G495" s="18" cm="1">
        <f t="array" ref="G495">_xlfn.IFS(
D495&lt;=monetaryQ1, 1,
D495&lt;=monetaryQ2, 2,
D495&lt;=monetaryQ3, 3,
TRUE, 4)</f>
        <v>2</v>
      </c>
      <c r="H495" s="18" t="str">
        <f t="shared" si="38"/>
        <v>122</v>
      </c>
      <c r="I495" s="19">
        <f t="shared" si="39"/>
        <v>1.6666666666666667</v>
      </c>
      <c r="J495" s="7" t="str" cm="1">
        <f t="array" ref="J495">_xlfn.IFS(
I495&gt;=Best_Customers, Best_Customers_name,
I495&gt;=Loyal_Customers, Loyal_Customers_name,
I495&gt;=Average_Customers, Average_Customers_name,
TRUE, Lost_Customers_name)</f>
        <v>Average Customers</v>
      </c>
    </row>
    <row r="496" spans="1:10" x14ac:dyDescent="0.25">
      <c r="A496" s="25" t="str">
        <v>CUST_0491</v>
      </c>
      <c r="B496" s="16">
        <f t="shared" si="35"/>
        <v>9</v>
      </c>
      <c r="C496" s="16">
        <f t="shared" si="36"/>
        <v>5</v>
      </c>
      <c r="D496" s="17">
        <f t="shared" si="37"/>
        <v>580.13999999999987</v>
      </c>
      <c r="E496" s="18" cm="1">
        <f t="array" ref="E496">_xlfn.IFS(
B496&lt;=recencyQ1, 4,
B496&lt;=recencyQ2, 3,
B496&lt;=recencyQ3, 2,
TRUE, 1
)</f>
        <v>4</v>
      </c>
      <c r="F496" s="18" cm="1">
        <f t="array" ref="F496">_xlfn.IFS(
C496&lt;=frequencyQ1, 1,
C496&lt;=frequencyQ2, 2,
C496&lt;=frequencyQ3, 3,
TRUE, 4)</f>
        <v>2</v>
      </c>
      <c r="G496" s="18" cm="1">
        <f t="array" ref="G496">_xlfn.IFS(
D496&lt;=monetaryQ1, 1,
D496&lt;=monetaryQ2, 2,
D496&lt;=monetaryQ3, 3,
TRUE, 4)</f>
        <v>3</v>
      </c>
      <c r="H496" s="18" t="str">
        <f t="shared" si="38"/>
        <v>423</v>
      </c>
      <c r="I496" s="19">
        <f t="shared" si="39"/>
        <v>3</v>
      </c>
      <c r="J496" s="7" t="str" cm="1">
        <f t="array" ref="J496">_xlfn.IFS(
I496&gt;=Best_Customers, Best_Customers_name,
I496&gt;=Loyal_Customers, Loyal_Customers_name,
I496&gt;=Average_Customers, Average_Customers_name,
TRUE, Lost_Customers_name)</f>
        <v>Loyal Customers</v>
      </c>
    </row>
    <row r="497" spans="1:10" x14ac:dyDescent="0.25">
      <c r="A497" s="25" t="str">
        <v>CUST_0492</v>
      </c>
      <c r="B497" s="16">
        <f t="shared" si="35"/>
        <v>97</v>
      </c>
      <c r="C497" s="16">
        <f t="shared" si="36"/>
        <v>5</v>
      </c>
      <c r="D497" s="17">
        <f t="shared" si="37"/>
        <v>622.1099999999999</v>
      </c>
      <c r="E497" s="18" cm="1">
        <f t="array" ref="E497">_xlfn.IFS(
B497&lt;=recencyQ1, 4,
B497&lt;=recencyQ2, 3,
B497&lt;=recencyQ3, 2,
TRUE, 1
)</f>
        <v>1</v>
      </c>
      <c r="F497" s="18" cm="1">
        <f t="array" ref="F497">_xlfn.IFS(
C497&lt;=frequencyQ1, 1,
C497&lt;=frequencyQ2, 2,
C497&lt;=frequencyQ3, 3,
TRUE, 4)</f>
        <v>2</v>
      </c>
      <c r="G497" s="18" cm="1">
        <f t="array" ref="G497">_xlfn.IFS(
D497&lt;=monetaryQ1, 1,
D497&lt;=monetaryQ2, 2,
D497&lt;=monetaryQ3, 3,
TRUE, 4)</f>
        <v>3</v>
      </c>
      <c r="H497" s="18" t="str">
        <f t="shared" si="38"/>
        <v>123</v>
      </c>
      <c r="I497" s="19">
        <f t="shared" si="39"/>
        <v>2</v>
      </c>
      <c r="J497" s="7" t="str" cm="1">
        <f t="array" ref="J497">_xlfn.IFS(
I497&gt;=Best_Customers, Best_Customers_name,
I497&gt;=Loyal_Customers, Loyal_Customers_name,
I497&gt;=Average_Customers, Average_Customers_name,
TRUE, Lost_Customers_name)</f>
        <v>Average Customers</v>
      </c>
    </row>
    <row r="498" spans="1:10" x14ac:dyDescent="0.25">
      <c r="A498" s="25" t="str">
        <v>CUST_0493</v>
      </c>
      <c r="B498" s="16">
        <f t="shared" si="35"/>
        <v>1</v>
      </c>
      <c r="C498" s="16">
        <f t="shared" si="36"/>
        <v>8</v>
      </c>
      <c r="D498" s="17">
        <f t="shared" si="37"/>
        <v>697.78</v>
      </c>
      <c r="E498" s="18" cm="1">
        <f t="array" ref="E498">_xlfn.IFS(
B498&lt;=recencyQ1, 4,
B498&lt;=recencyQ2, 3,
B498&lt;=recencyQ3, 2,
TRUE, 1
)</f>
        <v>4</v>
      </c>
      <c r="F498" s="18" cm="1">
        <f t="array" ref="F498">_xlfn.IFS(
C498&lt;=frequencyQ1, 1,
C498&lt;=frequencyQ2, 2,
C498&lt;=frequencyQ3, 3,
TRUE, 4)</f>
        <v>4</v>
      </c>
      <c r="G498" s="18" cm="1">
        <f t="array" ref="G498">_xlfn.IFS(
D498&lt;=monetaryQ1, 1,
D498&lt;=monetaryQ2, 2,
D498&lt;=monetaryQ3, 3,
TRUE, 4)</f>
        <v>4</v>
      </c>
      <c r="H498" s="18" t="str">
        <f t="shared" si="38"/>
        <v>444</v>
      </c>
      <c r="I498" s="19">
        <f t="shared" si="39"/>
        <v>4</v>
      </c>
      <c r="J498" s="7" t="str" cm="1">
        <f t="array" ref="J498">_xlfn.IFS(
I498&gt;=Best_Customers, Best_Customers_name,
I498&gt;=Loyal_Customers, Loyal_Customers_name,
I498&gt;=Average_Customers, Average_Customers_name,
TRUE, Lost_Customers_name)</f>
        <v>Best Customers</v>
      </c>
    </row>
    <row r="499" spans="1:10" x14ac:dyDescent="0.25">
      <c r="A499" s="25" t="str">
        <v>CUST_0494</v>
      </c>
      <c r="B499" s="16">
        <f t="shared" si="35"/>
        <v>278</v>
      </c>
      <c r="C499" s="16">
        <f t="shared" si="36"/>
        <v>3</v>
      </c>
      <c r="D499" s="17">
        <f t="shared" si="37"/>
        <v>372.84</v>
      </c>
      <c r="E499" s="18" cm="1">
        <f t="array" ref="E499">_xlfn.IFS(
B499&lt;=recencyQ1, 4,
B499&lt;=recencyQ2, 3,
B499&lt;=recencyQ3, 2,
TRUE, 1
)</f>
        <v>1</v>
      </c>
      <c r="F499" s="18" cm="1">
        <f t="array" ref="F499">_xlfn.IFS(
C499&lt;=frequencyQ1, 1,
C499&lt;=frequencyQ2, 2,
C499&lt;=frequencyQ3, 3,
TRUE, 4)</f>
        <v>1</v>
      </c>
      <c r="G499" s="18" cm="1">
        <f t="array" ref="G499">_xlfn.IFS(
D499&lt;=monetaryQ1, 1,
D499&lt;=monetaryQ2, 2,
D499&lt;=monetaryQ3, 3,
TRUE, 4)</f>
        <v>2</v>
      </c>
      <c r="H499" s="18" t="str">
        <f t="shared" si="38"/>
        <v>112</v>
      </c>
      <c r="I499" s="19">
        <f t="shared" si="39"/>
        <v>1.3333333333333333</v>
      </c>
      <c r="J499" s="7" t="str" cm="1">
        <f t="array" ref="J499">_xlfn.IFS(
I499&gt;=Best_Customers, Best_Customers_name,
I499&gt;=Loyal_Customers, Loyal_Customers_name,
I499&gt;=Average_Customers, Average_Customers_name,
TRUE, Lost_Customers_name)</f>
        <v>Lost Customers</v>
      </c>
    </row>
    <row r="500" spans="1:10" x14ac:dyDescent="0.25">
      <c r="A500" s="25" t="str">
        <v>CUST_0495</v>
      </c>
      <c r="B500" s="16">
        <f t="shared" si="35"/>
        <v>87</v>
      </c>
      <c r="C500" s="16">
        <f t="shared" si="36"/>
        <v>1</v>
      </c>
      <c r="D500" s="17">
        <f t="shared" si="37"/>
        <v>70.98</v>
      </c>
      <c r="E500" s="18" cm="1">
        <f t="array" ref="E500">_xlfn.IFS(
B500&lt;=recencyQ1, 4,
B500&lt;=recencyQ2, 3,
B500&lt;=recencyQ3, 2,
TRUE, 1
)</f>
        <v>2</v>
      </c>
      <c r="F500" s="18" cm="1">
        <f t="array" ref="F500">_xlfn.IFS(
C500&lt;=frequencyQ1, 1,
C500&lt;=frequencyQ2, 2,
C500&lt;=frequencyQ3, 3,
TRUE, 4)</f>
        <v>1</v>
      </c>
      <c r="G500" s="18" cm="1">
        <f t="array" ref="G500">_xlfn.IFS(
D500&lt;=monetaryQ1, 1,
D500&lt;=monetaryQ2, 2,
D500&lt;=monetaryQ3, 3,
TRUE, 4)</f>
        <v>1</v>
      </c>
      <c r="H500" s="18" t="str">
        <f t="shared" si="38"/>
        <v>211</v>
      </c>
      <c r="I500" s="19">
        <f t="shared" si="39"/>
        <v>1.3333333333333333</v>
      </c>
      <c r="J500" s="7" t="str" cm="1">
        <f t="array" ref="J500">_xlfn.IFS(
I500&gt;=Best_Customers, Best_Customers_name,
I500&gt;=Loyal_Customers, Loyal_Customers_name,
I500&gt;=Average_Customers, Average_Customers_name,
TRUE, Lost_Customers_name)</f>
        <v>Lost Customers</v>
      </c>
    </row>
    <row r="501" spans="1:10" x14ac:dyDescent="0.25">
      <c r="A501" s="25" t="str">
        <v>CUST_0496</v>
      </c>
      <c r="B501" s="16">
        <f t="shared" si="35"/>
        <v>37</v>
      </c>
      <c r="C501" s="16">
        <f t="shared" si="36"/>
        <v>10</v>
      </c>
      <c r="D501" s="17">
        <f t="shared" si="37"/>
        <v>1008.4200000000001</v>
      </c>
      <c r="E501" s="18" cm="1">
        <f t="array" ref="E501">_xlfn.IFS(
B501&lt;=recencyQ1, 4,
B501&lt;=recencyQ2, 3,
B501&lt;=recencyQ3, 2,
TRUE, 1
)</f>
        <v>3</v>
      </c>
      <c r="F501" s="18" cm="1">
        <f t="array" ref="F501">_xlfn.IFS(
C501&lt;=frequencyQ1, 1,
C501&lt;=frequencyQ2, 2,
C501&lt;=frequencyQ3, 3,
TRUE, 4)</f>
        <v>4</v>
      </c>
      <c r="G501" s="18" cm="1">
        <f t="array" ref="G501">_xlfn.IFS(
D501&lt;=monetaryQ1, 1,
D501&lt;=monetaryQ2, 2,
D501&lt;=monetaryQ3, 3,
TRUE, 4)</f>
        <v>4</v>
      </c>
      <c r="H501" s="18" t="str">
        <f t="shared" si="38"/>
        <v>344</v>
      </c>
      <c r="I501" s="19">
        <f t="shared" si="39"/>
        <v>3.6666666666666665</v>
      </c>
      <c r="J501" s="7" t="str" cm="1">
        <f t="array" ref="J501">_xlfn.IFS(
I501&gt;=Best_Customers, Best_Customers_name,
I501&gt;=Loyal_Customers, Loyal_Customers_name,
I501&gt;=Average_Customers, Average_Customers_name,
TRUE, Lost_Customers_name)</f>
        <v>Best Customers</v>
      </c>
    </row>
    <row r="502" spans="1:10" x14ac:dyDescent="0.25">
      <c r="A502" s="25" t="str">
        <v>CUST_0497</v>
      </c>
      <c r="B502" s="16">
        <f t="shared" si="35"/>
        <v>2</v>
      </c>
      <c r="C502" s="16">
        <f t="shared" si="36"/>
        <v>3</v>
      </c>
      <c r="D502" s="17">
        <f t="shared" si="37"/>
        <v>309.14</v>
      </c>
      <c r="E502" s="18" cm="1">
        <f t="array" ref="E502">_xlfn.IFS(
B502&lt;=recencyQ1, 4,
B502&lt;=recencyQ2, 3,
B502&lt;=recencyQ3, 2,
TRUE, 1
)</f>
        <v>4</v>
      </c>
      <c r="F502" s="18" cm="1">
        <f t="array" ref="F502">_xlfn.IFS(
C502&lt;=frequencyQ1, 1,
C502&lt;=frequencyQ2, 2,
C502&lt;=frequencyQ3, 3,
TRUE, 4)</f>
        <v>1</v>
      </c>
      <c r="G502" s="18" cm="1">
        <f t="array" ref="G502">_xlfn.IFS(
D502&lt;=monetaryQ1, 1,
D502&lt;=monetaryQ2, 2,
D502&lt;=monetaryQ3, 3,
TRUE, 4)</f>
        <v>1</v>
      </c>
      <c r="H502" s="18" t="str">
        <f t="shared" si="38"/>
        <v>411</v>
      </c>
      <c r="I502" s="19">
        <f t="shared" si="39"/>
        <v>2</v>
      </c>
      <c r="J502" s="7" t="str" cm="1">
        <f t="array" ref="J502">_xlfn.IFS(
I502&gt;=Best_Customers, Best_Customers_name,
I502&gt;=Loyal_Customers, Loyal_Customers_name,
I502&gt;=Average_Customers, Average_Customers_name,
TRUE, Lost_Customers_name)</f>
        <v>Average Customers</v>
      </c>
    </row>
    <row r="503" spans="1:10" x14ac:dyDescent="0.25">
      <c r="A503" s="25" t="str">
        <v>CUST_0498</v>
      </c>
      <c r="B503" s="16">
        <f t="shared" si="35"/>
        <v>2</v>
      </c>
      <c r="C503" s="16">
        <f t="shared" si="36"/>
        <v>5</v>
      </c>
      <c r="D503" s="17">
        <f t="shared" si="37"/>
        <v>517.33000000000004</v>
      </c>
      <c r="E503" s="18" cm="1">
        <f t="array" ref="E503">_xlfn.IFS(
B503&lt;=recencyQ1, 4,
B503&lt;=recencyQ2, 3,
B503&lt;=recencyQ3, 2,
TRUE, 1
)</f>
        <v>4</v>
      </c>
      <c r="F503" s="18" cm="1">
        <f t="array" ref="F503">_xlfn.IFS(
C503&lt;=frequencyQ1, 1,
C503&lt;=frequencyQ2, 2,
C503&lt;=frequencyQ3, 3,
TRUE, 4)</f>
        <v>2</v>
      </c>
      <c r="G503" s="18" cm="1">
        <f t="array" ref="G503">_xlfn.IFS(
D503&lt;=monetaryQ1, 1,
D503&lt;=monetaryQ2, 2,
D503&lt;=monetaryQ3, 3,
TRUE, 4)</f>
        <v>3</v>
      </c>
      <c r="H503" s="18" t="str">
        <f t="shared" si="38"/>
        <v>423</v>
      </c>
      <c r="I503" s="19">
        <f t="shared" si="39"/>
        <v>3</v>
      </c>
      <c r="J503" s="7" t="str" cm="1">
        <f t="array" ref="J503">_xlfn.IFS(
I503&gt;=Best_Customers, Best_Customers_name,
I503&gt;=Loyal_Customers, Loyal_Customers_name,
I503&gt;=Average_Customers, Average_Customers_name,
TRUE, Lost_Customers_name)</f>
        <v>Loyal Customers</v>
      </c>
    </row>
    <row r="504" spans="1:10" x14ac:dyDescent="0.25">
      <c r="A504" s="25" t="str">
        <v>CUST_0499</v>
      </c>
      <c r="B504" s="16">
        <f t="shared" si="35"/>
        <v>6</v>
      </c>
      <c r="C504" s="16">
        <f t="shared" si="36"/>
        <v>9</v>
      </c>
      <c r="D504" s="17">
        <f t="shared" si="37"/>
        <v>977.24</v>
      </c>
      <c r="E504" s="18" cm="1">
        <f t="array" ref="E504">_xlfn.IFS(
B504&lt;=recencyQ1, 4,
B504&lt;=recencyQ2, 3,
B504&lt;=recencyQ3, 2,
TRUE, 1
)</f>
        <v>4</v>
      </c>
      <c r="F504" s="18" cm="1">
        <f t="array" ref="F504">_xlfn.IFS(
C504&lt;=frequencyQ1, 1,
C504&lt;=frequencyQ2, 2,
C504&lt;=frequencyQ3, 3,
TRUE, 4)</f>
        <v>4</v>
      </c>
      <c r="G504" s="18" cm="1">
        <f t="array" ref="G504">_xlfn.IFS(
D504&lt;=monetaryQ1, 1,
D504&lt;=monetaryQ2, 2,
D504&lt;=monetaryQ3, 3,
TRUE, 4)</f>
        <v>4</v>
      </c>
      <c r="H504" s="18" t="str">
        <f t="shared" si="38"/>
        <v>444</v>
      </c>
      <c r="I504" s="19">
        <f t="shared" si="39"/>
        <v>4</v>
      </c>
      <c r="J504" s="7" t="str" cm="1">
        <f t="array" ref="J504">_xlfn.IFS(
I504&gt;=Best_Customers, Best_Customers_name,
I504&gt;=Loyal_Customers, Loyal_Customers_name,
I504&gt;=Average_Customers, Average_Customers_name,
TRUE, Lost_Customers_name)</f>
        <v>Best Customers</v>
      </c>
    </row>
    <row r="505" spans="1:10" x14ac:dyDescent="0.25">
      <c r="A505" s="25" t="str">
        <v>CUST_0500</v>
      </c>
      <c r="B505" s="16">
        <f t="shared" si="35"/>
        <v>68</v>
      </c>
      <c r="C505" s="16">
        <f t="shared" si="36"/>
        <v>5</v>
      </c>
      <c r="D505" s="17">
        <f t="shared" si="37"/>
        <v>420.12</v>
      </c>
      <c r="E505" s="18" cm="1">
        <f t="array" ref="E505">_xlfn.IFS(
B505&lt;=recencyQ1, 4,
B505&lt;=recencyQ2, 3,
B505&lt;=recencyQ3, 2,
TRUE, 1
)</f>
        <v>2</v>
      </c>
      <c r="F505" s="18" cm="1">
        <f t="array" ref="F505">_xlfn.IFS(
C505&lt;=frequencyQ1, 1,
C505&lt;=frequencyQ2, 2,
C505&lt;=frequencyQ3, 3,
TRUE, 4)</f>
        <v>2</v>
      </c>
      <c r="G505" s="18" cm="1">
        <f t="array" ref="G505">_xlfn.IFS(
D505&lt;=monetaryQ1, 1,
D505&lt;=monetaryQ2, 2,
D505&lt;=monetaryQ3, 3,
TRUE, 4)</f>
        <v>2</v>
      </c>
      <c r="H505" s="18" t="str">
        <f t="shared" si="38"/>
        <v>222</v>
      </c>
      <c r="I505" s="19">
        <f t="shared" si="39"/>
        <v>2</v>
      </c>
      <c r="J505" s="7" t="str" cm="1">
        <f t="array" ref="J505">_xlfn.IFS(
I505&gt;=Best_Customers, Best_Customers_name,
I505&gt;=Loyal_Customers, Loyal_Customers_name,
I505&gt;=Average_Customers, Average_Customers_name,
TRUE, Lost_Customers_name)</f>
        <v>Average Customers</v>
      </c>
    </row>
    <row r="506" spans="1:10" x14ac:dyDescent="0.25">
      <c r="A506" s="25" t="str">
        <v>CUST_0501</v>
      </c>
      <c r="B506" s="16">
        <f t="shared" si="35"/>
        <v>157</v>
      </c>
      <c r="C506" s="16">
        <f t="shared" si="36"/>
        <v>3</v>
      </c>
      <c r="D506" s="17">
        <f t="shared" si="37"/>
        <v>310.52</v>
      </c>
      <c r="E506" s="18" cm="1">
        <f t="array" ref="E506">_xlfn.IFS(
B506&lt;=recencyQ1, 4,
B506&lt;=recencyQ2, 3,
B506&lt;=recencyQ3, 2,
TRUE, 1
)</f>
        <v>1</v>
      </c>
      <c r="F506" s="18" cm="1">
        <f t="array" ref="F506">_xlfn.IFS(
C506&lt;=frequencyQ1, 1,
C506&lt;=frequencyQ2, 2,
C506&lt;=frequencyQ3, 3,
TRUE, 4)</f>
        <v>1</v>
      </c>
      <c r="G506" s="18" cm="1">
        <f t="array" ref="G506">_xlfn.IFS(
D506&lt;=monetaryQ1, 1,
D506&lt;=monetaryQ2, 2,
D506&lt;=monetaryQ3, 3,
TRUE, 4)</f>
        <v>1</v>
      </c>
      <c r="H506" s="18" t="str">
        <f t="shared" si="38"/>
        <v>111</v>
      </c>
      <c r="I506" s="19">
        <f t="shared" si="39"/>
        <v>1</v>
      </c>
      <c r="J506" s="7" t="str" cm="1">
        <f t="array" ref="J506">_xlfn.IFS(
I506&gt;=Best_Customers, Best_Customers_name,
I506&gt;=Loyal_Customers, Loyal_Customers_name,
I506&gt;=Average_Customers, Average_Customers_name,
TRUE, Lost_Customers_name)</f>
        <v>Lost Customers</v>
      </c>
    </row>
    <row r="507" spans="1:10" x14ac:dyDescent="0.25">
      <c r="A507" s="25" t="str">
        <v>CUST_0502</v>
      </c>
      <c r="B507" s="16">
        <f t="shared" si="35"/>
        <v>28</v>
      </c>
      <c r="C507" s="16">
        <f t="shared" si="36"/>
        <v>4</v>
      </c>
      <c r="D507" s="17">
        <f t="shared" si="37"/>
        <v>408.02</v>
      </c>
      <c r="E507" s="18" cm="1">
        <f t="array" ref="E507">_xlfn.IFS(
B507&lt;=recencyQ1, 4,
B507&lt;=recencyQ2, 3,
B507&lt;=recencyQ3, 2,
TRUE, 1
)</f>
        <v>3</v>
      </c>
      <c r="F507" s="18" cm="1">
        <f t="array" ref="F507">_xlfn.IFS(
C507&lt;=frequencyQ1, 1,
C507&lt;=frequencyQ2, 2,
C507&lt;=frequencyQ3, 3,
TRUE, 4)</f>
        <v>2</v>
      </c>
      <c r="G507" s="18" cm="1">
        <f t="array" ref="G507">_xlfn.IFS(
D507&lt;=monetaryQ1, 1,
D507&lt;=monetaryQ2, 2,
D507&lt;=monetaryQ3, 3,
TRUE, 4)</f>
        <v>2</v>
      </c>
      <c r="H507" s="18" t="str">
        <f t="shared" si="38"/>
        <v>322</v>
      </c>
      <c r="I507" s="19">
        <f t="shared" si="39"/>
        <v>2.3333333333333335</v>
      </c>
      <c r="J507" s="7" t="str" cm="1">
        <f t="array" ref="J507">_xlfn.IFS(
I507&gt;=Best_Customers, Best_Customers_name,
I507&gt;=Loyal_Customers, Loyal_Customers_name,
I507&gt;=Average_Customers, Average_Customers_name,
TRUE, Lost_Customers_name)</f>
        <v>Average Customers</v>
      </c>
    </row>
    <row r="508" spans="1:10" x14ac:dyDescent="0.25">
      <c r="A508" s="25" t="str">
        <v>CUST_0503</v>
      </c>
      <c r="B508" s="16">
        <f t="shared" si="35"/>
        <v>57</v>
      </c>
      <c r="C508" s="16">
        <f t="shared" si="36"/>
        <v>4</v>
      </c>
      <c r="D508" s="17">
        <f t="shared" si="37"/>
        <v>487.63</v>
      </c>
      <c r="E508" s="18" cm="1">
        <f t="array" ref="E508">_xlfn.IFS(
B508&lt;=recencyQ1, 4,
B508&lt;=recencyQ2, 3,
B508&lt;=recencyQ3, 2,
TRUE, 1
)</f>
        <v>2</v>
      </c>
      <c r="F508" s="18" cm="1">
        <f t="array" ref="F508">_xlfn.IFS(
C508&lt;=frequencyQ1, 1,
C508&lt;=frequencyQ2, 2,
C508&lt;=frequencyQ3, 3,
TRUE, 4)</f>
        <v>2</v>
      </c>
      <c r="G508" s="18" cm="1">
        <f t="array" ref="G508">_xlfn.IFS(
D508&lt;=monetaryQ1, 1,
D508&lt;=monetaryQ2, 2,
D508&lt;=monetaryQ3, 3,
TRUE, 4)</f>
        <v>3</v>
      </c>
      <c r="H508" s="18" t="str">
        <f t="shared" si="38"/>
        <v>223</v>
      </c>
      <c r="I508" s="19">
        <f t="shared" si="39"/>
        <v>2.3333333333333335</v>
      </c>
      <c r="J508" s="7" t="str" cm="1">
        <f t="array" ref="J508">_xlfn.IFS(
I508&gt;=Best_Customers, Best_Customers_name,
I508&gt;=Loyal_Customers, Loyal_Customers_name,
I508&gt;=Average_Customers, Average_Customers_name,
TRUE, Lost_Customers_name)</f>
        <v>Average Customers</v>
      </c>
    </row>
    <row r="509" spans="1:10" x14ac:dyDescent="0.25">
      <c r="A509" s="25" t="str">
        <v>CUST_0504</v>
      </c>
      <c r="B509" s="16">
        <f t="shared" si="35"/>
        <v>95</v>
      </c>
      <c r="C509" s="16">
        <f t="shared" si="36"/>
        <v>6</v>
      </c>
      <c r="D509" s="17">
        <f t="shared" si="37"/>
        <v>527.54999999999995</v>
      </c>
      <c r="E509" s="18" cm="1">
        <f t="array" ref="E509">_xlfn.IFS(
B509&lt;=recencyQ1, 4,
B509&lt;=recencyQ2, 3,
B509&lt;=recencyQ3, 2,
TRUE, 1
)</f>
        <v>2</v>
      </c>
      <c r="F509" s="18" cm="1">
        <f t="array" ref="F509">_xlfn.IFS(
C509&lt;=frequencyQ1, 1,
C509&lt;=frequencyQ2, 2,
C509&lt;=frequencyQ3, 3,
TRUE, 4)</f>
        <v>3</v>
      </c>
      <c r="G509" s="18" cm="1">
        <f t="array" ref="G509">_xlfn.IFS(
D509&lt;=monetaryQ1, 1,
D509&lt;=monetaryQ2, 2,
D509&lt;=monetaryQ3, 3,
TRUE, 4)</f>
        <v>3</v>
      </c>
      <c r="H509" s="18" t="str">
        <f t="shared" si="38"/>
        <v>233</v>
      </c>
      <c r="I509" s="19">
        <f t="shared" si="39"/>
        <v>2.6666666666666665</v>
      </c>
      <c r="J509" s="7" t="str" cm="1">
        <f t="array" ref="J509">_xlfn.IFS(
I509&gt;=Best_Customers, Best_Customers_name,
I509&gt;=Loyal_Customers, Loyal_Customers_name,
I509&gt;=Average_Customers, Average_Customers_name,
TRUE, Lost_Customers_name)</f>
        <v>Loyal Customers</v>
      </c>
    </row>
    <row r="510" spans="1:10" x14ac:dyDescent="0.25">
      <c r="A510" s="25" t="str">
        <v>CUST_0505</v>
      </c>
      <c r="B510" s="16">
        <f t="shared" si="35"/>
        <v>10</v>
      </c>
      <c r="C510" s="16">
        <f t="shared" si="36"/>
        <v>7</v>
      </c>
      <c r="D510" s="17">
        <f t="shared" si="37"/>
        <v>740.59999999999991</v>
      </c>
      <c r="E510" s="18" cm="1">
        <f t="array" ref="E510">_xlfn.IFS(
B510&lt;=recencyQ1, 4,
B510&lt;=recencyQ2, 3,
B510&lt;=recencyQ3, 2,
TRUE, 1
)</f>
        <v>4</v>
      </c>
      <c r="F510" s="18" cm="1">
        <f t="array" ref="F510">_xlfn.IFS(
C510&lt;=frequencyQ1, 1,
C510&lt;=frequencyQ2, 2,
C510&lt;=frequencyQ3, 3,
TRUE, 4)</f>
        <v>4</v>
      </c>
      <c r="G510" s="18" cm="1">
        <f t="array" ref="G510">_xlfn.IFS(
D510&lt;=monetaryQ1, 1,
D510&lt;=monetaryQ2, 2,
D510&lt;=monetaryQ3, 3,
TRUE, 4)</f>
        <v>4</v>
      </c>
      <c r="H510" s="18" t="str">
        <f t="shared" si="38"/>
        <v>444</v>
      </c>
      <c r="I510" s="19">
        <f t="shared" si="39"/>
        <v>4</v>
      </c>
      <c r="J510" s="7" t="str" cm="1">
        <f t="array" ref="J510">_xlfn.IFS(
I510&gt;=Best_Customers, Best_Customers_name,
I510&gt;=Loyal_Customers, Loyal_Customers_name,
I510&gt;=Average_Customers, Average_Customers_name,
TRUE, Lost_Customers_name)</f>
        <v>Best Customers</v>
      </c>
    </row>
    <row r="511" spans="1:10" x14ac:dyDescent="0.25">
      <c r="A511" s="25" t="str">
        <v>CUST_0506</v>
      </c>
      <c r="B511" s="16">
        <f t="shared" si="35"/>
        <v>160</v>
      </c>
      <c r="C511" s="16">
        <f t="shared" si="36"/>
        <v>3</v>
      </c>
      <c r="D511" s="17">
        <f t="shared" si="37"/>
        <v>274.83</v>
      </c>
      <c r="E511" s="18" cm="1">
        <f t="array" ref="E511">_xlfn.IFS(
B511&lt;=recencyQ1, 4,
B511&lt;=recencyQ2, 3,
B511&lt;=recencyQ3, 2,
TRUE, 1
)</f>
        <v>1</v>
      </c>
      <c r="F511" s="18" cm="1">
        <f t="array" ref="F511">_xlfn.IFS(
C511&lt;=frequencyQ1, 1,
C511&lt;=frequencyQ2, 2,
C511&lt;=frequencyQ3, 3,
TRUE, 4)</f>
        <v>1</v>
      </c>
      <c r="G511" s="18" cm="1">
        <f t="array" ref="G511">_xlfn.IFS(
D511&lt;=monetaryQ1, 1,
D511&lt;=monetaryQ2, 2,
D511&lt;=monetaryQ3, 3,
TRUE, 4)</f>
        <v>1</v>
      </c>
      <c r="H511" s="18" t="str">
        <f t="shared" si="38"/>
        <v>111</v>
      </c>
      <c r="I511" s="19">
        <f t="shared" si="39"/>
        <v>1</v>
      </c>
      <c r="J511" s="7" t="str" cm="1">
        <f t="array" ref="J511">_xlfn.IFS(
I511&gt;=Best_Customers, Best_Customers_name,
I511&gt;=Loyal_Customers, Loyal_Customers_name,
I511&gt;=Average_Customers, Average_Customers_name,
TRUE, Lost_Customers_name)</f>
        <v>Lost Customers</v>
      </c>
    </row>
    <row r="512" spans="1:10" x14ac:dyDescent="0.25">
      <c r="A512" s="25" t="str">
        <v>CUST_0507</v>
      </c>
      <c r="B512" s="16">
        <f t="shared" si="35"/>
        <v>91</v>
      </c>
      <c r="C512" s="16">
        <f t="shared" si="36"/>
        <v>6</v>
      </c>
      <c r="D512" s="17">
        <f t="shared" si="37"/>
        <v>578.38000000000011</v>
      </c>
      <c r="E512" s="18" cm="1">
        <f t="array" ref="E512">_xlfn.IFS(
B512&lt;=recencyQ1, 4,
B512&lt;=recencyQ2, 3,
B512&lt;=recencyQ3, 2,
TRUE, 1
)</f>
        <v>2</v>
      </c>
      <c r="F512" s="18" cm="1">
        <f t="array" ref="F512">_xlfn.IFS(
C512&lt;=frequencyQ1, 1,
C512&lt;=frequencyQ2, 2,
C512&lt;=frequencyQ3, 3,
TRUE, 4)</f>
        <v>3</v>
      </c>
      <c r="G512" s="18" cm="1">
        <f t="array" ref="G512">_xlfn.IFS(
D512&lt;=monetaryQ1, 1,
D512&lt;=monetaryQ2, 2,
D512&lt;=monetaryQ3, 3,
TRUE, 4)</f>
        <v>3</v>
      </c>
      <c r="H512" s="18" t="str">
        <f t="shared" si="38"/>
        <v>233</v>
      </c>
      <c r="I512" s="19">
        <f t="shared" si="39"/>
        <v>2.6666666666666665</v>
      </c>
      <c r="J512" s="7" t="str" cm="1">
        <f t="array" ref="J512">_xlfn.IFS(
I512&gt;=Best_Customers, Best_Customers_name,
I512&gt;=Loyal_Customers, Loyal_Customers_name,
I512&gt;=Average_Customers, Average_Customers_name,
TRUE, Lost_Customers_name)</f>
        <v>Loyal Customers</v>
      </c>
    </row>
    <row r="513" spans="1:10" x14ac:dyDescent="0.25">
      <c r="A513" s="25" t="str">
        <v>CUST_0508</v>
      </c>
      <c r="B513" s="16">
        <f t="shared" si="35"/>
        <v>33</v>
      </c>
      <c r="C513" s="16">
        <f t="shared" si="36"/>
        <v>4</v>
      </c>
      <c r="D513" s="17">
        <f t="shared" si="37"/>
        <v>371.69</v>
      </c>
      <c r="E513" s="18" cm="1">
        <f t="array" ref="E513">_xlfn.IFS(
B513&lt;=recencyQ1, 4,
B513&lt;=recencyQ2, 3,
B513&lt;=recencyQ3, 2,
TRUE, 1
)</f>
        <v>3</v>
      </c>
      <c r="F513" s="18" cm="1">
        <f t="array" ref="F513">_xlfn.IFS(
C513&lt;=frequencyQ1, 1,
C513&lt;=frequencyQ2, 2,
C513&lt;=frequencyQ3, 3,
TRUE, 4)</f>
        <v>2</v>
      </c>
      <c r="G513" s="18" cm="1">
        <f t="array" ref="G513">_xlfn.IFS(
D513&lt;=monetaryQ1, 1,
D513&lt;=monetaryQ2, 2,
D513&lt;=monetaryQ3, 3,
TRUE, 4)</f>
        <v>2</v>
      </c>
      <c r="H513" s="18" t="str">
        <f t="shared" si="38"/>
        <v>322</v>
      </c>
      <c r="I513" s="19">
        <f t="shared" si="39"/>
        <v>2.3333333333333335</v>
      </c>
      <c r="J513" s="7" t="str" cm="1">
        <f t="array" ref="J513">_xlfn.IFS(
I513&gt;=Best_Customers, Best_Customers_name,
I513&gt;=Loyal_Customers, Loyal_Customers_name,
I513&gt;=Average_Customers, Average_Customers_name,
TRUE, Lost_Customers_name)</f>
        <v>Average Customers</v>
      </c>
    </row>
    <row r="514" spans="1:10" x14ac:dyDescent="0.25">
      <c r="A514" s="25" t="str">
        <v>CUST_0509</v>
      </c>
      <c r="B514" s="16">
        <f t="shared" si="35"/>
        <v>50</v>
      </c>
      <c r="C514" s="16">
        <f t="shared" si="36"/>
        <v>4</v>
      </c>
      <c r="D514" s="17">
        <f t="shared" si="37"/>
        <v>262.46999999999997</v>
      </c>
      <c r="E514" s="18" cm="1">
        <f t="array" ref="E514">_xlfn.IFS(
B514&lt;=recencyQ1, 4,
B514&lt;=recencyQ2, 3,
B514&lt;=recencyQ3, 2,
TRUE, 1
)</f>
        <v>2</v>
      </c>
      <c r="F514" s="18" cm="1">
        <f t="array" ref="F514">_xlfn.IFS(
C514&lt;=frequencyQ1, 1,
C514&lt;=frequencyQ2, 2,
C514&lt;=frequencyQ3, 3,
TRUE, 4)</f>
        <v>2</v>
      </c>
      <c r="G514" s="18" cm="1">
        <f t="array" ref="G514">_xlfn.IFS(
D514&lt;=monetaryQ1, 1,
D514&lt;=monetaryQ2, 2,
D514&lt;=monetaryQ3, 3,
TRUE, 4)</f>
        <v>1</v>
      </c>
      <c r="H514" s="18" t="str">
        <f t="shared" si="38"/>
        <v>221</v>
      </c>
      <c r="I514" s="19">
        <f t="shared" si="39"/>
        <v>1.6666666666666667</v>
      </c>
      <c r="J514" s="7" t="str" cm="1">
        <f t="array" ref="J514">_xlfn.IFS(
I514&gt;=Best_Customers, Best_Customers_name,
I514&gt;=Loyal_Customers, Loyal_Customers_name,
I514&gt;=Average_Customers, Average_Customers_name,
TRUE, Lost_Customers_name)</f>
        <v>Average Customers</v>
      </c>
    </row>
    <row r="515" spans="1:10" x14ac:dyDescent="0.25">
      <c r="A515" s="25" t="str">
        <v>CUST_0510</v>
      </c>
      <c r="B515" s="16">
        <f t="shared" si="35"/>
        <v>25</v>
      </c>
      <c r="C515" s="16">
        <f t="shared" si="36"/>
        <v>8</v>
      </c>
      <c r="D515" s="17">
        <f t="shared" si="37"/>
        <v>837.3900000000001</v>
      </c>
      <c r="E515" s="18" cm="1">
        <f t="array" ref="E515">_xlfn.IFS(
B515&lt;=recencyQ1, 4,
B515&lt;=recencyQ2, 3,
B515&lt;=recencyQ3, 2,
TRUE, 1
)</f>
        <v>3</v>
      </c>
      <c r="F515" s="18" cm="1">
        <f t="array" ref="F515">_xlfn.IFS(
C515&lt;=frequencyQ1, 1,
C515&lt;=frequencyQ2, 2,
C515&lt;=frequencyQ3, 3,
TRUE, 4)</f>
        <v>4</v>
      </c>
      <c r="G515" s="18" cm="1">
        <f t="array" ref="G515">_xlfn.IFS(
D515&lt;=monetaryQ1, 1,
D515&lt;=monetaryQ2, 2,
D515&lt;=monetaryQ3, 3,
TRUE, 4)</f>
        <v>4</v>
      </c>
      <c r="H515" s="18" t="str">
        <f t="shared" si="38"/>
        <v>344</v>
      </c>
      <c r="I515" s="19">
        <f t="shared" si="39"/>
        <v>3.6666666666666665</v>
      </c>
      <c r="J515" s="7" t="str" cm="1">
        <f t="array" ref="J515">_xlfn.IFS(
I515&gt;=Best_Customers, Best_Customers_name,
I515&gt;=Loyal_Customers, Loyal_Customers_name,
I515&gt;=Average_Customers, Average_Customers_name,
TRUE, Lost_Customers_name)</f>
        <v>Best Customers</v>
      </c>
    </row>
    <row r="516" spans="1:10" x14ac:dyDescent="0.25">
      <c r="A516" s="25" t="str">
        <v>CUST_0511</v>
      </c>
      <c r="B516" s="16">
        <f t="shared" si="35"/>
        <v>5</v>
      </c>
      <c r="C516" s="16">
        <f t="shared" si="36"/>
        <v>4</v>
      </c>
      <c r="D516" s="17">
        <f t="shared" si="37"/>
        <v>400.40000000000003</v>
      </c>
      <c r="E516" s="18" cm="1">
        <f t="array" ref="E516">_xlfn.IFS(
B516&lt;=recencyQ1, 4,
B516&lt;=recencyQ2, 3,
B516&lt;=recencyQ3, 2,
TRUE, 1
)</f>
        <v>4</v>
      </c>
      <c r="F516" s="18" cm="1">
        <f t="array" ref="F516">_xlfn.IFS(
C516&lt;=frequencyQ1, 1,
C516&lt;=frequencyQ2, 2,
C516&lt;=frequencyQ3, 3,
TRUE, 4)</f>
        <v>2</v>
      </c>
      <c r="G516" s="18" cm="1">
        <f t="array" ref="G516">_xlfn.IFS(
D516&lt;=monetaryQ1, 1,
D516&lt;=monetaryQ2, 2,
D516&lt;=monetaryQ3, 3,
TRUE, 4)</f>
        <v>2</v>
      </c>
      <c r="H516" s="18" t="str">
        <f t="shared" si="38"/>
        <v>422</v>
      </c>
      <c r="I516" s="19">
        <f t="shared" si="39"/>
        <v>2.6666666666666665</v>
      </c>
      <c r="J516" s="7" t="str" cm="1">
        <f t="array" ref="J516">_xlfn.IFS(
I516&gt;=Best_Customers, Best_Customers_name,
I516&gt;=Loyal_Customers, Loyal_Customers_name,
I516&gt;=Average_Customers, Average_Customers_name,
TRUE, Lost_Customers_name)</f>
        <v>Loyal Customers</v>
      </c>
    </row>
    <row r="517" spans="1:10" x14ac:dyDescent="0.25">
      <c r="A517" s="25" t="str">
        <v>CUST_0512</v>
      </c>
      <c r="B517" s="16">
        <f t="shared" si="35"/>
        <v>42</v>
      </c>
      <c r="C517" s="16">
        <f t="shared" si="36"/>
        <v>5</v>
      </c>
      <c r="D517" s="17">
        <f t="shared" si="37"/>
        <v>567.24</v>
      </c>
      <c r="E517" s="18" cm="1">
        <f t="array" ref="E517">_xlfn.IFS(
B517&lt;=recencyQ1, 4,
B517&lt;=recencyQ2, 3,
B517&lt;=recencyQ3, 2,
TRUE, 1
)</f>
        <v>3</v>
      </c>
      <c r="F517" s="18" cm="1">
        <f t="array" ref="F517">_xlfn.IFS(
C517&lt;=frequencyQ1, 1,
C517&lt;=frequencyQ2, 2,
C517&lt;=frequencyQ3, 3,
TRUE, 4)</f>
        <v>2</v>
      </c>
      <c r="G517" s="18" cm="1">
        <f t="array" ref="G517">_xlfn.IFS(
D517&lt;=monetaryQ1, 1,
D517&lt;=monetaryQ2, 2,
D517&lt;=monetaryQ3, 3,
TRUE, 4)</f>
        <v>3</v>
      </c>
      <c r="H517" s="18" t="str">
        <f t="shared" si="38"/>
        <v>323</v>
      </c>
      <c r="I517" s="19">
        <f t="shared" si="39"/>
        <v>2.6666666666666665</v>
      </c>
      <c r="J517" s="7" t="str" cm="1">
        <f t="array" ref="J517">_xlfn.IFS(
I517&gt;=Best_Customers, Best_Customers_name,
I517&gt;=Loyal_Customers, Loyal_Customers_name,
I517&gt;=Average_Customers, Average_Customers_name,
TRUE, Lost_Customers_name)</f>
        <v>Loyal Customers</v>
      </c>
    </row>
    <row r="518" spans="1:10" x14ac:dyDescent="0.25">
      <c r="A518" s="25" t="str">
        <v>CUST_0513</v>
      </c>
      <c r="B518" s="16">
        <f t="shared" si="35"/>
        <v>113</v>
      </c>
      <c r="C518" s="16">
        <f t="shared" si="36"/>
        <v>4</v>
      </c>
      <c r="D518" s="17">
        <f t="shared" si="37"/>
        <v>333.64</v>
      </c>
      <c r="E518" s="18" cm="1">
        <f t="array" ref="E518">_xlfn.IFS(
B518&lt;=recencyQ1, 4,
B518&lt;=recencyQ2, 3,
B518&lt;=recencyQ3, 2,
TRUE, 1
)</f>
        <v>1</v>
      </c>
      <c r="F518" s="18" cm="1">
        <f t="array" ref="F518">_xlfn.IFS(
C518&lt;=frequencyQ1, 1,
C518&lt;=frequencyQ2, 2,
C518&lt;=frequencyQ3, 3,
TRUE, 4)</f>
        <v>2</v>
      </c>
      <c r="G518" s="18" cm="1">
        <f t="array" ref="G518">_xlfn.IFS(
D518&lt;=monetaryQ1, 1,
D518&lt;=monetaryQ2, 2,
D518&lt;=monetaryQ3, 3,
TRUE, 4)</f>
        <v>2</v>
      </c>
      <c r="H518" s="18" t="str">
        <f t="shared" si="38"/>
        <v>122</v>
      </c>
      <c r="I518" s="19">
        <f t="shared" si="39"/>
        <v>1.6666666666666667</v>
      </c>
      <c r="J518" s="7" t="str" cm="1">
        <f t="array" ref="J518">_xlfn.IFS(
I518&gt;=Best_Customers, Best_Customers_name,
I518&gt;=Loyal_Customers, Loyal_Customers_name,
I518&gt;=Average_Customers, Average_Customers_name,
TRUE, Lost_Customers_name)</f>
        <v>Average Customers</v>
      </c>
    </row>
    <row r="519" spans="1:10" x14ac:dyDescent="0.25">
      <c r="A519" s="25" t="str">
        <v>CUST_0514</v>
      </c>
      <c r="B519" s="16">
        <f t="shared" si="35"/>
        <v>27</v>
      </c>
      <c r="C519" s="16">
        <f t="shared" si="36"/>
        <v>5</v>
      </c>
      <c r="D519" s="17">
        <f t="shared" si="37"/>
        <v>376.28000000000003</v>
      </c>
      <c r="E519" s="18" cm="1">
        <f t="array" ref="E519">_xlfn.IFS(
B519&lt;=recencyQ1, 4,
B519&lt;=recencyQ2, 3,
B519&lt;=recencyQ3, 2,
TRUE, 1
)</f>
        <v>3</v>
      </c>
      <c r="F519" s="18" cm="1">
        <f t="array" ref="F519">_xlfn.IFS(
C519&lt;=frequencyQ1, 1,
C519&lt;=frequencyQ2, 2,
C519&lt;=frequencyQ3, 3,
TRUE, 4)</f>
        <v>2</v>
      </c>
      <c r="G519" s="18" cm="1">
        <f t="array" ref="G519">_xlfn.IFS(
D519&lt;=monetaryQ1, 1,
D519&lt;=monetaryQ2, 2,
D519&lt;=monetaryQ3, 3,
TRUE, 4)</f>
        <v>2</v>
      </c>
      <c r="H519" s="18" t="str">
        <f t="shared" si="38"/>
        <v>322</v>
      </c>
      <c r="I519" s="19">
        <f t="shared" si="39"/>
        <v>2.3333333333333335</v>
      </c>
      <c r="J519" s="7" t="str" cm="1">
        <f t="array" ref="J519">_xlfn.IFS(
I519&gt;=Best_Customers, Best_Customers_name,
I519&gt;=Loyal_Customers, Loyal_Customers_name,
I519&gt;=Average_Customers, Average_Customers_name,
TRUE, Lost_Customers_name)</f>
        <v>Average Customers</v>
      </c>
    </row>
    <row r="520" spans="1:10" x14ac:dyDescent="0.25">
      <c r="A520" s="25" t="str">
        <v>CUST_0515</v>
      </c>
      <c r="B520" s="16">
        <f t="shared" si="35"/>
        <v>25</v>
      </c>
      <c r="C520" s="16">
        <f t="shared" si="36"/>
        <v>8</v>
      </c>
      <c r="D520" s="17">
        <f t="shared" si="37"/>
        <v>943.54</v>
      </c>
      <c r="E520" s="18" cm="1">
        <f t="array" ref="E520">_xlfn.IFS(
B520&lt;=recencyQ1, 4,
B520&lt;=recencyQ2, 3,
B520&lt;=recencyQ3, 2,
TRUE, 1
)</f>
        <v>3</v>
      </c>
      <c r="F520" s="18" cm="1">
        <f t="array" ref="F520">_xlfn.IFS(
C520&lt;=frequencyQ1, 1,
C520&lt;=frequencyQ2, 2,
C520&lt;=frequencyQ3, 3,
TRUE, 4)</f>
        <v>4</v>
      </c>
      <c r="G520" s="18" cm="1">
        <f t="array" ref="G520">_xlfn.IFS(
D520&lt;=monetaryQ1, 1,
D520&lt;=monetaryQ2, 2,
D520&lt;=monetaryQ3, 3,
TRUE, 4)</f>
        <v>4</v>
      </c>
      <c r="H520" s="18" t="str">
        <f t="shared" si="38"/>
        <v>344</v>
      </c>
      <c r="I520" s="19">
        <f t="shared" si="39"/>
        <v>3.6666666666666665</v>
      </c>
      <c r="J520" s="7" t="str" cm="1">
        <f t="array" ref="J520">_xlfn.IFS(
I520&gt;=Best_Customers, Best_Customers_name,
I520&gt;=Loyal_Customers, Loyal_Customers_name,
I520&gt;=Average_Customers, Average_Customers_name,
TRUE, Lost_Customers_name)</f>
        <v>Best Customers</v>
      </c>
    </row>
    <row r="521" spans="1:10" x14ac:dyDescent="0.25">
      <c r="A521" s="25" t="str">
        <v>CUST_0516</v>
      </c>
      <c r="B521" s="16">
        <f t="shared" si="35"/>
        <v>30</v>
      </c>
      <c r="C521" s="16">
        <f t="shared" si="36"/>
        <v>10</v>
      </c>
      <c r="D521" s="17">
        <f t="shared" si="37"/>
        <v>1036.07</v>
      </c>
      <c r="E521" s="18" cm="1">
        <f t="array" ref="E521">_xlfn.IFS(
B521&lt;=recencyQ1, 4,
B521&lt;=recencyQ2, 3,
B521&lt;=recencyQ3, 2,
TRUE, 1
)</f>
        <v>3</v>
      </c>
      <c r="F521" s="18" cm="1">
        <f t="array" ref="F521">_xlfn.IFS(
C521&lt;=frequencyQ1, 1,
C521&lt;=frequencyQ2, 2,
C521&lt;=frequencyQ3, 3,
TRUE, 4)</f>
        <v>4</v>
      </c>
      <c r="G521" s="18" cm="1">
        <f t="array" ref="G521">_xlfn.IFS(
D521&lt;=monetaryQ1, 1,
D521&lt;=monetaryQ2, 2,
D521&lt;=monetaryQ3, 3,
TRUE, 4)</f>
        <v>4</v>
      </c>
      <c r="H521" s="18" t="str">
        <f t="shared" si="38"/>
        <v>344</v>
      </c>
      <c r="I521" s="19">
        <f t="shared" si="39"/>
        <v>3.6666666666666665</v>
      </c>
      <c r="J521" s="7" t="str" cm="1">
        <f t="array" ref="J521">_xlfn.IFS(
I521&gt;=Best_Customers, Best_Customers_name,
I521&gt;=Loyal_Customers, Loyal_Customers_name,
I521&gt;=Average_Customers, Average_Customers_name,
TRUE, Lost_Customers_name)</f>
        <v>Best Customers</v>
      </c>
    </row>
    <row r="522" spans="1:10" x14ac:dyDescent="0.25">
      <c r="A522" s="25" t="str">
        <v>CUST_0517</v>
      </c>
      <c r="B522" s="16">
        <f t="shared" ref="B522:B585" si="40">analysis_date-_xlfn.MAXIFS(transaction_date,customer_id,A522,included,1)</f>
        <v>56</v>
      </c>
      <c r="C522" s="16">
        <f t="shared" ref="C522:C585" si="41">COUNTIFS(customer_id,A522,included,1)</f>
        <v>3</v>
      </c>
      <c r="D522" s="17">
        <f t="shared" ref="D522:D585" si="42">SUMIFS(transaction_amount,customer_id,A522,included,1)</f>
        <v>419</v>
      </c>
      <c r="E522" s="18" cm="1">
        <f t="array" ref="E522">_xlfn.IFS(
B522&lt;=recencyQ1, 4,
B522&lt;=recencyQ2, 3,
B522&lt;=recencyQ3, 2,
TRUE, 1
)</f>
        <v>2</v>
      </c>
      <c r="F522" s="18" cm="1">
        <f t="array" ref="F522">_xlfn.IFS(
C522&lt;=frequencyQ1, 1,
C522&lt;=frequencyQ2, 2,
C522&lt;=frequencyQ3, 3,
TRUE, 4)</f>
        <v>1</v>
      </c>
      <c r="G522" s="18" cm="1">
        <f t="array" ref="G522">_xlfn.IFS(
D522&lt;=monetaryQ1, 1,
D522&lt;=monetaryQ2, 2,
D522&lt;=monetaryQ3, 3,
TRUE, 4)</f>
        <v>2</v>
      </c>
      <c r="H522" s="18" t="str">
        <f t="shared" ref="H522:H585" si="43">E522&amp;F522&amp;G522</f>
        <v>212</v>
      </c>
      <c r="I522" s="19">
        <f t="shared" ref="I522:I585" si="44">AVERAGE(E522:G522)</f>
        <v>1.6666666666666667</v>
      </c>
      <c r="J522" s="7" t="str" cm="1">
        <f t="array" ref="J522">_xlfn.IFS(
I522&gt;=Best_Customers, Best_Customers_name,
I522&gt;=Loyal_Customers, Loyal_Customers_name,
I522&gt;=Average_Customers, Average_Customers_name,
TRUE, Lost_Customers_name)</f>
        <v>Average Customers</v>
      </c>
    </row>
    <row r="523" spans="1:10" x14ac:dyDescent="0.25">
      <c r="A523" s="25" t="str">
        <v>CUST_0518</v>
      </c>
      <c r="B523" s="16">
        <f t="shared" si="40"/>
        <v>1</v>
      </c>
      <c r="C523" s="16">
        <f t="shared" si="41"/>
        <v>4</v>
      </c>
      <c r="D523" s="17">
        <f t="shared" si="42"/>
        <v>432.26000000000005</v>
      </c>
      <c r="E523" s="18" cm="1">
        <f t="array" ref="E523">_xlfn.IFS(
B523&lt;=recencyQ1, 4,
B523&lt;=recencyQ2, 3,
B523&lt;=recencyQ3, 2,
TRUE, 1
)</f>
        <v>4</v>
      </c>
      <c r="F523" s="18" cm="1">
        <f t="array" ref="F523">_xlfn.IFS(
C523&lt;=frequencyQ1, 1,
C523&lt;=frequencyQ2, 2,
C523&lt;=frequencyQ3, 3,
TRUE, 4)</f>
        <v>2</v>
      </c>
      <c r="G523" s="18" cm="1">
        <f t="array" ref="G523">_xlfn.IFS(
D523&lt;=monetaryQ1, 1,
D523&lt;=monetaryQ2, 2,
D523&lt;=monetaryQ3, 3,
TRUE, 4)</f>
        <v>2</v>
      </c>
      <c r="H523" s="18" t="str">
        <f t="shared" si="43"/>
        <v>422</v>
      </c>
      <c r="I523" s="19">
        <f t="shared" si="44"/>
        <v>2.6666666666666665</v>
      </c>
      <c r="J523" s="7" t="str" cm="1">
        <f t="array" ref="J523">_xlfn.IFS(
I523&gt;=Best_Customers, Best_Customers_name,
I523&gt;=Loyal_Customers, Loyal_Customers_name,
I523&gt;=Average_Customers, Average_Customers_name,
TRUE, Lost_Customers_name)</f>
        <v>Loyal Customers</v>
      </c>
    </row>
    <row r="524" spans="1:10" x14ac:dyDescent="0.25">
      <c r="A524" s="25" t="str">
        <v>CUST_0519</v>
      </c>
      <c r="B524" s="16">
        <f t="shared" si="40"/>
        <v>150</v>
      </c>
      <c r="C524" s="16">
        <f t="shared" si="41"/>
        <v>7</v>
      </c>
      <c r="D524" s="17">
        <f t="shared" si="42"/>
        <v>923.86999999999989</v>
      </c>
      <c r="E524" s="18" cm="1">
        <f t="array" ref="E524">_xlfn.IFS(
B524&lt;=recencyQ1, 4,
B524&lt;=recencyQ2, 3,
B524&lt;=recencyQ3, 2,
TRUE, 1
)</f>
        <v>1</v>
      </c>
      <c r="F524" s="18" cm="1">
        <f t="array" ref="F524">_xlfn.IFS(
C524&lt;=frequencyQ1, 1,
C524&lt;=frequencyQ2, 2,
C524&lt;=frequencyQ3, 3,
TRUE, 4)</f>
        <v>4</v>
      </c>
      <c r="G524" s="18" cm="1">
        <f t="array" ref="G524">_xlfn.IFS(
D524&lt;=monetaryQ1, 1,
D524&lt;=monetaryQ2, 2,
D524&lt;=monetaryQ3, 3,
TRUE, 4)</f>
        <v>4</v>
      </c>
      <c r="H524" s="18" t="str">
        <f t="shared" si="43"/>
        <v>144</v>
      </c>
      <c r="I524" s="19">
        <f t="shared" si="44"/>
        <v>3</v>
      </c>
      <c r="J524" s="7" t="str" cm="1">
        <f t="array" ref="J524">_xlfn.IFS(
I524&gt;=Best_Customers, Best_Customers_name,
I524&gt;=Loyal_Customers, Loyal_Customers_name,
I524&gt;=Average_Customers, Average_Customers_name,
TRUE, Lost_Customers_name)</f>
        <v>Loyal Customers</v>
      </c>
    </row>
    <row r="525" spans="1:10" x14ac:dyDescent="0.25">
      <c r="A525" s="25" t="str">
        <v>CUST_0520</v>
      </c>
      <c r="B525" s="16">
        <f t="shared" si="40"/>
        <v>12</v>
      </c>
      <c r="C525" s="16">
        <f t="shared" si="41"/>
        <v>6</v>
      </c>
      <c r="D525" s="17">
        <f t="shared" si="42"/>
        <v>570.47</v>
      </c>
      <c r="E525" s="18" cm="1">
        <f t="array" ref="E525">_xlfn.IFS(
B525&lt;=recencyQ1, 4,
B525&lt;=recencyQ2, 3,
B525&lt;=recencyQ3, 2,
TRUE, 1
)</f>
        <v>4</v>
      </c>
      <c r="F525" s="18" cm="1">
        <f t="array" ref="F525">_xlfn.IFS(
C525&lt;=frequencyQ1, 1,
C525&lt;=frequencyQ2, 2,
C525&lt;=frequencyQ3, 3,
TRUE, 4)</f>
        <v>3</v>
      </c>
      <c r="G525" s="18" cm="1">
        <f t="array" ref="G525">_xlfn.IFS(
D525&lt;=monetaryQ1, 1,
D525&lt;=monetaryQ2, 2,
D525&lt;=monetaryQ3, 3,
TRUE, 4)</f>
        <v>3</v>
      </c>
      <c r="H525" s="18" t="str">
        <f t="shared" si="43"/>
        <v>433</v>
      </c>
      <c r="I525" s="19">
        <f t="shared" si="44"/>
        <v>3.3333333333333335</v>
      </c>
      <c r="J525" s="7" t="str" cm="1">
        <f t="array" ref="J525">_xlfn.IFS(
I525&gt;=Best_Customers, Best_Customers_name,
I525&gt;=Loyal_Customers, Loyal_Customers_name,
I525&gt;=Average_Customers, Average_Customers_name,
TRUE, Lost_Customers_name)</f>
        <v>Loyal Customers</v>
      </c>
    </row>
    <row r="526" spans="1:10" x14ac:dyDescent="0.25">
      <c r="A526" s="25" t="str">
        <v>CUST_0521</v>
      </c>
      <c r="B526" s="16">
        <f t="shared" si="40"/>
        <v>189</v>
      </c>
      <c r="C526" s="16">
        <f t="shared" si="41"/>
        <v>3</v>
      </c>
      <c r="D526" s="17">
        <f t="shared" si="42"/>
        <v>320.15000000000003</v>
      </c>
      <c r="E526" s="18" cm="1">
        <f t="array" ref="E526">_xlfn.IFS(
B526&lt;=recencyQ1, 4,
B526&lt;=recencyQ2, 3,
B526&lt;=recencyQ3, 2,
TRUE, 1
)</f>
        <v>1</v>
      </c>
      <c r="F526" s="18" cm="1">
        <f t="array" ref="F526">_xlfn.IFS(
C526&lt;=frequencyQ1, 1,
C526&lt;=frequencyQ2, 2,
C526&lt;=frequencyQ3, 3,
TRUE, 4)</f>
        <v>1</v>
      </c>
      <c r="G526" s="18" cm="1">
        <f t="array" ref="G526">_xlfn.IFS(
D526&lt;=monetaryQ1, 1,
D526&lt;=monetaryQ2, 2,
D526&lt;=monetaryQ3, 3,
TRUE, 4)</f>
        <v>2</v>
      </c>
      <c r="H526" s="18" t="str">
        <f t="shared" si="43"/>
        <v>112</v>
      </c>
      <c r="I526" s="19">
        <f t="shared" si="44"/>
        <v>1.3333333333333333</v>
      </c>
      <c r="J526" s="7" t="str" cm="1">
        <f t="array" ref="J526">_xlfn.IFS(
I526&gt;=Best_Customers, Best_Customers_name,
I526&gt;=Loyal_Customers, Loyal_Customers_name,
I526&gt;=Average_Customers, Average_Customers_name,
TRUE, Lost_Customers_name)</f>
        <v>Lost Customers</v>
      </c>
    </row>
    <row r="527" spans="1:10" x14ac:dyDescent="0.25">
      <c r="A527" s="25" t="str">
        <v>CUST_0522</v>
      </c>
      <c r="B527" s="16">
        <f t="shared" si="40"/>
        <v>16</v>
      </c>
      <c r="C527" s="16">
        <f t="shared" si="41"/>
        <v>3</v>
      </c>
      <c r="D527" s="17">
        <f t="shared" si="42"/>
        <v>331.76</v>
      </c>
      <c r="E527" s="18" cm="1">
        <f t="array" ref="E527">_xlfn.IFS(
B527&lt;=recencyQ1, 4,
B527&lt;=recencyQ2, 3,
B527&lt;=recencyQ3, 2,
TRUE, 1
)</f>
        <v>4</v>
      </c>
      <c r="F527" s="18" cm="1">
        <f t="array" ref="F527">_xlfn.IFS(
C527&lt;=frequencyQ1, 1,
C527&lt;=frequencyQ2, 2,
C527&lt;=frequencyQ3, 3,
TRUE, 4)</f>
        <v>1</v>
      </c>
      <c r="G527" s="18" cm="1">
        <f t="array" ref="G527">_xlfn.IFS(
D527&lt;=monetaryQ1, 1,
D527&lt;=monetaryQ2, 2,
D527&lt;=monetaryQ3, 3,
TRUE, 4)</f>
        <v>2</v>
      </c>
      <c r="H527" s="18" t="str">
        <f t="shared" si="43"/>
        <v>412</v>
      </c>
      <c r="I527" s="19">
        <f t="shared" si="44"/>
        <v>2.3333333333333335</v>
      </c>
      <c r="J527" s="7" t="str" cm="1">
        <f t="array" ref="J527">_xlfn.IFS(
I527&gt;=Best_Customers, Best_Customers_name,
I527&gt;=Loyal_Customers, Loyal_Customers_name,
I527&gt;=Average_Customers, Average_Customers_name,
TRUE, Lost_Customers_name)</f>
        <v>Average Customers</v>
      </c>
    </row>
    <row r="528" spans="1:10" x14ac:dyDescent="0.25">
      <c r="A528" s="25" t="str">
        <v>CUST_0523</v>
      </c>
      <c r="B528" s="16">
        <f t="shared" si="40"/>
        <v>17</v>
      </c>
      <c r="C528" s="16">
        <f t="shared" si="41"/>
        <v>8</v>
      </c>
      <c r="D528" s="17">
        <f t="shared" si="42"/>
        <v>876.58</v>
      </c>
      <c r="E528" s="18" cm="1">
        <f t="array" ref="E528">_xlfn.IFS(
B528&lt;=recencyQ1, 4,
B528&lt;=recencyQ2, 3,
B528&lt;=recencyQ3, 2,
TRUE, 1
)</f>
        <v>4</v>
      </c>
      <c r="F528" s="18" cm="1">
        <f t="array" ref="F528">_xlfn.IFS(
C528&lt;=frequencyQ1, 1,
C528&lt;=frequencyQ2, 2,
C528&lt;=frequencyQ3, 3,
TRUE, 4)</f>
        <v>4</v>
      </c>
      <c r="G528" s="18" cm="1">
        <f t="array" ref="G528">_xlfn.IFS(
D528&lt;=monetaryQ1, 1,
D528&lt;=monetaryQ2, 2,
D528&lt;=monetaryQ3, 3,
TRUE, 4)</f>
        <v>4</v>
      </c>
      <c r="H528" s="18" t="str">
        <f t="shared" si="43"/>
        <v>444</v>
      </c>
      <c r="I528" s="19">
        <f t="shared" si="44"/>
        <v>4</v>
      </c>
      <c r="J528" s="7" t="str" cm="1">
        <f t="array" ref="J528">_xlfn.IFS(
I528&gt;=Best_Customers, Best_Customers_name,
I528&gt;=Loyal_Customers, Loyal_Customers_name,
I528&gt;=Average_Customers, Average_Customers_name,
TRUE, Lost_Customers_name)</f>
        <v>Best Customers</v>
      </c>
    </row>
    <row r="529" spans="1:10" x14ac:dyDescent="0.25">
      <c r="A529" s="25" t="str">
        <v>CUST_0524</v>
      </c>
      <c r="B529" s="16">
        <f t="shared" si="40"/>
        <v>72</v>
      </c>
      <c r="C529" s="16">
        <f t="shared" si="41"/>
        <v>5</v>
      </c>
      <c r="D529" s="17">
        <f t="shared" si="42"/>
        <v>573.27</v>
      </c>
      <c r="E529" s="18" cm="1">
        <f t="array" ref="E529">_xlfn.IFS(
B529&lt;=recencyQ1, 4,
B529&lt;=recencyQ2, 3,
B529&lt;=recencyQ3, 2,
TRUE, 1
)</f>
        <v>2</v>
      </c>
      <c r="F529" s="18" cm="1">
        <f t="array" ref="F529">_xlfn.IFS(
C529&lt;=frequencyQ1, 1,
C529&lt;=frequencyQ2, 2,
C529&lt;=frequencyQ3, 3,
TRUE, 4)</f>
        <v>2</v>
      </c>
      <c r="G529" s="18" cm="1">
        <f t="array" ref="G529">_xlfn.IFS(
D529&lt;=monetaryQ1, 1,
D529&lt;=monetaryQ2, 2,
D529&lt;=monetaryQ3, 3,
TRUE, 4)</f>
        <v>3</v>
      </c>
      <c r="H529" s="18" t="str">
        <f t="shared" si="43"/>
        <v>223</v>
      </c>
      <c r="I529" s="19">
        <f t="shared" si="44"/>
        <v>2.3333333333333335</v>
      </c>
      <c r="J529" s="7" t="str" cm="1">
        <f t="array" ref="J529">_xlfn.IFS(
I529&gt;=Best_Customers, Best_Customers_name,
I529&gt;=Loyal_Customers, Loyal_Customers_name,
I529&gt;=Average_Customers, Average_Customers_name,
TRUE, Lost_Customers_name)</f>
        <v>Average Customers</v>
      </c>
    </row>
    <row r="530" spans="1:10" x14ac:dyDescent="0.25">
      <c r="A530" s="25" t="str">
        <v>CUST_0525</v>
      </c>
      <c r="B530" s="16">
        <f t="shared" si="40"/>
        <v>12</v>
      </c>
      <c r="C530" s="16">
        <f t="shared" si="41"/>
        <v>10</v>
      </c>
      <c r="D530" s="17">
        <f t="shared" si="42"/>
        <v>973.59000000000015</v>
      </c>
      <c r="E530" s="18" cm="1">
        <f t="array" ref="E530">_xlfn.IFS(
B530&lt;=recencyQ1, 4,
B530&lt;=recencyQ2, 3,
B530&lt;=recencyQ3, 2,
TRUE, 1
)</f>
        <v>4</v>
      </c>
      <c r="F530" s="18" cm="1">
        <f t="array" ref="F530">_xlfn.IFS(
C530&lt;=frequencyQ1, 1,
C530&lt;=frequencyQ2, 2,
C530&lt;=frequencyQ3, 3,
TRUE, 4)</f>
        <v>4</v>
      </c>
      <c r="G530" s="18" cm="1">
        <f t="array" ref="G530">_xlfn.IFS(
D530&lt;=monetaryQ1, 1,
D530&lt;=monetaryQ2, 2,
D530&lt;=monetaryQ3, 3,
TRUE, 4)</f>
        <v>4</v>
      </c>
      <c r="H530" s="18" t="str">
        <f t="shared" si="43"/>
        <v>444</v>
      </c>
      <c r="I530" s="19">
        <f t="shared" si="44"/>
        <v>4</v>
      </c>
      <c r="J530" s="7" t="str" cm="1">
        <f t="array" ref="J530">_xlfn.IFS(
I530&gt;=Best_Customers, Best_Customers_name,
I530&gt;=Loyal_Customers, Loyal_Customers_name,
I530&gt;=Average_Customers, Average_Customers_name,
TRUE, Lost_Customers_name)</f>
        <v>Best Customers</v>
      </c>
    </row>
    <row r="531" spans="1:10" x14ac:dyDescent="0.25">
      <c r="A531" s="25" t="str">
        <v>CUST_0526</v>
      </c>
      <c r="B531" s="16">
        <f t="shared" si="40"/>
        <v>131</v>
      </c>
      <c r="C531" s="16">
        <f t="shared" si="41"/>
        <v>4</v>
      </c>
      <c r="D531" s="17">
        <f t="shared" si="42"/>
        <v>417.49</v>
      </c>
      <c r="E531" s="18" cm="1">
        <f t="array" ref="E531">_xlfn.IFS(
B531&lt;=recencyQ1, 4,
B531&lt;=recencyQ2, 3,
B531&lt;=recencyQ3, 2,
TRUE, 1
)</f>
        <v>1</v>
      </c>
      <c r="F531" s="18" cm="1">
        <f t="array" ref="F531">_xlfn.IFS(
C531&lt;=frequencyQ1, 1,
C531&lt;=frequencyQ2, 2,
C531&lt;=frequencyQ3, 3,
TRUE, 4)</f>
        <v>2</v>
      </c>
      <c r="G531" s="18" cm="1">
        <f t="array" ref="G531">_xlfn.IFS(
D531&lt;=monetaryQ1, 1,
D531&lt;=monetaryQ2, 2,
D531&lt;=monetaryQ3, 3,
TRUE, 4)</f>
        <v>2</v>
      </c>
      <c r="H531" s="18" t="str">
        <f t="shared" si="43"/>
        <v>122</v>
      </c>
      <c r="I531" s="19">
        <f t="shared" si="44"/>
        <v>1.6666666666666667</v>
      </c>
      <c r="J531" s="7" t="str" cm="1">
        <f t="array" ref="J531">_xlfn.IFS(
I531&gt;=Best_Customers, Best_Customers_name,
I531&gt;=Loyal_Customers, Loyal_Customers_name,
I531&gt;=Average_Customers, Average_Customers_name,
TRUE, Lost_Customers_name)</f>
        <v>Average Customers</v>
      </c>
    </row>
    <row r="532" spans="1:10" x14ac:dyDescent="0.25">
      <c r="A532" s="25" t="str">
        <v>CUST_0527</v>
      </c>
      <c r="B532" s="16">
        <f t="shared" si="40"/>
        <v>6</v>
      </c>
      <c r="C532" s="16">
        <f t="shared" si="41"/>
        <v>1</v>
      </c>
      <c r="D532" s="17">
        <f t="shared" si="42"/>
        <v>115.06</v>
      </c>
      <c r="E532" s="18" cm="1">
        <f t="array" ref="E532">_xlfn.IFS(
B532&lt;=recencyQ1, 4,
B532&lt;=recencyQ2, 3,
B532&lt;=recencyQ3, 2,
TRUE, 1
)</f>
        <v>4</v>
      </c>
      <c r="F532" s="18" cm="1">
        <f t="array" ref="F532">_xlfn.IFS(
C532&lt;=frequencyQ1, 1,
C532&lt;=frequencyQ2, 2,
C532&lt;=frequencyQ3, 3,
TRUE, 4)</f>
        <v>1</v>
      </c>
      <c r="G532" s="18" cm="1">
        <f t="array" ref="G532">_xlfn.IFS(
D532&lt;=monetaryQ1, 1,
D532&lt;=monetaryQ2, 2,
D532&lt;=monetaryQ3, 3,
TRUE, 4)</f>
        <v>1</v>
      </c>
      <c r="H532" s="18" t="str">
        <f t="shared" si="43"/>
        <v>411</v>
      </c>
      <c r="I532" s="19">
        <f t="shared" si="44"/>
        <v>2</v>
      </c>
      <c r="J532" s="7" t="str" cm="1">
        <f t="array" ref="J532">_xlfn.IFS(
I532&gt;=Best_Customers, Best_Customers_name,
I532&gt;=Loyal_Customers, Loyal_Customers_name,
I532&gt;=Average_Customers, Average_Customers_name,
TRUE, Lost_Customers_name)</f>
        <v>Average Customers</v>
      </c>
    </row>
    <row r="533" spans="1:10" x14ac:dyDescent="0.25">
      <c r="A533" s="25" t="str">
        <v>CUST_0528</v>
      </c>
      <c r="B533" s="16">
        <f t="shared" si="40"/>
        <v>102</v>
      </c>
      <c r="C533" s="16">
        <f t="shared" si="41"/>
        <v>4</v>
      </c>
      <c r="D533" s="17">
        <f t="shared" si="42"/>
        <v>423.05</v>
      </c>
      <c r="E533" s="18" cm="1">
        <f t="array" ref="E533">_xlfn.IFS(
B533&lt;=recencyQ1, 4,
B533&lt;=recencyQ2, 3,
B533&lt;=recencyQ3, 2,
TRUE, 1
)</f>
        <v>1</v>
      </c>
      <c r="F533" s="18" cm="1">
        <f t="array" ref="F533">_xlfn.IFS(
C533&lt;=frequencyQ1, 1,
C533&lt;=frequencyQ2, 2,
C533&lt;=frequencyQ3, 3,
TRUE, 4)</f>
        <v>2</v>
      </c>
      <c r="G533" s="18" cm="1">
        <f t="array" ref="G533">_xlfn.IFS(
D533&lt;=monetaryQ1, 1,
D533&lt;=monetaryQ2, 2,
D533&lt;=monetaryQ3, 3,
TRUE, 4)</f>
        <v>2</v>
      </c>
      <c r="H533" s="18" t="str">
        <f t="shared" si="43"/>
        <v>122</v>
      </c>
      <c r="I533" s="19">
        <f t="shared" si="44"/>
        <v>1.6666666666666667</v>
      </c>
      <c r="J533" s="7" t="str" cm="1">
        <f t="array" ref="J533">_xlfn.IFS(
I533&gt;=Best_Customers, Best_Customers_name,
I533&gt;=Loyal_Customers, Loyal_Customers_name,
I533&gt;=Average_Customers, Average_Customers_name,
TRUE, Lost_Customers_name)</f>
        <v>Average Customers</v>
      </c>
    </row>
    <row r="534" spans="1:10" x14ac:dyDescent="0.25">
      <c r="A534" s="25" t="str">
        <v>CUST_0529</v>
      </c>
      <c r="B534" s="16">
        <f t="shared" si="40"/>
        <v>213</v>
      </c>
      <c r="C534" s="16">
        <f t="shared" si="41"/>
        <v>2</v>
      </c>
      <c r="D534" s="17">
        <f t="shared" si="42"/>
        <v>240.31</v>
      </c>
      <c r="E534" s="18" cm="1">
        <f t="array" ref="E534">_xlfn.IFS(
B534&lt;=recencyQ1, 4,
B534&lt;=recencyQ2, 3,
B534&lt;=recencyQ3, 2,
TRUE, 1
)</f>
        <v>1</v>
      </c>
      <c r="F534" s="18" cm="1">
        <f t="array" ref="F534">_xlfn.IFS(
C534&lt;=frequencyQ1, 1,
C534&lt;=frequencyQ2, 2,
C534&lt;=frequencyQ3, 3,
TRUE, 4)</f>
        <v>1</v>
      </c>
      <c r="G534" s="18" cm="1">
        <f t="array" ref="G534">_xlfn.IFS(
D534&lt;=monetaryQ1, 1,
D534&lt;=monetaryQ2, 2,
D534&lt;=monetaryQ3, 3,
TRUE, 4)</f>
        <v>1</v>
      </c>
      <c r="H534" s="18" t="str">
        <f t="shared" si="43"/>
        <v>111</v>
      </c>
      <c r="I534" s="19">
        <f t="shared" si="44"/>
        <v>1</v>
      </c>
      <c r="J534" s="7" t="str" cm="1">
        <f t="array" ref="J534">_xlfn.IFS(
I534&gt;=Best_Customers, Best_Customers_name,
I534&gt;=Loyal_Customers, Loyal_Customers_name,
I534&gt;=Average_Customers, Average_Customers_name,
TRUE, Lost_Customers_name)</f>
        <v>Lost Customers</v>
      </c>
    </row>
    <row r="535" spans="1:10" x14ac:dyDescent="0.25">
      <c r="A535" s="25" t="str">
        <v>CUST_0530</v>
      </c>
      <c r="B535" s="16">
        <f t="shared" si="40"/>
        <v>64</v>
      </c>
      <c r="C535" s="16">
        <f t="shared" si="41"/>
        <v>3</v>
      </c>
      <c r="D535" s="17">
        <f t="shared" si="42"/>
        <v>271.25</v>
      </c>
      <c r="E535" s="18" cm="1">
        <f t="array" ref="E535">_xlfn.IFS(
B535&lt;=recencyQ1, 4,
B535&lt;=recencyQ2, 3,
B535&lt;=recencyQ3, 2,
TRUE, 1
)</f>
        <v>2</v>
      </c>
      <c r="F535" s="18" cm="1">
        <f t="array" ref="F535">_xlfn.IFS(
C535&lt;=frequencyQ1, 1,
C535&lt;=frequencyQ2, 2,
C535&lt;=frequencyQ3, 3,
TRUE, 4)</f>
        <v>1</v>
      </c>
      <c r="G535" s="18" cm="1">
        <f t="array" ref="G535">_xlfn.IFS(
D535&lt;=monetaryQ1, 1,
D535&lt;=monetaryQ2, 2,
D535&lt;=monetaryQ3, 3,
TRUE, 4)</f>
        <v>1</v>
      </c>
      <c r="H535" s="18" t="str">
        <f t="shared" si="43"/>
        <v>211</v>
      </c>
      <c r="I535" s="19">
        <f t="shared" si="44"/>
        <v>1.3333333333333333</v>
      </c>
      <c r="J535" s="7" t="str" cm="1">
        <f t="array" ref="J535">_xlfn.IFS(
I535&gt;=Best_Customers, Best_Customers_name,
I535&gt;=Loyal_Customers, Loyal_Customers_name,
I535&gt;=Average_Customers, Average_Customers_name,
TRUE, Lost_Customers_name)</f>
        <v>Lost Customers</v>
      </c>
    </row>
    <row r="536" spans="1:10" x14ac:dyDescent="0.25">
      <c r="A536" s="25" t="str">
        <v>CUST_0531</v>
      </c>
      <c r="B536" s="16">
        <f t="shared" si="40"/>
        <v>44</v>
      </c>
      <c r="C536" s="16">
        <f t="shared" si="41"/>
        <v>6</v>
      </c>
      <c r="D536" s="17">
        <f t="shared" si="42"/>
        <v>618.38</v>
      </c>
      <c r="E536" s="18" cm="1">
        <f t="array" ref="E536">_xlfn.IFS(
B536&lt;=recencyQ1, 4,
B536&lt;=recencyQ2, 3,
B536&lt;=recencyQ3, 2,
TRUE, 1
)</f>
        <v>3</v>
      </c>
      <c r="F536" s="18" cm="1">
        <f t="array" ref="F536">_xlfn.IFS(
C536&lt;=frequencyQ1, 1,
C536&lt;=frequencyQ2, 2,
C536&lt;=frequencyQ3, 3,
TRUE, 4)</f>
        <v>3</v>
      </c>
      <c r="G536" s="18" cm="1">
        <f t="array" ref="G536">_xlfn.IFS(
D536&lt;=monetaryQ1, 1,
D536&lt;=monetaryQ2, 2,
D536&lt;=monetaryQ3, 3,
TRUE, 4)</f>
        <v>3</v>
      </c>
      <c r="H536" s="18" t="str">
        <f t="shared" si="43"/>
        <v>333</v>
      </c>
      <c r="I536" s="19">
        <f t="shared" si="44"/>
        <v>3</v>
      </c>
      <c r="J536" s="7" t="str" cm="1">
        <f t="array" ref="J536">_xlfn.IFS(
I536&gt;=Best_Customers, Best_Customers_name,
I536&gt;=Loyal_Customers, Loyal_Customers_name,
I536&gt;=Average_Customers, Average_Customers_name,
TRUE, Lost_Customers_name)</f>
        <v>Loyal Customers</v>
      </c>
    </row>
    <row r="537" spans="1:10" x14ac:dyDescent="0.25">
      <c r="A537" s="25" t="str">
        <v>CUST_0532</v>
      </c>
      <c r="B537" s="16">
        <f t="shared" si="40"/>
        <v>91</v>
      </c>
      <c r="C537" s="16">
        <f t="shared" si="41"/>
        <v>5</v>
      </c>
      <c r="D537" s="17">
        <f t="shared" si="42"/>
        <v>506.28</v>
      </c>
      <c r="E537" s="18" cm="1">
        <f t="array" ref="E537">_xlfn.IFS(
B537&lt;=recencyQ1, 4,
B537&lt;=recencyQ2, 3,
B537&lt;=recencyQ3, 2,
TRUE, 1
)</f>
        <v>2</v>
      </c>
      <c r="F537" s="18" cm="1">
        <f t="array" ref="F537">_xlfn.IFS(
C537&lt;=frequencyQ1, 1,
C537&lt;=frequencyQ2, 2,
C537&lt;=frequencyQ3, 3,
TRUE, 4)</f>
        <v>2</v>
      </c>
      <c r="G537" s="18" cm="1">
        <f t="array" ref="G537">_xlfn.IFS(
D537&lt;=monetaryQ1, 1,
D537&lt;=monetaryQ2, 2,
D537&lt;=monetaryQ3, 3,
TRUE, 4)</f>
        <v>3</v>
      </c>
      <c r="H537" s="18" t="str">
        <f t="shared" si="43"/>
        <v>223</v>
      </c>
      <c r="I537" s="19">
        <f t="shared" si="44"/>
        <v>2.3333333333333335</v>
      </c>
      <c r="J537" s="7" t="str" cm="1">
        <f t="array" ref="J537">_xlfn.IFS(
I537&gt;=Best_Customers, Best_Customers_name,
I537&gt;=Loyal_Customers, Loyal_Customers_name,
I537&gt;=Average_Customers, Average_Customers_name,
TRUE, Lost_Customers_name)</f>
        <v>Average Customers</v>
      </c>
    </row>
    <row r="538" spans="1:10" x14ac:dyDescent="0.25">
      <c r="A538" s="25" t="str">
        <v>CUST_0533</v>
      </c>
      <c r="B538" s="16">
        <f t="shared" si="40"/>
        <v>177</v>
      </c>
      <c r="C538" s="16">
        <f t="shared" si="41"/>
        <v>2</v>
      </c>
      <c r="D538" s="17">
        <f t="shared" si="42"/>
        <v>172.31</v>
      </c>
      <c r="E538" s="18" cm="1">
        <f t="array" ref="E538">_xlfn.IFS(
B538&lt;=recencyQ1, 4,
B538&lt;=recencyQ2, 3,
B538&lt;=recencyQ3, 2,
TRUE, 1
)</f>
        <v>1</v>
      </c>
      <c r="F538" s="18" cm="1">
        <f t="array" ref="F538">_xlfn.IFS(
C538&lt;=frequencyQ1, 1,
C538&lt;=frequencyQ2, 2,
C538&lt;=frequencyQ3, 3,
TRUE, 4)</f>
        <v>1</v>
      </c>
      <c r="G538" s="18" cm="1">
        <f t="array" ref="G538">_xlfn.IFS(
D538&lt;=monetaryQ1, 1,
D538&lt;=monetaryQ2, 2,
D538&lt;=monetaryQ3, 3,
TRUE, 4)</f>
        <v>1</v>
      </c>
      <c r="H538" s="18" t="str">
        <f t="shared" si="43"/>
        <v>111</v>
      </c>
      <c r="I538" s="19">
        <f t="shared" si="44"/>
        <v>1</v>
      </c>
      <c r="J538" s="7" t="str" cm="1">
        <f t="array" ref="J538">_xlfn.IFS(
I538&gt;=Best_Customers, Best_Customers_name,
I538&gt;=Loyal_Customers, Loyal_Customers_name,
I538&gt;=Average_Customers, Average_Customers_name,
TRUE, Lost_Customers_name)</f>
        <v>Lost Customers</v>
      </c>
    </row>
    <row r="539" spans="1:10" x14ac:dyDescent="0.25">
      <c r="A539" s="25" t="str">
        <v>CUST_0534</v>
      </c>
      <c r="B539" s="16">
        <f t="shared" si="40"/>
        <v>110</v>
      </c>
      <c r="C539" s="16">
        <f t="shared" si="41"/>
        <v>2</v>
      </c>
      <c r="D539" s="17">
        <f t="shared" si="42"/>
        <v>238.8</v>
      </c>
      <c r="E539" s="18" cm="1">
        <f t="array" ref="E539">_xlfn.IFS(
B539&lt;=recencyQ1, 4,
B539&lt;=recencyQ2, 3,
B539&lt;=recencyQ3, 2,
TRUE, 1
)</f>
        <v>1</v>
      </c>
      <c r="F539" s="18" cm="1">
        <f t="array" ref="F539">_xlfn.IFS(
C539&lt;=frequencyQ1, 1,
C539&lt;=frequencyQ2, 2,
C539&lt;=frequencyQ3, 3,
TRUE, 4)</f>
        <v>1</v>
      </c>
      <c r="G539" s="18" cm="1">
        <f t="array" ref="G539">_xlfn.IFS(
D539&lt;=monetaryQ1, 1,
D539&lt;=monetaryQ2, 2,
D539&lt;=monetaryQ3, 3,
TRUE, 4)</f>
        <v>1</v>
      </c>
      <c r="H539" s="18" t="str">
        <f t="shared" si="43"/>
        <v>111</v>
      </c>
      <c r="I539" s="19">
        <f t="shared" si="44"/>
        <v>1</v>
      </c>
      <c r="J539" s="7" t="str" cm="1">
        <f t="array" ref="J539">_xlfn.IFS(
I539&gt;=Best_Customers, Best_Customers_name,
I539&gt;=Loyal_Customers, Loyal_Customers_name,
I539&gt;=Average_Customers, Average_Customers_name,
TRUE, Lost_Customers_name)</f>
        <v>Lost Customers</v>
      </c>
    </row>
    <row r="540" spans="1:10" x14ac:dyDescent="0.25">
      <c r="A540" s="25" t="str">
        <v>CUST_0535</v>
      </c>
      <c r="B540" s="16">
        <f t="shared" si="40"/>
        <v>29</v>
      </c>
      <c r="C540" s="16">
        <f t="shared" si="41"/>
        <v>3</v>
      </c>
      <c r="D540" s="17">
        <f t="shared" si="42"/>
        <v>318.28000000000003</v>
      </c>
      <c r="E540" s="18" cm="1">
        <f t="array" ref="E540">_xlfn.IFS(
B540&lt;=recencyQ1, 4,
B540&lt;=recencyQ2, 3,
B540&lt;=recencyQ3, 2,
TRUE, 1
)</f>
        <v>3</v>
      </c>
      <c r="F540" s="18" cm="1">
        <f t="array" ref="F540">_xlfn.IFS(
C540&lt;=frequencyQ1, 1,
C540&lt;=frequencyQ2, 2,
C540&lt;=frequencyQ3, 3,
TRUE, 4)</f>
        <v>1</v>
      </c>
      <c r="G540" s="18" cm="1">
        <f t="array" ref="G540">_xlfn.IFS(
D540&lt;=monetaryQ1, 1,
D540&lt;=monetaryQ2, 2,
D540&lt;=monetaryQ3, 3,
TRUE, 4)</f>
        <v>1</v>
      </c>
      <c r="H540" s="18" t="str">
        <f t="shared" si="43"/>
        <v>311</v>
      </c>
      <c r="I540" s="19">
        <f t="shared" si="44"/>
        <v>1.6666666666666667</v>
      </c>
      <c r="J540" s="7" t="str" cm="1">
        <f t="array" ref="J540">_xlfn.IFS(
I540&gt;=Best_Customers, Best_Customers_name,
I540&gt;=Loyal_Customers, Loyal_Customers_name,
I540&gt;=Average_Customers, Average_Customers_name,
TRUE, Lost_Customers_name)</f>
        <v>Average Customers</v>
      </c>
    </row>
    <row r="541" spans="1:10" x14ac:dyDescent="0.25">
      <c r="A541" s="25" t="str">
        <v>CUST_0536</v>
      </c>
      <c r="B541" s="16">
        <f t="shared" si="40"/>
        <v>66</v>
      </c>
      <c r="C541" s="16">
        <f t="shared" si="41"/>
        <v>8</v>
      </c>
      <c r="D541" s="17">
        <f t="shared" si="42"/>
        <v>820.38</v>
      </c>
      <c r="E541" s="18" cm="1">
        <f t="array" ref="E541">_xlfn.IFS(
B541&lt;=recencyQ1, 4,
B541&lt;=recencyQ2, 3,
B541&lt;=recencyQ3, 2,
TRUE, 1
)</f>
        <v>2</v>
      </c>
      <c r="F541" s="18" cm="1">
        <f t="array" ref="F541">_xlfn.IFS(
C541&lt;=frequencyQ1, 1,
C541&lt;=frequencyQ2, 2,
C541&lt;=frequencyQ3, 3,
TRUE, 4)</f>
        <v>4</v>
      </c>
      <c r="G541" s="18" cm="1">
        <f t="array" ref="G541">_xlfn.IFS(
D541&lt;=monetaryQ1, 1,
D541&lt;=monetaryQ2, 2,
D541&lt;=monetaryQ3, 3,
TRUE, 4)</f>
        <v>4</v>
      </c>
      <c r="H541" s="18" t="str">
        <f t="shared" si="43"/>
        <v>244</v>
      </c>
      <c r="I541" s="19">
        <f t="shared" si="44"/>
        <v>3.3333333333333335</v>
      </c>
      <c r="J541" s="7" t="str" cm="1">
        <f t="array" ref="J541">_xlfn.IFS(
I541&gt;=Best_Customers, Best_Customers_name,
I541&gt;=Loyal_Customers, Loyal_Customers_name,
I541&gt;=Average_Customers, Average_Customers_name,
TRUE, Lost_Customers_name)</f>
        <v>Loyal Customers</v>
      </c>
    </row>
    <row r="542" spans="1:10" x14ac:dyDescent="0.25">
      <c r="A542" s="25" t="str">
        <v>CUST_0537</v>
      </c>
      <c r="B542" s="16">
        <f t="shared" si="40"/>
        <v>21</v>
      </c>
      <c r="C542" s="16">
        <f t="shared" si="41"/>
        <v>4</v>
      </c>
      <c r="D542" s="17">
        <f t="shared" si="42"/>
        <v>457.53999999999996</v>
      </c>
      <c r="E542" s="18" cm="1">
        <f t="array" ref="E542">_xlfn.IFS(
B542&lt;=recencyQ1, 4,
B542&lt;=recencyQ2, 3,
B542&lt;=recencyQ3, 2,
TRUE, 1
)</f>
        <v>3</v>
      </c>
      <c r="F542" s="18" cm="1">
        <f t="array" ref="F542">_xlfn.IFS(
C542&lt;=frequencyQ1, 1,
C542&lt;=frequencyQ2, 2,
C542&lt;=frequencyQ3, 3,
TRUE, 4)</f>
        <v>2</v>
      </c>
      <c r="G542" s="18" cm="1">
        <f t="array" ref="G542">_xlfn.IFS(
D542&lt;=monetaryQ1, 1,
D542&lt;=monetaryQ2, 2,
D542&lt;=monetaryQ3, 3,
TRUE, 4)</f>
        <v>2</v>
      </c>
      <c r="H542" s="18" t="str">
        <f t="shared" si="43"/>
        <v>322</v>
      </c>
      <c r="I542" s="19">
        <f t="shared" si="44"/>
        <v>2.3333333333333335</v>
      </c>
      <c r="J542" s="7" t="str" cm="1">
        <f t="array" ref="J542">_xlfn.IFS(
I542&gt;=Best_Customers, Best_Customers_name,
I542&gt;=Loyal_Customers, Loyal_Customers_name,
I542&gt;=Average_Customers, Average_Customers_name,
TRUE, Lost_Customers_name)</f>
        <v>Average Customers</v>
      </c>
    </row>
    <row r="543" spans="1:10" x14ac:dyDescent="0.25">
      <c r="A543" s="25" t="str">
        <v>CUST_0538</v>
      </c>
      <c r="B543" s="16">
        <f t="shared" si="40"/>
        <v>105</v>
      </c>
      <c r="C543" s="16">
        <f t="shared" si="41"/>
        <v>4</v>
      </c>
      <c r="D543" s="17">
        <f t="shared" si="42"/>
        <v>459.51</v>
      </c>
      <c r="E543" s="18" cm="1">
        <f t="array" ref="E543">_xlfn.IFS(
B543&lt;=recencyQ1, 4,
B543&lt;=recencyQ2, 3,
B543&lt;=recencyQ3, 2,
TRUE, 1
)</f>
        <v>1</v>
      </c>
      <c r="F543" s="18" cm="1">
        <f t="array" ref="F543">_xlfn.IFS(
C543&lt;=frequencyQ1, 1,
C543&lt;=frequencyQ2, 2,
C543&lt;=frequencyQ3, 3,
TRUE, 4)</f>
        <v>2</v>
      </c>
      <c r="G543" s="18" cm="1">
        <f t="array" ref="G543">_xlfn.IFS(
D543&lt;=monetaryQ1, 1,
D543&lt;=monetaryQ2, 2,
D543&lt;=monetaryQ3, 3,
TRUE, 4)</f>
        <v>2</v>
      </c>
      <c r="H543" s="18" t="str">
        <f t="shared" si="43"/>
        <v>122</v>
      </c>
      <c r="I543" s="19">
        <f t="shared" si="44"/>
        <v>1.6666666666666667</v>
      </c>
      <c r="J543" s="7" t="str" cm="1">
        <f t="array" ref="J543">_xlfn.IFS(
I543&gt;=Best_Customers, Best_Customers_name,
I543&gt;=Loyal_Customers, Loyal_Customers_name,
I543&gt;=Average_Customers, Average_Customers_name,
TRUE, Lost_Customers_name)</f>
        <v>Average Customers</v>
      </c>
    </row>
    <row r="544" spans="1:10" x14ac:dyDescent="0.25">
      <c r="A544" s="25" t="str">
        <v>CUST_0539</v>
      </c>
      <c r="B544" s="16">
        <f t="shared" si="40"/>
        <v>15</v>
      </c>
      <c r="C544" s="16">
        <f t="shared" si="41"/>
        <v>4</v>
      </c>
      <c r="D544" s="17">
        <f t="shared" si="42"/>
        <v>301.33000000000004</v>
      </c>
      <c r="E544" s="18" cm="1">
        <f t="array" ref="E544">_xlfn.IFS(
B544&lt;=recencyQ1, 4,
B544&lt;=recencyQ2, 3,
B544&lt;=recencyQ3, 2,
TRUE, 1
)</f>
        <v>4</v>
      </c>
      <c r="F544" s="18" cm="1">
        <f t="array" ref="F544">_xlfn.IFS(
C544&lt;=frequencyQ1, 1,
C544&lt;=frequencyQ2, 2,
C544&lt;=frequencyQ3, 3,
TRUE, 4)</f>
        <v>2</v>
      </c>
      <c r="G544" s="18" cm="1">
        <f t="array" ref="G544">_xlfn.IFS(
D544&lt;=monetaryQ1, 1,
D544&lt;=monetaryQ2, 2,
D544&lt;=monetaryQ3, 3,
TRUE, 4)</f>
        <v>1</v>
      </c>
      <c r="H544" s="18" t="str">
        <f t="shared" si="43"/>
        <v>421</v>
      </c>
      <c r="I544" s="19">
        <f t="shared" si="44"/>
        <v>2.3333333333333335</v>
      </c>
      <c r="J544" s="7" t="str" cm="1">
        <f t="array" ref="J544">_xlfn.IFS(
I544&gt;=Best_Customers, Best_Customers_name,
I544&gt;=Loyal_Customers, Loyal_Customers_name,
I544&gt;=Average_Customers, Average_Customers_name,
TRUE, Lost_Customers_name)</f>
        <v>Average Customers</v>
      </c>
    </row>
    <row r="545" spans="1:10" x14ac:dyDescent="0.25">
      <c r="A545" s="25" t="str">
        <v>CUST_0540</v>
      </c>
      <c r="B545" s="16">
        <f t="shared" si="40"/>
        <v>54</v>
      </c>
      <c r="C545" s="16">
        <f t="shared" si="41"/>
        <v>3</v>
      </c>
      <c r="D545" s="17">
        <f t="shared" si="42"/>
        <v>305.39</v>
      </c>
      <c r="E545" s="18" cm="1">
        <f t="array" ref="E545">_xlfn.IFS(
B545&lt;=recencyQ1, 4,
B545&lt;=recencyQ2, 3,
B545&lt;=recencyQ3, 2,
TRUE, 1
)</f>
        <v>2</v>
      </c>
      <c r="F545" s="18" cm="1">
        <f t="array" ref="F545">_xlfn.IFS(
C545&lt;=frequencyQ1, 1,
C545&lt;=frequencyQ2, 2,
C545&lt;=frequencyQ3, 3,
TRUE, 4)</f>
        <v>1</v>
      </c>
      <c r="G545" s="18" cm="1">
        <f t="array" ref="G545">_xlfn.IFS(
D545&lt;=monetaryQ1, 1,
D545&lt;=monetaryQ2, 2,
D545&lt;=monetaryQ3, 3,
TRUE, 4)</f>
        <v>1</v>
      </c>
      <c r="H545" s="18" t="str">
        <f t="shared" si="43"/>
        <v>211</v>
      </c>
      <c r="I545" s="19">
        <f t="shared" si="44"/>
        <v>1.3333333333333333</v>
      </c>
      <c r="J545" s="7" t="str" cm="1">
        <f t="array" ref="J545">_xlfn.IFS(
I545&gt;=Best_Customers, Best_Customers_name,
I545&gt;=Loyal_Customers, Loyal_Customers_name,
I545&gt;=Average_Customers, Average_Customers_name,
TRUE, Lost_Customers_name)</f>
        <v>Lost Customers</v>
      </c>
    </row>
    <row r="546" spans="1:10" x14ac:dyDescent="0.25">
      <c r="A546" s="25" t="str">
        <v>CUST_0541</v>
      </c>
      <c r="B546" s="16">
        <f t="shared" si="40"/>
        <v>53</v>
      </c>
      <c r="C546" s="16">
        <f t="shared" si="41"/>
        <v>6</v>
      </c>
      <c r="D546" s="17">
        <f t="shared" si="42"/>
        <v>589.6099999999999</v>
      </c>
      <c r="E546" s="18" cm="1">
        <f t="array" ref="E546">_xlfn.IFS(
B546&lt;=recencyQ1, 4,
B546&lt;=recencyQ2, 3,
B546&lt;=recencyQ3, 2,
TRUE, 1
)</f>
        <v>2</v>
      </c>
      <c r="F546" s="18" cm="1">
        <f t="array" ref="F546">_xlfn.IFS(
C546&lt;=frequencyQ1, 1,
C546&lt;=frequencyQ2, 2,
C546&lt;=frequencyQ3, 3,
TRUE, 4)</f>
        <v>3</v>
      </c>
      <c r="G546" s="18" cm="1">
        <f t="array" ref="G546">_xlfn.IFS(
D546&lt;=monetaryQ1, 1,
D546&lt;=monetaryQ2, 2,
D546&lt;=monetaryQ3, 3,
TRUE, 4)</f>
        <v>3</v>
      </c>
      <c r="H546" s="18" t="str">
        <f t="shared" si="43"/>
        <v>233</v>
      </c>
      <c r="I546" s="19">
        <f t="shared" si="44"/>
        <v>2.6666666666666665</v>
      </c>
      <c r="J546" s="7" t="str" cm="1">
        <f t="array" ref="J546">_xlfn.IFS(
I546&gt;=Best_Customers, Best_Customers_name,
I546&gt;=Loyal_Customers, Loyal_Customers_name,
I546&gt;=Average_Customers, Average_Customers_name,
TRUE, Lost_Customers_name)</f>
        <v>Loyal Customers</v>
      </c>
    </row>
    <row r="547" spans="1:10" x14ac:dyDescent="0.25">
      <c r="A547" s="25" t="str">
        <v>CUST_0542</v>
      </c>
      <c r="B547" s="16">
        <f t="shared" si="40"/>
        <v>20</v>
      </c>
      <c r="C547" s="16">
        <f t="shared" si="41"/>
        <v>3</v>
      </c>
      <c r="D547" s="17">
        <f t="shared" si="42"/>
        <v>253.73</v>
      </c>
      <c r="E547" s="18" cm="1">
        <f t="array" ref="E547">_xlfn.IFS(
B547&lt;=recencyQ1, 4,
B547&lt;=recencyQ2, 3,
B547&lt;=recencyQ3, 2,
TRUE, 1
)</f>
        <v>3</v>
      </c>
      <c r="F547" s="18" cm="1">
        <f t="array" ref="F547">_xlfn.IFS(
C547&lt;=frequencyQ1, 1,
C547&lt;=frequencyQ2, 2,
C547&lt;=frequencyQ3, 3,
TRUE, 4)</f>
        <v>1</v>
      </c>
      <c r="G547" s="18" cm="1">
        <f t="array" ref="G547">_xlfn.IFS(
D547&lt;=monetaryQ1, 1,
D547&lt;=monetaryQ2, 2,
D547&lt;=monetaryQ3, 3,
TRUE, 4)</f>
        <v>1</v>
      </c>
      <c r="H547" s="18" t="str">
        <f t="shared" si="43"/>
        <v>311</v>
      </c>
      <c r="I547" s="19">
        <f t="shared" si="44"/>
        <v>1.6666666666666667</v>
      </c>
      <c r="J547" s="7" t="str" cm="1">
        <f t="array" ref="J547">_xlfn.IFS(
I547&gt;=Best_Customers, Best_Customers_name,
I547&gt;=Loyal_Customers, Loyal_Customers_name,
I547&gt;=Average_Customers, Average_Customers_name,
TRUE, Lost_Customers_name)</f>
        <v>Average Customers</v>
      </c>
    </row>
    <row r="548" spans="1:10" x14ac:dyDescent="0.25">
      <c r="A548" s="25" t="str">
        <v>CUST_0543</v>
      </c>
      <c r="B548" s="16">
        <f t="shared" si="40"/>
        <v>38</v>
      </c>
      <c r="C548" s="16">
        <f t="shared" si="41"/>
        <v>3</v>
      </c>
      <c r="D548" s="17">
        <f t="shared" si="42"/>
        <v>227.01</v>
      </c>
      <c r="E548" s="18" cm="1">
        <f t="array" ref="E548">_xlfn.IFS(
B548&lt;=recencyQ1, 4,
B548&lt;=recencyQ2, 3,
B548&lt;=recencyQ3, 2,
TRUE, 1
)</f>
        <v>3</v>
      </c>
      <c r="F548" s="18" cm="1">
        <f t="array" ref="F548">_xlfn.IFS(
C548&lt;=frequencyQ1, 1,
C548&lt;=frequencyQ2, 2,
C548&lt;=frequencyQ3, 3,
TRUE, 4)</f>
        <v>1</v>
      </c>
      <c r="G548" s="18" cm="1">
        <f t="array" ref="G548">_xlfn.IFS(
D548&lt;=monetaryQ1, 1,
D548&lt;=monetaryQ2, 2,
D548&lt;=monetaryQ3, 3,
TRUE, 4)</f>
        <v>1</v>
      </c>
      <c r="H548" s="18" t="str">
        <f t="shared" si="43"/>
        <v>311</v>
      </c>
      <c r="I548" s="19">
        <f t="shared" si="44"/>
        <v>1.6666666666666667</v>
      </c>
      <c r="J548" s="7" t="str" cm="1">
        <f t="array" ref="J548">_xlfn.IFS(
I548&gt;=Best_Customers, Best_Customers_name,
I548&gt;=Loyal_Customers, Loyal_Customers_name,
I548&gt;=Average_Customers, Average_Customers_name,
TRUE, Lost_Customers_name)</f>
        <v>Average Customers</v>
      </c>
    </row>
    <row r="549" spans="1:10" x14ac:dyDescent="0.25">
      <c r="A549" s="25" t="str">
        <v>CUST_0544</v>
      </c>
      <c r="B549" s="16">
        <f t="shared" si="40"/>
        <v>165</v>
      </c>
      <c r="C549" s="16">
        <f t="shared" si="41"/>
        <v>1</v>
      </c>
      <c r="D549" s="17">
        <f t="shared" si="42"/>
        <v>86.09</v>
      </c>
      <c r="E549" s="18" cm="1">
        <f t="array" ref="E549">_xlfn.IFS(
B549&lt;=recencyQ1, 4,
B549&lt;=recencyQ2, 3,
B549&lt;=recencyQ3, 2,
TRUE, 1
)</f>
        <v>1</v>
      </c>
      <c r="F549" s="18" cm="1">
        <f t="array" ref="F549">_xlfn.IFS(
C549&lt;=frequencyQ1, 1,
C549&lt;=frequencyQ2, 2,
C549&lt;=frequencyQ3, 3,
TRUE, 4)</f>
        <v>1</v>
      </c>
      <c r="G549" s="18" cm="1">
        <f t="array" ref="G549">_xlfn.IFS(
D549&lt;=monetaryQ1, 1,
D549&lt;=monetaryQ2, 2,
D549&lt;=monetaryQ3, 3,
TRUE, 4)</f>
        <v>1</v>
      </c>
      <c r="H549" s="18" t="str">
        <f t="shared" si="43"/>
        <v>111</v>
      </c>
      <c r="I549" s="19">
        <f t="shared" si="44"/>
        <v>1</v>
      </c>
      <c r="J549" s="7" t="str" cm="1">
        <f t="array" ref="J549">_xlfn.IFS(
I549&gt;=Best_Customers, Best_Customers_name,
I549&gt;=Loyal_Customers, Loyal_Customers_name,
I549&gt;=Average_Customers, Average_Customers_name,
TRUE, Lost_Customers_name)</f>
        <v>Lost Customers</v>
      </c>
    </row>
    <row r="550" spans="1:10" x14ac:dyDescent="0.25">
      <c r="A550" s="25" t="str">
        <v>CUST_0545</v>
      </c>
      <c r="B550" s="16">
        <f t="shared" si="40"/>
        <v>1</v>
      </c>
      <c r="C550" s="16">
        <f t="shared" si="41"/>
        <v>5</v>
      </c>
      <c r="D550" s="17">
        <f t="shared" si="42"/>
        <v>458.53</v>
      </c>
      <c r="E550" s="18" cm="1">
        <f t="array" ref="E550">_xlfn.IFS(
B550&lt;=recencyQ1, 4,
B550&lt;=recencyQ2, 3,
B550&lt;=recencyQ3, 2,
TRUE, 1
)</f>
        <v>4</v>
      </c>
      <c r="F550" s="18" cm="1">
        <f t="array" ref="F550">_xlfn.IFS(
C550&lt;=frequencyQ1, 1,
C550&lt;=frequencyQ2, 2,
C550&lt;=frequencyQ3, 3,
TRUE, 4)</f>
        <v>2</v>
      </c>
      <c r="G550" s="18" cm="1">
        <f t="array" ref="G550">_xlfn.IFS(
D550&lt;=monetaryQ1, 1,
D550&lt;=monetaryQ2, 2,
D550&lt;=monetaryQ3, 3,
TRUE, 4)</f>
        <v>2</v>
      </c>
      <c r="H550" s="18" t="str">
        <f t="shared" si="43"/>
        <v>422</v>
      </c>
      <c r="I550" s="19">
        <f t="shared" si="44"/>
        <v>2.6666666666666665</v>
      </c>
      <c r="J550" s="7" t="str" cm="1">
        <f t="array" ref="J550">_xlfn.IFS(
I550&gt;=Best_Customers, Best_Customers_name,
I550&gt;=Loyal_Customers, Loyal_Customers_name,
I550&gt;=Average_Customers, Average_Customers_name,
TRUE, Lost_Customers_name)</f>
        <v>Loyal Customers</v>
      </c>
    </row>
    <row r="551" spans="1:10" x14ac:dyDescent="0.25">
      <c r="A551" s="25" t="str">
        <v>CUST_0546</v>
      </c>
      <c r="B551" s="16">
        <f t="shared" si="40"/>
        <v>84</v>
      </c>
      <c r="C551" s="16">
        <f t="shared" si="41"/>
        <v>8</v>
      </c>
      <c r="D551" s="17">
        <f t="shared" si="42"/>
        <v>929.00999999999988</v>
      </c>
      <c r="E551" s="18" cm="1">
        <f t="array" ref="E551">_xlfn.IFS(
B551&lt;=recencyQ1, 4,
B551&lt;=recencyQ2, 3,
B551&lt;=recencyQ3, 2,
TRUE, 1
)</f>
        <v>2</v>
      </c>
      <c r="F551" s="18" cm="1">
        <f t="array" ref="F551">_xlfn.IFS(
C551&lt;=frequencyQ1, 1,
C551&lt;=frequencyQ2, 2,
C551&lt;=frequencyQ3, 3,
TRUE, 4)</f>
        <v>4</v>
      </c>
      <c r="G551" s="18" cm="1">
        <f t="array" ref="G551">_xlfn.IFS(
D551&lt;=monetaryQ1, 1,
D551&lt;=monetaryQ2, 2,
D551&lt;=monetaryQ3, 3,
TRUE, 4)</f>
        <v>4</v>
      </c>
      <c r="H551" s="18" t="str">
        <f t="shared" si="43"/>
        <v>244</v>
      </c>
      <c r="I551" s="19">
        <f t="shared" si="44"/>
        <v>3.3333333333333335</v>
      </c>
      <c r="J551" s="7" t="str" cm="1">
        <f t="array" ref="J551">_xlfn.IFS(
I551&gt;=Best_Customers, Best_Customers_name,
I551&gt;=Loyal_Customers, Loyal_Customers_name,
I551&gt;=Average_Customers, Average_Customers_name,
TRUE, Lost_Customers_name)</f>
        <v>Loyal Customers</v>
      </c>
    </row>
    <row r="552" spans="1:10" x14ac:dyDescent="0.25">
      <c r="A552" s="25" t="str">
        <v>CUST_0547</v>
      </c>
      <c r="B552" s="16">
        <f t="shared" si="40"/>
        <v>6</v>
      </c>
      <c r="C552" s="16">
        <f t="shared" si="41"/>
        <v>6</v>
      </c>
      <c r="D552" s="17">
        <f t="shared" si="42"/>
        <v>485.22999999999996</v>
      </c>
      <c r="E552" s="18" cm="1">
        <f t="array" ref="E552">_xlfn.IFS(
B552&lt;=recencyQ1, 4,
B552&lt;=recencyQ2, 3,
B552&lt;=recencyQ3, 2,
TRUE, 1
)</f>
        <v>4</v>
      </c>
      <c r="F552" s="18" cm="1">
        <f t="array" ref="F552">_xlfn.IFS(
C552&lt;=frequencyQ1, 1,
C552&lt;=frequencyQ2, 2,
C552&lt;=frequencyQ3, 3,
TRUE, 4)</f>
        <v>3</v>
      </c>
      <c r="G552" s="18" cm="1">
        <f t="array" ref="G552">_xlfn.IFS(
D552&lt;=monetaryQ1, 1,
D552&lt;=monetaryQ2, 2,
D552&lt;=monetaryQ3, 3,
TRUE, 4)</f>
        <v>2</v>
      </c>
      <c r="H552" s="18" t="str">
        <f t="shared" si="43"/>
        <v>432</v>
      </c>
      <c r="I552" s="19">
        <f t="shared" si="44"/>
        <v>3</v>
      </c>
      <c r="J552" s="7" t="str" cm="1">
        <f t="array" ref="J552">_xlfn.IFS(
I552&gt;=Best_Customers, Best_Customers_name,
I552&gt;=Loyal_Customers, Loyal_Customers_name,
I552&gt;=Average_Customers, Average_Customers_name,
TRUE, Lost_Customers_name)</f>
        <v>Loyal Customers</v>
      </c>
    </row>
    <row r="553" spans="1:10" x14ac:dyDescent="0.25">
      <c r="A553" s="25" t="str">
        <v>CUST_0548</v>
      </c>
      <c r="B553" s="16">
        <f t="shared" si="40"/>
        <v>78</v>
      </c>
      <c r="C553" s="16">
        <f t="shared" si="41"/>
        <v>5</v>
      </c>
      <c r="D553" s="17">
        <f t="shared" si="42"/>
        <v>544.03</v>
      </c>
      <c r="E553" s="18" cm="1">
        <f t="array" ref="E553">_xlfn.IFS(
B553&lt;=recencyQ1, 4,
B553&lt;=recencyQ2, 3,
B553&lt;=recencyQ3, 2,
TRUE, 1
)</f>
        <v>2</v>
      </c>
      <c r="F553" s="18" cm="1">
        <f t="array" ref="F553">_xlfn.IFS(
C553&lt;=frequencyQ1, 1,
C553&lt;=frequencyQ2, 2,
C553&lt;=frequencyQ3, 3,
TRUE, 4)</f>
        <v>2</v>
      </c>
      <c r="G553" s="18" cm="1">
        <f t="array" ref="G553">_xlfn.IFS(
D553&lt;=monetaryQ1, 1,
D553&lt;=monetaryQ2, 2,
D553&lt;=monetaryQ3, 3,
TRUE, 4)</f>
        <v>3</v>
      </c>
      <c r="H553" s="18" t="str">
        <f t="shared" si="43"/>
        <v>223</v>
      </c>
      <c r="I553" s="19">
        <f t="shared" si="44"/>
        <v>2.3333333333333335</v>
      </c>
      <c r="J553" s="7" t="str" cm="1">
        <f t="array" ref="J553">_xlfn.IFS(
I553&gt;=Best_Customers, Best_Customers_name,
I553&gt;=Loyal_Customers, Loyal_Customers_name,
I553&gt;=Average_Customers, Average_Customers_name,
TRUE, Lost_Customers_name)</f>
        <v>Average Customers</v>
      </c>
    </row>
    <row r="554" spans="1:10" x14ac:dyDescent="0.25">
      <c r="A554" s="25" t="str">
        <v>CUST_0549</v>
      </c>
      <c r="B554" s="16">
        <f t="shared" si="40"/>
        <v>31</v>
      </c>
      <c r="C554" s="16">
        <f t="shared" si="41"/>
        <v>8</v>
      </c>
      <c r="D554" s="17">
        <f t="shared" si="42"/>
        <v>861.63</v>
      </c>
      <c r="E554" s="18" cm="1">
        <f t="array" ref="E554">_xlfn.IFS(
B554&lt;=recencyQ1, 4,
B554&lt;=recencyQ2, 3,
B554&lt;=recencyQ3, 2,
TRUE, 1
)</f>
        <v>3</v>
      </c>
      <c r="F554" s="18" cm="1">
        <f t="array" ref="F554">_xlfn.IFS(
C554&lt;=frequencyQ1, 1,
C554&lt;=frequencyQ2, 2,
C554&lt;=frequencyQ3, 3,
TRUE, 4)</f>
        <v>4</v>
      </c>
      <c r="G554" s="18" cm="1">
        <f t="array" ref="G554">_xlfn.IFS(
D554&lt;=monetaryQ1, 1,
D554&lt;=monetaryQ2, 2,
D554&lt;=monetaryQ3, 3,
TRUE, 4)</f>
        <v>4</v>
      </c>
      <c r="H554" s="18" t="str">
        <f t="shared" si="43"/>
        <v>344</v>
      </c>
      <c r="I554" s="19">
        <f t="shared" si="44"/>
        <v>3.6666666666666665</v>
      </c>
      <c r="J554" s="7" t="str" cm="1">
        <f t="array" ref="J554">_xlfn.IFS(
I554&gt;=Best_Customers, Best_Customers_name,
I554&gt;=Loyal_Customers, Loyal_Customers_name,
I554&gt;=Average_Customers, Average_Customers_name,
TRUE, Lost_Customers_name)</f>
        <v>Best Customers</v>
      </c>
    </row>
    <row r="555" spans="1:10" x14ac:dyDescent="0.25">
      <c r="A555" s="25" t="str">
        <v>CUST_0550</v>
      </c>
      <c r="B555" s="16">
        <f t="shared" si="40"/>
        <v>28</v>
      </c>
      <c r="C555" s="16">
        <f t="shared" si="41"/>
        <v>7</v>
      </c>
      <c r="D555" s="17">
        <f t="shared" si="42"/>
        <v>774</v>
      </c>
      <c r="E555" s="18" cm="1">
        <f t="array" ref="E555">_xlfn.IFS(
B555&lt;=recencyQ1, 4,
B555&lt;=recencyQ2, 3,
B555&lt;=recencyQ3, 2,
TRUE, 1
)</f>
        <v>3</v>
      </c>
      <c r="F555" s="18" cm="1">
        <f t="array" ref="F555">_xlfn.IFS(
C555&lt;=frequencyQ1, 1,
C555&lt;=frequencyQ2, 2,
C555&lt;=frequencyQ3, 3,
TRUE, 4)</f>
        <v>4</v>
      </c>
      <c r="G555" s="18" cm="1">
        <f t="array" ref="G555">_xlfn.IFS(
D555&lt;=monetaryQ1, 1,
D555&lt;=monetaryQ2, 2,
D555&lt;=monetaryQ3, 3,
TRUE, 4)</f>
        <v>4</v>
      </c>
      <c r="H555" s="18" t="str">
        <f t="shared" si="43"/>
        <v>344</v>
      </c>
      <c r="I555" s="19">
        <f t="shared" si="44"/>
        <v>3.6666666666666665</v>
      </c>
      <c r="J555" s="7" t="str" cm="1">
        <f t="array" ref="J555">_xlfn.IFS(
I555&gt;=Best_Customers, Best_Customers_name,
I555&gt;=Loyal_Customers, Loyal_Customers_name,
I555&gt;=Average_Customers, Average_Customers_name,
TRUE, Lost_Customers_name)</f>
        <v>Best Customers</v>
      </c>
    </row>
    <row r="556" spans="1:10" x14ac:dyDescent="0.25">
      <c r="A556" s="25" t="str">
        <v>CUST_0551</v>
      </c>
      <c r="B556" s="16">
        <f t="shared" si="40"/>
        <v>43</v>
      </c>
      <c r="C556" s="16">
        <f t="shared" si="41"/>
        <v>3</v>
      </c>
      <c r="D556" s="17">
        <f t="shared" si="42"/>
        <v>242.51000000000002</v>
      </c>
      <c r="E556" s="18" cm="1">
        <f t="array" ref="E556">_xlfn.IFS(
B556&lt;=recencyQ1, 4,
B556&lt;=recencyQ2, 3,
B556&lt;=recencyQ3, 2,
TRUE, 1
)</f>
        <v>3</v>
      </c>
      <c r="F556" s="18" cm="1">
        <f t="array" ref="F556">_xlfn.IFS(
C556&lt;=frequencyQ1, 1,
C556&lt;=frequencyQ2, 2,
C556&lt;=frequencyQ3, 3,
TRUE, 4)</f>
        <v>1</v>
      </c>
      <c r="G556" s="18" cm="1">
        <f t="array" ref="G556">_xlfn.IFS(
D556&lt;=monetaryQ1, 1,
D556&lt;=monetaryQ2, 2,
D556&lt;=monetaryQ3, 3,
TRUE, 4)</f>
        <v>1</v>
      </c>
      <c r="H556" s="18" t="str">
        <f t="shared" si="43"/>
        <v>311</v>
      </c>
      <c r="I556" s="19">
        <f t="shared" si="44"/>
        <v>1.6666666666666667</v>
      </c>
      <c r="J556" s="7" t="str" cm="1">
        <f t="array" ref="J556">_xlfn.IFS(
I556&gt;=Best_Customers, Best_Customers_name,
I556&gt;=Loyal_Customers, Loyal_Customers_name,
I556&gt;=Average_Customers, Average_Customers_name,
TRUE, Lost_Customers_name)</f>
        <v>Average Customers</v>
      </c>
    </row>
    <row r="557" spans="1:10" x14ac:dyDescent="0.25">
      <c r="A557" s="25" t="str">
        <v>CUST_0552</v>
      </c>
      <c r="B557" s="16">
        <f t="shared" si="40"/>
        <v>38</v>
      </c>
      <c r="C557" s="16">
        <f t="shared" si="41"/>
        <v>4</v>
      </c>
      <c r="D557" s="17">
        <f t="shared" si="42"/>
        <v>391.91999999999996</v>
      </c>
      <c r="E557" s="18" cm="1">
        <f t="array" ref="E557">_xlfn.IFS(
B557&lt;=recencyQ1, 4,
B557&lt;=recencyQ2, 3,
B557&lt;=recencyQ3, 2,
TRUE, 1
)</f>
        <v>3</v>
      </c>
      <c r="F557" s="18" cm="1">
        <f t="array" ref="F557">_xlfn.IFS(
C557&lt;=frequencyQ1, 1,
C557&lt;=frequencyQ2, 2,
C557&lt;=frequencyQ3, 3,
TRUE, 4)</f>
        <v>2</v>
      </c>
      <c r="G557" s="18" cm="1">
        <f t="array" ref="G557">_xlfn.IFS(
D557&lt;=monetaryQ1, 1,
D557&lt;=monetaryQ2, 2,
D557&lt;=monetaryQ3, 3,
TRUE, 4)</f>
        <v>2</v>
      </c>
      <c r="H557" s="18" t="str">
        <f t="shared" si="43"/>
        <v>322</v>
      </c>
      <c r="I557" s="19">
        <f t="shared" si="44"/>
        <v>2.3333333333333335</v>
      </c>
      <c r="J557" s="7" t="str" cm="1">
        <f t="array" ref="J557">_xlfn.IFS(
I557&gt;=Best_Customers, Best_Customers_name,
I557&gt;=Loyal_Customers, Loyal_Customers_name,
I557&gt;=Average_Customers, Average_Customers_name,
TRUE, Lost_Customers_name)</f>
        <v>Average Customers</v>
      </c>
    </row>
    <row r="558" spans="1:10" x14ac:dyDescent="0.25">
      <c r="A558" s="25" t="str">
        <v>CUST_0553</v>
      </c>
      <c r="B558" s="16">
        <f t="shared" si="40"/>
        <v>2</v>
      </c>
      <c r="C558" s="16">
        <f t="shared" si="41"/>
        <v>10</v>
      </c>
      <c r="D558" s="17">
        <f t="shared" si="42"/>
        <v>1056.2099999999998</v>
      </c>
      <c r="E558" s="18" cm="1">
        <f t="array" ref="E558">_xlfn.IFS(
B558&lt;=recencyQ1, 4,
B558&lt;=recencyQ2, 3,
B558&lt;=recencyQ3, 2,
TRUE, 1
)</f>
        <v>4</v>
      </c>
      <c r="F558" s="18" cm="1">
        <f t="array" ref="F558">_xlfn.IFS(
C558&lt;=frequencyQ1, 1,
C558&lt;=frequencyQ2, 2,
C558&lt;=frequencyQ3, 3,
TRUE, 4)</f>
        <v>4</v>
      </c>
      <c r="G558" s="18" cm="1">
        <f t="array" ref="G558">_xlfn.IFS(
D558&lt;=monetaryQ1, 1,
D558&lt;=monetaryQ2, 2,
D558&lt;=monetaryQ3, 3,
TRUE, 4)</f>
        <v>4</v>
      </c>
      <c r="H558" s="18" t="str">
        <f t="shared" si="43"/>
        <v>444</v>
      </c>
      <c r="I558" s="19">
        <f t="shared" si="44"/>
        <v>4</v>
      </c>
      <c r="J558" s="7" t="str" cm="1">
        <f t="array" ref="J558">_xlfn.IFS(
I558&gt;=Best_Customers, Best_Customers_name,
I558&gt;=Loyal_Customers, Loyal_Customers_name,
I558&gt;=Average_Customers, Average_Customers_name,
TRUE, Lost_Customers_name)</f>
        <v>Best Customers</v>
      </c>
    </row>
    <row r="559" spans="1:10" x14ac:dyDescent="0.25">
      <c r="A559" s="25" t="str">
        <v>CUST_0554</v>
      </c>
      <c r="B559" s="16">
        <f t="shared" si="40"/>
        <v>21</v>
      </c>
      <c r="C559" s="16">
        <f t="shared" si="41"/>
        <v>1</v>
      </c>
      <c r="D559" s="17">
        <f t="shared" si="42"/>
        <v>65.02</v>
      </c>
      <c r="E559" s="18" cm="1">
        <f t="array" ref="E559">_xlfn.IFS(
B559&lt;=recencyQ1, 4,
B559&lt;=recencyQ2, 3,
B559&lt;=recencyQ3, 2,
TRUE, 1
)</f>
        <v>3</v>
      </c>
      <c r="F559" s="18" cm="1">
        <f t="array" ref="F559">_xlfn.IFS(
C559&lt;=frequencyQ1, 1,
C559&lt;=frequencyQ2, 2,
C559&lt;=frequencyQ3, 3,
TRUE, 4)</f>
        <v>1</v>
      </c>
      <c r="G559" s="18" cm="1">
        <f t="array" ref="G559">_xlfn.IFS(
D559&lt;=monetaryQ1, 1,
D559&lt;=monetaryQ2, 2,
D559&lt;=monetaryQ3, 3,
TRUE, 4)</f>
        <v>1</v>
      </c>
      <c r="H559" s="18" t="str">
        <f t="shared" si="43"/>
        <v>311</v>
      </c>
      <c r="I559" s="19">
        <f t="shared" si="44"/>
        <v>1.6666666666666667</v>
      </c>
      <c r="J559" s="7" t="str" cm="1">
        <f t="array" ref="J559">_xlfn.IFS(
I559&gt;=Best_Customers, Best_Customers_name,
I559&gt;=Loyal_Customers, Loyal_Customers_name,
I559&gt;=Average_Customers, Average_Customers_name,
TRUE, Lost_Customers_name)</f>
        <v>Average Customers</v>
      </c>
    </row>
    <row r="560" spans="1:10" x14ac:dyDescent="0.25">
      <c r="A560" s="25" t="str">
        <v>CUST_0555</v>
      </c>
      <c r="B560" s="16">
        <f t="shared" si="40"/>
        <v>38</v>
      </c>
      <c r="C560" s="16">
        <f t="shared" si="41"/>
        <v>6</v>
      </c>
      <c r="D560" s="17">
        <f t="shared" si="42"/>
        <v>690.86</v>
      </c>
      <c r="E560" s="18" cm="1">
        <f t="array" ref="E560">_xlfn.IFS(
B560&lt;=recencyQ1, 4,
B560&lt;=recencyQ2, 3,
B560&lt;=recencyQ3, 2,
TRUE, 1
)</f>
        <v>3</v>
      </c>
      <c r="F560" s="18" cm="1">
        <f t="array" ref="F560">_xlfn.IFS(
C560&lt;=frequencyQ1, 1,
C560&lt;=frequencyQ2, 2,
C560&lt;=frequencyQ3, 3,
TRUE, 4)</f>
        <v>3</v>
      </c>
      <c r="G560" s="18" cm="1">
        <f t="array" ref="G560">_xlfn.IFS(
D560&lt;=monetaryQ1, 1,
D560&lt;=monetaryQ2, 2,
D560&lt;=monetaryQ3, 3,
TRUE, 4)</f>
        <v>4</v>
      </c>
      <c r="H560" s="18" t="str">
        <f t="shared" si="43"/>
        <v>334</v>
      </c>
      <c r="I560" s="19">
        <f t="shared" si="44"/>
        <v>3.3333333333333335</v>
      </c>
      <c r="J560" s="7" t="str" cm="1">
        <f t="array" ref="J560">_xlfn.IFS(
I560&gt;=Best_Customers, Best_Customers_name,
I560&gt;=Loyal_Customers, Loyal_Customers_name,
I560&gt;=Average_Customers, Average_Customers_name,
TRUE, Lost_Customers_name)</f>
        <v>Loyal Customers</v>
      </c>
    </row>
    <row r="561" spans="1:10" x14ac:dyDescent="0.25">
      <c r="A561" s="25" t="str">
        <v>CUST_0556</v>
      </c>
      <c r="B561" s="16">
        <f t="shared" si="40"/>
        <v>17</v>
      </c>
      <c r="C561" s="16">
        <f t="shared" si="41"/>
        <v>5</v>
      </c>
      <c r="D561" s="17">
        <f t="shared" si="42"/>
        <v>601.11</v>
      </c>
      <c r="E561" s="18" cm="1">
        <f t="array" ref="E561">_xlfn.IFS(
B561&lt;=recencyQ1, 4,
B561&lt;=recencyQ2, 3,
B561&lt;=recencyQ3, 2,
TRUE, 1
)</f>
        <v>4</v>
      </c>
      <c r="F561" s="18" cm="1">
        <f t="array" ref="F561">_xlfn.IFS(
C561&lt;=frequencyQ1, 1,
C561&lt;=frequencyQ2, 2,
C561&lt;=frequencyQ3, 3,
TRUE, 4)</f>
        <v>2</v>
      </c>
      <c r="G561" s="18" cm="1">
        <f t="array" ref="G561">_xlfn.IFS(
D561&lt;=monetaryQ1, 1,
D561&lt;=monetaryQ2, 2,
D561&lt;=monetaryQ3, 3,
TRUE, 4)</f>
        <v>3</v>
      </c>
      <c r="H561" s="18" t="str">
        <f t="shared" si="43"/>
        <v>423</v>
      </c>
      <c r="I561" s="19">
        <f t="shared" si="44"/>
        <v>3</v>
      </c>
      <c r="J561" s="7" t="str" cm="1">
        <f t="array" ref="J561">_xlfn.IFS(
I561&gt;=Best_Customers, Best_Customers_name,
I561&gt;=Loyal_Customers, Loyal_Customers_name,
I561&gt;=Average_Customers, Average_Customers_name,
TRUE, Lost_Customers_name)</f>
        <v>Loyal Customers</v>
      </c>
    </row>
    <row r="562" spans="1:10" x14ac:dyDescent="0.25">
      <c r="A562" s="25" t="str">
        <v>CUST_0557</v>
      </c>
      <c r="B562" s="16">
        <f t="shared" si="40"/>
        <v>70</v>
      </c>
      <c r="C562" s="16">
        <f t="shared" si="41"/>
        <v>6</v>
      </c>
      <c r="D562" s="17">
        <f t="shared" si="42"/>
        <v>717.93000000000006</v>
      </c>
      <c r="E562" s="18" cm="1">
        <f t="array" ref="E562">_xlfn.IFS(
B562&lt;=recencyQ1, 4,
B562&lt;=recencyQ2, 3,
B562&lt;=recencyQ3, 2,
TRUE, 1
)</f>
        <v>2</v>
      </c>
      <c r="F562" s="18" cm="1">
        <f t="array" ref="F562">_xlfn.IFS(
C562&lt;=frequencyQ1, 1,
C562&lt;=frequencyQ2, 2,
C562&lt;=frequencyQ3, 3,
TRUE, 4)</f>
        <v>3</v>
      </c>
      <c r="G562" s="18" cm="1">
        <f t="array" ref="G562">_xlfn.IFS(
D562&lt;=monetaryQ1, 1,
D562&lt;=monetaryQ2, 2,
D562&lt;=monetaryQ3, 3,
TRUE, 4)</f>
        <v>4</v>
      </c>
      <c r="H562" s="18" t="str">
        <f t="shared" si="43"/>
        <v>234</v>
      </c>
      <c r="I562" s="19">
        <f t="shared" si="44"/>
        <v>3</v>
      </c>
      <c r="J562" s="7" t="str" cm="1">
        <f t="array" ref="J562">_xlfn.IFS(
I562&gt;=Best_Customers, Best_Customers_name,
I562&gt;=Loyal_Customers, Loyal_Customers_name,
I562&gt;=Average_Customers, Average_Customers_name,
TRUE, Lost_Customers_name)</f>
        <v>Loyal Customers</v>
      </c>
    </row>
    <row r="563" spans="1:10" x14ac:dyDescent="0.25">
      <c r="A563" s="25" t="str">
        <v>CUST_0558</v>
      </c>
      <c r="B563" s="16">
        <f t="shared" si="40"/>
        <v>23</v>
      </c>
      <c r="C563" s="16">
        <f t="shared" si="41"/>
        <v>7</v>
      </c>
      <c r="D563" s="17">
        <f t="shared" si="42"/>
        <v>735.44999999999993</v>
      </c>
      <c r="E563" s="18" cm="1">
        <f t="array" ref="E563">_xlfn.IFS(
B563&lt;=recencyQ1, 4,
B563&lt;=recencyQ2, 3,
B563&lt;=recencyQ3, 2,
TRUE, 1
)</f>
        <v>3</v>
      </c>
      <c r="F563" s="18" cm="1">
        <f t="array" ref="F563">_xlfn.IFS(
C563&lt;=frequencyQ1, 1,
C563&lt;=frequencyQ2, 2,
C563&lt;=frequencyQ3, 3,
TRUE, 4)</f>
        <v>4</v>
      </c>
      <c r="G563" s="18" cm="1">
        <f t="array" ref="G563">_xlfn.IFS(
D563&lt;=monetaryQ1, 1,
D563&lt;=monetaryQ2, 2,
D563&lt;=monetaryQ3, 3,
TRUE, 4)</f>
        <v>4</v>
      </c>
      <c r="H563" s="18" t="str">
        <f t="shared" si="43"/>
        <v>344</v>
      </c>
      <c r="I563" s="19">
        <f t="shared" si="44"/>
        <v>3.6666666666666665</v>
      </c>
      <c r="J563" s="7" t="str" cm="1">
        <f t="array" ref="J563">_xlfn.IFS(
I563&gt;=Best_Customers, Best_Customers_name,
I563&gt;=Loyal_Customers, Loyal_Customers_name,
I563&gt;=Average_Customers, Average_Customers_name,
TRUE, Lost_Customers_name)</f>
        <v>Best Customers</v>
      </c>
    </row>
    <row r="564" spans="1:10" x14ac:dyDescent="0.25">
      <c r="A564" s="25" t="str">
        <v>CUST_0559</v>
      </c>
      <c r="B564" s="16">
        <f t="shared" si="40"/>
        <v>21</v>
      </c>
      <c r="C564" s="16">
        <f t="shared" si="41"/>
        <v>3</v>
      </c>
      <c r="D564" s="17">
        <f t="shared" si="42"/>
        <v>306.45999999999998</v>
      </c>
      <c r="E564" s="18" cm="1">
        <f t="array" ref="E564">_xlfn.IFS(
B564&lt;=recencyQ1, 4,
B564&lt;=recencyQ2, 3,
B564&lt;=recencyQ3, 2,
TRUE, 1
)</f>
        <v>3</v>
      </c>
      <c r="F564" s="18" cm="1">
        <f t="array" ref="F564">_xlfn.IFS(
C564&lt;=frequencyQ1, 1,
C564&lt;=frequencyQ2, 2,
C564&lt;=frequencyQ3, 3,
TRUE, 4)</f>
        <v>1</v>
      </c>
      <c r="G564" s="18" cm="1">
        <f t="array" ref="G564">_xlfn.IFS(
D564&lt;=monetaryQ1, 1,
D564&lt;=monetaryQ2, 2,
D564&lt;=monetaryQ3, 3,
TRUE, 4)</f>
        <v>1</v>
      </c>
      <c r="H564" s="18" t="str">
        <f t="shared" si="43"/>
        <v>311</v>
      </c>
      <c r="I564" s="19">
        <f t="shared" si="44"/>
        <v>1.6666666666666667</v>
      </c>
      <c r="J564" s="7" t="str" cm="1">
        <f t="array" ref="J564">_xlfn.IFS(
I564&gt;=Best_Customers, Best_Customers_name,
I564&gt;=Loyal_Customers, Loyal_Customers_name,
I564&gt;=Average_Customers, Average_Customers_name,
TRUE, Lost_Customers_name)</f>
        <v>Average Customers</v>
      </c>
    </row>
    <row r="565" spans="1:10" x14ac:dyDescent="0.25">
      <c r="A565" s="25" t="str">
        <v>CUST_0560</v>
      </c>
      <c r="B565" s="16">
        <f t="shared" si="40"/>
        <v>55</v>
      </c>
      <c r="C565" s="16">
        <f t="shared" si="41"/>
        <v>7</v>
      </c>
      <c r="D565" s="17">
        <f t="shared" si="42"/>
        <v>624.5</v>
      </c>
      <c r="E565" s="18" cm="1">
        <f t="array" ref="E565">_xlfn.IFS(
B565&lt;=recencyQ1, 4,
B565&lt;=recencyQ2, 3,
B565&lt;=recencyQ3, 2,
TRUE, 1
)</f>
        <v>2</v>
      </c>
      <c r="F565" s="18" cm="1">
        <f t="array" ref="F565">_xlfn.IFS(
C565&lt;=frequencyQ1, 1,
C565&lt;=frequencyQ2, 2,
C565&lt;=frequencyQ3, 3,
TRUE, 4)</f>
        <v>4</v>
      </c>
      <c r="G565" s="18" cm="1">
        <f t="array" ref="G565">_xlfn.IFS(
D565&lt;=monetaryQ1, 1,
D565&lt;=monetaryQ2, 2,
D565&lt;=monetaryQ3, 3,
TRUE, 4)</f>
        <v>3</v>
      </c>
      <c r="H565" s="18" t="str">
        <f t="shared" si="43"/>
        <v>243</v>
      </c>
      <c r="I565" s="19">
        <f t="shared" si="44"/>
        <v>3</v>
      </c>
      <c r="J565" s="7" t="str" cm="1">
        <f t="array" ref="J565">_xlfn.IFS(
I565&gt;=Best_Customers, Best_Customers_name,
I565&gt;=Loyal_Customers, Loyal_Customers_name,
I565&gt;=Average_Customers, Average_Customers_name,
TRUE, Lost_Customers_name)</f>
        <v>Loyal Customers</v>
      </c>
    </row>
    <row r="566" spans="1:10" x14ac:dyDescent="0.25">
      <c r="A566" s="25" t="str">
        <v>CUST_0561</v>
      </c>
      <c r="B566" s="16">
        <f t="shared" si="40"/>
        <v>30</v>
      </c>
      <c r="C566" s="16">
        <f t="shared" si="41"/>
        <v>6</v>
      </c>
      <c r="D566" s="17">
        <f t="shared" si="42"/>
        <v>640.42999999999995</v>
      </c>
      <c r="E566" s="18" cm="1">
        <f t="array" ref="E566">_xlfn.IFS(
B566&lt;=recencyQ1, 4,
B566&lt;=recencyQ2, 3,
B566&lt;=recencyQ3, 2,
TRUE, 1
)</f>
        <v>3</v>
      </c>
      <c r="F566" s="18" cm="1">
        <f t="array" ref="F566">_xlfn.IFS(
C566&lt;=frequencyQ1, 1,
C566&lt;=frequencyQ2, 2,
C566&lt;=frequencyQ3, 3,
TRUE, 4)</f>
        <v>3</v>
      </c>
      <c r="G566" s="18" cm="1">
        <f t="array" ref="G566">_xlfn.IFS(
D566&lt;=monetaryQ1, 1,
D566&lt;=monetaryQ2, 2,
D566&lt;=monetaryQ3, 3,
TRUE, 4)</f>
        <v>3</v>
      </c>
      <c r="H566" s="18" t="str">
        <f t="shared" si="43"/>
        <v>333</v>
      </c>
      <c r="I566" s="19">
        <f t="shared" si="44"/>
        <v>3</v>
      </c>
      <c r="J566" s="7" t="str" cm="1">
        <f t="array" ref="J566">_xlfn.IFS(
I566&gt;=Best_Customers, Best_Customers_name,
I566&gt;=Loyal_Customers, Loyal_Customers_name,
I566&gt;=Average_Customers, Average_Customers_name,
TRUE, Lost_Customers_name)</f>
        <v>Loyal Customers</v>
      </c>
    </row>
    <row r="567" spans="1:10" x14ac:dyDescent="0.25">
      <c r="A567" s="25" t="str">
        <v>CUST_0562</v>
      </c>
      <c r="B567" s="16">
        <f t="shared" si="40"/>
        <v>78</v>
      </c>
      <c r="C567" s="16">
        <f t="shared" si="41"/>
        <v>8</v>
      </c>
      <c r="D567" s="17">
        <f t="shared" si="42"/>
        <v>824.08000000000015</v>
      </c>
      <c r="E567" s="18" cm="1">
        <f t="array" ref="E567">_xlfn.IFS(
B567&lt;=recencyQ1, 4,
B567&lt;=recencyQ2, 3,
B567&lt;=recencyQ3, 2,
TRUE, 1
)</f>
        <v>2</v>
      </c>
      <c r="F567" s="18" cm="1">
        <f t="array" ref="F567">_xlfn.IFS(
C567&lt;=frequencyQ1, 1,
C567&lt;=frequencyQ2, 2,
C567&lt;=frequencyQ3, 3,
TRUE, 4)</f>
        <v>4</v>
      </c>
      <c r="G567" s="18" cm="1">
        <f t="array" ref="G567">_xlfn.IFS(
D567&lt;=monetaryQ1, 1,
D567&lt;=monetaryQ2, 2,
D567&lt;=monetaryQ3, 3,
TRUE, 4)</f>
        <v>4</v>
      </c>
      <c r="H567" s="18" t="str">
        <f t="shared" si="43"/>
        <v>244</v>
      </c>
      <c r="I567" s="19">
        <f t="shared" si="44"/>
        <v>3.3333333333333335</v>
      </c>
      <c r="J567" s="7" t="str" cm="1">
        <f t="array" ref="J567">_xlfn.IFS(
I567&gt;=Best_Customers, Best_Customers_name,
I567&gt;=Loyal_Customers, Loyal_Customers_name,
I567&gt;=Average_Customers, Average_Customers_name,
TRUE, Lost_Customers_name)</f>
        <v>Loyal Customers</v>
      </c>
    </row>
    <row r="568" spans="1:10" x14ac:dyDescent="0.25">
      <c r="A568" s="25" t="str">
        <v>CUST_0563</v>
      </c>
      <c r="B568" s="16">
        <f t="shared" si="40"/>
        <v>18</v>
      </c>
      <c r="C568" s="16">
        <f t="shared" si="41"/>
        <v>6</v>
      </c>
      <c r="D568" s="17">
        <f t="shared" si="42"/>
        <v>676.42000000000007</v>
      </c>
      <c r="E568" s="18" cm="1">
        <f t="array" ref="E568">_xlfn.IFS(
B568&lt;=recencyQ1, 4,
B568&lt;=recencyQ2, 3,
B568&lt;=recencyQ3, 2,
TRUE, 1
)</f>
        <v>4</v>
      </c>
      <c r="F568" s="18" cm="1">
        <f t="array" ref="F568">_xlfn.IFS(
C568&lt;=frequencyQ1, 1,
C568&lt;=frequencyQ2, 2,
C568&lt;=frequencyQ3, 3,
TRUE, 4)</f>
        <v>3</v>
      </c>
      <c r="G568" s="18" cm="1">
        <f t="array" ref="G568">_xlfn.IFS(
D568&lt;=monetaryQ1, 1,
D568&lt;=monetaryQ2, 2,
D568&lt;=monetaryQ3, 3,
TRUE, 4)</f>
        <v>4</v>
      </c>
      <c r="H568" s="18" t="str">
        <f t="shared" si="43"/>
        <v>434</v>
      </c>
      <c r="I568" s="19">
        <f t="shared" si="44"/>
        <v>3.6666666666666665</v>
      </c>
      <c r="J568" s="7" t="str" cm="1">
        <f t="array" ref="J568">_xlfn.IFS(
I568&gt;=Best_Customers, Best_Customers_name,
I568&gt;=Loyal_Customers, Loyal_Customers_name,
I568&gt;=Average_Customers, Average_Customers_name,
TRUE, Lost_Customers_name)</f>
        <v>Best Customers</v>
      </c>
    </row>
    <row r="569" spans="1:10" x14ac:dyDescent="0.25">
      <c r="A569" s="25" t="str">
        <v>CUST_0564</v>
      </c>
      <c r="B569" s="16">
        <f t="shared" si="40"/>
        <v>146</v>
      </c>
      <c r="C569" s="16">
        <f t="shared" si="41"/>
        <v>3</v>
      </c>
      <c r="D569" s="17">
        <f t="shared" si="42"/>
        <v>241.7</v>
      </c>
      <c r="E569" s="18" cm="1">
        <f t="array" ref="E569">_xlfn.IFS(
B569&lt;=recencyQ1, 4,
B569&lt;=recencyQ2, 3,
B569&lt;=recencyQ3, 2,
TRUE, 1
)</f>
        <v>1</v>
      </c>
      <c r="F569" s="18" cm="1">
        <f t="array" ref="F569">_xlfn.IFS(
C569&lt;=frequencyQ1, 1,
C569&lt;=frequencyQ2, 2,
C569&lt;=frequencyQ3, 3,
TRUE, 4)</f>
        <v>1</v>
      </c>
      <c r="G569" s="18" cm="1">
        <f t="array" ref="G569">_xlfn.IFS(
D569&lt;=monetaryQ1, 1,
D569&lt;=monetaryQ2, 2,
D569&lt;=monetaryQ3, 3,
TRUE, 4)</f>
        <v>1</v>
      </c>
      <c r="H569" s="18" t="str">
        <f t="shared" si="43"/>
        <v>111</v>
      </c>
      <c r="I569" s="19">
        <f t="shared" si="44"/>
        <v>1</v>
      </c>
      <c r="J569" s="7" t="str" cm="1">
        <f t="array" ref="J569">_xlfn.IFS(
I569&gt;=Best_Customers, Best_Customers_name,
I569&gt;=Loyal_Customers, Loyal_Customers_name,
I569&gt;=Average_Customers, Average_Customers_name,
TRUE, Lost_Customers_name)</f>
        <v>Lost Customers</v>
      </c>
    </row>
    <row r="570" spans="1:10" x14ac:dyDescent="0.25">
      <c r="A570" s="25" t="str">
        <v>CUST_0565</v>
      </c>
      <c r="B570" s="16">
        <f t="shared" si="40"/>
        <v>137</v>
      </c>
      <c r="C570" s="16">
        <f t="shared" si="41"/>
        <v>5</v>
      </c>
      <c r="D570" s="17">
        <f t="shared" si="42"/>
        <v>562.55999999999995</v>
      </c>
      <c r="E570" s="18" cm="1">
        <f t="array" ref="E570">_xlfn.IFS(
B570&lt;=recencyQ1, 4,
B570&lt;=recencyQ2, 3,
B570&lt;=recencyQ3, 2,
TRUE, 1
)</f>
        <v>1</v>
      </c>
      <c r="F570" s="18" cm="1">
        <f t="array" ref="F570">_xlfn.IFS(
C570&lt;=frequencyQ1, 1,
C570&lt;=frequencyQ2, 2,
C570&lt;=frequencyQ3, 3,
TRUE, 4)</f>
        <v>2</v>
      </c>
      <c r="G570" s="18" cm="1">
        <f t="array" ref="G570">_xlfn.IFS(
D570&lt;=monetaryQ1, 1,
D570&lt;=monetaryQ2, 2,
D570&lt;=monetaryQ3, 3,
TRUE, 4)</f>
        <v>3</v>
      </c>
      <c r="H570" s="18" t="str">
        <f t="shared" si="43"/>
        <v>123</v>
      </c>
      <c r="I570" s="19">
        <f t="shared" si="44"/>
        <v>2</v>
      </c>
      <c r="J570" s="7" t="str" cm="1">
        <f t="array" ref="J570">_xlfn.IFS(
I570&gt;=Best_Customers, Best_Customers_name,
I570&gt;=Loyal_Customers, Loyal_Customers_name,
I570&gt;=Average_Customers, Average_Customers_name,
TRUE, Lost_Customers_name)</f>
        <v>Average Customers</v>
      </c>
    </row>
    <row r="571" spans="1:10" x14ac:dyDescent="0.25">
      <c r="A571" s="25" t="str">
        <v>CUST_0566</v>
      </c>
      <c r="B571" s="16">
        <f t="shared" si="40"/>
        <v>23</v>
      </c>
      <c r="C571" s="16">
        <f t="shared" si="41"/>
        <v>4</v>
      </c>
      <c r="D571" s="17">
        <f t="shared" si="42"/>
        <v>380.79999999999995</v>
      </c>
      <c r="E571" s="18" cm="1">
        <f t="array" ref="E571">_xlfn.IFS(
B571&lt;=recencyQ1, 4,
B571&lt;=recencyQ2, 3,
B571&lt;=recencyQ3, 2,
TRUE, 1
)</f>
        <v>3</v>
      </c>
      <c r="F571" s="18" cm="1">
        <f t="array" ref="F571">_xlfn.IFS(
C571&lt;=frequencyQ1, 1,
C571&lt;=frequencyQ2, 2,
C571&lt;=frequencyQ3, 3,
TRUE, 4)</f>
        <v>2</v>
      </c>
      <c r="G571" s="18" cm="1">
        <f t="array" ref="G571">_xlfn.IFS(
D571&lt;=monetaryQ1, 1,
D571&lt;=monetaryQ2, 2,
D571&lt;=monetaryQ3, 3,
TRUE, 4)</f>
        <v>2</v>
      </c>
      <c r="H571" s="18" t="str">
        <f t="shared" si="43"/>
        <v>322</v>
      </c>
      <c r="I571" s="19">
        <f t="shared" si="44"/>
        <v>2.3333333333333335</v>
      </c>
      <c r="J571" s="7" t="str" cm="1">
        <f t="array" ref="J571">_xlfn.IFS(
I571&gt;=Best_Customers, Best_Customers_name,
I571&gt;=Loyal_Customers, Loyal_Customers_name,
I571&gt;=Average_Customers, Average_Customers_name,
TRUE, Lost_Customers_name)</f>
        <v>Average Customers</v>
      </c>
    </row>
    <row r="572" spans="1:10" x14ac:dyDescent="0.25">
      <c r="A572" s="25" t="str">
        <v>CUST_0567</v>
      </c>
      <c r="B572" s="16">
        <f t="shared" si="40"/>
        <v>114</v>
      </c>
      <c r="C572" s="16">
        <f t="shared" si="41"/>
        <v>2</v>
      </c>
      <c r="D572" s="17">
        <f t="shared" si="42"/>
        <v>215.54</v>
      </c>
      <c r="E572" s="18" cm="1">
        <f t="array" ref="E572">_xlfn.IFS(
B572&lt;=recencyQ1, 4,
B572&lt;=recencyQ2, 3,
B572&lt;=recencyQ3, 2,
TRUE, 1
)</f>
        <v>1</v>
      </c>
      <c r="F572" s="18" cm="1">
        <f t="array" ref="F572">_xlfn.IFS(
C572&lt;=frequencyQ1, 1,
C572&lt;=frequencyQ2, 2,
C572&lt;=frequencyQ3, 3,
TRUE, 4)</f>
        <v>1</v>
      </c>
      <c r="G572" s="18" cm="1">
        <f t="array" ref="G572">_xlfn.IFS(
D572&lt;=monetaryQ1, 1,
D572&lt;=monetaryQ2, 2,
D572&lt;=monetaryQ3, 3,
TRUE, 4)</f>
        <v>1</v>
      </c>
      <c r="H572" s="18" t="str">
        <f t="shared" si="43"/>
        <v>111</v>
      </c>
      <c r="I572" s="19">
        <f t="shared" si="44"/>
        <v>1</v>
      </c>
      <c r="J572" s="7" t="str" cm="1">
        <f t="array" ref="J572">_xlfn.IFS(
I572&gt;=Best_Customers, Best_Customers_name,
I572&gt;=Loyal_Customers, Loyal_Customers_name,
I572&gt;=Average_Customers, Average_Customers_name,
TRUE, Lost_Customers_name)</f>
        <v>Lost Customers</v>
      </c>
    </row>
    <row r="573" spans="1:10" x14ac:dyDescent="0.25">
      <c r="A573" s="25" t="str">
        <v>CUST_0568</v>
      </c>
      <c r="B573" s="16">
        <f t="shared" si="40"/>
        <v>53</v>
      </c>
      <c r="C573" s="16">
        <f t="shared" si="41"/>
        <v>3</v>
      </c>
      <c r="D573" s="17">
        <f t="shared" si="42"/>
        <v>263.94</v>
      </c>
      <c r="E573" s="18" cm="1">
        <f t="array" ref="E573">_xlfn.IFS(
B573&lt;=recencyQ1, 4,
B573&lt;=recencyQ2, 3,
B573&lt;=recencyQ3, 2,
TRUE, 1
)</f>
        <v>2</v>
      </c>
      <c r="F573" s="18" cm="1">
        <f t="array" ref="F573">_xlfn.IFS(
C573&lt;=frequencyQ1, 1,
C573&lt;=frequencyQ2, 2,
C573&lt;=frequencyQ3, 3,
TRUE, 4)</f>
        <v>1</v>
      </c>
      <c r="G573" s="18" cm="1">
        <f t="array" ref="G573">_xlfn.IFS(
D573&lt;=monetaryQ1, 1,
D573&lt;=monetaryQ2, 2,
D573&lt;=monetaryQ3, 3,
TRUE, 4)</f>
        <v>1</v>
      </c>
      <c r="H573" s="18" t="str">
        <f t="shared" si="43"/>
        <v>211</v>
      </c>
      <c r="I573" s="19">
        <f t="shared" si="44"/>
        <v>1.3333333333333333</v>
      </c>
      <c r="J573" s="7" t="str" cm="1">
        <f t="array" ref="J573">_xlfn.IFS(
I573&gt;=Best_Customers, Best_Customers_name,
I573&gt;=Loyal_Customers, Loyal_Customers_name,
I573&gt;=Average_Customers, Average_Customers_name,
TRUE, Lost_Customers_name)</f>
        <v>Lost Customers</v>
      </c>
    </row>
    <row r="574" spans="1:10" x14ac:dyDescent="0.25">
      <c r="A574" s="25" t="str">
        <v>CUST_0569</v>
      </c>
      <c r="B574" s="16">
        <f t="shared" si="40"/>
        <v>10</v>
      </c>
      <c r="C574" s="16">
        <f t="shared" si="41"/>
        <v>4</v>
      </c>
      <c r="D574" s="17">
        <f t="shared" si="42"/>
        <v>276.92</v>
      </c>
      <c r="E574" s="18" cm="1">
        <f t="array" ref="E574">_xlfn.IFS(
B574&lt;=recencyQ1, 4,
B574&lt;=recencyQ2, 3,
B574&lt;=recencyQ3, 2,
TRUE, 1
)</f>
        <v>4</v>
      </c>
      <c r="F574" s="18" cm="1">
        <f t="array" ref="F574">_xlfn.IFS(
C574&lt;=frequencyQ1, 1,
C574&lt;=frequencyQ2, 2,
C574&lt;=frequencyQ3, 3,
TRUE, 4)</f>
        <v>2</v>
      </c>
      <c r="G574" s="18" cm="1">
        <f t="array" ref="G574">_xlfn.IFS(
D574&lt;=monetaryQ1, 1,
D574&lt;=monetaryQ2, 2,
D574&lt;=monetaryQ3, 3,
TRUE, 4)</f>
        <v>1</v>
      </c>
      <c r="H574" s="18" t="str">
        <f t="shared" si="43"/>
        <v>421</v>
      </c>
      <c r="I574" s="19">
        <f t="shared" si="44"/>
        <v>2.3333333333333335</v>
      </c>
      <c r="J574" s="7" t="str" cm="1">
        <f t="array" ref="J574">_xlfn.IFS(
I574&gt;=Best_Customers, Best_Customers_name,
I574&gt;=Loyal_Customers, Loyal_Customers_name,
I574&gt;=Average_Customers, Average_Customers_name,
TRUE, Lost_Customers_name)</f>
        <v>Average Customers</v>
      </c>
    </row>
    <row r="575" spans="1:10" x14ac:dyDescent="0.25">
      <c r="A575" s="25" t="str">
        <v>CUST_0570</v>
      </c>
      <c r="B575" s="16">
        <f t="shared" si="40"/>
        <v>94</v>
      </c>
      <c r="C575" s="16">
        <f t="shared" si="41"/>
        <v>7</v>
      </c>
      <c r="D575" s="17">
        <f t="shared" si="42"/>
        <v>484.28000000000009</v>
      </c>
      <c r="E575" s="18" cm="1">
        <f t="array" ref="E575">_xlfn.IFS(
B575&lt;=recencyQ1, 4,
B575&lt;=recencyQ2, 3,
B575&lt;=recencyQ3, 2,
TRUE, 1
)</f>
        <v>2</v>
      </c>
      <c r="F575" s="18" cm="1">
        <f t="array" ref="F575">_xlfn.IFS(
C575&lt;=frequencyQ1, 1,
C575&lt;=frequencyQ2, 2,
C575&lt;=frequencyQ3, 3,
TRUE, 4)</f>
        <v>4</v>
      </c>
      <c r="G575" s="18" cm="1">
        <f t="array" ref="G575">_xlfn.IFS(
D575&lt;=monetaryQ1, 1,
D575&lt;=monetaryQ2, 2,
D575&lt;=monetaryQ3, 3,
TRUE, 4)</f>
        <v>2</v>
      </c>
      <c r="H575" s="18" t="str">
        <f t="shared" si="43"/>
        <v>242</v>
      </c>
      <c r="I575" s="19">
        <f t="shared" si="44"/>
        <v>2.6666666666666665</v>
      </c>
      <c r="J575" s="7" t="str" cm="1">
        <f t="array" ref="J575">_xlfn.IFS(
I575&gt;=Best_Customers, Best_Customers_name,
I575&gt;=Loyal_Customers, Loyal_Customers_name,
I575&gt;=Average_Customers, Average_Customers_name,
TRUE, Lost_Customers_name)</f>
        <v>Loyal Customers</v>
      </c>
    </row>
    <row r="576" spans="1:10" x14ac:dyDescent="0.25">
      <c r="A576" s="25" t="str">
        <v>CUST_0571</v>
      </c>
      <c r="B576" s="16">
        <f t="shared" si="40"/>
        <v>76</v>
      </c>
      <c r="C576" s="16">
        <f t="shared" si="41"/>
        <v>6</v>
      </c>
      <c r="D576" s="17">
        <f t="shared" si="42"/>
        <v>632.82999999999993</v>
      </c>
      <c r="E576" s="18" cm="1">
        <f t="array" ref="E576">_xlfn.IFS(
B576&lt;=recencyQ1, 4,
B576&lt;=recencyQ2, 3,
B576&lt;=recencyQ3, 2,
TRUE, 1
)</f>
        <v>2</v>
      </c>
      <c r="F576" s="18" cm="1">
        <f t="array" ref="F576">_xlfn.IFS(
C576&lt;=frequencyQ1, 1,
C576&lt;=frequencyQ2, 2,
C576&lt;=frequencyQ3, 3,
TRUE, 4)</f>
        <v>3</v>
      </c>
      <c r="G576" s="18" cm="1">
        <f t="array" ref="G576">_xlfn.IFS(
D576&lt;=monetaryQ1, 1,
D576&lt;=monetaryQ2, 2,
D576&lt;=monetaryQ3, 3,
TRUE, 4)</f>
        <v>3</v>
      </c>
      <c r="H576" s="18" t="str">
        <f t="shared" si="43"/>
        <v>233</v>
      </c>
      <c r="I576" s="19">
        <f t="shared" si="44"/>
        <v>2.6666666666666665</v>
      </c>
      <c r="J576" s="7" t="str" cm="1">
        <f t="array" ref="J576">_xlfn.IFS(
I576&gt;=Best_Customers, Best_Customers_name,
I576&gt;=Loyal_Customers, Loyal_Customers_name,
I576&gt;=Average_Customers, Average_Customers_name,
TRUE, Lost_Customers_name)</f>
        <v>Loyal Customers</v>
      </c>
    </row>
    <row r="577" spans="1:10" x14ac:dyDescent="0.25">
      <c r="A577" s="25" t="str">
        <v>CUST_0572</v>
      </c>
      <c r="B577" s="16">
        <f t="shared" si="40"/>
        <v>6</v>
      </c>
      <c r="C577" s="16">
        <f t="shared" si="41"/>
        <v>7</v>
      </c>
      <c r="D577" s="17">
        <f t="shared" si="42"/>
        <v>569.09</v>
      </c>
      <c r="E577" s="18" cm="1">
        <f t="array" ref="E577">_xlfn.IFS(
B577&lt;=recencyQ1, 4,
B577&lt;=recencyQ2, 3,
B577&lt;=recencyQ3, 2,
TRUE, 1
)</f>
        <v>4</v>
      </c>
      <c r="F577" s="18" cm="1">
        <f t="array" ref="F577">_xlfn.IFS(
C577&lt;=frequencyQ1, 1,
C577&lt;=frequencyQ2, 2,
C577&lt;=frequencyQ3, 3,
TRUE, 4)</f>
        <v>4</v>
      </c>
      <c r="G577" s="18" cm="1">
        <f t="array" ref="G577">_xlfn.IFS(
D577&lt;=monetaryQ1, 1,
D577&lt;=monetaryQ2, 2,
D577&lt;=monetaryQ3, 3,
TRUE, 4)</f>
        <v>3</v>
      </c>
      <c r="H577" s="18" t="str">
        <f t="shared" si="43"/>
        <v>443</v>
      </c>
      <c r="I577" s="19">
        <f t="shared" si="44"/>
        <v>3.6666666666666665</v>
      </c>
      <c r="J577" s="7" t="str" cm="1">
        <f t="array" ref="J577">_xlfn.IFS(
I577&gt;=Best_Customers, Best_Customers_name,
I577&gt;=Loyal_Customers, Loyal_Customers_name,
I577&gt;=Average_Customers, Average_Customers_name,
TRUE, Lost_Customers_name)</f>
        <v>Best Customers</v>
      </c>
    </row>
    <row r="578" spans="1:10" x14ac:dyDescent="0.25">
      <c r="A578" s="25" t="str">
        <v>CUST_0573</v>
      </c>
      <c r="B578" s="16">
        <f t="shared" si="40"/>
        <v>52</v>
      </c>
      <c r="C578" s="16">
        <f t="shared" si="41"/>
        <v>7</v>
      </c>
      <c r="D578" s="17">
        <f t="shared" si="42"/>
        <v>765.71999999999991</v>
      </c>
      <c r="E578" s="18" cm="1">
        <f t="array" ref="E578">_xlfn.IFS(
B578&lt;=recencyQ1, 4,
B578&lt;=recencyQ2, 3,
B578&lt;=recencyQ3, 2,
TRUE, 1
)</f>
        <v>2</v>
      </c>
      <c r="F578" s="18" cm="1">
        <f t="array" ref="F578">_xlfn.IFS(
C578&lt;=frequencyQ1, 1,
C578&lt;=frequencyQ2, 2,
C578&lt;=frequencyQ3, 3,
TRUE, 4)</f>
        <v>4</v>
      </c>
      <c r="G578" s="18" cm="1">
        <f t="array" ref="G578">_xlfn.IFS(
D578&lt;=monetaryQ1, 1,
D578&lt;=monetaryQ2, 2,
D578&lt;=monetaryQ3, 3,
TRUE, 4)</f>
        <v>4</v>
      </c>
      <c r="H578" s="18" t="str">
        <f t="shared" si="43"/>
        <v>244</v>
      </c>
      <c r="I578" s="19">
        <f t="shared" si="44"/>
        <v>3.3333333333333335</v>
      </c>
      <c r="J578" s="7" t="str" cm="1">
        <f t="array" ref="J578">_xlfn.IFS(
I578&gt;=Best_Customers, Best_Customers_name,
I578&gt;=Loyal_Customers, Loyal_Customers_name,
I578&gt;=Average_Customers, Average_Customers_name,
TRUE, Lost_Customers_name)</f>
        <v>Loyal Customers</v>
      </c>
    </row>
    <row r="579" spans="1:10" x14ac:dyDescent="0.25">
      <c r="A579" s="25" t="str">
        <v>CUST_0574</v>
      </c>
      <c r="B579" s="16">
        <f t="shared" si="40"/>
        <v>5</v>
      </c>
      <c r="C579" s="16">
        <f t="shared" si="41"/>
        <v>8</v>
      </c>
      <c r="D579" s="17">
        <f t="shared" si="42"/>
        <v>822.02999999999986</v>
      </c>
      <c r="E579" s="18" cm="1">
        <f t="array" ref="E579">_xlfn.IFS(
B579&lt;=recencyQ1, 4,
B579&lt;=recencyQ2, 3,
B579&lt;=recencyQ3, 2,
TRUE, 1
)</f>
        <v>4</v>
      </c>
      <c r="F579" s="18" cm="1">
        <f t="array" ref="F579">_xlfn.IFS(
C579&lt;=frequencyQ1, 1,
C579&lt;=frequencyQ2, 2,
C579&lt;=frequencyQ3, 3,
TRUE, 4)</f>
        <v>4</v>
      </c>
      <c r="G579" s="18" cm="1">
        <f t="array" ref="G579">_xlfn.IFS(
D579&lt;=monetaryQ1, 1,
D579&lt;=monetaryQ2, 2,
D579&lt;=monetaryQ3, 3,
TRUE, 4)</f>
        <v>4</v>
      </c>
      <c r="H579" s="18" t="str">
        <f t="shared" si="43"/>
        <v>444</v>
      </c>
      <c r="I579" s="19">
        <f t="shared" si="44"/>
        <v>4</v>
      </c>
      <c r="J579" s="7" t="str" cm="1">
        <f t="array" ref="J579">_xlfn.IFS(
I579&gt;=Best_Customers, Best_Customers_name,
I579&gt;=Loyal_Customers, Loyal_Customers_name,
I579&gt;=Average_Customers, Average_Customers_name,
TRUE, Lost_Customers_name)</f>
        <v>Best Customers</v>
      </c>
    </row>
    <row r="580" spans="1:10" x14ac:dyDescent="0.25">
      <c r="A580" s="25" t="str">
        <v>CUST_0575</v>
      </c>
      <c r="B580" s="16">
        <f t="shared" si="40"/>
        <v>41</v>
      </c>
      <c r="C580" s="16">
        <f t="shared" si="41"/>
        <v>4</v>
      </c>
      <c r="D580" s="17">
        <f t="shared" si="42"/>
        <v>500.59000000000003</v>
      </c>
      <c r="E580" s="18" cm="1">
        <f t="array" ref="E580">_xlfn.IFS(
B580&lt;=recencyQ1, 4,
B580&lt;=recencyQ2, 3,
B580&lt;=recencyQ3, 2,
TRUE, 1
)</f>
        <v>3</v>
      </c>
      <c r="F580" s="18" cm="1">
        <f t="array" ref="F580">_xlfn.IFS(
C580&lt;=frequencyQ1, 1,
C580&lt;=frequencyQ2, 2,
C580&lt;=frequencyQ3, 3,
TRUE, 4)</f>
        <v>2</v>
      </c>
      <c r="G580" s="18" cm="1">
        <f t="array" ref="G580">_xlfn.IFS(
D580&lt;=monetaryQ1, 1,
D580&lt;=monetaryQ2, 2,
D580&lt;=monetaryQ3, 3,
TRUE, 4)</f>
        <v>3</v>
      </c>
      <c r="H580" s="18" t="str">
        <f t="shared" si="43"/>
        <v>323</v>
      </c>
      <c r="I580" s="19">
        <f t="shared" si="44"/>
        <v>2.6666666666666665</v>
      </c>
      <c r="J580" s="7" t="str" cm="1">
        <f t="array" ref="J580">_xlfn.IFS(
I580&gt;=Best_Customers, Best_Customers_name,
I580&gt;=Loyal_Customers, Loyal_Customers_name,
I580&gt;=Average_Customers, Average_Customers_name,
TRUE, Lost_Customers_name)</f>
        <v>Loyal Customers</v>
      </c>
    </row>
    <row r="581" spans="1:10" x14ac:dyDescent="0.25">
      <c r="A581" s="25" t="str">
        <v>CUST_0576</v>
      </c>
      <c r="B581" s="16">
        <f t="shared" si="40"/>
        <v>40</v>
      </c>
      <c r="C581" s="16">
        <f t="shared" si="41"/>
        <v>3</v>
      </c>
      <c r="D581" s="17">
        <f t="shared" si="42"/>
        <v>295.46000000000004</v>
      </c>
      <c r="E581" s="18" cm="1">
        <f t="array" ref="E581">_xlfn.IFS(
B581&lt;=recencyQ1, 4,
B581&lt;=recencyQ2, 3,
B581&lt;=recencyQ3, 2,
TRUE, 1
)</f>
        <v>3</v>
      </c>
      <c r="F581" s="18" cm="1">
        <f t="array" ref="F581">_xlfn.IFS(
C581&lt;=frequencyQ1, 1,
C581&lt;=frequencyQ2, 2,
C581&lt;=frequencyQ3, 3,
TRUE, 4)</f>
        <v>1</v>
      </c>
      <c r="G581" s="18" cm="1">
        <f t="array" ref="G581">_xlfn.IFS(
D581&lt;=monetaryQ1, 1,
D581&lt;=monetaryQ2, 2,
D581&lt;=monetaryQ3, 3,
TRUE, 4)</f>
        <v>1</v>
      </c>
      <c r="H581" s="18" t="str">
        <f t="shared" si="43"/>
        <v>311</v>
      </c>
      <c r="I581" s="19">
        <f t="shared" si="44"/>
        <v>1.6666666666666667</v>
      </c>
      <c r="J581" s="7" t="str" cm="1">
        <f t="array" ref="J581">_xlfn.IFS(
I581&gt;=Best_Customers, Best_Customers_name,
I581&gt;=Loyal_Customers, Loyal_Customers_name,
I581&gt;=Average_Customers, Average_Customers_name,
TRUE, Lost_Customers_name)</f>
        <v>Average Customers</v>
      </c>
    </row>
    <row r="582" spans="1:10" x14ac:dyDescent="0.25">
      <c r="A582" s="25" t="str">
        <v>CUST_0577</v>
      </c>
      <c r="B582" s="16">
        <f t="shared" si="40"/>
        <v>126</v>
      </c>
      <c r="C582" s="16">
        <f t="shared" si="41"/>
        <v>5</v>
      </c>
      <c r="D582" s="17">
        <f t="shared" si="42"/>
        <v>537.54999999999995</v>
      </c>
      <c r="E582" s="18" cm="1">
        <f t="array" ref="E582">_xlfn.IFS(
B582&lt;=recencyQ1, 4,
B582&lt;=recencyQ2, 3,
B582&lt;=recencyQ3, 2,
TRUE, 1
)</f>
        <v>1</v>
      </c>
      <c r="F582" s="18" cm="1">
        <f t="array" ref="F582">_xlfn.IFS(
C582&lt;=frequencyQ1, 1,
C582&lt;=frequencyQ2, 2,
C582&lt;=frequencyQ3, 3,
TRUE, 4)</f>
        <v>2</v>
      </c>
      <c r="G582" s="18" cm="1">
        <f t="array" ref="G582">_xlfn.IFS(
D582&lt;=monetaryQ1, 1,
D582&lt;=monetaryQ2, 2,
D582&lt;=monetaryQ3, 3,
TRUE, 4)</f>
        <v>3</v>
      </c>
      <c r="H582" s="18" t="str">
        <f t="shared" si="43"/>
        <v>123</v>
      </c>
      <c r="I582" s="19">
        <f t="shared" si="44"/>
        <v>2</v>
      </c>
      <c r="J582" s="7" t="str" cm="1">
        <f t="array" ref="J582">_xlfn.IFS(
I582&gt;=Best_Customers, Best_Customers_name,
I582&gt;=Loyal_Customers, Loyal_Customers_name,
I582&gt;=Average_Customers, Average_Customers_name,
TRUE, Lost_Customers_name)</f>
        <v>Average Customers</v>
      </c>
    </row>
    <row r="583" spans="1:10" x14ac:dyDescent="0.25">
      <c r="A583" s="25" t="str">
        <v>CUST_0578</v>
      </c>
      <c r="B583" s="16">
        <f t="shared" si="40"/>
        <v>38</v>
      </c>
      <c r="C583" s="16">
        <f t="shared" si="41"/>
        <v>6</v>
      </c>
      <c r="D583" s="17">
        <f t="shared" si="42"/>
        <v>610.62</v>
      </c>
      <c r="E583" s="18" cm="1">
        <f t="array" ref="E583">_xlfn.IFS(
B583&lt;=recencyQ1, 4,
B583&lt;=recencyQ2, 3,
B583&lt;=recencyQ3, 2,
TRUE, 1
)</f>
        <v>3</v>
      </c>
      <c r="F583" s="18" cm="1">
        <f t="array" ref="F583">_xlfn.IFS(
C583&lt;=frequencyQ1, 1,
C583&lt;=frequencyQ2, 2,
C583&lt;=frequencyQ3, 3,
TRUE, 4)</f>
        <v>3</v>
      </c>
      <c r="G583" s="18" cm="1">
        <f t="array" ref="G583">_xlfn.IFS(
D583&lt;=monetaryQ1, 1,
D583&lt;=monetaryQ2, 2,
D583&lt;=monetaryQ3, 3,
TRUE, 4)</f>
        <v>3</v>
      </c>
      <c r="H583" s="18" t="str">
        <f t="shared" si="43"/>
        <v>333</v>
      </c>
      <c r="I583" s="19">
        <f t="shared" si="44"/>
        <v>3</v>
      </c>
      <c r="J583" s="7" t="str" cm="1">
        <f t="array" ref="J583">_xlfn.IFS(
I583&gt;=Best_Customers, Best_Customers_name,
I583&gt;=Loyal_Customers, Loyal_Customers_name,
I583&gt;=Average_Customers, Average_Customers_name,
TRUE, Lost_Customers_name)</f>
        <v>Loyal Customers</v>
      </c>
    </row>
    <row r="584" spans="1:10" x14ac:dyDescent="0.25">
      <c r="A584" s="25" t="str">
        <v>CUST_0579</v>
      </c>
      <c r="B584" s="16">
        <f t="shared" si="40"/>
        <v>72</v>
      </c>
      <c r="C584" s="16">
        <f t="shared" si="41"/>
        <v>6</v>
      </c>
      <c r="D584" s="17">
        <f t="shared" si="42"/>
        <v>554.91000000000008</v>
      </c>
      <c r="E584" s="18" cm="1">
        <f t="array" ref="E584">_xlfn.IFS(
B584&lt;=recencyQ1, 4,
B584&lt;=recencyQ2, 3,
B584&lt;=recencyQ3, 2,
TRUE, 1
)</f>
        <v>2</v>
      </c>
      <c r="F584" s="18" cm="1">
        <f t="array" ref="F584">_xlfn.IFS(
C584&lt;=frequencyQ1, 1,
C584&lt;=frequencyQ2, 2,
C584&lt;=frequencyQ3, 3,
TRUE, 4)</f>
        <v>3</v>
      </c>
      <c r="G584" s="18" cm="1">
        <f t="array" ref="G584">_xlfn.IFS(
D584&lt;=monetaryQ1, 1,
D584&lt;=monetaryQ2, 2,
D584&lt;=monetaryQ3, 3,
TRUE, 4)</f>
        <v>3</v>
      </c>
      <c r="H584" s="18" t="str">
        <f t="shared" si="43"/>
        <v>233</v>
      </c>
      <c r="I584" s="19">
        <f t="shared" si="44"/>
        <v>2.6666666666666665</v>
      </c>
      <c r="J584" s="7" t="str" cm="1">
        <f t="array" ref="J584">_xlfn.IFS(
I584&gt;=Best_Customers, Best_Customers_name,
I584&gt;=Loyal_Customers, Loyal_Customers_name,
I584&gt;=Average_Customers, Average_Customers_name,
TRUE, Lost_Customers_name)</f>
        <v>Loyal Customers</v>
      </c>
    </row>
    <row r="585" spans="1:10" x14ac:dyDescent="0.25">
      <c r="A585" s="25" t="str">
        <v>CUST_0580</v>
      </c>
      <c r="B585" s="16">
        <f t="shared" si="40"/>
        <v>29</v>
      </c>
      <c r="C585" s="16">
        <f t="shared" si="41"/>
        <v>6</v>
      </c>
      <c r="D585" s="17">
        <f t="shared" si="42"/>
        <v>560.03</v>
      </c>
      <c r="E585" s="18" cm="1">
        <f t="array" ref="E585">_xlfn.IFS(
B585&lt;=recencyQ1, 4,
B585&lt;=recencyQ2, 3,
B585&lt;=recencyQ3, 2,
TRUE, 1
)</f>
        <v>3</v>
      </c>
      <c r="F585" s="18" cm="1">
        <f t="array" ref="F585">_xlfn.IFS(
C585&lt;=frequencyQ1, 1,
C585&lt;=frequencyQ2, 2,
C585&lt;=frequencyQ3, 3,
TRUE, 4)</f>
        <v>3</v>
      </c>
      <c r="G585" s="18" cm="1">
        <f t="array" ref="G585">_xlfn.IFS(
D585&lt;=monetaryQ1, 1,
D585&lt;=monetaryQ2, 2,
D585&lt;=monetaryQ3, 3,
TRUE, 4)</f>
        <v>3</v>
      </c>
      <c r="H585" s="18" t="str">
        <f t="shared" si="43"/>
        <v>333</v>
      </c>
      <c r="I585" s="19">
        <f t="shared" si="44"/>
        <v>3</v>
      </c>
      <c r="J585" s="7" t="str" cm="1">
        <f t="array" ref="J585">_xlfn.IFS(
I585&gt;=Best_Customers, Best_Customers_name,
I585&gt;=Loyal_Customers, Loyal_Customers_name,
I585&gt;=Average_Customers, Average_Customers_name,
TRUE, Lost_Customers_name)</f>
        <v>Loyal Customers</v>
      </c>
    </row>
    <row r="586" spans="1:10" x14ac:dyDescent="0.25">
      <c r="A586" s="25" t="str">
        <v>CUST_0581</v>
      </c>
      <c r="B586" s="16">
        <f t="shared" ref="B586:B649" si="45">analysis_date-_xlfn.MAXIFS(transaction_date,customer_id,A586,included,1)</f>
        <v>68</v>
      </c>
      <c r="C586" s="16">
        <f t="shared" ref="C586:C649" si="46">COUNTIFS(customer_id,A586,included,1)</f>
        <v>5</v>
      </c>
      <c r="D586" s="17">
        <f t="shared" ref="D586:D649" si="47">SUMIFS(transaction_amount,customer_id,A586,included,1)</f>
        <v>511.70000000000005</v>
      </c>
      <c r="E586" s="18" cm="1">
        <f t="array" ref="E586">_xlfn.IFS(
B586&lt;=recencyQ1, 4,
B586&lt;=recencyQ2, 3,
B586&lt;=recencyQ3, 2,
TRUE, 1
)</f>
        <v>2</v>
      </c>
      <c r="F586" s="18" cm="1">
        <f t="array" ref="F586">_xlfn.IFS(
C586&lt;=frequencyQ1, 1,
C586&lt;=frequencyQ2, 2,
C586&lt;=frequencyQ3, 3,
TRUE, 4)</f>
        <v>2</v>
      </c>
      <c r="G586" s="18" cm="1">
        <f t="array" ref="G586">_xlfn.IFS(
D586&lt;=monetaryQ1, 1,
D586&lt;=monetaryQ2, 2,
D586&lt;=monetaryQ3, 3,
TRUE, 4)</f>
        <v>3</v>
      </c>
      <c r="H586" s="18" t="str">
        <f t="shared" ref="H586:H649" si="48">E586&amp;F586&amp;G586</f>
        <v>223</v>
      </c>
      <c r="I586" s="19">
        <f t="shared" ref="I586:I649" si="49">AVERAGE(E586:G586)</f>
        <v>2.3333333333333335</v>
      </c>
      <c r="J586" s="7" t="str" cm="1">
        <f t="array" ref="J586">_xlfn.IFS(
I586&gt;=Best_Customers, Best_Customers_name,
I586&gt;=Loyal_Customers, Loyal_Customers_name,
I586&gt;=Average_Customers, Average_Customers_name,
TRUE, Lost_Customers_name)</f>
        <v>Average Customers</v>
      </c>
    </row>
    <row r="587" spans="1:10" x14ac:dyDescent="0.25">
      <c r="A587" s="25" t="str">
        <v>CUST_0582</v>
      </c>
      <c r="B587" s="16">
        <f t="shared" si="45"/>
        <v>259</v>
      </c>
      <c r="C587" s="16">
        <f t="shared" si="46"/>
        <v>2</v>
      </c>
      <c r="D587" s="17">
        <f t="shared" si="47"/>
        <v>151.65</v>
      </c>
      <c r="E587" s="18" cm="1">
        <f t="array" ref="E587">_xlfn.IFS(
B587&lt;=recencyQ1, 4,
B587&lt;=recencyQ2, 3,
B587&lt;=recencyQ3, 2,
TRUE, 1
)</f>
        <v>1</v>
      </c>
      <c r="F587" s="18" cm="1">
        <f t="array" ref="F587">_xlfn.IFS(
C587&lt;=frequencyQ1, 1,
C587&lt;=frequencyQ2, 2,
C587&lt;=frequencyQ3, 3,
TRUE, 4)</f>
        <v>1</v>
      </c>
      <c r="G587" s="18" cm="1">
        <f t="array" ref="G587">_xlfn.IFS(
D587&lt;=monetaryQ1, 1,
D587&lt;=monetaryQ2, 2,
D587&lt;=monetaryQ3, 3,
TRUE, 4)</f>
        <v>1</v>
      </c>
      <c r="H587" s="18" t="str">
        <f t="shared" si="48"/>
        <v>111</v>
      </c>
      <c r="I587" s="19">
        <f t="shared" si="49"/>
        <v>1</v>
      </c>
      <c r="J587" s="7" t="str" cm="1">
        <f t="array" ref="J587">_xlfn.IFS(
I587&gt;=Best_Customers, Best_Customers_name,
I587&gt;=Loyal_Customers, Loyal_Customers_name,
I587&gt;=Average_Customers, Average_Customers_name,
TRUE, Lost_Customers_name)</f>
        <v>Lost Customers</v>
      </c>
    </row>
    <row r="588" spans="1:10" x14ac:dyDescent="0.25">
      <c r="A588" s="25" t="str">
        <v>CUST_0583</v>
      </c>
      <c r="B588" s="16">
        <f t="shared" si="45"/>
        <v>25</v>
      </c>
      <c r="C588" s="16">
        <f t="shared" si="46"/>
        <v>8</v>
      </c>
      <c r="D588" s="17">
        <f t="shared" si="47"/>
        <v>848.65</v>
      </c>
      <c r="E588" s="18" cm="1">
        <f t="array" ref="E588">_xlfn.IFS(
B588&lt;=recencyQ1, 4,
B588&lt;=recencyQ2, 3,
B588&lt;=recencyQ3, 2,
TRUE, 1
)</f>
        <v>3</v>
      </c>
      <c r="F588" s="18" cm="1">
        <f t="array" ref="F588">_xlfn.IFS(
C588&lt;=frequencyQ1, 1,
C588&lt;=frequencyQ2, 2,
C588&lt;=frequencyQ3, 3,
TRUE, 4)</f>
        <v>4</v>
      </c>
      <c r="G588" s="18" cm="1">
        <f t="array" ref="G588">_xlfn.IFS(
D588&lt;=monetaryQ1, 1,
D588&lt;=monetaryQ2, 2,
D588&lt;=monetaryQ3, 3,
TRUE, 4)</f>
        <v>4</v>
      </c>
      <c r="H588" s="18" t="str">
        <f t="shared" si="48"/>
        <v>344</v>
      </c>
      <c r="I588" s="19">
        <f t="shared" si="49"/>
        <v>3.6666666666666665</v>
      </c>
      <c r="J588" s="7" t="str" cm="1">
        <f t="array" ref="J588">_xlfn.IFS(
I588&gt;=Best_Customers, Best_Customers_name,
I588&gt;=Loyal_Customers, Loyal_Customers_name,
I588&gt;=Average_Customers, Average_Customers_name,
TRUE, Lost_Customers_name)</f>
        <v>Best Customers</v>
      </c>
    </row>
    <row r="589" spans="1:10" x14ac:dyDescent="0.25">
      <c r="A589" s="25" t="str">
        <v>CUST_0584</v>
      </c>
      <c r="B589" s="16">
        <f t="shared" si="45"/>
        <v>29</v>
      </c>
      <c r="C589" s="16">
        <f t="shared" si="46"/>
        <v>3</v>
      </c>
      <c r="D589" s="17">
        <f t="shared" si="47"/>
        <v>305.06</v>
      </c>
      <c r="E589" s="18" cm="1">
        <f t="array" ref="E589">_xlfn.IFS(
B589&lt;=recencyQ1, 4,
B589&lt;=recencyQ2, 3,
B589&lt;=recencyQ3, 2,
TRUE, 1
)</f>
        <v>3</v>
      </c>
      <c r="F589" s="18" cm="1">
        <f t="array" ref="F589">_xlfn.IFS(
C589&lt;=frequencyQ1, 1,
C589&lt;=frequencyQ2, 2,
C589&lt;=frequencyQ3, 3,
TRUE, 4)</f>
        <v>1</v>
      </c>
      <c r="G589" s="18" cm="1">
        <f t="array" ref="G589">_xlfn.IFS(
D589&lt;=monetaryQ1, 1,
D589&lt;=monetaryQ2, 2,
D589&lt;=monetaryQ3, 3,
TRUE, 4)</f>
        <v>1</v>
      </c>
      <c r="H589" s="18" t="str">
        <f t="shared" si="48"/>
        <v>311</v>
      </c>
      <c r="I589" s="19">
        <f t="shared" si="49"/>
        <v>1.6666666666666667</v>
      </c>
      <c r="J589" s="7" t="str" cm="1">
        <f t="array" ref="J589">_xlfn.IFS(
I589&gt;=Best_Customers, Best_Customers_name,
I589&gt;=Loyal_Customers, Loyal_Customers_name,
I589&gt;=Average_Customers, Average_Customers_name,
TRUE, Lost_Customers_name)</f>
        <v>Average Customers</v>
      </c>
    </row>
    <row r="590" spans="1:10" x14ac:dyDescent="0.25">
      <c r="A590" s="25" t="str">
        <v>CUST_0585</v>
      </c>
      <c r="B590" s="16">
        <f t="shared" si="45"/>
        <v>87</v>
      </c>
      <c r="C590" s="16">
        <f t="shared" si="46"/>
        <v>3</v>
      </c>
      <c r="D590" s="17">
        <f t="shared" si="47"/>
        <v>347.06</v>
      </c>
      <c r="E590" s="18" cm="1">
        <f t="array" ref="E590">_xlfn.IFS(
B590&lt;=recencyQ1, 4,
B590&lt;=recencyQ2, 3,
B590&lt;=recencyQ3, 2,
TRUE, 1
)</f>
        <v>2</v>
      </c>
      <c r="F590" s="18" cm="1">
        <f t="array" ref="F590">_xlfn.IFS(
C590&lt;=frequencyQ1, 1,
C590&lt;=frequencyQ2, 2,
C590&lt;=frequencyQ3, 3,
TRUE, 4)</f>
        <v>1</v>
      </c>
      <c r="G590" s="18" cm="1">
        <f t="array" ref="G590">_xlfn.IFS(
D590&lt;=monetaryQ1, 1,
D590&lt;=monetaryQ2, 2,
D590&lt;=monetaryQ3, 3,
TRUE, 4)</f>
        <v>2</v>
      </c>
      <c r="H590" s="18" t="str">
        <f t="shared" si="48"/>
        <v>212</v>
      </c>
      <c r="I590" s="19">
        <f t="shared" si="49"/>
        <v>1.6666666666666667</v>
      </c>
      <c r="J590" s="7" t="str" cm="1">
        <f t="array" ref="J590">_xlfn.IFS(
I590&gt;=Best_Customers, Best_Customers_name,
I590&gt;=Loyal_Customers, Loyal_Customers_name,
I590&gt;=Average_Customers, Average_Customers_name,
TRUE, Lost_Customers_name)</f>
        <v>Average Customers</v>
      </c>
    </row>
    <row r="591" spans="1:10" x14ac:dyDescent="0.25">
      <c r="A591" s="25" t="str">
        <v>CUST_0586</v>
      </c>
      <c r="B591" s="16">
        <f t="shared" si="45"/>
        <v>93</v>
      </c>
      <c r="C591" s="16">
        <f t="shared" si="46"/>
        <v>3</v>
      </c>
      <c r="D591" s="17">
        <f t="shared" si="47"/>
        <v>230.43</v>
      </c>
      <c r="E591" s="18" cm="1">
        <f t="array" ref="E591">_xlfn.IFS(
B591&lt;=recencyQ1, 4,
B591&lt;=recencyQ2, 3,
B591&lt;=recencyQ3, 2,
TRUE, 1
)</f>
        <v>2</v>
      </c>
      <c r="F591" s="18" cm="1">
        <f t="array" ref="F591">_xlfn.IFS(
C591&lt;=frequencyQ1, 1,
C591&lt;=frequencyQ2, 2,
C591&lt;=frequencyQ3, 3,
TRUE, 4)</f>
        <v>1</v>
      </c>
      <c r="G591" s="18" cm="1">
        <f t="array" ref="G591">_xlfn.IFS(
D591&lt;=monetaryQ1, 1,
D591&lt;=monetaryQ2, 2,
D591&lt;=monetaryQ3, 3,
TRUE, 4)</f>
        <v>1</v>
      </c>
      <c r="H591" s="18" t="str">
        <f t="shared" si="48"/>
        <v>211</v>
      </c>
      <c r="I591" s="19">
        <f t="shared" si="49"/>
        <v>1.3333333333333333</v>
      </c>
      <c r="J591" s="7" t="str" cm="1">
        <f t="array" ref="J591">_xlfn.IFS(
I591&gt;=Best_Customers, Best_Customers_name,
I591&gt;=Loyal_Customers, Loyal_Customers_name,
I591&gt;=Average_Customers, Average_Customers_name,
TRUE, Lost_Customers_name)</f>
        <v>Lost Customers</v>
      </c>
    </row>
    <row r="592" spans="1:10" x14ac:dyDescent="0.25">
      <c r="A592" s="25" t="str">
        <v>CUST_0587</v>
      </c>
      <c r="B592" s="16">
        <f t="shared" si="45"/>
        <v>12</v>
      </c>
      <c r="C592" s="16">
        <f t="shared" si="46"/>
        <v>8</v>
      </c>
      <c r="D592" s="17">
        <f t="shared" si="47"/>
        <v>813.97</v>
      </c>
      <c r="E592" s="18" cm="1">
        <f t="array" ref="E592">_xlfn.IFS(
B592&lt;=recencyQ1, 4,
B592&lt;=recencyQ2, 3,
B592&lt;=recencyQ3, 2,
TRUE, 1
)</f>
        <v>4</v>
      </c>
      <c r="F592" s="18" cm="1">
        <f t="array" ref="F592">_xlfn.IFS(
C592&lt;=frequencyQ1, 1,
C592&lt;=frequencyQ2, 2,
C592&lt;=frequencyQ3, 3,
TRUE, 4)</f>
        <v>4</v>
      </c>
      <c r="G592" s="18" cm="1">
        <f t="array" ref="G592">_xlfn.IFS(
D592&lt;=monetaryQ1, 1,
D592&lt;=monetaryQ2, 2,
D592&lt;=monetaryQ3, 3,
TRUE, 4)</f>
        <v>4</v>
      </c>
      <c r="H592" s="18" t="str">
        <f t="shared" si="48"/>
        <v>444</v>
      </c>
      <c r="I592" s="19">
        <f t="shared" si="49"/>
        <v>4</v>
      </c>
      <c r="J592" s="7" t="str" cm="1">
        <f t="array" ref="J592">_xlfn.IFS(
I592&gt;=Best_Customers, Best_Customers_name,
I592&gt;=Loyal_Customers, Loyal_Customers_name,
I592&gt;=Average_Customers, Average_Customers_name,
TRUE, Lost_Customers_name)</f>
        <v>Best Customers</v>
      </c>
    </row>
    <row r="593" spans="1:10" x14ac:dyDescent="0.25">
      <c r="A593" s="25" t="str">
        <v>CUST_0588</v>
      </c>
      <c r="B593" s="16">
        <f t="shared" si="45"/>
        <v>81</v>
      </c>
      <c r="C593" s="16">
        <f t="shared" si="46"/>
        <v>4</v>
      </c>
      <c r="D593" s="17">
        <f t="shared" si="47"/>
        <v>392.30999999999995</v>
      </c>
      <c r="E593" s="18" cm="1">
        <f t="array" ref="E593">_xlfn.IFS(
B593&lt;=recencyQ1, 4,
B593&lt;=recencyQ2, 3,
B593&lt;=recencyQ3, 2,
TRUE, 1
)</f>
        <v>2</v>
      </c>
      <c r="F593" s="18" cm="1">
        <f t="array" ref="F593">_xlfn.IFS(
C593&lt;=frequencyQ1, 1,
C593&lt;=frequencyQ2, 2,
C593&lt;=frequencyQ3, 3,
TRUE, 4)</f>
        <v>2</v>
      </c>
      <c r="G593" s="18" cm="1">
        <f t="array" ref="G593">_xlfn.IFS(
D593&lt;=monetaryQ1, 1,
D593&lt;=monetaryQ2, 2,
D593&lt;=monetaryQ3, 3,
TRUE, 4)</f>
        <v>2</v>
      </c>
      <c r="H593" s="18" t="str">
        <f t="shared" si="48"/>
        <v>222</v>
      </c>
      <c r="I593" s="19">
        <f t="shared" si="49"/>
        <v>2</v>
      </c>
      <c r="J593" s="7" t="str" cm="1">
        <f t="array" ref="J593">_xlfn.IFS(
I593&gt;=Best_Customers, Best_Customers_name,
I593&gt;=Loyal_Customers, Loyal_Customers_name,
I593&gt;=Average_Customers, Average_Customers_name,
TRUE, Lost_Customers_name)</f>
        <v>Average Customers</v>
      </c>
    </row>
    <row r="594" spans="1:10" x14ac:dyDescent="0.25">
      <c r="A594" s="25" t="str">
        <v>CUST_0589</v>
      </c>
      <c r="B594" s="16">
        <f t="shared" si="45"/>
        <v>70</v>
      </c>
      <c r="C594" s="16">
        <f t="shared" si="46"/>
        <v>3</v>
      </c>
      <c r="D594" s="17">
        <f t="shared" si="47"/>
        <v>333.77</v>
      </c>
      <c r="E594" s="18" cm="1">
        <f t="array" ref="E594">_xlfn.IFS(
B594&lt;=recencyQ1, 4,
B594&lt;=recencyQ2, 3,
B594&lt;=recencyQ3, 2,
TRUE, 1
)</f>
        <v>2</v>
      </c>
      <c r="F594" s="18" cm="1">
        <f t="array" ref="F594">_xlfn.IFS(
C594&lt;=frequencyQ1, 1,
C594&lt;=frequencyQ2, 2,
C594&lt;=frequencyQ3, 3,
TRUE, 4)</f>
        <v>1</v>
      </c>
      <c r="G594" s="18" cm="1">
        <f t="array" ref="G594">_xlfn.IFS(
D594&lt;=monetaryQ1, 1,
D594&lt;=monetaryQ2, 2,
D594&lt;=monetaryQ3, 3,
TRUE, 4)</f>
        <v>2</v>
      </c>
      <c r="H594" s="18" t="str">
        <f t="shared" si="48"/>
        <v>212</v>
      </c>
      <c r="I594" s="19">
        <f t="shared" si="49"/>
        <v>1.6666666666666667</v>
      </c>
      <c r="J594" s="7" t="str" cm="1">
        <f t="array" ref="J594">_xlfn.IFS(
I594&gt;=Best_Customers, Best_Customers_name,
I594&gt;=Loyal_Customers, Loyal_Customers_name,
I594&gt;=Average_Customers, Average_Customers_name,
TRUE, Lost_Customers_name)</f>
        <v>Average Customers</v>
      </c>
    </row>
    <row r="595" spans="1:10" x14ac:dyDescent="0.25">
      <c r="A595" s="25" t="str">
        <v>CUST_0590</v>
      </c>
      <c r="B595" s="16">
        <f t="shared" si="45"/>
        <v>46</v>
      </c>
      <c r="C595" s="16">
        <f t="shared" si="46"/>
        <v>2</v>
      </c>
      <c r="D595" s="17">
        <f t="shared" si="47"/>
        <v>179.85000000000002</v>
      </c>
      <c r="E595" s="18" cm="1">
        <f t="array" ref="E595">_xlfn.IFS(
B595&lt;=recencyQ1, 4,
B595&lt;=recencyQ2, 3,
B595&lt;=recencyQ3, 2,
TRUE, 1
)</f>
        <v>3</v>
      </c>
      <c r="F595" s="18" cm="1">
        <f t="array" ref="F595">_xlfn.IFS(
C595&lt;=frequencyQ1, 1,
C595&lt;=frequencyQ2, 2,
C595&lt;=frequencyQ3, 3,
TRUE, 4)</f>
        <v>1</v>
      </c>
      <c r="G595" s="18" cm="1">
        <f t="array" ref="G595">_xlfn.IFS(
D595&lt;=monetaryQ1, 1,
D595&lt;=monetaryQ2, 2,
D595&lt;=monetaryQ3, 3,
TRUE, 4)</f>
        <v>1</v>
      </c>
      <c r="H595" s="18" t="str">
        <f t="shared" si="48"/>
        <v>311</v>
      </c>
      <c r="I595" s="19">
        <f t="shared" si="49"/>
        <v>1.6666666666666667</v>
      </c>
      <c r="J595" s="7" t="str" cm="1">
        <f t="array" ref="J595">_xlfn.IFS(
I595&gt;=Best_Customers, Best_Customers_name,
I595&gt;=Loyal_Customers, Loyal_Customers_name,
I595&gt;=Average_Customers, Average_Customers_name,
TRUE, Lost_Customers_name)</f>
        <v>Average Customers</v>
      </c>
    </row>
    <row r="596" spans="1:10" x14ac:dyDescent="0.25">
      <c r="A596" s="25" t="str">
        <v>CUST_0591</v>
      </c>
      <c r="B596" s="16">
        <f t="shared" si="45"/>
        <v>37</v>
      </c>
      <c r="C596" s="16">
        <f t="shared" si="46"/>
        <v>3</v>
      </c>
      <c r="D596" s="17">
        <f t="shared" si="47"/>
        <v>322.61</v>
      </c>
      <c r="E596" s="18" cm="1">
        <f t="array" ref="E596">_xlfn.IFS(
B596&lt;=recencyQ1, 4,
B596&lt;=recencyQ2, 3,
B596&lt;=recencyQ3, 2,
TRUE, 1
)</f>
        <v>3</v>
      </c>
      <c r="F596" s="18" cm="1">
        <f t="array" ref="F596">_xlfn.IFS(
C596&lt;=frequencyQ1, 1,
C596&lt;=frequencyQ2, 2,
C596&lt;=frequencyQ3, 3,
TRUE, 4)</f>
        <v>1</v>
      </c>
      <c r="G596" s="18" cm="1">
        <f t="array" ref="G596">_xlfn.IFS(
D596&lt;=monetaryQ1, 1,
D596&lt;=monetaryQ2, 2,
D596&lt;=monetaryQ3, 3,
TRUE, 4)</f>
        <v>2</v>
      </c>
      <c r="H596" s="18" t="str">
        <f t="shared" si="48"/>
        <v>312</v>
      </c>
      <c r="I596" s="19">
        <f t="shared" si="49"/>
        <v>2</v>
      </c>
      <c r="J596" s="7" t="str" cm="1">
        <f t="array" ref="J596">_xlfn.IFS(
I596&gt;=Best_Customers, Best_Customers_name,
I596&gt;=Loyal_Customers, Loyal_Customers_name,
I596&gt;=Average_Customers, Average_Customers_name,
TRUE, Lost_Customers_name)</f>
        <v>Average Customers</v>
      </c>
    </row>
    <row r="597" spans="1:10" x14ac:dyDescent="0.25">
      <c r="A597" s="25" t="str">
        <v>CUST_0592</v>
      </c>
      <c r="B597" s="16">
        <f t="shared" si="45"/>
        <v>27</v>
      </c>
      <c r="C597" s="16">
        <f t="shared" si="46"/>
        <v>4</v>
      </c>
      <c r="D597" s="17">
        <f t="shared" si="47"/>
        <v>324.25</v>
      </c>
      <c r="E597" s="18" cm="1">
        <f t="array" ref="E597">_xlfn.IFS(
B597&lt;=recencyQ1, 4,
B597&lt;=recencyQ2, 3,
B597&lt;=recencyQ3, 2,
TRUE, 1
)</f>
        <v>3</v>
      </c>
      <c r="F597" s="18" cm="1">
        <f t="array" ref="F597">_xlfn.IFS(
C597&lt;=frequencyQ1, 1,
C597&lt;=frequencyQ2, 2,
C597&lt;=frequencyQ3, 3,
TRUE, 4)</f>
        <v>2</v>
      </c>
      <c r="G597" s="18" cm="1">
        <f t="array" ref="G597">_xlfn.IFS(
D597&lt;=monetaryQ1, 1,
D597&lt;=monetaryQ2, 2,
D597&lt;=monetaryQ3, 3,
TRUE, 4)</f>
        <v>2</v>
      </c>
      <c r="H597" s="18" t="str">
        <f t="shared" si="48"/>
        <v>322</v>
      </c>
      <c r="I597" s="19">
        <f t="shared" si="49"/>
        <v>2.3333333333333335</v>
      </c>
      <c r="J597" s="7" t="str" cm="1">
        <f t="array" ref="J597">_xlfn.IFS(
I597&gt;=Best_Customers, Best_Customers_name,
I597&gt;=Loyal_Customers, Loyal_Customers_name,
I597&gt;=Average_Customers, Average_Customers_name,
TRUE, Lost_Customers_name)</f>
        <v>Average Customers</v>
      </c>
    </row>
    <row r="598" spans="1:10" x14ac:dyDescent="0.25">
      <c r="A598" s="25" t="str">
        <v>CUST_0593</v>
      </c>
      <c r="B598" s="16">
        <f t="shared" si="45"/>
        <v>14</v>
      </c>
      <c r="C598" s="16">
        <f t="shared" si="46"/>
        <v>8</v>
      </c>
      <c r="D598" s="17">
        <f t="shared" si="47"/>
        <v>868.83999999999992</v>
      </c>
      <c r="E598" s="18" cm="1">
        <f t="array" ref="E598">_xlfn.IFS(
B598&lt;=recencyQ1, 4,
B598&lt;=recencyQ2, 3,
B598&lt;=recencyQ3, 2,
TRUE, 1
)</f>
        <v>4</v>
      </c>
      <c r="F598" s="18" cm="1">
        <f t="array" ref="F598">_xlfn.IFS(
C598&lt;=frequencyQ1, 1,
C598&lt;=frequencyQ2, 2,
C598&lt;=frequencyQ3, 3,
TRUE, 4)</f>
        <v>4</v>
      </c>
      <c r="G598" s="18" cm="1">
        <f t="array" ref="G598">_xlfn.IFS(
D598&lt;=monetaryQ1, 1,
D598&lt;=monetaryQ2, 2,
D598&lt;=monetaryQ3, 3,
TRUE, 4)</f>
        <v>4</v>
      </c>
      <c r="H598" s="18" t="str">
        <f t="shared" si="48"/>
        <v>444</v>
      </c>
      <c r="I598" s="19">
        <f t="shared" si="49"/>
        <v>4</v>
      </c>
      <c r="J598" s="7" t="str" cm="1">
        <f t="array" ref="J598">_xlfn.IFS(
I598&gt;=Best_Customers, Best_Customers_name,
I598&gt;=Loyal_Customers, Loyal_Customers_name,
I598&gt;=Average_Customers, Average_Customers_name,
TRUE, Lost_Customers_name)</f>
        <v>Best Customers</v>
      </c>
    </row>
    <row r="599" spans="1:10" x14ac:dyDescent="0.25">
      <c r="A599" s="25" t="str">
        <v>CUST_0594</v>
      </c>
      <c r="B599" s="16">
        <f t="shared" si="45"/>
        <v>208</v>
      </c>
      <c r="C599" s="16">
        <f t="shared" si="46"/>
        <v>1</v>
      </c>
      <c r="D599" s="17">
        <f t="shared" si="47"/>
        <v>111.2</v>
      </c>
      <c r="E599" s="18" cm="1">
        <f t="array" ref="E599">_xlfn.IFS(
B599&lt;=recencyQ1, 4,
B599&lt;=recencyQ2, 3,
B599&lt;=recencyQ3, 2,
TRUE, 1
)</f>
        <v>1</v>
      </c>
      <c r="F599" s="18" cm="1">
        <f t="array" ref="F599">_xlfn.IFS(
C599&lt;=frequencyQ1, 1,
C599&lt;=frequencyQ2, 2,
C599&lt;=frequencyQ3, 3,
TRUE, 4)</f>
        <v>1</v>
      </c>
      <c r="G599" s="18" cm="1">
        <f t="array" ref="G599">_xlfn.IFS(
D599&lt;=monetaryQ1, 1,
D599&lt;=monetaryQ2, 2,
D599&lt;=monetaryQ3, 3,
TRUE, 4)</f>
        <v>1</v>
      </c>
      <c r="H599" s="18" t="str">
        <f t="shared" si="48"/>
        <v>111</v>
      </c>
      <c r="I599" s="19">
        <f t="shared" si="49"/>
        <v>1</v>
      </c>
      <c r="J599" s="7" t="str" cm="1">
        <f t="array" ref="J599">_xlfn.IFS(
I599&gt;=Best_Customers, Best_Customers_name,
I599&gt;=Loyal_Customers, Loyal_Customers_name,
I599&gt;=Average_Customers, Average_Customers_name,
TRUE, Lost_Customers_name)</f>
        <v>Lost Customers</v>
      </c>
    </row>
    <row r="600" spans="1:10" x14ac:dyDescent="0.25">
      <c r="A600" s="25" t="str">
        <v>CUST_0595</v>
      </c>
      <c r="B600" s="16">
        <f t="shared" si="45"/>
        <v>12</v>
      </c>
      <c r="C600" s="16">
        <f t="shared" si="46"/>
        <v>5</v>
      </c>
      <c r="D600" s="17">
        <f t="shared" si="47"/>
        <v>503.46000000000004</v>
      </c>
      <c r="E600" s="18" cm="1">
        <f t="array" ref="E600">_xlfn.IFS(
B600&lt;=recencyQ1, 4,
B600&lt;=recencyQ2, 3,
B600&lt;=recencyQ3, 2,
TRUE, 1
)</f>
        <v>4</v>
      </c>
      <c r="F600" s="18" cm="1">
        <f t="array" ref="F600">_xlfn.IFS(
C600&lt;=frequencyQ1, 1,
C600&lt;=frequencyQ2, 2,
C600&lt;=frequencyQ3, 3,
TRUE, 4)</f>
        <v>2</v>
      </c>
      <c r="G600" s="18" cm="1">
        <f t="array" ref="G600">_xlfn.IFS(
D600&lt;=monetaryQ1, 1,
D600&lt;=monetaryQ2, 2,
D600&lt;=monetaryQ3, 3,
TRUE, 4)</f>
        <v>3</v>
      </c>
      <c r="H600" s="18" t="str">
        <f t="shared" si="48"/>
        <v>423</v>
      </c>
      <c r="I600" s="19">
        <f t="shared" si="49"/>
        <v>3</v>
      </c>
      <c r="J600" s="7" t="str" cm="1">
        <f t="array" ref="J600">_xlfn.IFS(
I600&gt;=Best_Customers, Best_Customers_name,
I600&gt;=Loyal_Customers, Loyal_Customers_name,
I600&gt;=Average_Customers, Average_Customers_name,
TRUE, Lost_Customers_name)</f>
        <v>Loyal Customers</v>
      </c>
    </row>
    <row r="601" spans="1:10" x14ac:dyDescent="0.25">
      <c r="A601" s="25" t="str">
        <v>CUST_0596</v>
      </c>
      <c r="B601" s="16">
        <f t="shared" si="45"/>
        <v>51</v>
      </c>
      <c r="C601" s="16">
        <f t="shared" si="46"/>
        <v>2</v>
      </c>
      <c r="D601" s="17">
        <f t="shared" si="47"/>
        <v>264.08999999999997</v>
      </c>
      <c r="E601" s="18" cm="1">
        <f t="array" ref="E601">_xlfn.IFS(
B601&lt;=recencyQ1, 4,
B601&lt;=recencyQ2, 3,
B601&lt;=recencyQ3, 2,
TRUE, 1
)</f>
        <v>2</v>
      </c>
      <c r="F601" s="18" cm="1">
        <f t="array" ref="F601">_xlfn.IFS(
C601&lt;=frequencyQ1, 1,
C601&lt;=frequencyQ2, 2,
C601&lt;=frequencyQ3, 3,
TRUE, 4)</f>
        <v>1</v>
      </c>
      <c r="G601" s="18" cm="1">
        <f t="array" ref="G601">_xlfn.IFS(
D601&lt;=monetaryQ1, 1,
D601&lt;=monetaryQ2, 2,
D601&lt;=monetaryQ3, 3,
TRUE, 4)</f>
        <v>1</v>
      </c>
      <c r="H601" s="18" t="str">
        <f t="shared" si="48"/>
        <v>211</v>
      </c>
      <c r="I601" s="19">
        <f t="shared" si="49"/>
        <v>1.3333333333333333</v>
      </c>
      <c r="J601" s="7" t="str" cm="1">
        <f t="array" ref="J601">_xlfn.IFS(
I601&gt;=Best_Customers, Best_Customers_name,
I601&gt;=Loyal_Customers, Loyal_Customers_name,
I601&gt;=Average_Customers, Average_Customers_name,
TRUE, Lost_Customers_name)</f>
        <v>Lost Customers</v>
      </c>
    </row>
    <row r="602" spans="1:10" x14ac:dyDescent="0.25">
      <c r="A602" s="25" t="str">
        <v>CUST_0597</v>
      </c>
      <c r="B602" s="16">
        <f t="shared" si="45"/>
        <v>165</v>
      </c>
      <c r="C602" s="16">
        <f t="shared" si="46"/>
        <v>7</v>
      </c>
      <c r="D602" s="17">
        <f t="shared" si="47"/>
        <v>778.66000000000008</v>
      </c>
      <c r="E602" s="18" cm="1">
        <f t="array" ref="E602">_xlfn.IFS(
B602&lt;=recencyQ1, 4,
B602&lt;=recencyQ2, 3,
B602&lt;=recencyQ3, 2,
TRUE, 1
)</f>
        <v>1</v>
      </c>
      <c r="F602" s="18" cm="1">
        <f t="array" ref="F602">_xlfn.IFS(
C602&lt;=frequencyQ1, 1,
C602&lt;=frequencyQ2, 2,
C602&lt;=frequencyQ3, 3,
TRUE, 4)</f>
        <v>4</v>
      </c>
      <c r="G602" s="18" cm="1">
        <f t="array" ref="G602">_xlfn.IFS(
D602&lt;=monetaryQ1, 1,
D602&lt;=monetaryQ2, 2,
D602&lt;=monetaryQ3, 3,
TRUE, 4)</f>
        <v>4</v>
      </c>
      <c r="H602" s="18" t="str">
        <f t="shared" si="48"/>
        <v>144</v>
      </c>
      <c r="I602" s="19">
        <f t="shared" si="49"/>
        <v>3</v>
      </c>
      <c r="J602" s="7" t="str" cm="1">
        <f t="array" ref="J602">_xlfn.IFS(
I602&gt;=Best_Customers, Best_Customers_name,
I602&gt;=Loyal_Customers, Loyal_Customers_name,
I602&gt;=Average_Customers, Average_Customers_name,
TRUE, Lost_Customers_name)</f>
        <v>Loyal Customers</v>
      </c>
    </row>
    <row r="603" spans="1:10" x14ac:dyDescent="0.25">
      <c r="A603" s="25" t="str">
        <v>CUST_0598</v>
      </c>
      <c r="B603" s="16">
        <f t="shared" si="45"/>
        <v>286</v>
      </c>
      <c r="C603" s="16">
        <f t="shared" si="46"/>
        <v>3</v>
      </c>
      <c r="D603" s="17">
        <f t="shared" si="47"/>
        <v>320.52</v>
      </c>
      <c r="E603" s="18" cm="1">
        <f t="array" ref="E603">_xlfn.IFS(
B603&lt;=recencyQ1, 4,
B603&lt;=recencyQ2, 3,
B603&lt;=recencyQ3, 2,
TRUE, 1
)</f>
        <v>1</v>
      </c>
      <c r="F603" s="18" cm="1">
        <f t="array" ref="F603">_xlfn.IFS(
C603&lt;=frequencyQ1, 1,
C603&lt;=frequencyQ2, 2,
C603&lt;=frequencyQ3, 3,
TRUE, 4)</f>
        <v>1</v>
      </c>
      <c r="G603" s="18" cm="1">
        <f t="array" ref="G603">_xlfn.IFS(
D603&lt;=monetaryQ1, 1,
D603&lt;=monetaryQ2, 2,
D603&lt;=monetaryQ3, 3,
TRUE, 4)</f>
        <v>2</v>
      </c>
      <c r="H603" s="18" t="str">
        <f t="shared" si="48"/>
        <v>112</v>
      </c>
      <c r="I603" s="19">
        <f t="shared" si="49"/>
        <v>1.3333333333333333</v>
      </c>
      <c r="J603" s="7" t="str" cm="1">
        <f t="array" ref="J603">_xlfn.IFS(
I603&gt;=Best_Customers, Best_Customers_name,
I603&gt;=Loyal_Customers, Loyal_Customers_name,
I603&gt;=Average_Customers, Average_Customers_name,
TRUE, Lost_Customers_name)</f>
        <v>Lost Customers</v>
      </c>
    </row>
    <row r="604" spans="1:10" x14ac:dyDescent="0.25">
      <c r="A604" s="25" t="str">
        <v>CUST_0600</v>
      </c>
      <c r="B604" s="16">
        <f t="shared" si="45"/>
        <v>156</v>
      </c>
      <c r="C604" s="16">
        <f t="shared" si="46"/>
        <v>5</v>
      </c>
      <c r="D604" s="17">
        <f t="shared" si="47"/>
        <v>419.9</v>
      </c>
      <c r="E604" s="18" cm="1">
        <f t="array" ref="E604">_xlfn.IFS(
B604&lt;=recencyQ1, 4,
B604&lt;=recencyQ2, 3,
B604&lt;=recencyQ3, 2,
TRUE, 1
)</f>
        <v>1</v>
      </c>
      <c r="F604" s="18" cm="1">
        <f t="array" ref="F604">_xlfn.IFS(
C604&lt;=frequencyQ1, 1,
C604&lt;=frequencyQ2, 2,
C604&lt;=frequencyQ3, 3,
TRUE, 4)</f>
        <v>2</v>
      </c>
      <c r="G604" s="18" cm="1">
        <f t="array" ref="G604">_xlfn.IFS(
D604&lt;=monetaryQ1, 1,
D604&lt;=monetaryQ2, 2,
D604&lt;=monetaryQ3, 3,
TRUE, 4)</f>
        <v>2</v>
      </c>
      <c r="H604" s="18" t="str">
        <f t="shared" si="48"/>
        <v>122</v>
      </c>
      <c r="I604" s="19">
        <f t="shared" si="49"/>
        <v>1.6666666666666667</v>
      </c>
      <c r="J604" s="7" t="str" cm="1">
        <f t="array" ref="J604">_xlfn.IFS(
I604&gt;=Best_Customers, Best_Customers_name,
I604&gt;=Loyal_Customers, Loyal_Customers_name,
I604&gt;=Average_Customers, Average_Customers_name,
TRUE, Lost_Customers_name)</f>
        <v>Average Customers</v>
      </c>
    </row>
    <row r="605" spans="1:10" x14ac:dyDescent="0.25">
      <c r="A605" s="25" t="str">
        <v>CUST_0601</v>
      </c>
      <c r="B605" s="16">
        <f t="shared" si="45"/>
        <v>27</v>
      </c>
      <c r="C605" s="16">
        <f t="shared" si="46"/>
        <v>9</v>
      </c>
      <c r="D605" s="17">
        <f t="shared" si="47"/>
        <v>998.63</v>
      </c>
      <c r="E605" s="18" cm="1">
        <f t="array" ref="E605">_xlfn.IFS(
B605&lt;=recencyQ1, 4,
B605&lt;=recencyQ2, 3,
B605&lt;=recencyQ3, 2,
TRUE, 1
)</f>
        <v>3</v>
      </c>
      <c r="F605" s="18" cm="1">
        <f t="array" ref="F605">_xlfn.IFS(
C605&lt;=frequencyQ1, 1,
C605&lt;=frequencyQ2, 2,
C605&lt;=frequencyQ3, 3,
TRUE, 4)</f>
        <v>4</v>
      </c>
      <c r="G605" s="18" cm="1">
        <f t="array" ref="G605">_xlfn.IFS(
D605&lt;=monetaryQ1, 1,
D605&lt;=monetaryQ2, 2,
D605&lt;=monetaryQ3, 3,
TRUE, 4)</f>
        <v>4</v>
      </c>
      <c r="H605" s="18" t="str">
        <f t="shared" si="48"/>
        <v>344</v>
      </c>
      <c r="I605" s="19">
        <f t="shared" si="49"/>
        <v>3.6666666666666665</v>
      </c>
      <c r="J605" s="7" t="str" cm="1">
        <f t="array" ref="J605">_xlfn.IFS(
I605&gt;=Best_Customers, Best_Customers_name,
I605&gt;=Loyal_Customers, Loyal_Customers_name,
I605&gt;=Average_Customers, Average_Customers_name,
TRUE, Lost_Customers_name)</f>
        <v>Best Customers</v>
      </c>
    </row>
    <row r="606" spans="1:10" x14ac:dyDescent="0.25">
      <c r="A606" s="25" t="str">
        <v>CUST_0602</v>
      </c>
      <c r="B606" s="16">
        <f t="shared" si="45"/>
        <v>68</v>
      </c>
      <c r="C606" s="16">
        <f t="shared" si="46"/>
        <v>1</v>
      </c>
      <c r="D606" s="17">
        <f t="shared" si="47"/>
        <v>139.61000000000001</v>
      </c>
      <c r="E606" s="18" cm="1">
        <f t="array" ref="E606">_xlfn.IFS(
B606&lt;=recencyQ1, 4,
B606&lt;=recencyQ2, 3,
B606&lt;=recencyQ3, 2,
TRUE, 1
)</f>
        <v>2</v>
      </c>
      <c r="F606" s="18" cm="1">
        <f t="array" ref="F606">_xlfn.IFS(
C606&lt;=frequencyQ1, 1,
C606&lt;=frequencyQ2, 2,
C606&lt;=frequencyQ3, 3,
TRUE, 4)</f>
        <v>1</v>
      </c>
      <c r="G606" s="18" cm="1">
        <f t="array" ref="G606">_xlfn.IFS(
D606&lt;=monetaryQ1, 1,
D606&lt;=monetaryQ2, 2,
D606&lt;=monetaryQ3, 3,
TRUE, 4)</f>
        <v>1</v>
      </c>
      <c r="H606" s="18" t="str">
        <f t="shared" si="48"/>
        <v>211</v>
      </c>
      <c r="I606" s="19">
        <f t="shared" si="49"/>
        <v>1.3333333333333333</v>
      </c>
      <c r="J606" s="7" t="str" cm="1">
        <f t="array" ref="J606">_xlfn.IFS(
I606&gt;=Best_Customers, Best_Customers_name,
I606&gt;=Loyal_Customers, Loyal_Customers_name,
I606&gt;=Average_Customers, Average_Customers_name,
TRUE, Lost_Customers_name)</f>
        <v>Lost Customers</v>
      </c>
    </row>
    <row r="607" spans="1:10" x14ac:dyDescent="0.25">
      <c r="A607" s="25" t="str">
        <v>CUST_0603</v>
      </c>
      <c r="B607" s="16">
        <f t="shared" si="45"/>
        <v>16</v>
      </c>
      <c r="C607" s="16">
        <f t="shared" si="46"/>
        <v>8</v>
      </c>
      <c r="D607" s="17">
        <f t="shared" si="47"/>
        <v>906.95999999999981</v>
      </c>
      <c r="E607" s="18" cm="1">
        <f t="array" ref="E607">_xlfn.IFS(
B607&lt;=recencyQ1, 4,
B607&lt;=recencyQ2, 3,
B607&lt;=recencyQ3, 2,
TRUE, 1
)</f>
        <v>4</v>
      </c>
      <c r="F607" s="18" cm="1">
        <f t="array" ref="F607">_xlfn.IFS(
C607&lt;=frequencyQ1, 1,
C607&lt;=frequencyQ2, 2,
C607&lt;=frequencyQ3, 3,
TRUE, 4)</f>
        <v>4</v>
      </c>
      <c r="G607" s="18" cm="1">
        <f t="array" ref="G607">_xlfn.IFS(
D607&lt;=monetaryQ1, 1,
D607&lt;=monetaryQ2, 2,
D607&lt;=monetaryQ3, 3,
TRUE, 4)</f>
        <v>4</v>
      </c>
      <c r="H607" s="18" t="str">
        <f t="shared" si="48"/>
        <v>444</v>
      </c>
      <c r="I607" s="19">
        <f t="shared" si="49"/>
        <v>4</v>
      </c>
      <c r="J607" s="7" t="str" cm="1">
        <f t="array" ref="J607">_xlfn.IFS(
I607&gt;=Best_Customers, Best_Customers_name,
I607&gt;=Loyal_Customers, Loyal_Customers_name,
I607&gt;=Average_Customers, Average_Customers_name,
TRUE, Lost_Customers_name)</f>
        <v>Best Customers</v>
      </c>
    </row>
    <row r="608" spans="1:10" x14ac:dyDescent="0.25">
      <c r="A608" s="25" t="str">
        <v>CUST_0604</v>
      </c>
      <c r="B608" s="16">
        <f t="shared" si="45"/>
        <v>64</v>
      </c>
      <c r="C608" s="16">
        <f t="shared" si="46"/>
        <v>6</v>
      </c>
      <c r="D608" s="17">
        <f t="shared" si="47"/>
        <v>606.07999999999993</v>
      </c>
      <c r="E608" s="18" cm="1">
        <f t="array" ref="E608">_xlfn.IFS(
B608&lt;=recencyQ1, 4,
B608&lt;=recencyQ2, 3,
B608&lt;=recencyQ3, 2,
TRUE, 1
)</f>
        <v>2</v>
      </c>
      <c r="F608" s="18" cm="1">
        <f t="array" ref="F608">_xlfn.IFS(
C608&lt;=frequencyQ1, 1,
C608&lt;=frequencyQ2, 2,
C608&lt;=frequencyQ3, 3,
TRUE, 4)</f>
        <v>3</v>
      </c>
      <c r="G608" s="18" cm="1">
        <f t="array" ref="G608">_xlfn.IFS(
D608&lt;=monetaryQ1, 1,
D608&lt;=monetaryQ2, 2,
D608&lt;=monetaryQ3, 3,
TRUE, 4)</f>
        <v>3</v>
      </c>
      <c r="H608" s="18" t="str">
        <f t="shared" si="48"/>
        <v>233</v>
      </c>
      <c r="I608" s="19">
        <f t="shared" si="49"/>
        <v>2.6666666666666665</v>
      </c>
      <c r="J608" s="7" t="str" cm="1">
        <f t="array" ref="J608">_xlfn.IFS(
I608&gt;=Best_Customers, Best_Customers_name,
I608&gt;=Loyal_Customers, Loyal_Customers_name,
I608&gt;=Average_Customers, Average_Customers_name,
TRUE, Lost_Customers_name)</f>
        <v>Loyal Customers</v>
      </c>
    </row>
    <row r="609" spans="1:10" x14ac:dyDescent="0.25">
      <c r="A609" s="25" t="str">
        <v>CUST_0605</v>
      </c>
      <c r="B609" s="16">
        <f t="shared" si="45"/>
        <v>30</v>
      </c>
      <c r="C609" s="16">
        <f t="shared" si="46"/>
        <v>2</v>
      </c>
      <c r="D609" s="17">
        <f t="shared" si="47"/>
        <v>147.85</v>
      </c>
      <c r="E609" s="18" cm="1">
        <f t="array" ref="E609">_xlfn.IFS(
B609&lt;=recencyQ1, 4,
B609&lt;=recencyQ2, 3,
B609&lt;=recencyQ3, 2,
TRUE, 1
)</f>
        <v>3</v>
      </c>
      <c r="F609" s="18" cm="1">
        <f t="array" ref="F609">_xlfn.IFS(
C609&lt;=frequencyQ1, 1,
C609&lt;=frequencyQ2, 2,
C609&lt;=frequencyQ3, 3,
TRUE, 4)</f>
        <v>1</v>
      </c>
      <c r="G609" s="18" cm="1">
        <f t="array" ref="G609">_xlfn.IFS(
D609&lt;=monetaryQ1, 1,
D609&lt;=monetaryQ2, 2,
D609&lt;=monetaryQ3, 3,
TRUE, 4)</f>
        <v>1</v>
      </c>
      <c r="H609" s="18" t="str">
        <f t="shared" si="48"/>
        <v>311</v>
      </c>
      <c r="I609" s="19">
        <f t="shared" si="49"/>
        <v>1.6666666666666667</v>
      </c>
      <c r="J609" s="7" t="str" cm="1">
        <f t="array" ref="J609">_xlfn.IFS(
I609&gt;=Best_Customers, Best_Customers_name,
I609&gt;=Loyal_Customers, Loyal_Customers_name,
I609&gt;=Average_Customers, Average_Customers_name,
TRUE, Lost_Customers_name)</f>
        <v>Average Customers</v>
      </c>
    </row>
    <row r="610" spans="1:10" x14ac:dyDescent="0.25">
      <c r="A610" s="25" t="str">
        <v>CUST_0606</v>
      </c>
      <c r="B610" s="16">
        <f t="shared" si="45"/>
        <v>7</v>
      </c>
      <c r="C610" s="16">
        <f t="shared" si="46"/>
        <v>5</v>
      </c>
      <c r="D610" s="17">
        <f t="shared" si="47"/>
        <v>539.54999999999995</v>
      </c>
      <c r="E610" s="18" cm="1">
        <f t="array" ref="E610">_xlfn.IFS(
B610&lt;=recencyQ1, 4,
B610&lt;=recencyQ2, 3,
B610&lt;=recencyQ3, 2,
TRUE, 1
)</f>
        <v>4</v>
      </c>
      <c r="F610" s="18" cm="1">
        <f t="array" ref="F610">_xlfn.IFS(
C610&lt;=frequencyQ1, 1,
C610&lt;=frequencyQ2, 2,
C610&lt;=frequencyQ3, 3,
TRUE, 4)</f>
        <v>2</v>
      </c>
      <c r="G610" s="18" cm="1">
        <f t="array" ref="G610">_xlfn.IFS(
D610&lt;=monetaryQ1, 1,
D610&lt;=monetaryQ2, 2,
D610&lt;=monetaryQ3, 3,
TRUE, 4)</f>
        <v>3</v>
      </c>
      <c r="H610" s="18" t="str">
        <f t="shared" si="48"/>
        <v>423</v>
      </c>
      <c r="I610" s="19">
        <f t="shared" si="49"/>
        <v>3</v>
      </c>
      <c r="J610" s="7" t="str" cm="1">
        <f t="array" ref="J610">_xlfn.IFS(
I610&gt;=Best_Customers, Best_Customers_name,
I610&gt;=Loyal_Customers, Loyal_Customers_name,
I610&gt;=Average_Customers, Average_Customers_name,
TRUE, Lost_Customers_name)</f>
        <v>Loyal Customers</v>
      </c>
    </row>
    <row r="611" spans="1:10" x14ac:dyDescent="0.25">
      <c r="A611" s="25" t="str">
        <v>CUST_0607</v>
      </c>
      <c r="B611" s="16">
        <f t="shared" si="45"/>
        <v>27</v>
      </c>
      <c r="C611" s="16">
        <f t="shared" si="46"/>
        <v>5</v>
      </c>
      <c r="D611" s="17">
        <f t="shared" si="47"/>
        <v>524.81000000000006</v>
      </c>
      <c r="E611" s="18" cm="1">
        <f t="array" ref="E611">_xlfn.IFS(
B611&lt;=recencyQ1, 4,
B611&lt;=recencyQ2, 3,
B611&lt;=recencyQ3, 2,
TRUE, 1
)</f>
        <v>3</v>
      </c>
      <c r="F611" s="18" cm="1">
        <f t="array" ref="F611">_xlfn.IFS(
C611&lt;=frequencyQ1, 1,
C611&lt;=frequencyQ2, 2,
C611&lt;=frequencyQ3, 3,
TRUE, 4)</f>
        <v>2</v>
      </c>
      <c r="G611" s="18" cm="1">
        <f t="array" ref="G611">_xlfn.IFS(
D611&lt;=monetaryQ1, 1,
D611&lt;=monetaryQ2, 2,
D611&lt;=monetaryQ3, 3,
TRUE, 4)</f>
        <v>3</v>
      </c>
      <c r="H611" s="18" t="str">
        <f t="shared" si="48"/>
        <v>323</v>
      </c>
      <c r="I611" s="19">
        <f t="shared" si="49"/>
        <v>2.6666666666666665</v>
      </c>
      <c r="J611" s="7" t="str" cm="1">
        <f t="array" ref="J611">_xlfn.IFS(
I611&gt;=Best_Customers, Best_Customers_name,
I611&gt;=Loyal_Customers, Loyal_Customers_name,
I611&gt;=Average_Customers, Average_Customers_name,
TRUE, Lost_Customers_name)</f>
        <v>Loyal Customers</v>
      </c>
    </row>
    <row r="612" spans="1:10" x14ac:dyDescent="0.25">
      <c r="A612" s="25" t="str">
        <v>CUST_0608</v>
      </c>
      <c r="B612" s="16">
        <f t="shared" si="45"/>
        <v>58</v>
      </c>
      <c r="C612" s="16">
        <f t="shared" si="46"/>
        <v>4</v>
      </c>
      <c r="D612" s="17">
        <f t="shared" si="47"/>
        <v>321.75</v>
      </c>
      <c r="E612" s="18" cm="1">
        <f t="array" ref="E612">_xlfn.IFS(
B612&lt;=recencyQ1, 4,
B612&lt;=recencyQ2, 3,
B612&lt;=recencyQ3, 2,
TRUE, 1
)</f>
        <v>2</v>
      </c>
      <c r="F612" s="18" cm="1">
        <f t="array" ref="F612">_xlfn.IFS(
C612&lt;=frequencyQ1, 1,
C612&lt;=frequencyQ2, 2,
C612&lt;=frequencyQ3, 3,
TRUE, 4)</f>
        <v>2</v>
      </c>
      <c r="G612" s="18" cm="1">
        <f t="array" ref="G612">_xlfn.IFS(
D612&lt;=monetaryQ1, 1,
D612&lt;=monetaryQ2, 2,
D612&lt;=monetaryQ3, 3,
TRUE, 4)</f>
        <v>2</v>
      </c>
      <c r="H612" s="18" t="str">
        <f t="shared" si="48"/>
        <v>222</v>
      </c>
      <c r="I612" s="19">
        <f t="shared" si="49"/>
        <v>2</v>
      </c>
      <c r="J612" s="7" t="str" cm="1">
        <f t="array" ref="J612">_xlfn.IFS(
I612&gt;=Best_Customers, Best_Customers_name,
I612&gt;=Loyal_Customers, Loyal_Customers_name,
I612&gt;=Average_Customers, Average_Customers_name,
TRUE, Lost_Customers_name)</f>
        <v>Average Customers</v>
      </c>
    </row>
    <row r="613" spans="1:10" x14ac:dyDescent="0.25">
      <c r="A613" s="25" t="str">
        <v>CUST_0609</v>
      </c>
      <c r="B613" s="16">
        <f t="shared" si="45"/>
        <v>17</v>
      </c>
      <c r="C613" s="16">
        <f t="shared" si="46"/>
        <v>8</v>
      </c>
      <c r="D613" s="17">
        <f t="shared" si="47"/>
        <v>772.68999999999994</v>
      </c>
      <c r="E613" s="18" cm="1">
        <f t="array" ref="E613">_xlfn.IFS(
B613&lt;=recencyQ1, 4,
B613&lt;=recencyQ2, 3,
B613&lt;=recencyQ3, 2,
TRUE, 1
)</f>
        <v>4</v>
      </c>
      <c r="F613" s="18" cm="1">
        <f t="array" ref="F613">_xlfn.IFS(
C613&lt;=frequencyQ1, 1,
C613&lt;=frequencyQ2, 2,
C613&lt;=frequencyQ3, 3,
TRUE, 4)</f>
        <v>4</v>
      </c>
      <c r="G613" s="18" cm="1">
        <f t="array" ref="G613">_xlfn.IFS(
D613&lt;=monetaryQ1, 1,
D613&lt;=monetaryQ2, 2,
D613&lt;=monetaryQ3, 3,
TRUE, 4)</f>
        <v>4</v>
      </c>
      <c r="H613" s="18" t="str">
        <f t="shared" si="48"/>
        <v>444</v>
      </c>
      <c r="I613" s="19">
        <f t="shared" si="49"/>
        <v>4</v>
      </c>
      <c r="J613" s="7" t="str" cm="1">
        <f t="array" ref="J613">_xlfn.IFS(
I613&gt;=Best_Customers, Best_Customers_name,
I613&gt;=Loyal_Customers, Loyal_Customers_name,
I613&gt;=Average_Customers, Average_Customers_name,
TRUE, Lost_Customers_name)</f>
        <v>Best Customers</v>
      </c>
    </row>
    <row r="614" spans="1:10" x14ac:dyDescent="0.25">
      <c r="A614" s="25" t="str">
        <v>CUST_0610</v>
      </c>
      <c r="B614" s="16">
        <f t="shared" si="45"/>
        <v>170</v>
      </c>
      <c r="C614" s="16">
        <f t="shared" si="46"/>
        <v>3</v>
      </c>
      <c r="D614" s="17">
        <f t="shared" si="47"/>
        <v>335.13</v>
      </c>
      <c r="E614" s="18" cm="1">
        <f t="array" ref="E614">_xlfn.IFS(
B614&lt;=recencyQ1, 4,
B614&lt;=recencyQ2, 3,
B614&lt;=recencyQ3, 2,
TRUE, 1
)</f>
        <v>1</v>
      </c>
      <c r="F614" s="18" cm="1">
        <f t="array" ref="F614">_xlfn.IFS(
C614&lt;=frequencyQ1, 1,
C614&lt;=frequencyQ2, 2,
C614&lt;=frequencyQ3, 3,
TRUE, 4)</f>
        <v>1</v>
      </c>
      <c r="G614" s="18" cm="1">
        <f t="array" ref="G614">_xlfn.IFS(
D614&lt;=monetaryQ1, 1,
D614&lt;=monetaryQ2, 2,
D614&lt;=monetaryQ3, 3,
TRUE, 4)</f>
        <v>2</v>
      </c>
      <c r="H614" s="18" t="str">
        <f t="shared" si="48"/>
        <v>112</v>
      </c>
      <c r="I614" s="19">
        <f t="shared" si="49"/>
        <v>1.3333333333333333</v>
      </c>
      <c r="J614" s="7" t="str" cm="1">
        <f t="array" ref="J614">_xlfn.IFS(
I614&gt;=Best_Customers, Best_Customers_name,
I614&gt;=Loyal_Customers, Loyal_Customers_name,
I614&gt;=Average_Customers, Average_Customers_name,
TRUE, Lost_Customers_name)</f>
        <v>Lost Customers</v>
      </c>
    </row>
    <row r="615" spans="1:10" x14ac:dyDescent="0.25">
      <c r="A615" s="25" t="str">
        <v>CUST_0611</v>
      </c>
      <c r="B615" s="16">
        <f t="shared" si="45"/>
        <v>9</v>
      </c>
      <c r="C615" s="16">
        <f t="shared" si="46"/>
        <v>6</v>
      </c>
      <c r="D615" s="17">
        <f t="shared" si="47"/>
        <v>370.53000000000003</v>
      </c>
      <c r="E615" s="18" cm="1">
        <f t="array" ref="E615">_xlfn.IFS(
B615&lt;=recencyQ1, 4,
B615&lt;=recencyQ2, 3,
B615&lt;=recencyQ3, 2,
TRUE, 1
)</f>
        <v>4</v>
      </c>
      <c r="F615" s="18" cm="1">
        <f t="array" ref="F615">_xlfn.IFS(
C615&lt;=frequencyQ1, 1,
C615&lt;=frequencyQ2, 2,
C615&lt;=frequencyQ3, 3,
TRUE, 4)</f>
        <v>3</v>
      </c>
      <c r="G615" s="18" cm="1">
        <f t="array" ref="G615">_xlfn.IFS(
D615&lt;=monetaryQ1, 1,
D615&lt;=monetaryQ2, 2,
D615&lt;=monetaryQ3, 3,
TRUE, 4)</f>
        <v>2</v>
      </c>
      <c r="H615" s="18" t="str">
        <f t="shared" si="48"/>
        <v>432</v>
      </c>
      <c r="I615" s="19">
        <f t="shared" si="49"/>
        <v>3</v>
      </c>
      <c r="J615" s="7" t="str" cm="1">
        <f t="array" ref="J615">_xlfn.IFS(
I615&gt;=Best_Customers, Best_Customers_name,
I615&gt;=Loyal_Customers, Loyal_Customers_name,
I615&gt;=Average_Customers, Average_Customers_name,
TRUE, Lost_Customers_name)</f>
        <v>Loyal Customers</v>
      </c>
    </row>
    <row r="616" spans="1:10" x14ac:dyDescent="0.25">
      <c r="A616" s="25" t="str">
        <v>CUST_0612</v>
      </c>
      <c r="B616" s="16">
        <f t="shared" si="45"/>
        <v>65</v>
      </c>
      <c r="C616" s="16">
        <f t="shared" si="46"/>
        <v>11</v>
      </c>
      <c r="D616" s="17">
        <f t="shared" si="47"/>
        <v>991.4</v>
      </c>
      <c r="E616" s="18" cm="1">
        <f t="array" ref="E616">_xlfn.IFS(
B616&lt;=recencyQ1, 4,
B616&lt;=recencyQ2, 3,
B616&lt;=recencyQ3, 2,
TRUE, 1
)</f>
        <v>2</v>
      </c>
      <c r="F616" s="18" cm="1">
        <f t="array" ref="F616">_xlfn.IFS(
C616&lt;=frequencyQ1, 1,
C616&lt;=frequencyQ2, 2,
C616&lt;=frequencyQ3, 3,
TRUE, 4)</f>
        <v>4</v>
      </c>
      <c r="G616" s="18" cm="1">
        <f t="array" ref="G616">_xlfn.IFS(
D616&lt;=monetaryQ1, 1,
D616&lt;=monetaryQ2, 2,
D616&lt;=monetaryQ3, 3,
TRUE, 4)</f>
        <v>4</v>
      </c>
      <c r="H616" s="18" t="str">
        <f t="shared" si="48"/>
        <v>244</v>
      </c>
      <c r="I616" s="19">
        <f t="shared" si="49"/>
        <v>3.3333333333333335</v>
      </c>
      <c r="J616" s="7" t="str" cm="1">
        <f t="array" ref="J616">_xlfn.IFS(
I616&gt;=Best_Customers, Best_Customers_name,
I616&gt;=Loyal_Customers, Loyal_Customers_name,
I616&gt;=Average_Customers, Average_Customers_name,
TRUE, Lost_Customers_name)</f>
        <v>Loyal Customers</v>
      </c>
    </row>
    <row r="617" spans="1:10" x14ac:dyDescent="0.25">
      <c r="A617" s="25" t="str">
        <v>CUST_0613</v>
      </c>
      <c r="B617" s="16">
        <f t="shared" si="45"/>
        <v>170</v>
      </c>
      <c r="C617" s="16">
        <f t="shared" si="46"/>
        <v>3</v>
      </c>
      <c r="D617" s="17">
        <f t="shared" si="47"/>
        <v>361.59000000000003</v>
      </c>
      <c r="E617" s="18" cm="1">
        <f t="array" ref="E617">_xlfn.IFS(
B617&lt;=recencyQ1, 4,
B617&lt;=recencyQ2, 3,
B617&lt;=recencyQ3, 2,
TRUE, 1
)</f>
        <v>1</v>
      </c>
      <c r="F617" s="18" cm="1">
        <f t="array" ref="F617">_xlfn.IFS(
C617&lt;=frequencyQ1, 1,
C617&lt;=frequencyQ2, 2,
C617&lt;=frequencyQ3, 3,
TRUE, 4)</f>
        <v>1</v>
      </c>
      <c r="G617" s="18" cm="1">
        <f t="array" ref="G617">_xlfn.IFS(
D617&lt;=monetaryQ1, 1,
D617&lt;=monetaryQ2, 2,
D617&lt;=monetaryQ3, 3,
TRUE, 4)</f>
        <v>2</v>
      </c>
      <c r="H617" s="18" t="str">
        <f t="shared" si="48"/>
        <v>112</v>
      </c>
      <c r="I617" s="19">
        <f t="shared" si="49"/>
        <v>1.3333333333333333</v>
      </c>
      <c r="J617" s="7" t="str" cm="1">
        <f t="array" ref="J617">_xlfn.IFS(
I617&gt;=Best_Customers, Best_Customers_name,
I617&gt;=Loyal_Customers, Loyal_Customers_name,
I617&gt;=Average_Customers, Average_Customers_name,
TRUE, Lost_Customers_name)</f>
        <v>Lost Customers</v>
      </c>
    </row>
    <row r="618" spans="1:10" x14ac:dyDescent="0.25">
      <c r="A618" s="25" t="str">
        <v>CUST_0614</v>
      </c>
      <c r="B618" s="16">
        <f t="shared" si="45"/>
        <v>147</v>
      </c>
      <c r="C618" s="16">
        <f t="shared" si="46"/>
        <v>3</v>
      </c>
      <c r="D618" s="17">
        <f t="shared" si="47"/>
        <v>287.77999999999997</v>
      </c>
      <c r="E618" s="18" cm="1">
        <f t="array" ref="E618">_xlfn.IFS(
B618&lt;=recencyQ1, 4,
B618&lt;=recencyQ2, 3,
B618&lt;=recencyQ3, 2,
TRUE, 1
)</f>
        <v>1</v>
      </c>
      <c r="F618" s="18" cm="1">
        <f t="array" ref="F618">_xlfn.IFS(
C618&lt;=frequencyQ1, 1,
C618&lt;=frequencyQ2, 2,
C618&lt;=frequencyQ3, 3,
TRUE, 4)</f>
        <v>1</v>
      </c>
      <c r="G618" s="18" cm="1">
        <f t="array" ref="G618">_xlfn.IFS(
D618&lt;=monetaryQ1, 1,
D618&lt;=monetaryQ2, 2,
D618&lt;=monetaryQ3, 3,
TRUE, 4)</f>
        <v>1</v>
      </c>
      <c r="H618" s="18" t="str">
        <f t="shared" si="48"/>
        <v>111</v>
      </c>
      <c r="I618" s="19">
        <f t="shared" si="49"/>
        <v>1</v>
      </c>
      <c r="J618" s="7" t="str" cm="1">
        <f t="array" ref="J618">_xlfn.IFS(
I618&gt;=Best_Customers, Best_Customers_name,
I618&gt;=Loyal_Customers, Loyal_Customers_name,
I618&gt;=Average_Customers, Average_Customers_name,
TRUE, Lost_Customers_name)</f>
        <v>Lost Customers</v>
      </c>
    </row>
    <row r="619" spans="1:10" x14ac:dyDescent="0.25">
      <c r="A619" s="25" t="str">
        <v>CUST_0615</v>
      </c>
      <c r="B619" s="16">
        <f t="shared" si="45"/>
        <v>17</v>
      </c>
      <c r="C619" s="16">
        <f t="shared" si="46"/>
        <v>5</v>
      </c>
      <c r="D619" s="17">
        <f t="shared" si="47"/>
        <v>472.71</v>
      </c>
      <c r="E619" s="18" cm="1">
        <f t="array" ref="E619">_xlfn.IFS(
B619&lt;=recencyQ1, 4,
B619&lt;=recencyQ2, 3,
B619&lt;=recencyQ3, 2,
TRUE, 1
)</f>
        <v>4</v>
      </c>
      <c r="F619" s="18" cm="1">
        <f t="array" ref="F619">_xlfn.IFS(
C619&lt;=frequencyQ1, 1,
C619&lt;=frequencyQ2, 2,
C619&lt;=frequencyQ3, 3,
TRUE, 4)</f>
        <v>2</v>
      </c>
      <c r="G619" s="18" cm="1">
        <f t="array" ref="G619">_xlfn.IFS(
D619&lt;=monetaryQ1, 1,
D619&lt;=monetaryQ2, 2,
D619&lt;=monetaryQ3, 3,
TRUE, 4)</f>
        <v>2</v>
      </c>
      <c r="H619" s="18" t="str">
        <f t="shared" si="48"/>
        <v>422</v>
      </c>
      <c r="I619" s="19">
        <f t="shared" si="49"/>
        <v>2.6666666666666665</v>
      </c>
      <c r="J619" s="7" t="str" cm="1">
        <f t="array" ref="J619">_xlfn.IFS(
I619&gt;=Best_Customers, Best_Customers_name,
I619&gt;=Loyal_Customers, Loyal_Customers_name,
I619&gt;=Average_Customers, Average_Customers_name,
TRUE, Lost_Customers_name)</f>
        <v>Loyal Customers</v>
      </c>
    </row>
    <row r="620" spans="1:10" x14ac:dyDescent="0.25">
      <c r="A620" s="25" t="str">
        <v>CUST_0616</v>
      </c>
      <c r="B620" s="16">
        <f t="shared" si="45"/>
        <v>17</v>
      </c>
      <c r="C620" s="16">
        <f t="shared" si="46"/>
        <v>4</v>
      </c>
      <c r="D620" s="17">
        <f t="shared" si="47"/>
        <v>383.41999999999996</v>
      </c>
      <c r="E620" s="18" cm="1">
        <f t="array" ref="E620">_xlfn.IFS(
B620&lt;=recencyQ1, 4,
B620&lt;=recencyQ2, 3,
B620&lt;=recencyQ3, 2,
TRUE, 1
)</f>
        <v>4</v>
      </c>
      <c r="F620" s="18" cm="1">
        <f t="array" ref="F620">_xlfn.IFS(
C620&lt;=frequencyQ1, 1,
C620&lt;=frequencyQ2, 2,
C620&lt;=frequencyQ3, 3,
TRUE, 4)</f>
        <v>2</v>
      </c>
      <c r="G620" s="18" cm="1">
        <f t="array" ref="G620">_xlfn.IFS(
D620&lt;=monetaryQ1, 1,
D620&lt;=monetaryQ2, 2,
D620&lt;=monetaryQ3, 3,
TRUE, 4)</f>
        <v>2</v>
      </c>
      <c r="H620" s="18" t="str">
        <f t="shared" si="48"/>
        <v>422</v>
      </c>
      <c r="I620" s="19">
        <f t="shared" si="49"/>
        <v>2.6666666666666665</v>
      </c>
      <c r="J620" s="7" t="str" cm="1">
        <f t="array" ref="J620">_xlfn.IFS(
I620&gt;=Best_Customers, Best_Customers_name,
I620&gt;=Loyal_Customers, Loyal_Customers_name,
I620&gt;=Average_Customers, Average_Customers_name,
TRUE, Lost_Customers_name)</f>
        <v>Loyal Customers</v>
      </c>
    </row>
    <row r="621" spans="1:10" x14ac:dyDescent="0.25">
      <c r="A621" s="25" t="str">
        <v>CUST_0617</v>
      </c>
      <c r="B621" s="16">
        <f t="shared" si="45"/>
        <v>4</v>
      </c>
      <c r="C621" s="16">
        <f t="shared" si="46"/>
        <v>4</v>
      </c>
      <c r="D621" s="17">
        <f t="shared" si="47"/>
        <v>443.39</v>
      </c>
      <c r="E621" s="18" cm="1">
        <f t="array" ref="E621">_xlfn.IFS(
B621&lt;=recencyQ1, 4,
B621&lt;=recencyQ2, 3,
B621&lt;=recencyQ3, 2,
TRUE, 1
)</f>
        <v>4</v>
      </c>
      <c r="F621" s="18" cm="1">
        <f t="array" ref="F621">_xlfn.IFS(
C621&lt;=frequencyQ1, 1,
C621&lt;=frequencyQ2, 2,
C621&lt;=frequencyQ3, 3,
TRUE, 4)</f>
        <v>2</v>
      </c>
      <c r="G621" s="18" cm="1">
        <f t="array" ref="G621">_xlfn.IFS(
D621&lt;=monetaryQ1, 1,
D621&lt;=monetaryQ2, 2,
D621&lt;=monetaryQ3, 3,
TRUE, 4)</f>
        <v>2</v>
      </c>
      <c r="H621" s="18" t="str">
        <f t="shared" si="48"/>
        <v>422</v>
      </c>
      <c r="I621" s="19">
        <f t="shared" si="49"/>
        <v>2.6666666666666665</v>
      </c>
      <c r="J621" s="7" t="str" cm="1">
        <f t="array" ref="J621">_xlfn.IFS(
I621&gt;=Best_Customers, Best_Customers_name,
I621&gt;=Loyal_Customers, Loyal_Customers_name,
I621&gt;=Average_Customers, Average_Customers_name,
TRUE, Lost_Customers_name)</f>
        <v>Loyal Customers</v>
      </c>
    </row>
    <row r="622" spans="1:10" x14ac:dyDescent="0.25">
      <c r="A622" s="25" t="str">
        <v>CUST_0618</v>
      </c>
      <c r="B622" s="16">
        <f t="shared" si="45"/>
        <v>21</v>
      </c>
      <c r="C622" s="16">
        <f t="shared" si="46"/>
        <v>4</v>
      </c>
      <c r="D622" s="17">
        <f t="shared" si="47"/>
        <v>411.96</v>
      </c>
      <c r="E622" s="18" cm="1">
        <f t="array" ref="E622">_xlfn.IFS(
B622&lt;=recencyQ1, 4,
B622&lt;=recencyQ2, 3,
B622&lt;=recencyQ3, 2,
TRUE, 1
)</f>
        <v>3</v>
      </c>
      <c r="F622" s="18" cm="1">
        <f t="array" ref="F622">_xlfn.IFS(
C622&lt;=frequencyQ1, 1,
C622&lt;=frequencyQ2, 2,
C622&lt;=frequencyQ3, 3,
TRUE, 4)</f>
        <v>2</v>
      </c>
      <c r="G622" s="18" cm="1">
        <f t="array" ref="G622">_xlfn.IFS(
D622&lt;=monetaryQ1, 1,
D622&lt;=monetaryQ2, 2,
D622&lt;=monetaryQ3, 3,
TRUE, 4)</f>
        <v>2</v>
      </c>
      <c r="H622" s="18" t="str">
        <f t="shared" si="48"/>
        <v>322</v>
      </c>
      <c r="I622" s="19">
        <f t="shared" si="49"/>
        <v>2.3333333333333335</v>
      </c>
      <c r="J622" s="7" t="str" cm="1">
        <f t="array" ref="J622">_xlfn.IFS(
I622&gt;=Best_Customers, Best_Customers_name,
I622&gt;=Loyal_Customers, Loyal_Customers_name,
I622&gt;=Average_Customers, Average_Customers_name,
TRUE, Lost_Customers_name)</f>
        <v>Average Customers</v>
      </c>
    </row>
    <row r="623" spans="1:10" x14ac:dyDescent="0.25">
      <c r="A623" s="25" t="str">
        <v>CUST_0619</v>
      </c>
      <c r="B623" s="16">
        <f t="shared" si="45"/>
        <v>91</v>
      </c>
      <c r="C623" s="16">
        <f t="shared" si="46"/>
        <v>7</v>
      </c>
      <c r="D623" s="17">
        <f t="shared" si="47"/>
        <v>790.53</v>
      </c>
      <c r="E623" s="18" cm="1">
        <f t="array" ref="E623">_xlfn.IFS(
B623&lt;=recencyQ1, 4,
B623&lt;=recencyQ2, 3,
B623&lt;=recencyQ3, 2,
TRUE, 1
)</f>
        <v>2</v>
      </c>
      <c r="F623" s="18" cm="1">
        <f t="array" ref="F623">_xlfn.IFS(
C623&lt;=frequencyQ1, 1,
C623&lt;=frequencyQ2, 2,
C623&lt;=frequencyQ3, 3,
TRUE, 4)</f>
        <v>4</v>
      </c>
      <c r="G623" s="18" cm="1">
        <f t="array" ref="G623">_xlfn.IFS(
D623&lt;=monetaryQ1, 1,
D623&lt;=monetaryQ2, 2,
D623&lt;=monetaryQ3, 3,
TRUE, 4)</f>
        <v>4</v>
      </c>
      <c r="H623" s="18" t="str">
        <f t="shared" si="48"/>
        <v>244</v>
      </c>
      <c r="I623" s="19">
        <f t="shared" si="49"/>
        <v>3.3333333333333335</v>
      </c>
      <c r="J623" s="7" t="str" cm="1">
        <f t="array" ref="J623">_xlfn.IFS(
I623&gt;=Best_Customers, Best_Customers_name,
I623&gt;=Loyal_Customers, Loyal_Customers_name,
I623&gt;=Average_Customers, Average_Customers_name,
TRUE, Lost_Customers_name)</f>
        <v>Loyal Customers</v>
      </c>
    </row>
    <row r="624" spans="1:10" x14ac:dyDescent="0.25">
      <c r="A624" s="25" t="str">
        <v>CUST_0620</v>
      </c>
      <c r="B624" s="16">
        <f t="shared" si="45"/>
        <v>287</v>
      </c>
      <c r="C624" s="16">
        <f t="shared" si="46"/>
        <v>3</v>
      </c>
      <c r="D624" s="17">
        <f t="shared" si="47"/>
        <v>361.72</v>
      </c>
      <c r="E624" s="18" cm="1">
        <f t="array" ref="E624">_xlfn.IFS(
B624&lt;=recencyQ1, 4,
B624&lt;=recencyQ2, 3,
B624&lt;=recencyQ3, 2,
TRUE, 1
)</f>
        <v>1</v>
      </c>
      <c r="F624" s="18" cm="1">
        <f t="array" ref="F624">_xlfn.IFS(
C624&lt;=frequencyQ1, 1,
C624&lt;=frequencyQ2, 2,
C624&lt;=frequencyQ3, 3,
TRUE, 4)</f>
        <v>1</v>
      </c>
      <c r="G624" s="18" cm="1">
        <f t="array" ref="G624">_xlfn.IFS(
D624&lt;=monetaryQ1, 1,
D624&lt;=monetaryQ2, 2,
D624&lt;=monetaryQ3, 3,
TRUE, 4)</f>
        <v>2</v>
      </c>
      <c r="H624" s="18" t="str">
        <f t="shared" si="48"/>
        <v>112</v>
      </c>
      <c r="I624" s="19">
        <f t="shared" si="49"/>
        <v>1.3333333333333333</v>
      </c>
      <c r="J624" s="7" t="str" cm="1">
        <f t="array" ref="J624">_xlfn.IFS(
I624&gt;=Best_Customers, Best_Customers_name,
I624&gt;=Loyal_Customers, Loyal_Customers_name,
I624&gt;=Average_Customers, Average_Customers_name,
TRUE, Lost_Customers_name)</f>
        <v>Lost Customers</v>
      </c>
    </row>
    <row r="625" spans="1:10" x14ac:dyDescent="0.25">
      <c r="A625" s="25" t="str">
        <v>CUST_0621</v>
      </c>
      <c r="B625" s="16">
        <f t="shared" si="45"/>
        <v>101</v>
      </c>
      <c r="C625" s="16">
        <f t="shared" si="46"/>
        <v>4</v>
      </c>
      <c r="D625" s="17">
        <f t="shared" si="47"/>
        <v>494.48</v>
      </c>
      <c r="E625" s="18" cm="1">
        <f t="array" ref="E625">_xlfn.IFS(
B625&lt;=recencyQ1, 4,
B625&lt;=recencyQ2, 3,
B625&lt;=recencyQ3, 2,
TRUE, 1
)</f>
        <v>1</v>
      </c>
      <c r="F625" s="18" cm="1">
        <f t="array" ref="F625">_xlfn.IFS(
C625&lt;=frequencyQ1, 1,
C625&lt;=frequencyQ2, 2,
C625&lt;=frequencyQ3, 3,
TRUE, 4)</f>
        <v>2</v>
      </c>
      <c r="G625" s="18" cm="1">
        <f t="array" ref="G625">_xlfn.IFS(
D625&lt;=monetaryQ1, 1,
D625&lt;=monetaryQ2, 2,
D625&lt;=monetaryQ3, 3,
TRUE, 4)</f>
        <v>3</v>
      </c>
      <c r="H625" s="18" t="str">
        <f t="shared" si="48"/>
        <v>123</v>
      </c>
      <c r="I625" s="19">
        <f t="shared" si="49"/>
        <v>2</v>
      </c>
      <c r="J625" s="7" t="str" cm="1">
        <f t="array" ref="J625">_xlfn.IFS(
I625&gt;=Best_Customers, Best_Customers_name,
I625&gt;=Loyal_Customers, Loyal_Customers_name,
I625&gt;=Average_Customers, Average_Customers_name,
TRUE, Lost_Customers_name)</f>
        <v>Average Customers</v>
      </c>
    </row>
    <row r="626" spans="1:10" x14ac:dyDescent="0.25">
      <c r="A626" s="25" t="str">
        <v>CUST_0622</v>
      </c>
      <c r="B626" s="16">
        <f t="shared" si="45"/>
        <v>73</v>
      </c>
      <c r="C626" s="16">
        <f t="shared" si="46"/>
        <v>8</v>
      </c>
      <c r="D626" s="17">
        <f t="shared" si="47"/>
        <v>760.22</v>
      </c>
      <c r="E626" s="18" cm="1">
        <f t="array" ref="E626">_xlfn.IFS(
B626&lt;=recencyQ1, 4,
B626&lt;=recencyQ2, 3,
B626&lt;=recencyQ3, 2,
TRUE, 1
)</f>
        <v>2</v>
      </c>
      <c r="F626" s="18" cm="1">
        <f t="array" ref="F626">_xlfn.IFS(
C626&lt;=frequencyQ1, 1,
C626&lt;=frequencyQ2, 2,
C626&lt;=frequencyQ3, 3,
TRUE, 4)</f>
        <v>4</v>
      </c>
      <c r="G626" s="18" cm="1">
        <f t="array" ref="G626">_xlfn.IFS(
D626&lt;=monetaryQ1, 1,
D626&lt;=monetaryQ2, 2,
D626&lt;=monetaryQ3, 3,
TRUE, 4)</f>
        <v>4</v>
      </c>
      <c r="H626" s="18" t="str">
        <f t="shared" si="48"/>
        <v>244</v>
      </c>
      <c r="I626" s="19">
        <f t="shared" si="49"/>
        <v>3.3333333333333335</v>
      </c>
      <c r="J626" s="7" t="str" cm="1">
        <f t="array" ref="J626">_xlfn.IFS(
I626&gt;=Best_Customers, Best_Customers_name,
I626&gt;=Loyal_Customers, Loyal_Customers_name,
I626&gt;=Average_Customers, Average_Customers_name,
TRUE, Lost_Customers_name)</f>
        <v>Loyal Customers</v>
      </c>
    </row>
    <row r="627" spans="1:10" x14ac:dyDescent="0.25">
      <c r="A627" s="25" t="str">
        <v>CUST_0623</v>
      </c>
      <c r="B627" s="16">
        <f t="shared" si="45"/>
        <v>92</v>
      </c>
      <c r="C627" s="16">
        <f t="shared" si="46"/>
        <v>5</v>
      </c>
      <c r="D627" s="17">
        <f t="shared" si="47"/>
        <v>539.22</v>
      </c>
      <c r="E627" s="18" cm="1">
        <f t="array" ref="E627">_xlfn.IFS(
B627&lt;=recencyQ1, 4,
B627&lt;=recencyQ2, 3,
B627&lt;=recencyQ3, 2,
TRUE, 1
)</f>
        <v>2</v>
      </c>
      <c r="F627" s="18" cm="1">
        <f t="array" ref="F627">_xlfn.IFS(
C627&lt;=frequencyQ1, 1,
C627&lt;=frequencyQ2, 2,
C627&lt;=frequencyQ3, 3,
TRUE, 4)</f>
        <v>2</v>
      </c>
      <c r="G627" s="18" cm="1">
        <f t="array" ref="G627">_xlfn.IFS(
D627&lt;=monetaryQ1, 1,
D627&lt;=monetaryQ2, 2,
D627&lt;=monetaryQ3, 3,
TRUE, 4)</f>
        <v>3</v>
      </c>
      <c r="H627" s="18" t="str">
        <f t="shared" si="48"/>
        <v>223</v>
      </c>
      <c r="I627" s="19">
        <f t="shared" si="49"/>
        <v>2.3333333333333335</v>
      </c>
      <c r="J627" s="7" t="str" cm="1">
        <f t="array" ref="J627">_xlfn.IFS(
I627&gt;=Best_Customers, Best_Customers_name,
I627&gt;=Loyal_Customers, Loyal_Customers_name,
I627&gt;=Average_Customers, Average_Customers_name,
TRUE, Lost_Customers_name)</f>
        <v>Average Customers</v>
      </c>
    </row>
    <row r="628" spans="1:10" x14ac:dyDescent="0.25">
      <c r="A628" s="25" t="str">
        <v>CUST_0624</v>
      </c>
      <c r="B628" s="16">
        <f t="shared" si="45"/>
        <v>54</v>
      </c>
      <c r="C628" s="16">
        <f t="shared" si="46"/>
        <v>6</v>
      </c>
      <c r="D628" s="17">
        <f t="shared" si="47"/>
        <v>577.25</v>
      </c>
      <c r="E628" s="18" cm="1">
        <f t="array" ref="E628">_xlfn.IFS(
B628&lt;=recencyQ1, 4,
B628&lt;=recencyQ2, 3,
B628&lt;=recencyQ3, 2,
TRUE, 1
)</f>
        <v>2</v>
      </c>
      <c r="F628" s="18" cm="1">
        <f t="array" ref="F628">_xlfn.IFS(
C628&lt;=frequencyQ1, 1,
C628&lt;=frequencyQ2, 2,
C628&lt;=frequencyQ3, 3,
TRUE, 4)</f>
        <v>3</v>
      </c>
      <c r="G628" s="18" cm="1">
        <f t="array" ref="G628">_xlfn.IFS(
D628&lt;=monetaryQ1, 1,
D628&lt;=monetaryQ2, 2,
D628&lt;=monetaryQ3, 3,
TRUE, 4)</f>
        <v>3</v>
      </c>
      <c r="H628" s="18" t="str">
        <f t="shared" si="48"/>
        <v>233</v>
      </c>
      <c r="I628" s="19">
        <f t="shared" si="49"/>
        <v>2.6666666666666665</v>
      </c>
      <c r="J628" s="7" t="str" cm="1">
        <f t="array" ref="J628">_xlfn.IFS(
I628&gt;=Best_Customers, Best_Customers_name,
I628&gt;=Loyal_Customers, Loyal_Customers_name,
I628&gt;=Average_Customers, Average_Customers_name,
TRUE, Lost_Customers_name)</f>
        <v>Loyal Customers</v>
      </c>
    </row>
    <row r="629" spans="1:10" x14ac:dyDescent="0.25">
      <c r="A629" s="25" t="str">
        <v>CUST_0625</v>
      </c>
      <c r="B629" s="16">
        <f t="shared" si="45"/>
        <v>2</v>
      </c>
      <c r="C629" s="16">
        <f t="shared" si="46"/>
        <v>4</v>
      </c>
      <c r="D629" s="17">
        <f t="shared" si="47"/>
        <v>424.4</v>
      </c>
      <c r="E629" s="18" cm="1">
        <f t="array" ref="E629">_xlfn.IFS(
B629&lt;=recencyQ1, 4,
B629&lt;=recencyQ2, 3,
B629&lt;=recencyQ3, 2,
TRUE, 1
)</f>
        <v>4</v>
      </c>
      <c r="F629" s="18" cm="1">
        <f t="array" ref="F629">_xlfn.IFS(
C629&lt;=frequencyQ1, 1,
C629&lt;=frequencyQ2, 2,
C629&lt;=frequencyQ3, 3,
TRUE, 4)</f>
        <v>2</v>
      </c>
      <c r="G629" s="18" cm="1">
        <f t="array" ref="G629">_xlfn.IFS(
D629&lt;=monetaryQ1, 1,
D629&lt;=monetaryQ2, 2,
D629&lt;=monetaryQ3, 3,
TRUE, 4)</f>
        <v>2</v>
      </c>
      <c r="H629" s="18" t="str">
        <f t="shared" si="48"/>
        <v>422</v>
      </c>
      <c r="I629" s="19">
        <f t="shared" si="49"/>
        <v>2.6666666666666665</v>
      </c>
      <c r="J629" s="7" t="str" cm="1">
        <f t="array" ref="J629">_xlfn.IFS(
I629&gt;=Best_Customers, Best_Customers_name,
I629&gt;=Loyal_Customers, Loyal_Customers_name,
I629&gt;=Average_Customers, Average_Customers_name,
TRUE, Lost_Customers_name)</f>
        <v>Loyal Customers</v>
      </c>
    </row>
    <row r="630" spans="1:10" x14ac:dyDescent="0.25">
      <c r="A630" s="25" t="str">
        <v>CUST_0626</v>
      </c>
      <c r="B630" s="16">
        <f t="shared" si="45"/>
        <v>26</v>
      </c>
      <c r="C630" s="16">
        <f t="shared" si="46"/>
        <v>2</v>
      </c>
      <c r="D630" s="17">
        <f t="shared" si="47"/>
        <v>203.5</v>
      </c>
      <c r="E630" s="18" cm="1">
        <f t="array" ref="E630">_xlfn.IFS(
B630&lt;=recencyQ1, 4,
B630&lt;=recencyQ2, 3,
B630&lt;=recencyQ3, 2,
TRUE, 1
)</f>
        <v>3</v>
      </c>
      <c r="F630" s="18" cm="1">
        <f t="array" ref="F630">_xlfn.IFS(
C630&lt;=frequencyQ1, 1,
C630&lt;=frequencyQ2, 2,
C630&lt;=frequencyQ3, 3,
TRUE, 4)</f>
        <v>1</v>
      </c>
      <c r="G630" s="18" cm="1">
        <f t="array" ref="G630">_xlfn.IFS(
D630&lt;=monetaryQ1, 1,
D630&lt;=monetaryQ2, 2,
D630&lt;=monetaryQ3, 3,
TRUE, 4)</f>
        <v>1</v>
      </c>
      <c r="H630" s="18" t="str">
        <f t="shared" si="48"/>
        <v>311</v>
      </c>
      <c r="I630" s="19">
        <f t="shared" si="49"/>
        <v>1.6666666666666667</v>
      </c>
      <c r="J630" s="7" t="str" cm="1">
        <f t="array" ref="J630">_xlfn.IFS(
I630&gt;=Best_Customers, Best_Customers_name,
I630&gt;=Loyal_Customers, Loyal_Customers_name,
I630&gt;=Average_Customers, Average_Customers_name,
TRUE, Lost_Customers_name)</f>
        <v>Average Customers</v>
      </c>
    </row>
    <row r="631" spans="1:10" x14ac:dyDescent="0.25">
      <c r="A631" s="25" t="str">
        <v>CUST_0627</v>
      </c>
      <c r="B631" s="16">
        <f t="shared" si="45"/>
        <v>9</v>
      </c>
      <c r="C631" s="16">
        <f t="shared" si="46"/>
        <v>6</v>
      </c>
      <c r="D631" s="17">
        <f t="shared" si="47"/>
        <v>612.59</v>
      </c>
      <c r="E631" s="18" cm="1">
        <f t="array" ref="E631">_xlfn.IFS(
B631&lt;=recencyQ1, 4,
B631&lt;=recencyQ2, 3,
B631&lt;=recencyQ3, 2,
TRUE, 1
)</f>
        <v>4</v>
      </c>
      <c r="F631" s="18" cm="1">
        <f t="array" ref="F631">_xlfn.IFS(
C631&lt;=frequencyQ1, 1,
C631&lt;=frequencyQ2, 2,
C631&lt;=frequencyQ3, 3,
TRUE, 4)</f>
        <v>3</v>
      </c>
      <c r="G631" s="18" cm="1">
        <f t="array" ref="G631">_xlfn.IFS(
D631&lt;=monetaryQ1, 1,
D631&lt;=monetaryQ2, 2,
D631&lt;=monetaryQ3, 3,
TRUE, 4)</f>
        <v>3</v>
      </c>
      <c r="H631" s="18" t="str">
        <f t="shared" si="48"/>
        <v>433</v>
      </c>
      <c r="I631" s="19">
        <f t="shared" si="49"/>
        <v>3.3333333333333335</v>
      </c>
      <c r="J631" s="7" t="str" cm="1">
        <f t="array" ref="J631">_xlfn.IFS(
I631&gt;=Best_Customers, Best_Customers_name,
I631&gt;=Loyal_Customers, Loyal_Customers_name,
I631&gt;=Average_Customers, Average_Customers_name,
TRUE, Lost_Customers_name)</f>
        <v>Loyal Customers</v>
      </c>
    </row>
    <row r="632" spans="1:10" x14ac:dyDescent="0.25">
      <c r="A632" s="25" t="str">
        <v>CUST_0628</v>
      </c>
      <c r="B632" s="16">
        <f t="shared" si="45"/>
        <v>29</v>
      </c>
      <c r="C632" s="16">
        <f t="shared" si="46"/>
        <v>6</v>
      </c>
      <c r="D632" s="17">
        <f t="shared" si="47"/>
        <v>752.07999999999993</v>
      </c>
      <c r="E632" s="18" cm="1">
        <f t="array" ref="E632">_xlfn.IFS(
B632&lt;=recencyQ1, 4,
B632&lt;=recencyQ2, 3,
B632&lt;=recencyQ3, 2,
TRUE, 1
)</f>
        <v>3</v>
      </c>
      <c r="F632" s="18" cm="1">
        <f t="array" ref="F632">_xlfn.IFS(
C632&lt;=frequencyQ1, 1,
C632&lt;=frequencyQ2, 2,
C632&lt;=frequencyQ3, 3,
TRUE, 4)</f>
        <v>3</v>
      </c>
      <c r="G632" s="18" cm="1">
        <f t="array" ref="G632">_xlfn.IFS(
D632&lt;=monetaryQ1, 1,
D632&lt;=monetaryQ2, 2,
D632&lt;=monetaryQ3, 3,
TRUE, 4)</f>
        <v>4</v>
      </c>
      <c r="H632" s="18" t="str">
        <f t="shared" si="48"/>
        <v>334</v>
      </c>
      <c r="I632" s="19">
        <f t="shared" si="49"/>
        <v>3.3333333333333335</v>
      </c>
      <c r="J632" s="7" t="str" cm="1">
        <f t="array" ref="J632">_xlfn.IFS(
I632&gt;=Best_Customers, Best_Customers_name,
I632&gt;=Loyal_Customers, Loyal_Customers_name,
I632&gt;=Average_Customers, Average_Customers_name,
TRUE, Lost_Customers_name)</f>
        <v>Loyal Customers</v>
      </c>
    </row>
    <row r="633" spans="1:10" x14ac:dyDescent="0.25">
      <c r="A633" s="25" t="str">
        <v>CUST_0629</v>
      </c>
      <c r="B633" s="16">
        <f t="shared" si="45"/>
        <v>96</v>
      </c>
      <c r="C633" s="16">
        <f t="shared" si="46"/>
        <v>5</v>
      </c>
      <c r="D633" s="17">
        <f t="shared" si="47"/>
        <v>432.16</v>
      </c>
      <c r="E633" s="18" cm="1">
        <f t="array" ref="E633">_xlfn.IFS(
B633&lt;=recencyQ1, 4,
B633&lt;=recencyQ2, 3,
B633&lt;=recencyQ3, 2,
TRUE, 1
)</f>
        <v>2</v>
      </c>
      <c r="F633" s="18" cm="1">
        <f t="array" ref="F633">_xlfn.IFS(
C633&lt;=frequencyQ1, 1,
C633&lt;=frequencyQ2, 2,
C633&lt;=frequencyQ3, 3,
TRUE, 4)</f>
        <v>2</v>
      </c>
      <c r="G633" s="18" cm="1">
        <f t="array" ref="G633">_xlfn.IFS(
D633&lt;=monetaryQ1, 1,
D633&lt;=monetaryQ2, 2,
D633&lt;=monetaryQ3, 3,
TRUE, 4)</f>
        <v>2</v>
      </c>
      <c r="H633" s="18" t="str">
        <f t="shared" si="48"/>
        <v>222</v>
      </c>
      <c r="I633" s="19">
        <f t="shared" si="49"/>
        <v>2</v>
      </c>
      <c r="J633" s="7" t="str" cm="1">
        <f t="array" ref="J633">_xlfn.IFS(
I633&gt;=Best_Customers, Best_Customers_name,
I633&gt;=Loyal_Customers, Loyal_Customers_name,
I633&gt;=Average_Customers, Average_Customers_name,
TRUE, Lost_Customers_name)</f>
        <v>Average Customers</v>
      </c>
    </row>
    <row r="634" spans="1:10" x14ac:dyDescent="0.25">
      <c r="A634" s="25" t="str">
        <v>CUST_0630</v>
      </c>
      <c r="B634" s="16">
        <f t="shared" si="45"/>
        <v>50</v>
      </c>
      <c r="C634" s="16">
        <f t="shared" si="46"/>
        <v>4</v>
      </c>
      <c r="D634" s="17">
        <f t="shared" si="47"/>
        <v>360.25</v>
      </c>
      <c r="E634" s="18" cm="1">
        <f t="array" ref="E634">_xlfn.IFS(
B634&lt;=recencyQ1, 4,
B634&lt;=recencyQ2, 3,
B634&lt;=recencyQ3, 2,
TRUE, 1
)</f>
        <v>2</v>
      </c>
      <c r="F634" s="18" cm="1">
        <f t="array" ref="F634">_xlfn.IFS(
C634&lt;=frequencyQ1, 1,
C634&lt;=frequencyQ2, 2,
C634&lt;=frequencyQ3, 3,
TRUE, 4)</f>
        <v>2</v>
      </c>
      <c r="G634" s="18" cm="1">
        <f t="array" ref="G634">_xlfn.IFS(
D634&lt;=monetaryQ1, 1,
D634&lt;=monetaryQ2, 2,
D634&lt;=monetaryQ3, 3,
TRUE, 4)</f>
        <v>2</v>
      </c>
      <c r="H634" s="18" t="str">
        <f t="shared" si="48"/>
        <v>222</v>
      </c>
      <c r="I634" s="19">
        <f t="shared" si="49"/>
        <v>2</v>
      </c>
      <c r="J634" s="7" t="str" cm="1">
        <f t="array" ref="J634">_xlfn.IFS(
I634&gt;=Best_Customers, Best_Customers_name,
I634&gt;=Loyal_Customers, Loyal_Customers_name,
I634&gt;=Average_Customers, Average_Customers_name,
TRUE, Lost_Customers_name)</f>
        <v>Average Customers</v>
      </c>
    </row>
    <row r="635" spans="1:10" x14ac:dyDescent="0.25">
      <c r="A635" s="25" t="str">
        <v>CUST_0631</v>
      </c>
      <c r="B635" s="16">
        <f t="shared" si="45"/>
        <v>13</v>
      </c>
      <c r="C635" s="16">
        <f t="shared" si="46"/>
        <v>4</v>
      </c>
      <c r="D635" s="17">
        <f t="shared" si="47"/>
        <v>421.08000000000004</v>
      </c>
      <c r="E635" s="18" cm="1">
        <f t="array" ref="E635">_xlfn.IFS(
B635&lt;=recencyQ1, 4,
B635&lt;=recencyQ2, 3,
B635&lt;=recencyQ3, 2,
TRUE, 1
)</f>
        <v>4</v>
      </c>
      <c r="F635" s="18" cm="1">
        <f t="array" ref="F635">_xlfn.IFS(
C635&lt;=frequencyQ1, 1,
C635&lt;=frequencyQ2, 2,
C635&lt;=frequencyQ3, 3,
TRUE, 4)</f>
        <v>2</v>
      </c>
      <c r="G635" s="18" cm="1">
        <f t="array" ref="G635">_xlfn.IFS(
D635&lt;=monetaryQ1, 1,
D635&lt;=monetaryQ2, 2,
D635&lt;=monetaryQ3, 3,
TRUE, 4)</f>
        <v>2</v>
      </c>
      <c r="H635" s="18" t="str">
        <f t="shared" si="48"/>
        <v>422</v>
      </c>
      <c r="I635" s="19">
        <f t="shared" si="49"/>
        <v>2.6666666666666665</v>
      </c>
      <c r="J635" s="7" t="str" cm="1">
        <f t="array" ref="J635">_xlfn.IFS(
I635&gt;=Best_Customers, Best_Customers_name,
I635&gt;=Loyal_Customers, Loyal_Customers_name,
I635&gt;=Average_Customers, Average_Customers_name,
TRUE, Lost_Customers_name)</f>
        <v>Loyal Customers</v>
      </c>
    </row>
    <row r="636" spans="1:10" x14ac:dyDescent="0.25">
      <c r="A636" s="25" t="str">
        <v>CUST_0632</v>
      </c>
      <c r="B636" s="16">
        <f t="shared" si="45"/>
        <v>57</v>
      </c>
      <c r="C636" s="16">
        <f t="shared" si="46"/>
        <v>6</v>
      </c>
      <c r="D636" s="17">
        <f t="shared" si="47"/>
        <v>547.79000000000008</v>
      </c>
      <c r="E636" s="18" cm="1">
        <f t="array" ref="E636">_xlfn.IFS(
B636&lt;=recencyQ1, 4,
B636&lt;=recencyQ2, 3,
B636&lt;=recencyQ3, 2,
TRUE, 1
)</f>
        <v>2</v>
      </c>
      <c r="F636" s="18" cm="1">
        <f t="array" ref="F636">_xlfn.IFS(
C636&lt;=frequencyQ1, 1,
C636&lt;=frequencyQ2, 2,
C636&lt;=frequencyQ3, 3,
TRUE, 4)</f>
        <v>3</v>
      </c>
      <c r="G636" s="18" cm="1">
        <f t="array" ref="G636">_xlfn.IFS(
D636&lt;=monetaryQ1, 1,
D636&lt;=monetaryQ2, 2,
D636&lt;=monetaryQ3, 3,
TRUE, 4)</f>
        <v>3</v>
      </c>
      <c r="H636" s="18" t="str">
        <f t="shared" si="48"/>
        <v>233</v>
      </c>
      <c r="I636" s="19">
        <f t="shared" si="49"/>
        <v>2.6666666666666665</v>
      </c>
      <c r="J636" s="7" t="str" cm="1">
        <f t="array" ref="J636">_xlfn.IFS(
I636&gt;=Best_Customers, Best_Customers_name,
I636&gt;=Loyal_Customers, Loyal_Customers_name,
I636&gt;=Average_Customers, Average_Customers_name,
TRUE, Lost_Customers_name)</f>
        <v>Loyal Customers</v>
      </c>
    </row>
    <row r="637" spans="1:10" x14ac:dyDescent="0.25">
      <c r="A637" s="25" t="str">
        <v>CUST_0633</v>
      </c>
      <c r="B637" s="16">
        <f t="shared" si="45"/>
        <v>21</v>
      </c>
      <c r="C637" s="16">
        <f t="shared" si="46"/>
        <v>6</v>
      </c>
      <c r="D637" s="17">
        <f t="shared" si="47"/>
        <v>591.18999999999994</v>
      </c>
      <c r="E637" s="18" cm="1">
        <f t="array" ref="E637">_xlfn.IFS(
B637&lt;=recencyQ1, 4,
B637&lt;=recencyQ2, 3,
B637&lt;=recencyQ3, 2,
TRUE, 1
)</f>
        <v>3</v>
      </c>
      <c r="F637" s="18" cm="1">
        <f t="array" ref="F637">_xlfn.IFS(
C637&lt;=frequencyQ1, 1,
C637&lt;=frequencyQ2, 2,
C637&lt;=frequencyQ3, 3,
TRUE, 4)</f>
        <v>3</v>
      </c>
      <c r="G637" s="18" cm="1">
        <f t="array" ref="G637">_xlfn.IFS(
D637&lt;=monetaryQ1, 1,
D637&lt;=monetaryQ2, 2,
D637&lt;=monetaryQ3, 3,
TRUE, 4)</f>
        <v>3</v>
      </c>
      <c r="H637" s="18" t="str">
        <f t="shared" si="48"/>
        <v>333</v>
      </c>
      <c r="I637" s="19">
        <f t="shared" si="49"/>
        <v>3</v>
      </c>
      <c r="J637" s="7" t="str" cm="1">
        <f t="array" ref="J637">_xlfn.IFS(
I637&gt;=Best_Customers, Best_Customers_name,
I637&gt;=Loyal_Customers, Loyal_Customers_name,
I637&gt;=Average_Customers, Average_Customers_name,
TRUE, Lost_Customers_name)</f>
        <v>Loyal Customers</v>
      </c>
    </row>
    <row r="638" spans="1:10" x14ac:dyDescent="0.25">
      <c r="A638" s="25" t="str">
        <v>CUST_0634</v>
      </c>
      <c r="B638" s="16">
        <f t="shared" si="45"/>
        <v>21</v>
      </c>
      <c r="C638" s="16">
        <f t="shared" si="46"/>
        <v>3</v>
      </c>
      <c r="D638" s="17">
        <f t="shared" si="47"/>
        <v>258.05</v>
      </c>
      <c r="E638" s="18" cm="1">
        <f t="array" ref="E638">_xlfn.IFS(
B638&lt;=recencyQ1, 4,
B638&lt;=recencyQ2, 3,
B638&lt;=recencyQ3, 2,
TRUE, 1
)</f>
        <v>3</v>
      </c>
      <c r="F638" s="18" cm="1">
        <f t="array" ref="F638">_xlfn.IFS(
C638&lt;=frequencyQ1, 1,
C638&lt;=frequencyQ2, 2,
C638&lt;=frequencyQ3, 3,
TRUE, 4)</f>
        <v>1</v>
      </c>
      <c r="G638" s="18" cm="1">
        <f t="array" ref="G638">_xlfn.IFS(
D638&lt;=monetaryQ1, 1,
D638&lt;=monetaryQ2, 2,
D638&lt;=monetaryQ3, 3,
TRUE, 4)</f>
        <v>1</v>
      </c>
      <c r="H638" s="18" t="str">
        <f t="shared" si="48"/>
        <v>311</v>
      </c>
      <c r="I638" s="19">
        <f t="shared" si="49"/>
        <v>1.6666666666666667</v>
      </c>
      <c r="J638" s="7" t="str" cm="1">
        <f t="array" ref="J638">_xlfn.IFS(
I638&gt;=Best_Customers, Best_Customers_name,
I638&gt;=Loyal_Customers, Loyal_Customers_name,
I638&gt;=Average_Customers, Average_Customers_name,
TRUE, Lost_Customers_name)</f>
        <v>Average Customers</v>
      </c>
    </row>
    <row r="639" spans="1:10" x14ac:dyDescent="0.25">
      <c r="A639" s="25" t="str">
        <v>CUST_0635</v>
      </c>
      <c r="B639" s="16">
        <f t="shared" si="45"/>
        <v>185</v>
      </c>
      <c r="C639" s="16">
        <f t="shared" si="46"/>
        <v>2</v>
      </c>
      <c r="D639" s="17">
        <f t="shared" si="47"/>
        <v>171.57</v>
      </c>
      <c r="E639" s="18" cm="1">
        <f t="array" ref="E639">_xlfn.IFS(
B639&lt;=recencyQ1, 4,
B639&lt;=recencyQ2, 3,
B639&lt;=recencyQ3, 2,
TRUE, 1
)</f>
        <v>1</v>
      </c>
      <c r="F639" s="18" cm="1">
        <f t="array" ref="F639">_xlfn.IFS(
C639&lt;=frequencyQ1, 1,
C639&lt;=frequencyQ2, 2,
C639&lt;=frequencyQ3, 3,
TRUE, 4)</f>
        <v>1</v>
      </c>
      <c r="G639" s="18" cm="1">
        <f t="array" ref="G639">_xlfn.IFS(
D639&lt;=monetaryQ1, 1,
D639&lt;=monetaryQ2, 2,
D639&lt;=monetaryQ3, 3,
TRUE, 4)</f>
        <v>1</v>
      </c>
      <c r="H639" s="18" t="str">
        <f t="shared" si="48"/>
        <v>111</v>
      </c>
      <c r="I639" s="19">
        <f t="shared" si="49"/>
        <v>1</v>
      </c>
      <c r="J639" s="7" t="str" cm="1">
        <f t="array" ref="J639">_xlfn.IFS(
I639&gt;=Best_Customers, Best_Customers_name,
I639&gt;=Loyal_Customers, Loyal_Customers_name,
I639&gt;=Average_Customers, Average_Customers_name,
TRUE, Lost_Customers_name)</f>
        <v>Lost Customers</v>
      </c>
    </row>
    <row r="640" spans="1:10" x14ac:dyDescent="0.25">
      <c r="A640" s="25" t="str">
        <v>CUST_0636</v>
      </c>
      <c r="B640" s="16">
        <f t="shared" si="45"/>
        <v>156</v>
      </c>
      <c r="C640" s="16">
        <f t="shared" si="46"/>
        <v>7</v>
      </c>
      <c r="D640" s="17">
        <f t="shared" si="47"/>
        <v>733.79</v>
      </c>
      <c r="E640" s="18" cm="1">
        <f t="array" ref="E640">_xlfn.IFS(
B640&lt;=recencyQ1, 4,
B640&lt;=recencyQ2, 3,
B640&lt;=recencyQ3, 2,
TRUE, 1
)</f>
        <v>1</v>
      </c>
      <c r="F640" s="18" cm="1">
        <f t="array" ref="F640">_xlfn.IFS(
C640&lt;=frequencyQ1, 1,
C640&lt;=frequencyQ2, 2,
C640&lt;=frequencyQ3, 3,
TRUE, 4)</f>
        <v>4</v>
      </c>
      <c r="G640" s="18" cm="1">
        <f t="array" ref="G640">_xlfn.IFS(
D640&lt;=monetaryQ1, 1,
D640&lt;=monetaryQ2, 2,
D640&lt;=monetaryQ3, 3,
TRUE, 4)</f>
        <v>4</v>
      </c>
      <c r="H640" s="18" t="str">
        <f t="shared" si="48"/>
        <v>144</v>
      </c>
      <c r="I640" s="19">
        <f t="shared" si="49"/>
        <v>3</v>
      </c>
      <c r="J640" s="7" t="str" cm="1">
        <f t="array" ref="J640">_xlfn.IFS(
I640&gt;=Best_Customers, Best_Customers_name,
I640&gt;=Loyal_Customers, Loyal_Customers_name,
I640&gt;=Average_Customers, Average_Customers_name,
TRUE, Lost_Customers_name)</f>
        <v>Loyal Customers</v>
      </c>
    </row>
    <row r="641" spans="1:10" x14ac:dyDescent="0.25">
      <c r="A641" s="25" t="str">
        <v>CUST_0637</v>
      </c>
      <c r="B641" s="16">
        <f t="shared" si="45"/>
        <v>60</v>
      </c>
      <c r="C641" s="16">
        <f t="shared" si="46"/>
        <v>7</v>
      </c>
      <c r="D641" s="17">
        <f t="shared" si="47"/>
        <v>764.16000000000008</v>
      </c>
      <c r="E641" s="18" cm="1">
        <f t="array" ref="E641">_xlfn.IFS(
B641&lt;=recencyQ1, 4,
B641&lt;=recencyQ2, 3,
B641&lt;=recencyQ3, 2,
TRUE, 1
)</f>
        <v>2</v>
      </c>
      <c r="F641" s="18" cm="1">
        <f t="array" ref="F641">_xlfn.IFS(
C641&lt;=frequencyQ1, 1,
C641&lt;=frequencyQ2, 2,
C641&lt;=frequencyQ3, 3,
TRUE, 4)</f>
        <v>4</v>
      </c>
      <c r="G641" s="18" cm="1">
        <f t="array" ref="G641">_xlfn.IFS(
D641&lt;=monetaryQ1, 1,
D641&lt;=monetaryQ2, 2,
D641&lt;=monetaryQ3, 3,
TRUE, 4)</f>
        <v>4</v>
      </c>
      <c r="H641" s="18" t="str">
        <f t="shared" si="48"/>
        <v>244</v>
      </c>
      <c r="I641" s="19">
        <f t="shared" si="49"/>
        <v>3.3333333333333335</v>
      </c>
      <c r="J641" s="7" t="str" cm="1">
        <f t="array" ref="J641">_xlfn.IFS(
I641&gt;=Best_Customers, Best_Customers_name,
I641&gt;=Loyal_Customers, Loyal_Customers_name,
I641&gt;=Average_Customers, Average_Customers_name,
TRUE, Lost_Customers_name)</f>
        <v>Loyal Customers</v>
      </c>
    </row>
    <row r="642" spans="1:10" x14ac:dyDescent="0.25">
      <c r="A642" s="25" t="str">
        <v>CUST_0638</v>
      </c>
      <c r="B642" s="16">
        <f t="shared" si="45"/>
        <v>182</v>
      </c>
      <c r="C642" s="16">
        <f t="shared" si="46"/>
        <v>4</v>
      </c>
      <c r="D642" s="17">
        <f t="shared" si="47"/>
        <v>403.72</v>
      </c>
      <c r="E642" s="18" cm="1">
        <f t="array" ref="E642">_xlfn.IFS(
B642&lt;=recencyQ1, 4,
B642&lt;=recencyQ2, 3,
B642&lt;=recencyQ3, 2,
TRUE, 1
)</f>
        <v>1</v>
      </c>
      <c r="F642" s="18" cm="1">
        <f t="array" ref="F642">_xlfn.IFS(
C642&lt;=frequencyQ1, 1,
C642&lt;=frequencyQ2, 2,
C642&lt;=frequencyQ3, 3,
TRUE, 4)</f>
        <v>2</v>
      </c>
      <c r="G642" s="18" cm="1">
        <f t="array" ref="G642">_xlfn.IFS(
D642&lt;=monetaryQ1, 1,
D642&lt;=monetaryQ2, 2,
D642&lt;=monetaryQ3, 3,
TRUE, 4)</f>
        <v>2</v>
      </c>
      <c r="H642" s="18" t="str">
        <f t="shared" si="48"/>
        <v>122</v>
      </c>
      <c r="I642" s="19">
        <f t="shared" si="49"/>
        <v>1.6666666666666667</v>
      </c>
      <c r="J642" s="7" t="str" cm="1">
        <f t="array" ref="J642">_xlfn.IFS(
I642&gt;=Best_Customers, Best_Customers_name,
I642&gt;=Loyal_Customers, Loyal_Customers_name,
I642&gt;=Average_Customers, Average_Customers_name,
TRUE, Lost_Customers_name)</f>
        <v>Average Customers</v>
      </c>
    </row>
    <row r="643" spans="1:10" x14ac:dyDescent="0.25">
      <c r="A643" s="25" t="str">
        <v>CUST_0639</v>
      </c>
      <c r="B643" s="16">
        <f t="shared" si="45"/>
        <v>106</v>
      </c>
      <c r="C643" s="16">
        <f t="shared" si="46"/>
        <v>6</v>
      </c>
      <c r="D643" s="17">
        <f t="shared" si="47"/>
        <v>664.28</v>
      </c>
      <c r="E643" s="18" cm="1">
        <f t="array" ref="E643">_xlfn.IFS(
B643&lt;=recencyQ1, 4,
B643&lt;=recencyQ2, 3,
B643&lt;=recencyQ3, 2,
TRUE, 1
)</f>
        <v>1</v>
      </c>
      <c r="F643" s="18" cm="1">
        <f t="array" ref="F643">_xlfn.IFS(
C643&lt;=frequencyQ1, 1,
C643&lt;=frequencyQ2, 2,
C643&lt;=frequencyQ3, 3,
TRUE, 4)</f>
        <v>3</v>
      </c>
      <c r="G643" s="18" cm="1">
        <f t="array" ref="G643">_xlfn.IFS(
D643&lt;=monetaryQ1, 1,
D643&lt;=monetaryQ2, 2,
D643&lt;=monetaryQ3, 3,
TRUE, 4)</f>
        <v>4</v>
      </c>
      <c r="H643" s="18" t="str">
        <f t="shared" si="48"/>
        <v>134</v>
      </c>
      <c r="I643" s="19">
        <f t="shared" si="49"/>
        <v>2.6666666666666665</v>
      </c>
      <c r="J643" s="7" t="str" cm="1">
        <f t="array" ref="J643">_xlfn.IFS(
I643&gt;=Best_Customers, Best_Customers_name,
I643&gt;=Loyal_Customers, Loyal_Customers_name,
I643&gt;=Average_Customers, Average_Customers_name,
TRUE, Lost_Customers_name)</f>
        <v>Loyal Customers</v>
      </c>
    </row>
    <row r="644" spans="1:10" x14ac:dyDescent="0.25">
      <c r="A644" s="25" t="str">
        <v>CUST_0640</v>
      </c>
      <c r="B644" s="16">
        <f t="shared" si="45"/>
        <v>133</v>
      </c>
      <c r="C644" s="16">
        <f t="shared" si="46"/>
        <v>5</v>
      </c>
      <c r="D644" s="17">
        <f t="shared" si="47"/>
        <v>454.27000000000004</v>
      </c>
      <c r="E644" s="18" cm="1">
        <f t="array" ref="E644">_xlfn.IFS(
B644&lt;=recencyQ1, 4,
B644&lt;=recencyQ2, 3,
B644&lt;=recencyQ3, 2,
TRUE, 1
)</f>
        <v>1</v>
      </c>
      <c r="F644" s="18" cm="1">
        <f t="array" ref="F644">_xlfn.IFS(
C644&lt;=frequencyQ1, 1,
C644&lt;=frequencyQ2, 2,
C644&lt;=frequencyQ3, 3,
TRUE, 4)</f>
        <v>2</v>
      </c>
      <c r="G644" s="18" cm="1">
        <f t="array" ref="G644">_xlfn.IFS(
D644&lt;=monetaryQ1, 1,
D644&lt;=monetaryQ2, 2,
D644&lt;=monetaryQ3, 3,
TRUE, 4)</f>
        <v>2</v>
      </c>
      <c r="H644" s="18" t="str">
        <f t="shared" si="48"/>
        <v>122</v>
      </c>
      <c r="I644" s="19">
        <f t="shared" si="49"/>
        <v>1.6666666666666667</v>
      </c>
      <c r="J644" s="7" t="str" cm="1">
        <f t="array" ref="J644">_xlfn.IFS(
I644&gt;=Best_Customers, Best_Customers_name,
I644&gt;=Loyal_Customers, Loyal_Customers_name,
I644&gt;=Average_Customers, Average_Customers_name,
TRUE, Lost_Customers_name)</f>
        <v>Average Customers</v>
      </c>
    </row>
    <row r="645" spans="1:10" x14ac:dyDescent="0.25">
      <c r="A645" s="25" t="str">
        <v>CUST_0641</v>
      </c>
      <c r="B645" s="16">
        <f t="shared" si="45"/>
        <v>47</v>
      </c>
      <c r="C645" s="16">
        <f t="shared" si="46"/>
        <v>5</v>
      </c>
      <c r="D645" s="17">
        <f t="shared" si="47"/>
        <v>503.04999999999995</v>
      </c>
      <c r="E645" s="18" cm="1">
        <f t="array" ref="E645">_xlfn.IFS(
B645&lt;=recencyQ1, 4,
B645&lt;=recencyQ2, 3,
B645&lt;=recencyQ3, 2,
TRUE, 1
)</f>
        <v>3</v>
      </c>
      <c r="F645" s="18" cm="1">
        <f t="array" ref="F645">_xlfn.IFS(
C645&lt;=frequencyQ1, 1,
C645&lt;=frequencyQ2, 2,
C645&lt;=frequencyQ3, 3,
TRUE, 4)</f>
        <v>2</v>
      </c>
      <c r="G645" s="18" cm="1">
        <f t="array" ref="G645">_xlfn.IFS(
D645&lt;=monetaryQ1, 1,
D645&lt;=monetaryQ2, 2,
D645&lt;=monetaryQ3, 3,
TRUE, 4)</f>
        <v>3</v>
      </c>
      <c r="H645" s="18" t="str">
        <f t="shared" si="48"/>
        <v>323</v>
      </c>
      <c r="I645" s="19">
        <f t="shared" si="49"/>
        <v>2.6666666666666665</v>
      </c>
      <c r="J645" s="7" t="str" cm="1">
        <f t="array" ref="J645">_xlfn.IFS(
I645&gt;=Best_Customers, Best_Customers_name,
I645&gt;=Loyal_Customers, Loyal_Customers_name,
I645&gt;=Average_Customers, Average_Customers_name,
TRUE, Lost_Customers_name)</f>
        <v>Loyal Customers</v>
      </c>
    </row>
    <row r="646" spans="1:10" x14ac:dyDescent="0.25">
      <c r="A646" s="25" t="str">
        <v>CUST_0642</v>
      </c>
      <c r="B646" s="16">
        <f t="shared" si="45"/>
        <v>16</v>
      </c>
      <c r="C646" s="16">
        <f t="shared" si="46"/>
        <v>4</v>
      </c>
      <c r="D646" s="17">
        <f t="shared" si="47"/>
        <v>361.48</v>
      </c>
      <c r="E646" s="18" cm="1">
        <f t="array" ref="E646">_xlfn.IFS(
B646&lt;=recencyQ1, 4,
B646&lt;=recencyQ2, 3,
B646&lt;=recencyQ3, 2,
TRUE, 1
)</f>
        <v>4</v>
      </c>
      <c r="F646" s="18" cm="1">
        <f t="array" ref="F646">_xlfn.IFS(
C646&lt;=frequencyQ1, 1,
C646&lt;=frequencyQ2, 2,
C646&lt;=frequencyQ3, 3,
TRUE, 4)</f>
        <v>2</v>
      </c>
      <c r="G646" s="18" cm="1">
        <f t="array" ref="G646">_xlfn.IFS(
D646&lt;=monetaryQ1, 1,
D646&lt;=monetaryQ2, 2,
D646&lt;=monetaryQ3, 3,
TRUE, 4)</f>
        <v>2</v>
      </c>
      <c r="H646" s="18" t="str">
        <f t="shared" si="48"/>
        <v>422</v>
      </c>
      <c r="I646" s="19">
        <f t="shared" si="49"/>
        <v>2.6666666666666665</v>
      </c>
      <c r="J646" s="7" t="str" cm="1">
        <f t="array" ref="J646">_xlfn.IFS(
I646&gt;=Best_Customers, Best_Customers_name,
I646&gt;=Loyal_Customers, Loyal_Customers_name,
I646&gt;=Average_Customers, Average_Customers_name,
TRUE, Lost_Customers_name)</f>
        <v>Loyal Customers</v>
      </c>
    </row>
    <row r="647" spans="1:10" x14ac:dyDescent="0.25">
      <c r="A647" s="25" t="str">
        <v>CUST_0643</v>
      </c>
      <c r="B647" s="16">
        <f t="shared" si="45"/>
        <v>41</v>
      </c>
      <c r="C647" s="16">
        <f t="shared" si="46"/>
        <v>3</v>
      </c>
      <c r="D647" s="17">
        <f t="shared" si="47"/>
        <v>269.47000000000003</v>
      </c>
      <c r="E647" s="18" cm="1">
        <f t="array" ref="E647">_xlfn.IFS(
B647&lt;=recencyQ1, 4,
B647&lt;=recencyQ2, 3,
B647&lt;=recencyQ3, 2,
TRUE, 1
)</f>
        <v>3</v>
      </c>
      <c r="F647" s="18" cm="1">
        <f t="array" ref="F647">_xlfn.IFS(
C647&lt;=frequencyQ1, 1,
C647&lt;=frequencyQ2, 2,
C647&lt;=frequencyQ3, 3,
TRUE, 4)</f>
        <v>1</v>
      </c>
      <c r="G647" s="18" cm="1">
        <f t="array" ref="G647">_xlfn.IFS(
D647&lt;=monetaryQ1, 1,
D647&lt;=monetaryQ2, 2,
D647&lt;=monetaryQ3, 3,
TRUE, 4)</f>
        <v>1</v>
      </c>
      <c r="H647" s="18" t="str">
        <f t="shared" si="48"/>
        <v>311</v>
      </c>
      <c r="I647" s="19">
        <f t="shared" si="49"/>
        <v>1.6666666666666667</v>
      </c>
      <c r="J647" s="7" t="str" cm="1">
        <f t="array" ref="J647">_xlfn.IFS(
I647&gt;=Best_Customers, Best_Customers_name,
I647&gt;=Loyal_Customers, Loyal_Customers_name,
I647&gt;=Average_Customers, Average_Customers_name,
TRUE, Lost_Customers_name)</f>
        <v>Average Customers</v>
      </c>
    </row>
    <row r="648" spans="1:10" x14ac:dyDescent="0.25">
      <c r="A648" s="25" t="str">
        <v>CUST_0644</v>
      </c>
      <c r="B648" s="16">
        <f t="shared" si="45"/>
        <v>19</v>
      </c>
      <c r="C648" s="16">
        <f t="shared" si="46"/>
        <v>6</v>
      </c>
      <c r="D648" s="17">
        <f t="shared" si="47"/>
        <v>604.79999999999995</v>
      </c>
      <c r="E648" s="18" cm="1">
        <f t="array" ref="E648">_xlfn.IFS(
B648&lt;=recencyQ1, 4,
B648&lt;=recencyQ2, 3,
B648&lt;=recencyQ3, 2,
TRUE, 1
)</f>
        <v>3</v>
      </c>
      <c r="F648" s="18" cm="1">
        <f t="array" ref="F648">_xlfn.IFS(
C648&lt;=frequencyQ1, 1,
C648&lt;=frequencyQ2, 2,
C648&lt;=frequencyQ3, 3,
TRUE, 4)</f>
        <v>3</v>
      </c>
      <c r="G648" s="18" cm="1">
        <f t="array" ref="G648">_xlfn.IFS(
D648&lt;=monetaryQ1, 1,
D648&lt;=monetaryQ2, 2,
D648&lt;=monetaryQ3, 3,
TRUE, 4)</f>
        <v>3</v>
      </c>
      <c r="H648" s="18" t="str">
        <f t="shared" si="48"/>
        <v>333</v>
      </c>
      <c r="I648" s="19">
        <f t="shared" si="49"/>
        <v>3</v>
      </c>
      <c r="J648" s="7" t="str" cm="1">
        <f t="array" ref="J648">_xlfn.IFS(
I648&gt;=Best_Customers, Best_Customers_name,
I648&gt;=Loyal_Customers, Loyal_Customers_name,
I648&gt;=Average_Customers, Average_Customers_name,
TRUE, Lost_Customers_name)</f>
        <v>Loyal Customers</v>
      </c>
    </row>
    <row r="649" spans="1:10" x14ac:dyDescent="0.25">
      <c r="A649" s="25" t="str">
        <v>CUST_0645</v>
      </c>
      <c r="B649" s="16">
        <f t="shared" si="45"/>
        <v>25</v>
      </c>
      <c r="C649" s="16">
        <f t="shared" si="46"/>
        <v>8</v>
      </c>
      <c r="D649" s="17">
        <f t="shared" si="47"/>
        <v>962.74999999999989</v>
      </c>
      <c r="E649" s="18" cm="1">
        <f t="array" ref="E649">_xlfn.IFS(
B649&lt;=recencyQ1, 4,
B649&lt;=recencyQ2, 3,
B649&lt;=recencyQ3, 2,
TRUE, 1
)</f>
        <v>3</v>
      </c>
      <c r="F649" s="18" cm="1">
        <f t="array" ref="F649">_xlfn.IFS(
C649&lt;=frequencyQ1, 1,
C649&lt;=frequencyQ2, 2,
C649&lt;=frequencyQ3, 3,
TRUE, 4)</f>
        <v>4</v>
      </c>
      <c r="G649" s="18" cm="1">
        <f t="array" ref="G649">_xlfn.IFS(
D649&lt;=monetaryQ1, 1,
D649&lt;=monetaryQ2, 2,
D649&lt;=monetaryQ3, 3,
TRUE, 4)</f>
        <v>4</v>
      </c>
      <c r="H649" s="18" t="str">
        <f t="shared" si="48"/>
        <v>344</v>
      </c>
      <c r="I649" s="19">
        <f t="shared" si="49"/>
        <v>3.6666666666666665</v>
      </c>
      <c r="J649" s="7" t="str" cm="1">
        <f t="array" ref="J649">_xlfn.IFS(
I649&gt;=Best_Customers, Best_Customers_name,
I649&gt;=Loyal_Customers, Loyal_Customers_name,
I649&gt;=Average_Customers, Average_Customers_name,
TRUE, Lost_Customers_name)</f>
        <v>Best Customers</v>
      </c>
    </row>
    <row r="650" spans="1:10" x14ac:dyDescent="0.25">
      <c r="A650" s="25" t="str">
        <v>CUST_0646</v>
      </c>
      <c r="B650" s="16">
        <f t="shared" ref="B650:B713" si="50">analysis_date-_xlfn.MAXIFS(transaction_date,customer_id,A650,included,1)</f>
        <v>59</v>
      </c>
      <c r="C650" s="16">
        <f t="shared" ref="C650:C713" si="51">COUNTIFS(customer_id,A650,included,1)</f>
        <v>3</v>
      </c>
      <c r="D650" s="17">
        <f t="shared" ref="D650:D713" si="52">SUMIFS(transaction_amount,customer_id,A650,included,1)</f>
        <v>370.17</v>
      </c>
      <c r="E650" s="18" cm="1">
        <f t="array" ref="E650">_xlfn.IFS(
B650&lt;=recencyQ1, 4,
B650&lt;=recencyQ2, 3,
B650&lt;=recencyQ3, 2,
TRUE, 1
)</f>
        <v>2</v>
      </c>
      <c r="F650" s="18" cm="1">
        <f t="array" ref="F650">_xlfn.IFS(
C650&lt;=frequencyQ1, 1,
C650&lt;=frequencyQ2, 2,
C650&lt;=frequencyQ3, 3,
TRUE, 4)</f>
        <v>1</v>
      </c>
      <c r="G650" s="18" cm="1">
        <f t="array" ref="G650">_xlfn.IFS(
D650&lt;=monetaryQ1, 1,
D650&lt;=monetaryQ2, 2,
D650&lt;=monetaryQ3, 3,
TRUE, 4)</f>
        <v>2</v>
      </c>
      <c r="H650" s="18" t="str">
        <f t="shared" ref="H650:H713" si="53">E650&amp;F650&amp;G650</f>
        <v>212</v>
      </c>
      <c r="I650" s="19">
        <f t="shared" ref="I650:I713" si="54">AVERAGE(E650:G650)</f>
        <v>1.6666666666666667</v>
      </c>
      <c r="J650" s="7" t="str" cm="1">
        <f t="array" ref="J650">_xlfn.IFS(
I650&gt;=Best_Customers, Best_Customers_name,
I650&gt;=Loyal_Customers, Loyal_Customers_name,
I650&gt;=Average_Customers, Average_Customers_name,
TRUE, Lost_Customers_name)</f>
        <v>Average Customers</v>
      </c>
    </row>
    <row r="651" spans="1:10" x14ac:dyDescent="0.25">
      <c r="A651" s="25" t="str">
        <v>CUST_0647</v>
      </c>
      <c r="B651" s="16">
        <f t="shared" si="50"/>
        <v>57</v>
      </c>
      <c r="C651" s="16">
        <f t="shared" si="51"/>
        <v>11</v>
      </c>
      <c r="D651" s="17">
        <f t="shared" si="52"/>
        <v>1102.8999999999999</v>
      </c>
      <c r="E651" s="18" cm="1">
        <f t="array" ref="E651">_xlfn.IFS(
B651&lt;=recencyQ1, 4,
B651&lt;=recencyQ2, 3,
B651&lt;=recencyQ3, 2,
TRUE, 1
)</f>
        <v>2</v>
      </c>
      <c r="F651" s="18" cm="1">
        <f t="array" ref="F651">_xlfn.IFS(
C651&lt;=frequencyQ1, 1,
C651&lt;=frequencyQ2, 2,
C651&lt;=frequencyQ3, 3,
TRUE, 4)</f>
        <v>4</v>
      </c>
      <c r="G651" s="18" cm="1">
        <f t="array" ref="G651">_xlfn.IFS(
D651&lt;=monetaryQ1, 1,
D651&lt;=monetaryQ2, 2,
D651&lt;=monetaryQ3, 3,
TRUE, 4)</f>
        <v>4</v>
      </c>
      <c r="H651" s="18" t="str">
        <f t="shared" si="53"/>
        <v>244</v>
      </c>
      <c r="I651" s="19">
        <f t="shared" si="54"/>
        <v>3.3333333333333335</v>
      </c>
      <c r="J651" s="7" t="str" cm="1">
        <f t="array" ref="J651">_xlfn.IFS(
I651&gt;=Best_Customers, Best_Customers_name,
I651&gt;=Loyal_Customers, Loyal_Customers_name,
I651&gt;=Average_Customers, Average_Customers_name,
TRUE, Lost_Customers_name)</f>
        <v>Loyal Customers</v>
      </c>
    </row>
    <row r="652" spans="1:10" x14ac:dyDescent="0.25">
      <c r="A652" s="25" t="str">
        <v>CUST_0648</v>
      </c>
      <c r="B652" s="16">
        <f t="shared" si="50"/>
        <v>12</v>
      </c>
      <c r="C652" s="16">
        <f t="shared" si="51"/>
        <v>3</v>
      </c>
      <c r="D652" s="17">
        <f t="shared" si="52"/>
        <v>309.11</v>
      </c>
      <c r="E652" s="18" cm="1">
        <f t="array" ref="E652">_xlfn.IFS(
B652&lt;=recencyQ1, 4,
B652&lt;=recencyQ2, 3,
B652&lt;=recencyQ3, 2,
TRUE, 1
)</f>
        <v>4</v>
      </c>
      <c r="F652" s="18" cm="1">
        <f t="array" ref="F652">_xlfn.IFS(
C652&lt;=frequencyQ1, 1,
C652&lt;=frequencyQ2, 2,
C652&lt;=frequencyQ3, 3,
TRUE, 4)</f>
        <v>1</v>
      </c>
      <c r="G652" s="18" cm="1">
        <f t="array" ref="G652">_xlfn.IFS(
D652&lt;=monetaryQ1, 1,
D652&lt;=monetaryQ2, 2,
D652&lt;=monetaryQ3, 3,
TRUE, 4)</f>
        <v>1</v>
      </c>
      <c r="H652" s="18" t="str">
        <f t="shared" si="53"/>
        <v>411</v>
      </c>
      <c r="I652" s="19">
        <f t="shared" si="54"/>
        <v>2</v>
      </c>
      <c r="J652" s="7" t="str" cm="1">
        <f t="array" ref="J652">_xlfn.IFS(
I652&gt;=Best_Customers, Best_Customers_name,
I652&gt;=Loyal_Customers, Loyal_Customers_name,
I652&gt;=Average_Customers, Average_Customers_name,
TRUE, Lost_Customers_name)</f>
        <v>Average Customers</v>
      </c>
    </row>
    <row r="653" spans="1:10" x14ac:dyDescent="0.25">
      <c r="A653" s="25" t="str">
        <v>CUST_0649</v>
      </c>
      <c r="B653" s="16">
        <f t="shared" si="50"/>
        <v>59</v>
      </c>
      <c r="C653" s="16">
        <f t="shared" si="51"/>
        <v>4</v>
      </c>
      <c r="D653" s="17">
        <f t="shared" si="52"/>
        <v>393.58</v>
      </c>
      <c r="E653" s="18" cm="1">
        <f t="array" ref="E653">_xlfn.IFS(
B653&lt;=recencyQ1, 4,
B653&lt;=recencyQ2, 3,
B653&lt;=recencyQ3, 2,
TRUE, 1
)</f>
        <v>2</v>
      </c>
      <c r="F653" s="18" cm="1">
        <f t="array" ref="F653">_xlfn.IFS(
C653&lt;=frequencyQ1, 1,
C653&lt;=frequencyQ2, 2,
C653&lt;=frequencyQ3, 3,
TRUE, 4)</f>
        <v>2</v>
      </c>
      <c r="G653" s="18" cm="1">
        <f t="array" ref="G653">_xlfn.IFS(
D653&lt;=monetaryQ1, 1,
D653&lt;=monetaryQ2, 2,
D653&lt;=monetaryQ3, 3,
TRUE, 4)</f>
        <v>2</v>
      </c>
      <c r="H653" s="18" t="str">
        <f t="shared" si="53"/>
        <v>222</v>
      </c>
      <c r="I653" s="19">
        <f t="shared" si="54"/>
        <v>2</v>
      </c>
      <c r="J653" s="7" t="str" cm="1">
        <f t="array" ref="J653">_xlfn.IFS(
I653&gt;=Best_Customers, Best_Customers_name,
I653&gt;=Loyal_Customers, Loyal_Customers_name,
I653&gt;=Average_Customers, Average_Customers_name,
TRUE, Lost_Customers_name)</f>
        <v>Average Customers</v>
      </c>
    </row>
    <row r="654" spans="1:10" x14ac:dyDescent="0.25">
      <c r="A654" s="25" t="str">
        <v>CUST_0650</v>
      </c>
      <c r="B654" s="16">
        <f t="shared" si="50"/>
        <v>7</v>
      </c>
      <c r="C654" s="16">
        <f t="shared" si="51"/>
        <v>2</v>
      </c>
      <c r="D654" s="17">
        <f t="shared" si="52"/>
        <v>183.72</v>
      </c>
      <c r="E654" s="18" cm="1">
        <f t="array" ref="E654">_xlfn.IFS(
B654&lt;=recencyQ1, 4,
B654&lt;=recencyQ2, 3,
B654&lt;=recencyQ3, 2,
TRUE, 1
)</f>
        <v>4</v>
      </c>
      <c r="F654" s="18" cm="1">
        <f t="array" ref="F654">_xlfn.IFS(
C654&lt;=frequencyQ1, 1,
C654&lt;=frequencyQ2, 2,
C654&lt;=frequencyQ3, 3,
TRUE, 4)</f>
        <v>1</v>
      </c>
      <c r="G654" s="18" cm="1">
        <f t="array" ref="G654">_xlfn.IFS(
D654&lt;=monetaryQ1, 1,
D654&lt;=monetaryQ2, 2,
D654&lt;=monetaryQ3, 3,
TRUE, 4)</f>
        <v>1</v>
      </c>
      <c r="H654" s="18" t="str">
        <f t="shared" si="53"/>
        <v>411</v>
      </c>
      <c r="I654" s="19">
        <f t="shared" si="54"/>
        <v>2</v>
      </c>
      <c r="J654" s="7" t="str" cm="1">
        <f t="array" ref="J654">_xlfn.IFS(
I654&gt;=Best_Customers, Best_Customers_name,
I654&gt;=Loyal_Customers, Loyal_Customers_name,
I654&gt;=Average_Customers, Average_Customers_name,
TRUE, Lost_Customers_name)</f>
        <v>Average Customers</v>
      </c>
    </row>
    <row r="655" spans="1:10" x14ac:dyDescent="0.25">
      <c r="A655" s="25" t="str">
        <v>CUST_0651</v>
      </c>
      <c r="B655" s="16">
        <f t="shared" si="50"/>
        <v>31</v>
      </c>
      <c r="C655" s="16">
        <f t="shared" si="51"/>
        <v>2</v>
      </c>
      <c r="D655" s="17">
        <f t="shared" si="52"/>
        <v>260.40999999999997</v>
      </c>
      <c r="E655" s="18" cm="1">
        <f t="array" ref="E655">_xlfn.IFS(
B655&lt;=recencyQ1, 4,
B655&lt;=recencyQ2, 3,
B655&lt;=recencyQ3, 2,
TRUE, 1
)</f>
        <v>3</v>
      </c>
      <c r="F655" s="18" cm="1">
        <f t="array" ref="F655">_xlfn.IFS(
C655&lt;=frequencyQ1, 1,
C655&lt;=frequencyQ2, 2,
C655&lt;=frequencyQ3, 3,
TRUE, 4)</f>
        <v>1</v>
      </c>
      <c r="G655" s="18" cm="1">
        <f t="array" ref="G655">_xlfn.IFS(
D655&lt;=monetaryQ1, 1,
D655&lt;=monetaryQ2, 2,
D655&lt;=monetaryQ3, 3,
TRUE, 4)</f>
        <v>1</v>
      </c>
      <c r="H655" s="18" t="str">
        <f t="shared" si="53"/>
        <v>311</v>
      </c>
      <c r="I655" s="19">
        <f t="shared" si="54"/>
        <v>1.6666666666666667</v>
      </c>
      <c r="J655" s="7" t="str" cm="1">
        <f t="array" ref="J655">_xlfn.IFS(
I655&gt;=Best_Customers, Best_Customers_name,
I655&gt;=Loyal_Customers, Loyal_Customers_name,
I655&gt;=Average_Customers, Average_Customers_name,
TRUE, Lost_Customers_name)</f>
        <v>Average Customers</v>
      </c>
    </row>
    <row r="656" spans="1:10" x14ac:dyDescent="0.25">
      <c r="A656" s="25" t="str">
        <v>CUST_0652</v>
      </c>
      <c r="B656" s="16">
        <f t="shared" si="50"/>
        <v>22</v>
      </c>
      <c r="C656" s="16">
        <f t="shared" si="51"/>
        <v>5</v>
      </c>
      <c r="D656" s="17">
        <f t="shared" si="52"/>
        <v>532.14</v>
      </c>
      <c r="E656" s="18" cm="1">
        <f t="array" ref="E656">_xlfn.IFS(
B656&lt;=recencyQ1, 4,
B656&lt;=recencyQ2, 3,
B656&lt;=recencyQ3, 2,
TRUE, 1
)</f>
        <v>3</v>
      </c>
      <c r="F656" s="18" cm="1">
        <f t="array" ref="F656">_xlfn.IFS(
C656&lt;=frequencyQ1, 1,
C656&lt;=frequencyQ2, 2,
C656&lt;=frequencyQ3, 3,
TRUE, 4)</f>
        <v>2</v>
      </c>
      <c r="G656" s="18" cm="1">
        <f t="array" ref="G656">_xlfn.IFS(
D656&lt;=monetaryQ1, 1,
D656&lt;=monetaryQ2, 2,
D656&lt;=monetaryQ3, 3,
TRUE, 4)</f>
        <v>3</v>
      </c>
      <c r="H656" s="18" t="str">
        <f t="shared" si="53"/>
        <v>323</v>
      </c>
      <c r="I656" s="19">
        <f t="shared" si="54"/>
        <v>2.6666666666666665</v>
      </c>
      <c r="J656" s="7" t="str" cm="1">
        <f t="array" ref="J656">_xlfn.IFS(
I656&gt;=Best_Customers, Best_Customers_name,
I656&gt;=Loyal_Customers, Loyal_Customers_name,
I656&gt;=Average_Customers, Average_Customers_name,
TRUE, Lost_Customers_name)</f>
        <v>Loyal Customers</v>
      </c>
    </row>
    <row r="657" spans="1:10" x14ac:dyDescent="0.25">
      <c r="A657" s="25" t="str">
        <v>CUST_0653</v>
      </c>
      <c r="B657" s="16">
        <f t="shared" si="50"/>
        <v>51</v>
      </c>
      <c r="C657" s="16">
        <f t="shared" si="51"/>
        <v>6</v>
      </c>
      <c r="D657" s="17">
        <f t="shared" si="52"/>
        <v>589.12</v>
      </c>
      <c r="E657" s="18" cm="1">
        <f t="array" ref="E657">_xlfn.IFS(
B657&lt;=recencyQ1, 4,
B657&lt;=recencyQ2, 3,
B657&lt;=recencyQ3, 2,
TRUE, 1
)</f>
        <v>2</v>
      </c>
      <c r="F657" s="18" cm="1">
        <f t="array" ref="F657">_xlfn.IFS(
C657&lt;=frequencyQ1, 1,
C657&lt;=frequencyQ2, 2,
C657&lt;=frequencyQ3, 3,
TRUE, 4)</f>
        <v>3</v>
      </c>
      <c r="G657" s="18" cm="1">
        <f t="array" ref="G657">_xlfn.IFS(
D657&lt;=monetaryQ1, 1,
D657&lt;=monetaryQ2, 2,
D657&lt;=monetaryQ3, 3,
TRUE, 4)</f>
        <v>3</v>
      </c>
      <c r="H657" s="18" t="str">
        <f t="shared" si="53"/>
        <v>233</v>
      </c>
      <c r="I657" s="19">
        <f t="shared" si="54"/>
        <v>2.6666666666666665</v>
      </c>
      <c r="J657" s="7" t="str" cm="1">
        <f t="array" ref="J657">_xlfn.IFS(
I657&gt;=Best_Customers, Best_Customers_name,
I657&gt;=Loyal_Customers, Loyal_Customers_name,
I657&gt;=Average_Customers, Average_Customers_name,
TRUE, Lost_Customers_name)</f>
        <v>Loyal Customers</v>
      </c>
    </row>
    <row r="658" spans="1:10" x14ac:dyDescent="0.25">
      <c r="A658" s="25" t="str">
        <v>CUST_0654</v>
      </c>
      <c r="B658" s="16">
        <f t="shared" si="50"/>
        <v>16</v>
      </c>
      <c r="C658" s="16">
        <f t="shared" si="51"/>
        <v>7</v>
      </c>
      <c r="D658" s="17">
        <f t="shared" si="52"/>
        <v>646.26</v>
      </c>
      <c r="E658" s="18" cm="1">
        <f t="array" ref="E658">_xlfn.IFS(
B658&lt;=recencyQ1, 4,
B658&lt;=recencyQ2, 3,
B658&lt;=recencyQ3, 2,
TRUE, 1
)</f>
        <v>4</v>
      </c>
      <c r="F658" s="18" cm="1">
        <f t="array" ref="F658">_xlfn.IFS(
C658&lt;=frequencyQ1, 1,
C658&lt;=frequencyQ2, 2,
C658&lt;=frequencyQ3, 3,
TRUE, 4)</f>
        <v>4</v>
      </c>
      <c r="G658" s="18" cm="1">
        <f t="array" ref="G658">_xlfn.IFS(
D658&lt;=monetaryQ1, 1,
D658&lt;=monetaryQ2, 2,
D658&lt;=monetaryQ3, 3,
TRUE, 4)</f>
        <v>3</v>
      </c>
      <c r="H658" s="18" t="str">
        <f t="shared" si="53"/>
        <v>443</v>
      </c>
      <c r="I658" s="19">
        <f t="shared" si="54"/>
        <v>3.6666666666666665</v>
      </c>
      <c r="J658" s="7" t="str" cm="1">
        <f t="array" ref="J658">_xlfn.IFS(
I658&gt;=Best_Customers, Best_Customers_name,
I658&gt;=Loyal_Customers, Loyal_Customers_name,
I658&gt;=Average_Customers, Average_Customers_name,
TRUE, Lost_Customers_name)</f>
        <v>Best Customers</v>
      </c>
    </row>
    <row r="659" spans="1:10" x14ac:dyDescent="0.25">
      <c r="A659" s="25" t="str">
        <v>CUST_0655</v>
      </c>
      <c r="B659" s="16">
        <f t="shared" si="50"/>
        <v>31</v>
      </c>
      <c r="C659" s="16">
        <f t="shared" si="51"/>
        <v>6</v>
      </c>
      <c r="D659" s="17">
        <f t="shared" si="52"/>
        <v>584.86</v>
      </c>
      <c r="E659" s="18" cm="1">
        <f t="array" ref="E659">_xlfn.IFS(
B659&lt;=recencyQ1, 4,
B659&lt;=recencyQ2, 3,
B659&lt;=recencyQ3, 2,
TRUE, 1
)</f>
        <v>3</v>
      </c>
      <c r="F659" s="18" cm="1">
        <f t="array" ref="F659">_xlfn.IFS(
C659&lt;=frequencyQ1, 1,
C659&lt;=frequencyQ2, 2,
C659&lt;=frequencyQ3, 3,
TRUE, 4)</f>
        <v>3</v>
      </c>
      <c r="G659" s="18" cm="1">
        <f t="array" ref="G659">_xlfn.IFS(
D659&lt;=monetaryQ1, 1,
D659&lt;=monetaryQ2, 2,
D659&lt;=monetaryQ3, 3,
TRUE, 4)</f>
        <v>3</v>
      </c>
      <c r="H659" s="18" t="str">
        <f t="shared" si="53"/>
        <v>333</v>
      </c>
      <c r="I659" s="19">
        <f t="shared" si="54"/>
        <v>3</v>
      </c>
      <c r="J659" s="7" t="str" cm="1">
        <f t="array" ref="J659">_xlfn.IFS(
I659&gt;=Best_Customers, Best_Customers_name,
I659&gt;=Loyal_Customers, Loyal_Customers_name,
I659&gt;=Average_Customers, Average_Customers_name,
TRUE, Lost_Customers_name)</f>
        <v>Loyal Customers</v>
      </c>
    </row>
    <row r="660" spans="1:10" x14ac:dyDescent="0.25">
      <c r="A660" s="25" t="str">
        <v>CUST_0656</v>
      </c>
      <c r="B660" s="16">
        <f t="shared" si="50"/>
        <v>2</v>
      </c>
      <c r="C660" s="16">
        <f t="shared" si="51"/>
        <v>6</v>
      </c>
      <c r="D660" s="17">
        <f t="shared" si="52"/>
        <v>417.2</v>
      </c>
      <c r="E660" s="18" cm="1">
        <f t="array" ref="E660">_xlfn.IFS(
B660&lt;=recencyQ1, 4,
B660&lt;=recencyQ2, 3,
B660&lt;=recencyQ3, 2,
TRUE, 1
)</f>
        <v>4</v>
      </c>
      <c r="F660" s="18" cm="1">
        <f t="array" ref="F660">_xlfn.IFS(
C660&lt;=frequencyQ1, 1,
C660&lt;=frequencyQ2, 2,
C660&lt;=frequencyQ3, 3,
TRUE, 4)</f>
        <v>3</v>
      </c>
      <c r="G660" s="18" cm="1">
        <f t="array" ref="G660">_xlfn.IFS(
D660&lt;=monetaryQ1, 1,
D660&lt;=monetaryQ2, 2,
D660&lt;=monetaryQ3, 3,
TRUE, 4)</f>
        <v>2</v>
      </c>
      <c r="H660" s="18" t="str">
        <f t="shared" si="53"/>
        <v>432</v>
      </c>
      <c r="I660" s="19">
        <f t="shared" si="54"/>
        <v>3</v>
      </c>
      <c r="J660" s="7" t="str" cm="1">
        <f t="array" ref="J660">_xlfn.IFS(
I660&gt;=Best_Customers, Best_Customers_name,
I660&gt;=Loyal_Customers, Loyal_Customers_name,
I660&gt;=Average_Customers, Average_Customers_name,
TRUE, Lost_Customers_name)</f>
        <v>Loyal Customers</v>
      </c>
    </row>
    <row r="661" spans="1:10" x14ac:dyDescent="0.25">
      <c r="A661" s="25" t="str">
        <v>CUST_0657</v>
      </c>
      <c r="B661" s="16">
        <f t="shared" si="50"/>
        <v>113</v>
      </c>
      <c r="C661" s="16">
        <f t="shared" si="51"/>
        <v>6</v>
      </c>
      <c r="D661" s="17">
        <f t="shared" si="52"/>
        <v>571.31000000000006</v>
      </c>
      <c r="E661" s="18" cm="1">
        <f t="array" ref="E661">_xlfn.IFS(
B661&lt;=recencyQ1, 4,
B661&lt;=recencyQ2, 3,
B661&lt;=recencyQ3, 2,
TRUE, 1
)</f>
        <v>1</v>
      </c>
      <c r="F661" s="18" cm="1">
        <f t="array" ref="F661">_xlfn.IFS(
C661&lt;=frequencyQ1, 1,
C661&lt;=frequencyQ2, 2,
C661&lt;=frequencyQ3, 3,
TRUE, 4)</f>
        <v>3</v>
      </c>
      <c r="G661" s="18" cm="1">
        <f t="array" ref="G661">_xlfn.IFS(
D661&lt;=monetaryQ1, 1,
D661&lt;=monetaryQ2, 2,
D661&lt;=monetaryQ3, 3,
TRUE, 4)</f>
        <v>3</v>
      </c>
      <c r="H661" s="18" t="str">
        <f t="shared" si="53"/>
        <v>133</v>
      </c>
      <c r="I661" s="19">
        <f t="shared" si="54"/>
        <v>2.3333333333333335</v>
      </c>
      <c r="J661" s="7" t="str" cm="1">
        <f t="array" ref="J661">_xlfn.IFS(
I661&gt;=Best_Customers, Best_Customers_name,
I661&gt;=Loyal_Customers, Loyal_Customers_name,
I661&gt;=Average_Customers, Average_Customers_name,
TRUE, Lost_Customers_name)</f>
        <v>Average Customers</v>
      </c>
    </row>
    <row r="662" spans="1:10" x14ac:dyDescent="0.25">
      <c r="A662" s="25" t="str">
        <v>CUST_0658</v>
      </c>
      <c r="B662" s="16">
        <f t="shared" si="50"/>
        <v>48</v>
      </c>
      <c r="C662" s="16">
        <f t="shared" si="51"/>
        <v>11</v>
      </c>
      <c r="D662" s="17">
        <f t="shared" si="52"/>
        <v>1262.3899999999999</v>
      </c>
      <c r="E662" s="18" cm="1">
        <f t="array" ref="E662">_xlfn.IFS(
B662&lt;=recencyQ1, 4,
B662&lt;=recencyQ2, 3,
B662&lt;=recencyQ3, 2,
TRUE, 1
)</f>
        <v>3</v>
      </c>
      <c r="F662" s="18" cm="1">
        <f t="array" ref="F662">_xlfn.IFS(
C662&lt;=frequencyQ1, 1,
C662&lt;=frequencyQ2, 2,
C662&lt;=frequencyQ3, 3,
TRUE, 4)</f>
        <v>4</v>
      </c>
      <c r="G662" s="18" cm="1">
        <f t="array" ref="G662">_xlfn.IFS(
D662&lt;=monetaryQ1, 1,
D662&lt;=monetaryQ2, 2,
D662&lt;=monetaryQ3, 3,
TRUE, 4)</f>
        <v>4</v>
      </c>
      <c r="H662" s="18" t="str">
        <f t="shared" si="53"/>
        <v>344</v>
      </c>
      <c r="I662" s="19">
        <f t="shared" si="54"/>
        <v>3.6666666666666665</v>
      </c>
      <c r="J662" s="7" t="str" cm="1">
        <f t="array" ref="J662">_xlfn.IFS(
I662&gt;=Best_Customers, Best_Customers_name,
I662&gt;=Loyal_Customers, Loyal_Customers_name,
I662&gt;=Average_Customers, Average_Customers_name,
TRUE, Lost_Customers_name)</f>
        <v>Best Customers</v>
      </c>
    </row>
    <row r="663" spans="1:10" x14ac:dyDescent="0.25">
      <c r="A663" s="25" t="str">
        <v>CUST_0659</v>
      </c>
      <c r="B663" s="16">
        <f t="shared" si="50"/>
        <v>21</v>
      </c>
      <c r="C663" s="16">
        <f t="shared" si="51"/>
        <v>7</v>
      </c>
      <c r="D663" s="17">
        <f t="shared" si="52"/>
        <v>661.88999999999987</v>
      </c>
      <c r="E663" s="18" cm="1">
        <f t="array" ref="E663">_xlfn.IFS(
B663&lt;=recencyQ1, 4,
B663&lt;=recencyQ2, 3,
B663&lt;=recencyQ3, 2,
TRUE, 1
)</f>
        <v>3</v>
      </c>
      <c r="F663" s="18" cm="1">
        <f t="array" ref="F663">_xlfn.IFS(
C663&lt;=frequencyQ1, 1,
C663&lt;=frequencyQ2, 2,
C663&lt;=frequencyQ3, 3,
TRUE, 4)</f>
        <v>4</v>
      </c>
      <c r="G663" s="18" cm="1">
        <f t="array" ref="G663">_xlfn.IFS(
D663&lt;=monetaryQ1, 1,
D663&lt;=monetaryQ2, 2,
D663&lt;=monetaryQ3, 3,
TRUE, 4)</f>
        <v>4</v>
      </c>
      <c r="H663" s="18" t="str">
        <f t="shared" si="53"/>
        <v>344</v>
      </c>
      <c r="I663" s="19">
        <f t="shared" si="54"/>
        <v>3.6666666666666665</v>
      </c>
      <c r="J663" s="7" t="str" cm="1">
        <f t="array" ref="J663">_xlfn.IFS(
I663&gt;=Best_Customers, Best_Customers_name,
I663&gt;=Loyal_Customers, Loyal_Customers_name,
I663&gt;=Average_Customers, Average_Customers_name,
TRUE, Lost_Customers_name)</f>
        <v>Best Customers</v>
      </c>
    </row>
    <row r="664" spans="1:10" x14ac:dyDescent="0.25">
      <c r="A664" s="25" t="str">
        <v>CUST_0660</v>
      </c>
      <c r="B664" s="16">
        <f t="shared" si="50"/>
        <v>78</v>
      </c>
      <c r="C664" s="16">
        <f t="shared" si="51"/>
        <v>7</v>
      </c>
      <c r="D664" s="17">
        <f t="shared" si="52"/>
        <v>697.61</v>
      </c>
      <c r="E664" s="18" cm="1">
        <f t="array" ref="E664">_xlfn.IFS(
B664&lt;=recencyQ1, 4,
B664&lt;=recencyQ2, 3,
B664&lt;=recencyQ3, 2,
TRUE, 1
)</f>
        <v>2</v>
      </c>
      <c r="F664" s="18" cm="1">
        <f t="array" ref="F664">_xlfn.IFS(
C664&lt;=frequencyQ1, 1,
C664&lt;=frequencyQ2, 2,
C664&lt;=frequencyQ3, 3,
TRUE, 4)</f>
        <v>4</v>
      </c>
      <c r="G664" s="18" cm="1">
        <f t="array" ref="G664">_xlfn.IFS(
D664&lt;=monetaryQ1, 1,
D664&lt;=monetaryQ2, 2,
D664&lt;=monetaryQ3, 3,
TRUE, 4)</f>
        <v>4</v>
      </c>
      <c r="H664" s="18" t="str">
        <f t="shared" si="53"/>
        <v>244</v>
      </c>
      <c r="I664" s="19">
        <f t="shared" si="54"/>
        <v>3.3333333333333335</v>
      </c>
      <c r="J664" s="7" t="str" cm="1">
        <f t="array" ref="J664">_xlfn.IFS(
I664&gt;=Best_Customers, Best_Customers_name,
I664&gt;=Loyal_Customers, Loyal_Customers_name,
I664&gt;=Average_Customers, Average_Customers_name,
TRUE, Lost_Customers_name)</f>
        <v>Loyal Customers</v>
      </c>
    </row>
    <row r="665" spans="1:10" x14ac:dyDescent="0.25">
      <c r="A665" s="25" t="str">
        <v>CUST_0661</v>
      </c>
      <c r="B665" s="16">
        <f t="shared" si="50"/>
        <v>12</v>
      </c>
      <c r="C665" s="16">
        <f t="shared" si="51"/>
        <v>9</v>
      </c>
      <c r="D665" s="17">
        <f t="shared" si="52"/>
        <v>954.62</v>
      </c>
      <c r="E665" s="18" cm="1">
        <f t="array" ref="E665">_xlfn.IFS(
B665&lt;=recencyQ1, 4,
B665&lt;=recencyQ2, 3,
B665&lt;=recencyQ3, 2,
TRUE, 1
)</f>
        <v>4</v>
      </c>
      <c r="F665" s="18" cm="1">
        <f t="array" ref="F665">_xlfn.IFS(
C665&lt;=frequencyQ1, 1,
C665&lt;=frequencyQ2, 2,
C665&lt;=frequencyQ3, 3,
TRUE, 4)</f>
        <v>4</v>
      </c>
      <c r="G665" s="18" cm="1">
        <f t="array" ref="G665">_xlfn.IFS(
D665&lt;=monetaryQ1, 1,
D665&lt;=monetaryQ2, 2,
D665&lt;=monetaryQ3, 3,
TRUE, 4)</f>
        <v>4</v>
      </c>
      <c r="H665" s="18" t="str">
        <f t="shared" si="53"/>
        <v>444</v>
      </c>
      <c r="I665" s="19">
        <f t="shared" si="54"/>
        <v>4</v>
      </c>
      <c r="J665" s="7" t="str" cm="1">
        <f t="array" ref="J665">_xlfn.IFS(
I665&gt;=Best_Customers, Best_Customers_name,
I665&gt;=Loyal_Customers, Loyal_Customers_name,
I665&gt;=Average_Customers, Average_Customers_name,
TRUE, Lost_Customers_name)</f>
        <v>Best Customers</v>
      </c>
    </row>
    <row r="666" spans="1:10" x14ac:dyDescent="0.25">
      <c r="A666" s="25" t="str">
        <v>CUST_0662</v>
      </c>
      <c r="B666" s="16">
        <f t="shared" si="50"/>
        <v>4</v>
      </c>
      <c r="C666" s="16">
        <f t="shared" si="51"/>
        <v>6</v>
      </c>
      <c r="D666" s="17">
        <f t="shared" si="52"/>
        <v>545.07000000000005</v>
      </c>
      <c r="E666" s="18" cm="1">
        <f t="array" ref="E666">_xlfn.IFS(
B666&lt;=recencyQ1, 4,
B666&lt;=recencyQ2, 3,
B666&lt;=recencyQ3, 2,
TRUE, 1
)</f>
        <v>4</v>
      </c>
      <c r="F666" s="18" cm="1">
        <f t="array" ref="F666">_xlfn.IFS(
C666&lt;=frequencyQ1, 1,
C666&lt;=frequencyQ2, 2,
C666&lt;=frequencyQ3, 3,
TRUE, 4)</f>
        <v>3</v>
      </c>
      <c r="G666" s="18" cm="1">
        <f t="array" ref="G666">_xlfn.IFS(
D666&lt;=monetaryQ1, 1,
D666&lt;=monetaryQ2, 2,
D666&lt;=monetaryQ3, 3,
TRUE, 4)</f>
        <v>3</v>
      </c>
      <c r="H666" s="18" t="str">
        <f t="shared" si="53"/>
        <v>433</v>
      </c>
      <c r="I666" s="19">
        <f t="shared" si="54"/>
        <v>3.3333333333333335</v>
      </c>
      <c r="J666" s="7" t="str" cm="1">
        <f t="array" ref="J666">_xlfn.IFS(
I666&gt;=Best_Customers, Best_Customers_name,
I666&gt;=Loyal_Customers, Loyal_Customers_name,
I666&gt;=Average_Customers, Average_Customers_name,
TRUE, Lost_Customers_name)</f>
        <v>Loyal Customers</v>
      </c>
    </row>
    <row r="667" spans="1:10" x14ac:dyDescent="0.25">
      <c r="A667" s="25" t="str">
        <v>CUST_0663</v>
      </c>
      <c r="B667" s="16">
        <f t="shared" si="50"/>
        <v>1</v>
      </c>
      <c r="C667" s="16">
        <f t="shared" si="51"/>
        <v>14</v>
      </c>
      <c r="D667" s="17">
        <f t="shared" si="52"/>
        <v>1264.93</v>
      </c>
      <c r="E667" s="18" cm="1">
        <f t="array" ref="E667">_xlfn.IFS(
B667&lt;=recencyQ1, 4,
B667&lt;=recencyQ2, 3,
B667&lt;=recencyQ3, 2,
TRUE, 1
)</f>
        <v>4</v>
      </c>
      <c r="F667" s="18" cm="1">
        <f t="array" ref="F667">_xlfn.IFS(
C667&lt;=frequencyQ1, 1,
C667&lt;=frequencyQ2, 2,
C667&lt;=frequencyQ3, 3,
TRUE, 4)</f>
        <v>4</v>
      </c>
      <c r="G667" s="18" cm="1">
        <f t="array" ref="G667">_xlfn.IFS(
D667&lt;=monetaryQ1, 1,
D667&lt;=monetaryQ2, 2,
D667&lt;=monetaryQ3, 3,
TRUE, 4)</f>
        <v>4</v>
      </c>
      <c r="H667" s="18" t="str">
        <f t="shared" si="53"/>
        <v>444</v>
      </c>
      <c r="I667" s="19">
        <f t="shared" si="54"/>
        <v>4</v>
      </c>
      <c r="J667" s="7" t="str" cm="1">
        <f t="array" ref="J667">_xlfn.IFS(
I667&gt;=Best_Customers, Best_Customers_name,
I667&gt;=Loyal_Customers, Loyal_Customers_name,
I667&gt;=Average_Customers, Average_Customers_name,
TRUE, Lost_Customers_name)</f>
        <v>Best Customers</v>
      </c>
    </row>
    <row r="668" spans="1:10" x14ac:dyDescent="0.25">
      <c r="A668" s="25" t="str">
        <v>CUST_0664</v>
      </c>
      <c r="B668" s="16">
        <f t="shared" si="50"/>
        <v>38</v>
      </c>
      <c r="C668" s="16">
        <f t="shared" si="51"/>
        <v>6</v>
      </c>
      <c r="D668" s="17">
        <f t="shared" si="52"/>
        <v>596.81999999999994</v>
      </c>
      <c r="E668" s="18" cm="1">
        <f t="array" ref="E668">_xlfn.IFS(
B668&lt;=recencyQ1, 4,
B668&lt;=recencyQ2, 3,
B668&lt;=recencyQ3, 2,
TRUE, 1
)</f>
        <v>3</v>
      </c>
      <c r="F668" s="18" cm="1">
        <f t="array" ref="F668">_xlfn.IFS(
C668&lt;=frequencyQ1, 1,
C668&lt;=frequencyQ2, 2,
C668&lt;=frequencyQ3, 3,
TRUE, 4)</f>
        <v>3</v>
      </c>
      <c r="G668" s="18" cm="1">
        <f t="array" ref="G668">_xlfn.IFS(
D668&lt;=monetaryQ1, 1,
D668&lt;=monetaryQ2, 2,
D668&lt;=monetaryQ3, 3,
TRUE, 4)</f>
        <v>3</v>
      </c>
      <c r="H668" s="18" t="str">
        <f t="shared" si="53"/>
        <v>333</v>
      </c>
      <c r="I668" s="19">
        <f t="shared" si="54"/>
        <v>3</v>
      </c>
      <c r="J668" s="7" t="str" cm="1">
        <f t="array" ref="J668">_xlfn.IFS(
I668&gt;=Best_Customers, Best_Customers_name,
I668&gt;=Loyal_Customers, Loyal_Customers_name,
I668&gt;=Average_Customers, Average_Customers_name,
TRUE, Lost_Customers_name)</f>
        <v>Loyal Customers</v>
      </c>
    </row>
    <row r="669" spans="1:10" x14ac:dyDescent="0.25">
      <c r="A669" s="25" t="str">
        <v>CUST_0665</v>
      </c>
      <c r="B669" s="16">
        <f t="shared" si="50"/>
        <v>9</v>
      </c>
      <c r="C669" s="16">
        <f t="shared" si="51"/>
        <v>10</v>
      </c>
      <c r="D669" s="17">
        <f t="shared" si="52"/>
        <v>1101.6600000000001</v>
      </c>
      <c r="E669" s="18" cm="1">
        <f t="array" ref="E669">_xlfn.IFS(
B669&lt;=recencyQ1, 4,
B669&lt;=recencyQ2, 3,
B669&lt;=recencyQ3, 2,
TRUE, 1
)</f>
        <v>4</v>
      </c>
      <c r="F669" s="18" cm="1">
        <f t="array" ref="F669">_xlfn.IFS(
C669&lt;=frequencyQ1, 1,
C669&lt;=frequencyQ2, 2,
C669&lt;=frequencyQ3, 3,
TRUE, 4)</f>
        <v>4</v>
      </c>
      <c r="G669" s="18" cm="1">
        <f t="array" ref="G669">_xlfn.IFS(
D669&lt;=monetaryQ1, 1,
D669&lt;=monetaryQ2, 2,
D669&lt;=monetaryQ3, 3,
TRUE, 4)</f>
        <v>4</v>
      </c>
      <c r="H669" s="18" t="str">
        <f t="shared" si="53"/>
        <v>444</v>
      </c>
      <c r="I669" s="19">
        <f t="shared" si="54"/>
        <v>4</v>
      </c>
      <c r="J669" s="7" t="str" cm="1">
        <f t="array" ref="J669">_xlfn.IFS(
I669&gt;=Best_Customers, Best_Customers_name,
I669&gt;=Loyal_Customers, Loyal_Customers_name,
I669&gt;=Average_Customers, Average_Customers_name,
TRUE, Lost_Customers_name)</f>
        <v>Best Customers</v>
      </c>
    </row>
    <row r="670" spans="1:10" x14ac:dyDescent="0.25">
      <c r="A670" s="25" t="str">
        <v>CUST_0666</v>
      </c>
      <c r="B670" s="16">
        <f t="shared" si="50"/>
        <v>53</v>
      </c>
      <c r="C670" s="16">
        <f t="shared" si="51"/>
        <v>4</v>
      </c>
      <c r="D670" s="17">
        <f t="shared" si="52"/>
        <v>432.3</v>
      </c>
      <c r="E670" s="18" cm="1">
        <f t="array" ref="E670">_xlfn.IFS(
B670&lt;=recencyQ1, 4,
B670&lt;=recencyQ2, 3,
B670&lt;=recencyQ3, 2,
TRUE, 1
)</f>
        <v>2</v>
      </c>
      <c r="F670" s="18" cm="1">
        <f t="array" ref="F670">_xlfn.IFS(
C670&lt;=frequencyQ1, 1,
C670&lt;=frequencyQ2, 2,
C670&lt;=frequencyQ3, 3,
TRUE, 4)</f>
        <v>2</v>
      </c>
      <c r="G670" s="18" cm="1">
        <f t="array" ref="G670">_xlfn.IFS(
D670&lt;=monetaryQ1, 1,
D670&lt;=monetaryQ2, 2,
D670&lt;=monetaryQ3, 3,
TRUE, 4)</f>
        <v>2</v>
      </c>
      <c r="H670" s="18" t="str">
        <f t="shared" si="53"/>
        <v>222</v>
      </c>
      <c r="I670" s="19">
        <f t="shared" si="54"/>
        <v>2</v>
      </c>
      <c r="J670" s="7" t="str" cm="1">
        <f t="array" ref="J670">_xlfn.IFS(
I670&gt;=Best_Customers, Best_Customers_name,
I670&gt;=Loyal_Customers, Loyal_Customers_name,
I670&gt;=Average_Customers, Average_Customers_name,
TRUE, Lost_Customers_name)</f>
        <v>Average Customers</v>
      </c>
    </row>
    <row r="671" spans="1:10" x14ac:dyDescent="0.25">
      <c r="A671" s="25" t="str">
        <v>CUST_0667</v>
      </c>
      <c r="B671" s="16">
        <f t="shared" si="50"/>
        <v>29</v>
      </c>
      <c r="C671" s="16">
        <f t="shared" si="51"/>
        <v>2</v>
      </c>
      <c r="D671" s="17">
        <f t="shared" si="52"/>
        <v>201.46</v>
      </c>
      <c r="E671" s="18" cm="1">
        <f t="array" ref="E671">_xlfn.IFS(
B671&lt;=recencyQ1, 4,
B671&lt;=recencyQ2, 3,
B671&lt;=recencyQ3, 2,
TRUE, 1
)</f>
        <v>3</v>
      </c>
      <c r="F671" s="18" cm="1">
        <f t="array" ref="F671">_xlfn.IFS(
C671&lt;=frequencyQ1, 1,
C671&lt;=frequencyQ2, 2,
C671&lt;=frequencyQ3, 3,
TRUE, 4)</f>
        <v>1</v>
      </c>
      <c r="G671" s="18" cm="1">
        <f t="array" ref="G671">_xlfn.IFS(
D671&lt;=monetaryQ1, 1,
D671&lt;=monetaryQ2, 2,
D671&lt;=monetaryQ3, 3,
TRUE, 4)</f>
        <v>1</v>
      </c>
      <c r="H671" s="18" t="str">
        <f t="shared" si="53"/>
        <v>311</v>
      </c>
      <c r="I671" s="19">
        <f t="shared" si="54"/>
        <v>1.6666666666666667</v>
      </c>
      <c r="J671" s="7" t="str" cm="1">
        <f t="array" ref="J671">_xlfn.IFS(
I671&gt;=Best_Customers, Best_Customers_name,
I671&gt;=Loyal_Customers, Loyal_Customers_name,
I671&gt;=Average_Customers, Average_Customers_name,
TRUE, Lost_Customers_name)</f>
        <v>Average Customers</v>
      </c>
    </row>
    <row r="672" spans="1:10" x14ac:dyDescent="0.25">
      <c r="A672" s="25" t="str">
        <v>CUST_0668</v>
      </c>
      <c r="B672" s="16">
        <f t="shared" si="50"/>
        <v>129</v>
      </c>
      <c r="C672" s="16">
        <f t="shared" si="51"/>
        <v>5</v>
      </c>
      <c r="D672" s="17">
        <f t="shared" si="52"/>
        <v>404.28999999999996</v>
      </c>
      <c r="E672" s="18" cm="1">
        <f t="array" ref="E672">_xlfn.IFS(
B672&lt;=recencyQ1, 4,
B672&lt;=recencyQ2, 3,
B672&lt;=recencyQ3, 2,
TRUE, 1
)</f>
        <v>1</v>
      </c>
      <c r="F672" s="18" cm="1">
        <f t="array" ref="F672">_xlfn.IFS(
C672&lt;=frequencyQ1, 1,
C672&lt;=frequencyQ2, 2,
C672&lt;=frequencyQ3, 3,
TRUE, 4)</f>
        <v>2</v>
      </c>
      <c r="G672" s="18" cm="1">
        <f t="array" ref="G672">_xlfn.IFS(
D672&lt;=monetaryQ1, 1,
D672&lt;=monetaryQ2, 2,
D672&lt;=monetaryQ3, 3,
TRUE, 4)</f>
        <v>2</v>
      </c>
      <c r="H672" s="18" t="str">
        <f t="shared" si="53"/>
        <v>122</v>
      </c>
      <c r="I672" s="19">
        <f t="shared" si="54"/>
        <v>1.6666666666666667</v>
      </c>
      <c r="J672" s="7" t="str" cm="1">
        <f t="array" ref="J672">_xlfn.IFS(
I672&gt;=Best_Customers, Best_Customers_name,
I672&gt;=Loyal_Customers, Loyal_Customers_name,
I672&gt;=Average_Customers, Average_Customers_name,
TRUE, Lost_Customers_name)</f>
        <v>Average Customers</v>
      </c>
    </row>
    <row r="673" spans="1:10" x14ac:dyDescent="0.25">
      <c r="A673" s="25" t="str">
        <v>CUST_0669</v>
      </c>
      <c r="B673" s="16">
        <f t="shared" si="50"/>
        <v>7</v>
      </c>
      <c r="C673" s="16">
        <f t="shared" si="51"/>
        <v>12</v>
      </c>
      <c r="D673" s="17">
        <f t="shared" si="52"/>
        <v>1065.9499999999998</v>
      </c>
      <c r="E673" s="18" cm="1">
        <f t="array" ref="E673">_xlfn.IFS(
B673&lt;=recencyQ1, 4,
B673&lt;=recencyQ2, 3,
B673&lt;=recencyQ3, 2,
TRUE, 1
)</f>
        <v>4</v>
      </c>
      <c r="F673" s="18" cm="1">
        <f t="array" ref="F673">_xlfn.IFS(
C673&lt;=frequencyQ1, 1,
C673&lt;=frequencyQ2, 2,
C673&lt;=frequencyQ3, 3,
TRUE, 4)</f>
        <v>4</v>
      </c>
      <c r="G673" s="18" cm="1">
        <f t="array" ref="G673">_xlfn.IFS(
D673&lt;=monetaryQ1, 1,
D673&lt;=monetaryQ2, 2,
D673&lt;=monetaryQ3, 3,
TRUE, 4)</f>
        <v>4</v>
      </c>
      <c r="H673" s="18" t="str">
        <f t="shared" si="53"/>
        <v>444</v>
      </c>
      <c r="I673" s="19">
        <f t="shared" si="54"/>
        <v>4</v>
      </c>
      <c r="J673" s="7" t="str" cm="1">
        <f t="array" ref="J673">_xlfn.IFS(
I673&gt;=Best_Customers, Best_Customers_name,
I673&gt;=Loyal_Customers, Loyal_Customers_name,
I673&gt;=Average_Customers, Average_Customers_name,
TRUE, Lost_Customers_name)</f>
        <v>Best Customers</v>
      </c>
    </row>
    <row r="674" spans="1:10" x14ac:dyDescent="0.25">
      <c r="A674" s="25" t="str">
        <v>CUST_0671</v>
      </c>
      <c r="B674" s="16">
        <f t="shared" si="50"/>
        <v>10</v>
      </c>
      <c r="C674" s="16">
        <f t="shared" si="51"/>
        <v>10</v>
      </c>
      <c r="D674" s="17">
        <f t="shared" si="52"/>
        <v>1055.53</v>
      </c>
      <c r="E674" s="18" cm="1">
        <f t="array" ref="E674">_xlfn.IFS(
B674&lt;=recencyQ1, 4,
B674&lt;=recencyQ2, 3,
B674&lt;=recencyQ3, 2,
TRUE, 1
)</f>
        <v>4</v>
      </c>
      <c r="F674" s="18" cm="1">
        <f t="array" ref="F674">_xlfn.IFS(
C674&lt;=frequencyQ1, 1,
C674&lt;=frequencyQ2, 2,
C674&lt;=frequencyQ3, 3,
TRUE, 4)</f>
        <v>4</v>
      </c>
      <c r="G674" s="18" cm="1">
        <f t="array" ref="G674">_xlfn.IFS(
D674&lt;=monetaryQ1, 1,
D674&lt;=monetaryQ2, 2,
D674&lt;=monetaryQ3, 3,
TRUE, 4)</f>
        <v>4</v>
      </c>
      <c r="H674" s="18" t="str">
        <f t="shared" si="53"/>
        <v>444</v>
      </c>
      <c r="I674" s="19">
        <f t="shared" si="54"/>
        <v>4</v>
      </c>
      <c r="J674" s="7" t="str" cm="1">
        <f t="array" ref="J674">_xlfn.IFS(
I674&gt;=Best_Customers, Best_Customers_name,
I674&gt;=Loyal_Customers, Loyal_Customers_name,
I674&gt;=Average_Customers, Average_Customers_name,
TRUE, Lost_Customers_name)</f>
        <v>Best Customers</v>
      </c>
    </row>
    <row r="675" spans="1:10" x14ac:dyDescent="0.25">
      <c r="A675" s="25" t="str">
        <v>CUST_0672</v>
      </c>
      <c r="B675" s="16">
        <f t="shared" si="50"/>
        <v>100</v>
      </c>
      <c r="C675" s="16">
        <f t="shared" si="51"/>
        <v>7</v>
      </c>
      <c r="D675" s="17">
        <f t="shared" si="52"/>
        <v>836.93999999999994</v>
      </c>
      <c r="E675" s="18" cm="1">
        <f t="array" ref="E675">_xlfn.IFS(
B675&lt;=recencyQ1, 4,
B675&lt;=recencyQ2, 3,
B675&lt;=recencyQ3, 2,
TRUE, 1
)</f>
        <v>1</v>
      </c>
      <c r="F675" s="18" cm="1">
        <f t="array" ref="F675">_xlfn.IFS(
C675&lt;=frequencyQ1, 1,
C675&lt;=frequencyQ2, 2,
C675&lt;=frequencyQ3, 3,
TRUE, 4)</f>
        <v>4</v>
      </c>
      <c r="G675" s="18" cm="1">
        <f t="array" ref="G675">_xlfn.IFS(
D675&lt;=monetaryQ1, 1,
D675&lt;=monetaryQ2, 2,
D675&lt;=monetaryQ3, 3,
TRUE, 4)</f>
        <v>4</v>
      </c>
      <c r="H675" s="18" t="str">
        <f t="shared" si="53"/>
        <v>144</v>
      </c>
      <c r="I675" s="19">
        <f t="shared" si="54"/>
        <v>3</v>
      </c>
      <c r="J675" s="7" t="str" cm="1">
        <f t="array" ref="J675">_xlfn.IFS(
I675&gt;=Best_Customers, Best_Customers_name,
I675&gt;=Loyal_Customers, Loyal_Customers_name,
I675&gt;=Average_Customers, Average_Customers_name,
TRUE, Lost_Customers_name)</f>
        <v>Loyal Customers</v>
      </c>
    </row>
    <row r="676" spans="1:10" x14ac:dyDescent="0.25">
      <c r="A676" s="25" t="str">
        <v>CUST_0673</v>
      </c>
      <c r="B676" s="16">
        <f t="shared" si="50"/>
        <v>61</v>
      </c>
      <c r="C676" s="16">
        <f t="shared" si="51"/>
        <v>2</v>
      </c>
      <c r="D676" s="17">
        <f t="shared" si="52"/>
        <v>159.01</v>
      </c>
      <c r="E676" s="18" cm="1">
        <f t="array" ref="E676">_xlfn.IFS(
B676&lt;=recencyQ1, 4,
B676&lt;=recencyQ2, 3,
B676&lt;=recencyQ3, 2,
TRUE, 1
)</f>
        <v>2</v>
      </c>
      <c r="F676" s="18" cm="1">
        <f t="array" ref="F676">_xlfn.IFS(
C676&lt;=frequencyQ1, 1,
C676&lt;=frequencyQ2, 2,
C676&lt;=frequencyQ3, 3,
TRUE, 4)</f>
        <v>1</v>
      </c>
      <c r="G676" s="18" cm="1">
        <f t="array" ref="G676">_xlfn.IFS(
D676&lt;=monetaryQ1, 1,
D676&lt;=monetaryQ2, 2,
D676&lt;=monetaryQ3, 3,
TRUE, 4)</f>
        <v>1</v>
      </c>
      <c r="H676" s="18" t="str">
        <f t="shared" si="53"/>
        <v>211</v>
      </c>
      <c r="I676" s="19">
        <f t="shared" si="54"/>
        <v>1.3333333333333333</v>
      </c>
      <c r="J676" s="7" t="str" cm="1">
        <f t="array" ref="J676">_xlfn.IFS(
I676&gt;=Best_Customers, Best_Customers_name,
I676&gt;=Loyal_Customers, Loyal_Customers_name,
I676&gt;=Average_Customers, Average_Customers_name,
TRUE, Lost_Customers_name)</f>
        <v>Lost Customers</v>
      </c>
    </row>
    <row r="677" spans="1:10" x14ac:dyDescent="0.25">
      <c r="A677" s="25" t="str">
        <v>CUST_0674</v>
      </c>
      <c r="B677" s="16">
        <f t="shared" si="50"/>
        <v>148</v>
      </c>
      <c r="C677" s="16">
        <f t="shared" si="51"/>
        <v>5</v>
      </c>
      <c r="D677" s="17">
        <f t="shared" si="52"/>
        <v>663.22</v>
      </c>
      <c r="E677" s="18" cm="1">
        <f t="array" ref="E677">_xlfn.IFS(
B677&lt;=recencyQ1, 4,
B677&lt;=recencyQ2, 3,
B677&lt;=recencyQ3, 2,
TRUE, 1
)</f>
        <v>1</v>
      </c>
      <c r="F677" s="18" cm="1">
        <f t="array" ref="F677">_xlfn.IFS(
C677&lt;=frequencyQ1, 1,
C677&lt;=frequencyQ2, 2,
C677&lt;=frequencyQ3, 3,
TRUE, 4)</f>
        <v>2</v>
      </c>
      <c r="G677" s="18" cm="1">
        <f t="array" ref="G677">_xlfn.IFS(
D677&lt;=monetaryQ1, 1,
D677&lt;=monetaryQ2, 2,
D677&lt;=monetaryQ3, 3,
TRUE, 4)</f>
        <v>4</v>
      </c>
      <c r="H677" s="18" t="str">
        <f t="shared" si="53"/>
        <v>124</v>
      </c>
      <c r="I677" s="19">
        <f t="shared" si="54"/>
        <v>2.3333333333333335</v>
      </c>
      <c r="J677" s="7" t="str" cm="1">
        <f t="array" ref="J677">_xlfn.IFS(
I677&gt;=Best_Customers, Best_Customers_name,
I677&gt;=Loyal_Customers, Loyal_Customers_name,
I677&gt;=Average_Customers, Average_Customers_name,
TRUE, Lost_Customers_name)</f>
        <v>Average Customers</v>
      </c>
    </row>
    <row r="678" spans="1:10" x14ac:dyDescent="0.25">
      <c r="A678" s="25" t="str">
        <v>CUST_0675</v>
      </c>
      <c r="B678" s="16">
        <f t="shared" si="50"/>
        <v>71</v>
      </c>
      <c r="C678" s="16">
        <f t="shared" si="51"/>
        <v>11</v>
      </c>
      <c r="D678" s="17">
        <f t="shared" si="52"/>
        <v>1076.8000000000002</v>
      </c>
      <c r="E678" s="18" cm="1">
        <f t="array" ref="E678">_xlfn.IFS(
B678&lt;=recencyQ1, 4,
B678&lt;=recencyQ2, 3,
B678&lt;=recencyQ3, 2,
TRUE, 1
)</f>
        <v>2</v>
      </c>
      <c r="F678" s="18" cm="1">
        <f t="array" ref="F678">_xlfn.IFS(
C678&lt;=frequencyQ1, 1,
C678&lt;=frequencyQ2, 2,
C678&lt;=frequencyQ3, 3,
TRUE, 4)</f>
        <v>4</v>
      </c>
      <c r="G678" s="18" cm="1">
        <f t="array" ref="G678">_xlfn.IFS(
D678&lt;=monetaryQ1, 1,
D678&lt;=monetaryQ2, 2,
D678&lt;=monetaryQ3, 3,
TRUE, 4)</f>
        <v>4</v>
      </c>
      <c r="H678" s="18" t="str">
        <f t="shared" si="53"/>
        <v>244</v>
      </c>
      <c r="I678" s="19">
        <f t="shared" si="54"/>
        <v>3.3333333333333335</v>
      </c>
      <c r="J678" s="7" t="str" cm="1">
        <f t="array" ref="J678">_xlfn.IFS(
I678&gt;=Best_Customers, Best_Customers_name,
I678&gt;=Loyal_Customers, Loyal_Customers_name,
I678&gt;=Average_Customers, Average_Customers_name,
TRUE, Lost_Customers_name)</f>
        <v>Loyal Customers</v>
      </c>
    </row>
    <row r="679" spans="1:10" x14ac:dyDescent="0.25">
      <c r="A679" s="25" t="str">
        <v>CUST_0676</v>
      </c>
      <c r="B679" s="16">
        <f t="shared" si="50"/>
        <v>58</v>
      </c>
      <c r="C679" s="16">
        <f t="shared" si="51"/>
        <v>3</v>
      </c>
      <c r="D679" s="17">
        <f t="shared" si="52"/>
        <v>268.60000000000002</v>
      </c>
      <c r="E679" s="18" cm="1">
        <f t="array" ref="E679">_xlfn.IFS(
B679&lt;=recencyQ1, 4,
B679&lt;=recencyQ2, 3,
B679&lt;=recencyQ3, 2,
TRUE, 1
)</f>
        <v>2</v>
      </c>
      <c r="F679" s="18" cm="1">
        <f t="array" ref="F679">_xlfn.IFS(
C679&lt;=frequencyQ1, 1,
C679&lt;=frequencyQ2, 2,
C679&lt;=frequencyQ3, 3,
TRUE, 4)</f>
        <v>1</v>
      </c>
      <c r="G679" s="18" cm="1">
        <f t="array" ref="G679">_xlfn.IFS(
D679&lt;=monetaryQ1, 1,
D679&lt;=monetaryQ2, 2,
D679&lt;=monetaryQ3, 3,
TRUE, 4)</f>
        <v>1</v>
      </c>
      <c r="H679" s="18" t="str">
        <f t="shared" si="53"/>
        <v>211</v>
      </c>
      <c r="I679" s="19">
        <f t="shared" si="54"/>
        <v>1.3333333333333333</v>
      </c>
      <c r="J679" s="7" t="str" cm="1">
        <f t="array" ref="J679">_xlfn.IFS(
I679&gt;=Best_Customers, Best_Customers_name,
I679&gt;=Loyal_Customers, Loyal_Customers_name,
I679&gt;=Average_Customers, Average_Customers_name,
TRUE, Lost_Customers_name)</f>
        <v>Lost Customers</v>
      </c>
    </row>
    <row r="680" spans="1:10" x14ac:dyDescent="0.25">
      <c r="A680" s="25" t="str">
        <v>CUST_0677</v>
      </c>
      <c r="B680" s="16">
        <f t="shared" si="50"/>
        <v>28</v>
      </c>
      <c r="C680" s="16">
        <f t="shared" si="51"/>
        <v>4</v>
      </c>
      <c r="D680" s="17">
        <f t="shared" si="52"/>
        <v>453.96999999999997</v>
      </c>
      <c r="E680" s="18" cm="1">
        <f t="array" ref="E680">_xlfn.IFS(
B680&lt;=recencyQ1, 4,
B680&lt;=recencyQ2, 3,
B680&lt;=recencyQ3, 2,
TRUE, 1
)</f>
        <v>3</v>
      </c>
      <c r="F680" s="18" cm="1">
        <f t="array" ref="F680">_xlfn.IFS(
C680&lt;=frequencyQ1, 1,
C680&lt;=frequencyQ2, 2,
C680&lt;=frequencyQ3, 3,
TRUE, 4)</f>
        <v>2</v>
      </c>
      <c r="G680" s="18" cm="1">
        <f t="array" ref="G680">_xlfn.IFS(
D680&lt;=monetaryQ1, 1,
D680&lt;=monetaryQ2, 2,
D680&lt;=monetaryQ3, 3,
TRUE, 4)</f>
        <v>2</v>
      </c>
      <c r="H680" s="18" t="str">
        <f t="shared" si="53"/>
        <v>322</v>
      </c>
      <c r="I680" s="19">
        <f t="shared" si="54"/>
        <v>2.3333333333333335</v>
      </c>
      <c r="J680" s="7" t="str" cm="1">
        <f t="array" ref="J680">_xlfn.IFS(
I680&gt;=Best_Customers, Best_Customers_name,
I680&gt;=Loyal_Customers, Loyal_Customers_name,
I680&gt;=Average_Customers, Average_Customers_name,
TRUE, Lost_Customers_name)</f>
        <v>Average Customers</v>
      </c>
    </row>
    <row r="681" spans="1:10" x14ac:dyDescent="0.25">
      <c r="A681" s="25" t="str">
        <v>CUST_0678</v>
      </c>
      <c r="B681" s="16">
        <f t="shared" si="50"/>
        <v>73</v>
      </c>
      <c r="C681" s="16">
        <f t="shared" si="51"/>
        <v>3</v>
      </c>
      <c r="D681" s="17">
        <f t="shared" si="52"/>
        <v>352.32000000000005</v>
      </c>
      <c r="E681" s="18" cm="1">
        <f t="array" ref="E681">_xlfn.IFS(
B681&lt;=recencyQ1, 4,
B681&lt;=recencyQ2, 3,
B681&lt;=recencyQ3, 2,
TRUE, 1
)</f>
        <v>2</v>
      </c>
      <c r="F681" s="18" cm="1">
        <f t="array" ref="F681">_xlfn.IFS(
C681&lt;=frequencyQ1, 1,
C681&lt;=frequencyQ2, 2,
C681&lt;=frequencyQ3, 3,
TRUE, 4)</f>
        <v>1</v>
      </c>
      <c r="G681" s="18" cm="1">
        <f t="array" ref="G681">_xlfn.IFS(
D681&lt;=monetaryQ1, 1,
D681&lt;=monetaryQ2, 2,
D681&lt;=monetaryQ3, 3,
TRUE, 4)</f>
        <v>2</v>
      </c>
      <c r="H681" s="18" t="str">
        <f t="shared" si="53"/>
        <v>212</v>
      </c>
      <c r="I681" s="19">
        <f t="shared" si="54"/>
        <v>1.6666666666666667</v>
      </c>
      <c r="J681" s="7" t="str" cm="1">
        <f t="array" ref="J681">_xlfn.IFS(
I681&gt;=Best_Customers, Best_Customers_name,
I681&gt;=Loyal_Customers, Loyal_Customers_name,
I681&gt;=Average_Customers, Average_Customers_name,
TRUE, Lost_Customers_name)</f>
        <v>Average Customers</v>
      </c>
    </row>
    <row r="682" spans="1:10" x14ac:dyDescent="0.25">
      <c r="A682" s="25" t="str">
        <v>CUST_0679</v>
      </c>
      <c r="B682" s="16">
        <f t="shared" si="50"/>
        <v>296</v>
      </c>
      <c r="C682" s="16">
        <f t="shared" si="51"/>
        <v>1</v>
      </c>
      <c r="D682" s="17">
        <f t="shared" si="52"/>
        <v>116.79</v>
      </c>
      <c r="E682" s="18" cm="1">
        <f t="array" ref="E682">_xlfn.IFS(
B682&lt;=recencyQ1, 4,
B682&lt;=recencyQ2, 3,
B682&lt;=recencyQ3, 2,
TRUE, 1
)</f>
        <v>1</v>
      </c>
      <c r="F682" s="18" cm="1">
        <f t="array" ref="F682">_xlfn.IFS(
C682&lt;=frequencyQ1, 1,
C682&lt;=frequencyQ2, 2,
C682&lt;=frequencyQ3, 3,
TRUE, 4)</f>
        <v>1</v>
      </c>
      <c r="G682" s="18" cm="1">
        <f t="array" ref="G682">_xlfn.IFS(
D682&lt;=monetaryQ1, 1,
D682&lt;=monetaryQ2, 2,
D682&lt;=monetaryQ3, 3,
TRUE, 4)</f>
        <v>1</v>
      </c>
      <c r="H682" s="18" t="str">
        <f t="shared" si="53"/>
        <v>111</v>
      </c>
      <c r="I682" s="19">
        <f t="shared" si="54"/>
        <v>1</v>
      </c>
      <c r="J682" s="7" t="str" cm="1">
        <f t="array" ref="J682">_xlfn.IFS(
I682&gt;=Best_Customers, Best_Customers_name,
I682&gt;=Loyal_Customers, Loyal_Customers_name,
I682&gt;=Average_Customers, Average_Customers_name,
TRUE, Lost_Customers_name)</f>
        <v>Lost Customers</v>
      </c>
    </row>
    <row r="683" spans="1:10" x14ac:dyDescent="0.25">
      <c r="A683" s="25" t="str">
        <v>CUST_0680</v>
      </c>
      <c r="B683" s="16">
        <f t="shared" si="50"/>
        <v>9</v>
      </c>
      <c r="C683" s="16">
        <f t="shared" si="51"/>
        <v>5</v>
      </c>
      <c r="D683" s="17">
        <f t="shared" si="52"/>
        <v>581.88</v>
      </c>
      <c r="E683" s="18" cm="1">
        <f t="array" ref="E683">_xlfn.IFS(
B683&lt;=recencyQ1, 4,
B683&lt;=recencyQ2, 3,
B683&lt;=recencyQ3, 2,
TRUE, 1
)</f>
        <v>4</v>
      </c>
      <c r="F683" s="18" cm="1">
        <f t="array" ref="F683">_xlfn.IFS(
C683&lt;=frequencyQ1, 1,
C683&lt;=frequencyQ2, 2,
C683&lt;=frequencyQ3, 3,
TRUE, 4)</f>
        <v>2</v>
      </c>
      <c r="G683" s="18" cm="1">
        <f t="array" ref="G683">_xlfn.IFS(
D683&lt;=monetaryQ1, 1,
D683&lt;=monetaryQ2, 2,
D683&lt;=monetaryQ3, 3,
TRUE, 4)</f>
        <v>3</v>
      </c>
      <c r="H683" s="18" t="str">
        <f t="shared" si="53"/>
        <v>423</v>
      </c>
      <c r="I683" s="19">
        <f t="shared" si="54"/>
        <v>3</v>
      </c>
      <c r="J683" s="7" t="str" cm="1">
        <f t="array" ref="J683">_xlfn.IFS(
I683&gt;=Best_Customers, Best_Customers_name,
I683&gt;=Loyal_Customers, Loyal_Customers_name,
I683&gt;=Average_Customers, Average_Customers_name,
TRUE, Lost_Customers_name)</f>
        <v>Loyal Customers</v>
      </c>
    </row>
    <row r="684" spans="1:10" x14ac:dyDescent="0.25">
      <c r="A684" s="25" t="str">
        <v>CUST_0681</v>
      </c>
      <c r="B684" s="16">
        <f t="shared" si="50"/>
        <v>38</v>
      </c>
      <c r="C684" s="16">
        <f t="shared" si="51"/>
        <v>6</v>
      </c>
      <c r="D684" s="17">
        <f t="shared" si="52"/>
        <v>599.6</v>
      </c>
      <c r="E684" s="18" cm="1">
        <f t="array" ref="E684">_xlfn.IFS(
B684&lt;=recencyQ1, 4,
B684&lt;=recencyQ2, 3,
B684&lt;=recencyQ3, 2,
TRUE, 1
)</f>
        <v>3</v>
      </c>
      <c r="F684" s="18" cm="1">
        <f t="array" ref="F684">_xlfn.IFS(
C684&lt;=frequencyQ1, 1,
C684&lt;=frequencyQ2, 2,
C684&lt;=frequencyQ3, 3,
TRUE, 4)</f>
        <v>3</v>
      </c>
      <c r="G684" s="18" cm="1">
        <f t="array" ref="G684">_xlfn.IFS(
D684&lt;=monetaryQ1, 1,
D684&lt;=monetaryQ2, 2,
D684&lt;=monetaryQ3, 3,
TRUE, 4)</f>
        <v>3</v>
      </c>
      <c r="H684" s="18" t="str">
        <f t="shared" si="53"/>
        <v>333</v>
      </c>
      <c r="I684" s="19">
        <f t="shared" si="54"/>
        <v>3</v>
      </c>
      <c r="J684" s="7" t="str" cm="1">
        <f t="array" ref="J684">_xlfn.IFS(
I684&gt;=Best_Customers, Best_Customers_name,
I684&gt;=Loyal_Customers, Loyal_Customers_name,
I684&gt;=Average_Customers, Average_Customers_name,
TRUE, Lost_Customers_name)</f>
        <v>Loyal Customers</v>
      </c>
    </row>
    <row r="685" spans="1:10" x14ac:dyDescent="0.25">
      <c r="A685" s="25" t="str">
        <v>CUST_0682</v>
      </c>
      <c r="B685" s="16">
        <f t="shared" si="50"/>
        <v>4</v>
      </c>
      <c r="C685" s="16">
        <f t="shared" si="51"/>
        <v>4</v>
      </c>
      <c r="D685" s="17">
        <f t="shared" si="52"/>
        <v>376.09</v>
      </c>
      <c r="E685" s="18" cm="1">
        <f t="array" ref="E685">_xlfn.IFS(
B685&lt;=recencyQ1, 4,
B685&lt;=recencyQ2, 3,
B685&lt;=recencyQ3, 2,
TRUE, 1
)</f>
        <v>4</v>
      </c>
      <c r="F685" s="18" cm="1">
        <f t="array" ref="F685">_xlfn.IFS(
C685&lt;=frequencyQ1, 1,
C685&lt;=frequencyQ2, 2,
C685&lt;=frequencyQ3, 3,
TRUE, 4)</f>
        <v>2</v>
      </c>
      <c r="G685" s="18" cm="1">
        <f t="array" ref="G685">_xlfn.IFS(
D685&lt;=monetaryQ1, 1,
D685&lt;=monetaryQ2, 2,
D685&lt;=monetaryQ3, 3,
TRUE, 4)</f>
        <v>2</v>
      </c>
      <c r="H685" s="18" t="str">
        <f t="shared" si="53"/>
        <v>422</v>
      </c>
      <c r="I685" s="19">
        <f t="shared" si="54"/>
        <v>2.6666666666666665</v>
      </c>
      <c r="J685" s="7" t="str" cm="1">
        <f t="array" ref="J685">_xlfn.IFS(
I685&gt;=Best_Customers, Best_Customers_name,
I685&gt;=Loyal_Customers, Loyal_Customers_name,
I685&gt;=Average_Customers, Average_Customers_name,
TRUE, Lost_Customers_name)</f>
        <v>Loyal Customers</v>
      </c>
    </row>
    <row r="686" spans="1:10" x14ac:dyDescent="0.25">
      <c r="A686" s="25" t="str">
        <v>CUST_0683</v>
      </c>
      <c r="B686" s="16">
        <f t="shared" si="50"/>
        <v>25</v>
      </c>
      <c r="C686" s="16">
        <f t="shared" si="51"/>
        <v>4</v>
      </c>
      <c r="D686" s="17">
        <f t="shared" si="52"/>
        <v>329.76</v>
      </c>
      <c r="E686" s="18" cm="1">
        <f t="array" ref="E686">_xlfn.IFS(
B686&lt;=recencyQ1, 4,
B686&lt;=recencyQ2, 3,
B686&lt;=recencyQ3, 2,
TRUE, 1
)</f>
        <v>3</v>
      </c>
      <c r="F686" s="18" cm="1">
        <f t="array" ref="F686">_xlfn.IFS(
C686&lt;=frequencyQ1, 1,
C686&lt;=frequencyQ2, 2,
C686&lt;=frequencyQ3, 3,
TRUE, 4)</f>
        <v>2</v>
      </c>
      <c r="G686" s="18" cm="1">
        <f t="array" ref="G686">_xlfn.IFS(
D686&lt;=monetaryQ1, 1,
D686&lt;=monetaryQ2, 2,
D686&lt;=monetaryQ3, 3,
TRUE, 4)</f>
        <v>2</v>
      </c>
      <c r="H686" s="18" t="str">
        <f t="shared" si="53"/>
        <v>322</v>
      </c>
      <c r="I686" s="19">
        <f t="shared" si="54"/>
        <v>2.3333333333333335</v>
      </c>
      <c r="J686" s="7" t="str" cm="1">
        <f t="array" ref="J686">_xlfn.IFS(
I686&gt;=Best_Customers, Best_Customers_name,
I686&gt;=Loyal_Customers, Loyal_Customers_name,
I686&gt;=Average_Customers, Average_Customers_name,
TRUE, Lost_Customers_name)</f>
        <v>Average Customers</v>
      </c>
    </row>
    <row r="687" spans="1:10" x14ac:dyDescent="0.25">
      <c r="A687" s="25" t="str">
        <v>CUST_0684</v>
      </c>
      <c r="B687" s="16">
        <f t="shared" si="50"/>
        <v>44</v>
      </c>
      <c r="C687" s="16">
        <f t="shared" si="51"/>
        <v>10</v>
      </c>
      <c r="D687" s="17">
        <f t="shared" si="52"/>
        <v>1018.87</v>
      </c>
      <c r="E687" s="18" cm="1">
        <f t="array" ref="E687">_xlfn.IFS(
B687&lt;=recencyQ1, 4,
B687&lt;=recencyQ2, 3,
B687&lt;=recencyQ3, 2,
TRUE, 1
)</f>
        <v>3</v>
      </c>
      <c r="F687" s="18" cm="1">
        <f t="array" ref="F687">_xlfn.IFS(
C687&lt;=frequencyQ1, 1,
C687&lt;=frequencyQ2, 2,
C687&lt;=frequencyQ3, 3,
TRUE, 4)</f>
        <v>4</v>
      </c>
      <c r="G687" s="18" cm="1">
        <f t="array" ref="G687">_xlfn.IFS(
D687&lt;=monetaryQ1, 1,
D687&lt;=monetaryQ2, 2,
D687&lt;=monetaryQ3, 3,
TRUE, 4)</f>
        <v>4</v>
      </c>
      <c r="H687" s="18" t="str">
        <f t="shared" si="53"/>
        <v>344</v>
      </c>
      <c r="I687" s="19">
        <f t="shared" si="54"/>
        <v>3.6666666666666665</v>
      </c>
      <c r="J687" s="7" t="str" cm="1">
        <f t="array" ref="J687">_xlfn.IFS(
I687&gt;=Best_Customers, Best_Customers_name,
I687&gt;=Loyal_Customers, Loyal_Customers_name,
I687&gt;=Average_Customers, Average_Customers_name,
TRUE, Lost_Customers_name)</f>
        <v>Best Customers</v>
      </c>
    </row>
    <row r="688" spans="1:10" x14ac:dyDescent="0.25">
      <c r="A688" s="25" t="str">
        <v>CUST_0685</v>
      </c>
      <c r="B688" s="16">
        <f t="shared" si="50"/>
        <v>94</v>
      </c>
      <c r="C688" s="16">
        <f t="shared" si="51"/>
        <v>5</v>
      </c>
      <c r="D688" s="17">
        <f t="shared" si="52"/>
        <v>537.18999999999994</v>
      </c>
      <c r="E688" s="18" cm="1">
        <f t="array" ref="E688">_xlfn.IFS(
B688&lt;=recencyQ1, 4,
B688&lt;=recencyQ2, 3,
B688&lt;=recencyQ3, 2,
TRUE, 1
)</f>
        <v>2</v>
      </c>
      <c r="F688" s="18" cm="1">
        <f t="array" ref="F688">_xlfn.IFS(
C688&lt;=frequencyQ1, 1,
C688&lt;=frequencyQ2, 2,
C688&lt;=frequencyQ3, 3,
TRUE, 4)</f>
        <v>2</v>
      </c>
      <c r="G688" s="18" cm="1">
        <f t="array" ref="G688">_xlfn.IFS(
D688&lt;=monetaryQ1, 1,
D688&lt;=monetaryQ2, 2,
D688&lt;=monetaryQ3, 3,
TRUE, 4)</f>
        <v>3</v>
      </c>
      <c r="H688" s="18" t="str">
        <f t="shared" si="53"/>
        <v>223</v>
      </c>
      <c r="I688" s="19">
        <f t="shared" si="54"/>
        <v>2.3333333333333335</v>
      </c>
      <c r="J688" s="7" t="str" cm="1">
        <f t="array" ref="J688">_xlfn.IFS(
I688&gt;=Best_Customers, Best_Customers_name,
I688&gt;=Loyal_Customers, Loyal_Customers_name,
I688&gt;=Average_Customers, Average_Customers_name,
TRUE, Lost_Customers_name)</f>
        <v>Average Customers</v>
      </c>
    </row>
    <row r="689" spans="1:10" x14ac:dyDescent="0.25">
      <c r="A689" s="25" t="str">
        <v>CUST_0686</v>
      </c>
      <c r="B689" s="16">
        <f t="shared" si="50"/>
        <v>19</v>
      </c>
      <c r="C689" s="16">
        <f t="shared" si="51"/>
        <v>7</v>
      </c>
      <c r="D689" s="17">
        <f t="shared" si="52"/>
        <v>589.85</v>
      </c>
      <c r="E689" s="18" cm="1">
        <f t="array" ref="E689">_xlfn.IFS(
B689&lt;=recencyQ1, 4,
B689&lt;=recencyQ2, 3,
B689&lt;=recencyQ3, 2,
TRUE, 1
)</f>
        <v>3</v>
      </c>
      <c r="F689" s="18" cm="1">
        <f t="array" ref="F689">_xlfn.IFS(
C689&lt;=frequencyQ1, 1,
C689&lt;=frequencyQ2, 2,
C689&lt;=frequencyQ3, 3,
TRUE, 4)</f>
        <v>4</v>
      </c>
      <c r="G689" s="18" cm="1">
        <f t="array" ref="G689">_xlfn.IFS(
D689&lt;=monetaryQ1, 1,
D689&lt;=monetaryQ2, 2,
D689&lt;=monetaryQ3, 3,
TRUE, 4)</f>
        <v>3</v>
      </c>
      <c r="H689" s="18" t="str">
        <f t="shared" si="53"/>
        <v>343</v>
      </c>
      <c r="I689" s="19">
        <f t="shared" si="54"/>
        <v>3.3333333333333335</v>
      </c>
      <c r="J689" s="7" t="str" cm="1">
        <f t="array" ref="J689">_xlfn.IFS(
I689&gt;=Best_Customers, Best_Customers_name,
I689&gt;=Loyal_Customers, Loyal_Customers_name,
I689&gt;=Average_Customers, Average_Customers_name,
TRUE, Lost_Customers_name)</f>
        <v>Loyal Customers</v>
      </c>
    </row>
    <row r="690" spans="1:10" x14ac:dyDescent="0.25">
      <c r="A690" s="25" t="str">
        <v>CUST_0687</v>
      </c>
      <c r="B690" s="16">
        <f t="shared" si="50"/>
        <v>40</v>
      </c>
      <c r="C690" s="16">
        <f t="shared" si="51"/>
        <v>6</v>
      </c>
      <c r="D690" s="17">
        <f t="shared" si="52"/>
        <v>443.08000000000004</v>
      </c>
      <c r="E690" s="18" cm="1">
        <f t="array" ref="E690">_xlfn.IFS(
B690&lt;=recencyQ1, 4,
B690&lt;=recencyQ2, 3,
B690&lt;=recencyQ3, 2,
TRUE, 1
)</f>
        <v>3</v>
      </c>
      <c r="F690" s="18" cm="1">
        <f t="array" ref="F690">_xlfn.IFS(
C690&lt;=frequencyQ1, 1,
C690&lt;=frequencyQ2, 2,
C690&lt;=frequencyQ3, 3,
TRUE, 4)</f>
        <v>3</v>
      </c>
      <c r="G690" s="18" cm="1">
        <f t="array" ref="G690">_xlfn.IFS(
D690&lt;=monetaryQ1, 1,
D690&lt;=monetaryQ2, 2,
D690&lt;=monetaryQ3, 3,
TRUE, 4)</f>
        <v>2</v>
      </c>
      <c r="H690" s="18" t="str">
        <f t="shared" si="53"/>
        <v>332</v>
      </c>
      <c r="I690" s="19">
        <f t="shared" si="54"/>
        <v>2.6666666666666665</v>
      </c>
      <c r="J690" s="7" t="str" cm="1">
        <f t="array" ref="J690">_xlfn.IFS(
I690&gt;=Best_Customers, Best_Customers_name,
I690&gt;=Loyal_Customers, Loyal_Customers_name,
I690&gt;=Average_Customers, Average_Customers_name,
TRUE, Lost_Customers_name)</f>
        <v>Loyal Customers</v>
      </c>
    </row>
    <row r="691" spans="1:10" x14ac:dyDescent="0.25">
      <c r="A691" s="25" t="str">
        <v>CUST_0688</v>
      </c>
      <c r="B691" s="16">
        <f t="shared" si="50"/>
        <v>8</v>
      </c>
      <c r="C691" s="16">
        <f t="shared" si="51"/>
        <v>8</v>
      </c>
      <c r="D691" s="17">
        <f t="shared" si="52"/>
        <v>726.09999999999991</v>
      </c>
      <c r="E691" s="18" cm="1">
        <f t="array" ref="E691">_xlfn.IFS(
B691&lt;=recencyQ1, 4,
B691&lt;=recencyQ2, 3,
B691&lt;=recencyQ3, 2,
TRUE, 1
)</f>
        <v>4</v>
      </c>
      <c r="F691" s="18" cm="1">
        <f t="array" ref="F691">_xlfn.IFS(
C691&lt;=frequencyQ1, 1,
C691&lt;=frequencyQ2, 2,
C691&lt;=frequencyQ3, 3,
TRUE, 4)</f>
        <v>4</v>
      </c>
      <c r="G691" s="18" cm="1">
        <f t="array" ref="G691">_xlfn.IFS(
D691&lt;=monetaryQ1, 1,
D691&lt;=monetaryQ2, 2,
D691&lt;=monetaryQ3, 3,
TRUE, 4)</f>
        <v>4</v>
      </c>
      <c r="H691" s="18" t="str">
        <f t="shared" si="53"/>
        <v>444</v>
      </c>
      <c r="I691" s="19">
        <f t="shared" si="54"/>
        <v>4</v>
      </c>
      <c r="J691" s="7" t="str" cm="1">
        <f t="array" ref="J691">_xlfn.IFS(
I691&gt;=Best_Customers, Best_Customers_name,
I691&gt;=Loyal_Customers, Loyal_Customers_name,
I691&gt;=Average_Customers, Average_Customers_name,
TRUE, Lost_Customers_name)</f>
        <v>Best Customers</v>
      </c>
    </row>
    <row r="692" spans="1:10" x14ac:dyDescent="0.25">
      <c r="A692" s="25" t="str">
        <v>CUST_0689</v>
      </c>
      <c r="B692" s="16">
        <f t="shared" si="50"/>
        <v>123</v>
      </c>
      <c r="C692" s="16">
        <f t="shared" si="51"/>
        <v>7</v>
      </c>
      <c r="D692" s="17">
        <f t="shared" si="52"/>
        <v>818.31999999999994</v>
      </c>
      <c r="E692" s="18" cm="1">
        <f t="array" ref="E692">_xlfn.IFS(
B692&lt;=recencyQ1, 4,
B692&lt;=recencyQ2, 3,
B692&lt;=recencyQ3, 2,
TRUE, 1
)</f>
        <v>1</v>
      </c>
      <c r="F692" s="18" cm="1">
        <f t="array" ref="F692">_xlfn.IFS(
C692&lt;=frequencyQ1, 1,
C692&lt;=frequencyQ2, 2,
C692&lt;=frequencyQ3, 3,
TRUE, 4)</f>
        <v>4</v>
      </c>
      <c r="G692" s="18" cm="1">
        <f t="array" ref="G692">_xlfn.IFS(
D692&lt;=monetaryQ1, 1,
D692&lt;=monetaryQ2, 2,
D692&lt;=monetaryQ3, 3,
TRUE, 4)</f>
        <v>4</v>
      </c>
      <c r="H692" s="18" t="str">
        <f t="shared" si="53"/>
        <v>144</v>
      </c>
      <c r="I692" s="19">
        <f t="shared" si="54"/>
        <v>3</v>
      </c>
      <c r="J692" s="7" t="str" cm="1">
        <f t="array" ref="J692">_xlfn.IFS(
I692&gt;=Best_Customers, Best_Customers_name,
I692&gt;=Loyal_Customers, Loyal_Customers_name,
I692&gt;=Average_Customers, Average_Customers_name,
TRUE, Lost_Customers_name)</f>
        <v>Loyal Customers</v>
      </c>
    </row>
    <row r="693" spans="1:10" x14ac:dyDescent="0.25">
      <c r="A693" s="25" t="str">
        <v>CUST_0690</v>
      </c>
      <c r="B693" s="16">
        <f t="shared" si="50"/>
        <v>103</v>
      </c>
      <c r="C693" s="16">
        <f t="shared" si="51"/>
        <v>6</v>
      </c>
      <c r="D693" s="17">
        <f t="shared" si="52"/>
        <v>604.4</v>
      </c>
      <c r="E693" s="18" cm="1">
        <f t="array" ref="E693">_xlfn.IFS(
B693&lt;=recencyQ1, 4,
B693&lt;=recencyQ2, 3,
B693&lt;=recencyQ3, 2,
TRUE, 1
)</f>
        <v>1</v>
      </c>
      <c r="F693" s="18" cm="1">
        <f t="array" ref="F693">_xlfn.IFS(
C693&lt;=frequencyQ1, 1,
C693&lt;=frequencyQ2, 2,
C693&lt;=frequencyQ3, 3,
TRUE, 4)</f>
        <v>3</v>
      </c>
      <c r="G693" s="18" cm="1">
        <f t="array" ref="G693">_xlfn.IFS(
D693&lt;=monetaryQ1, 1,
D693&lt;=monetaryQ2, 2,
D693&lt;=monetaryQ3, 3,
TRUE, 4)</f>
        <v>3</v>
      </c>
      <c r="H693" s="18" t="str">
        <f t="shared" si="53"/>
        <v>133</v>
      </c>
      <c r="I693" s="19">
        <f t="shared" si="54"/>
        <v>2.3333333333333335</v>
      </c>
      <c r="J693" s="7" t="str" cm="1">
        <f t="array" ref="J693">_xlfn.IFS(
I693&gt;=Best_Customers, Best_Customers_name,
I693&gt;=Loyal_Customers, Loyal_Customers_name,
I693&gt;=Average_Customers, Average_Customers_name,
TRUE, Lost_Customers_name)</f>
        <v>Average Customers</v>
      </c>
    </row>
    <row r="694" spans="1:10" x14ac:dyDescent="0.25">
      <c r="A694" s="25" t="str">
        <v>CUST_0691</v>
      </c>
      <c r="B694" s="16">
        <f t="shared" si="50"/>
        <v>42</v>
      </c>
      <c r="C694" s="16">
        <f t="shared" si="51"/>
        <v>5</v>
      </c>
      <c r="D694" s="17">
        <f t="shared" si="52"/>
        <v>586.46</v>
      </c>
      <c r="E694" s="18" cm="1">
        <f t="array" ref="E694">_xlfn.IFS(
B694&lt;=recencyQ1, 4,
B694&lt;=recencyQ2, 3,
B694&lt;=recencyQ3, 2,
TRUE, 1
)</f>
        <v>3</v>
      </c>
      <c r="F694" s="18" cm="1">
        <f t="array" ref="F694">_xlfn.IFS(
C694&lt;=frequencyQ1, 1,
C694&lt;=frequencyQ2, 2,
C694&lt;=frequencyQ3, 3,
TRUE, 4)</f>
        <v>2</v>
      </c>
      <c r="G694" s="18" cm="1">
        <f t="array" ref="G694">_xlfn.IFS(
D694&lt;=monetaryQ1, 1,
D694&lt;=monetaryQ2, 2,
D694&lt;=monetaryQ3, 3,
TRUE, 4)</f>
        <v>3</v>
      </c>
      <c r="H694" s="18" t="str">
        <f t="shared" si="53"/>
        <v>323</v>
      </c>
      <c r="I694" s="19">
        <f t="shared" si="54"/>
        <v>2.6666666666666665</v>
      </c>
      <c r="J694" s="7" t="str" cm="1">
        <f t="array" ref="J694">_xlfn.IFS(
I694&gt;=Best_Customers, Best_Customers_name,
I694&gt;=Loyal_Customers, Loyal_Customers_name,
I694&gt;=Average_Customers, Average_Customers_name,
TRUE, Lost_Customers_name)</f>
        <v>Loyal Customers</v>
      </c>
    </row>
    <row r="695" spans="1:10" x14ac:dyDescent="0.25">
      <c r="A695" s="25" t="str">
        <v>CUST_0692</v>
      </c>
      <c r="B695" s="16">
        <f t="shared" si="50"/>
        <v>5</v>
      </c>
      <c r="C695" s="16">
        <f t="shared" si="51"/>
        <v>7</v>
      </c>
      <c r="D695" s="17">
        <f t="shared" si="52"/>
        <v>833.34</v>
      </c>
      <c r="E695" s="18" cm="1">
        <f t="array" ref="E695">_xlfn.IFS(
B695&lt;=recencyQ1, 4,
B695&lt;=recencyQ2, 3,
B695&lt;=recencyQ3, 2,
TRUE, 1
)</f>
        <v>4</v>
      </c>
      <c r="F695" s="18" cm="1">
        <f t="array" ref="F695">_xlfn.IFS(
C695&lt;=frequencyQ1, 1,
C695&lt;=frequencyQ2, 2,
C695&lt;=frequencyQ3, 3,
TRUE, 4)</f>
        <v>4</v>
      </c>
      <c r="G695" s="18" cm="1">
        <f t="array" ref="G695">_xlfn.IFS(
D695&lt;=monetaryQ1, 1,
D695&lt;=monetaryQ2, 2,
D695&lt;=monetaryQ3, 3,
TRUE, 4)</f>
        <v>4</v>
      </c>
      <c r="H695" s="18" t="str">
        <f t="shared" si="53"/>
        <v>444</v>
      </c>
      <c r="I695" s="19">
        <f t="shared" si="54"/>
        <v>4</v>
      </c>
      <c r="J695" s="7" t="str" cm="1">
        <f t="array" ref="J695">_xlfn.IFS(
I695&gt;=Best_Customers, Best_Customers_name,
I695&gt;=Loyal_Customers, Loyal_Customers_name,
I695&gt;=Average_Customers, Average_Customers_name,
TRUE, Lost_Customers_name)</f>
        <v>Best Customers</v>
      </c>
    </row>
    <row r="696" spans="1:10" x14ac:dyDescent="0.25">
      <c r="A696" s="25" t="str">
        <v>CUST_0694</v>
      </c>
      <c r="B696" s="16">
        <f t="shared" si="50"/>
        <v>98</v>
      </c>
      <c r="C696" s="16">
        <f t="shared" si="51"/>
        <v>4</v>
      </c>
      <c r="D696" s="17">
        <f t="shared" si="52"/>
        <v>361.40999999999997</v>
      </c>
      <c r="E696" s="18" cm="1">
        <f t="array" ref="E696">_xlfn.IFS(
B696&lt;=recencyQ1, 4,
B696&lt;=recencyQ2, 3,
B696&lt;=recencyQ3, 2,
TRUE, 1
)</f>
        <v>1</v>
      </c>
      <c r="F696" s="18" cm="1">
        <f t="array" ref="F696">_xlfn.IFS(
C696&lt;=frequencyQ1, 1,
C696&lt;=frequencyQ2, 2,
C696&lt;=frequencyQ3, 3,
TRUE, 4)</f>
        <v>2</v>
      </c>
      <c r="G696" s="18" cm="1">
        <f t="array" ref="G696">_xlfn.IFS(
D696&lt;=monetaryQ1, 1,
D696&lt;=monetaryQ2, 2,
D696&lt;=monetaryQ3, 3,
TRUE, 4)</f>
        <v>2</v>
      </c>
      <c r="H696" s="18" t="str">
        <f t="shared" si="53"/>
        <v>122</v>
      </c>
      <c r="I696" s="19">
        <f t="shared" si="54"/>
        <v>1.6666666666666667</v>
      </c>
      <c r="J696" s="7" t="str" cm="1">
        <f t="array" ref="J696">_xlfn.IFS(
I696&gt;=Best_Customers, Best_Customers_name,
I696&gt;=Loyal_Customers, Loyal_Customers_name,
I696&gt;=Average_Customers, Average_Customers_name,
TRUE, Lost_Customers_name)</f>
        <v>Average Customers</v>
      </c>
    </row>
    <row r="697" spans="1:10" x14ac:dyDescent="0.25">
      <c r="A697" s="25" t="str">
        <v>CUST_0695</v>
      </c>
      <c r="B697" s="16">
        <f t="shared" si="50"/>
        <v>14</v>
      </c>
      <c r="C697" s="16">
        <f t="shared" si="51"/>
        <v>5</v>
      </c>
      <c r="D697" s="17">
        <f t="shared" si="52"/>
        <v>467.82</v>
      </c>
      <c r="E697" s="18" cm="1">
        <f t="array" ref="E697">_xlfn.IFS(
B697&lt;=recencyQ1, 4,
B697&lt;=recencyQ2, 3,
B697&lt;=recencyQ3, 2,
TRUE, 1
)</f>
        <v>4</v>
      </c>
      <c r="F697" s="18" cm="1">
        <f t="array" ref="F697">_xlfn.IFS(
C697&lt;=frequencyQ1, 1,
C697&lt;=frequencyQ2, 2,
C697&lt;=frequencyQ3, 3,
TRUE, 4)</f>
        <v>2</v>
      </c>
      <c r="G697" s="18" cm="1">
        <f t="array" ref="G697">_xlfn.IFS(
D697&lt;=monetaryQ1, 1,
D697&lt;=monetaryQ2, 2,
D697&lt;=monetaryQ3, 3,
TRUE, 4)</f>
        <v>2</v>
      </c>
      <c r="H697" s="18" t="str">
        <f t="shared" si="53"/>
        <v>422</v>
      </c>
      <c r="I697" s="19">
        <f t="shared" si="54"/>
        <v>2.6666666666666665</v>
      </c>
      <c r="J697" s="7" t="str" cm="1">
        <f t="array" ref="J697">_xlfn.IFS(
I697&gt;=Best_Customers, Best_Customers_name,
I697&gt;=Loyal_Customers, Loyal_Customers_name,
I697&gt;=Average_Customers, Average_Customers_name,
TRUE, Lost_Customers_name)</f>
        <v>Loyal Customers</v>
      </c>
    </row>
    <row r="698" spans="1:10" x14ac:dyDescent="0.25">
      <c r="A698" s="25" t="str">
        <v>CUST_0696</v>
      </c>
      <c r="B698" s="16">
        <f t="shared" si="50"/>
        <v>186</v>
      </c>
      <c r="C698" s="16">
        <f t="shared" si="51"/>
        <v>2</v>
      </c>
      <c r="D698" s="17">
        <f t="shared" si="52"/>
        <v>209.55</v>
      </c>
      <c r="E698" s="18" cm="1">
        <f t="array" ref="E698">_xlfn.IFS(
B698&lt;=recencyQ1, 4,
B698&lt;=recencyQ2, 3,
B698&lt;=recencyQ3, 2,
TRUE, 1
)</f>
        <v>1</v>
      </c>
      <c r="F698" s="18" cm="1">
        <f t="array" ref="F698">_xlfn.IFS(
C698&lt;=frequencyQ1, 1,
C698&lt;=frequencyQ2, 2,
C698&lt;=frequencyQ3, 3,
TRUE, 4)</f>
        <v>1</v>
      </c>
      <c r="G698" s="18" cm="1">
        <f t="array" ref="G698">_xlfn.IFS(
D698&lt;=monetaryQ1, 1,
D698&lt;=monetaryQ2, 2,
D698&lt;=monetaryQ3, 3,
TRUE, 4)</f>
        <v>1</v>
      </c>
      <c r="H698" s="18" t="str">
        <f t="shared" si="53"/>
        <v>111</v>
      </c>
      <c r="I698" s="19">
        <f t="shared" si="54"/>
        <v>1</v>
      </c>
      <c r="J698" s="7" t="str" cm="1">
        <f t="array" ref="J698">_xlfn.IFS(
I698&gt;=Best_Customers, Best_Customers_name,
I698&gt;=Loyal_Customers, Loyal_Customers_name,
I698&gt;=Average_Customers, Average_Customers_name,
TRUE, Lost_Customers_name)</f>
        <v>Lost Customers</v>
      </c>
    </row>
    <row r="699" spans="1:10" x14ac:dyDescent="0.25">
      <c r="A699" s="25" t="str">
        <v>CUST_0697</v>
      </c>
      <c r="B699" s="16">
        <f t="shared" si="50"/>
        <v>42</v>
      </c>
      <c r="C699" s="16">
        <f t="shared" si="51"/>
        <v>5</v>
      </c>
      <c r="D699" s="17">
        <f t="shared" si="52"/>
        <v>517.29</v>
      </c>
      <c r="E699" s="18" cm="1">
        <f t="array" ref="E699">_xlfn.IFS(
B699&lt;=recencyQ1, 4,
B699&lt;=recencyQ2, 3,
B699&lt;=recencyQ3, 2,
TRUE, 1
)</f>
        <v>3</v>
      </c>
      <c r="F699" s="18" cm="1">
        <f t="array" ref="F699">_xlfn.IFS(
C699&lt;=frequencyQ1, 1,
C699&lt;=frequencyQ2, 2,
C699&lt;=frequencyQ3, 3,
TRUE, 4)</f>
        <v>2</v>
      </c>
      <c r="G699" s="18" cm="1">
        <f t="array" ref="G699">_xlfn.IFS(
D699&lt;=monetaryQ1, 1,
D699&lt;=monetaryQ2, 2,
D699&lt;=monetaryQ3, 3,
TRUE, 4)</f>
        <v>3</v>
      </c>
      <c r="H699" s="18" t="str">
        <f t="shared" si="53"/>
        <v>323</v>
      </c>
      <c r="I699" s="19">
        <f t="shared" si="54"/>
        <v>2.6666666666666665</v>
      </c>
      <c r="J699" s="7" t="str" cm="1">
        <f t="array" ref="J699">_xlfn.IFS(
I699&gt;=Best_Customers, Best_Customers_name,
I699&gt;=Loyal_Customers, Loyal_Customers_name,
I699&gt;=Average_Customers, Average_Customers_name,
TRUE, Lost_Customers_name)</f>
        <v>Loyal Customers</v>
      </c>
    </row>
    <row r="700" spans="1:10" x14ac:dyDescent="0.25">
      <c r="A700" s="25" t="str">
        <v>CUST_0698</v>
      </c>
      <c r="B700" s="16">
        <f t="shared" si="50"/>
        <v>11</v>
      </c>
      <c r="C700" s="16">
        <f t="shared" si="51"/>
        <v>4</v>
      </c>
      <c r="D700" s="17">
        <f t="shared" si="52"/>
        <v>525.16999999999996</v>
      </c>
      <c r="E700" s="18" cm="1">
        <f t="array" ref="E700">_xlfn.IFS(
B700&lt;=recencyQ1, 4,
B700&lt;=recencyQ2, 3,
B700&lt;=recencyQ3, 2,
TRUE, 1
)</f>
        <v>4</v>
      </c>
      <c r="F700" s="18" cm="1">
        <f t="array" ref="F700">_xlfn.IFS(
C700&lt;=frequencyQ1, 1,
C700&lt;=frequencyQ2, 2,
C700&lt;=frequencyQ3, 3,
TRUE, 4)</f>
        <v>2</v>
      </c>
      <c r="G700" s="18" cm="1">
        <f t="array" ref="G700">_xlfn.IFS(
D700&lt;=monetaryQ1, 1,
D700&lt;=monetaryQ2, 2,
D700&lt;=monetaryQ3, 3,
TRUE, 4)</f>
        <v>3</v>
      </c>
      <c r="H700" s="18" t="str">
        <f t="shared" si="53"/>
        <v>423</v>
      </c>
      <c r="I700" s="19">
        <f t="shared" si="54"/>
        <v>3</v>
      </c>
      <c r="J700" s="7" t="str" cm="1">
        <f t="array" ref="J700">_xlfn.IFS(
I700&gt;=Best_Customers, Best_Customers_name,
I700&gt;=Loyal_Customers, Loyal_Customers_name,
I700&gt;=Average_Customers, Average_Customers_name,
TRUE, Lost_Customers_name)</f>
        <v>Loyal Customers</v>
      </c>
    </row>
    <row r="701" spans="1:10" x14ac:dyDescent="0.25">
      <c r="A701" s="25" t="str">
        <v>CUST_0699</v>
      </c>
      <c r="B701" s="16">
        <f t="shared" si="50"/>
        <v>19</v>
      </c>
      <c r="C701" s="16">
        <f t="shared" si="51"/>
        <v>8</v>
      </c>
      <c r="D701" s="17">
        <f t="shared" si="52"/>
        <v>965.79000000000008</v>
      </c>
      <c r="E701" s="18" cm="1">
        <f t="array" ref="E701">_xlfn.IFS(
B701&lt;=recencyQ1, 4,
B701&lt;=recencyQ2, 3,
B701&lt;=recencyQ3, 2,
TRUE, 1
)</f>
        <v>3</v>
      </c>
      <c r="F701" s="18" cm="1">
        <f t="array" ref="F701">_xlfn.IFS(
C701&lt;=frequencyQ1, 1,
C701&lt;=frequencyQ2, 2,
C701&lt;=frequencyQ3, 3,
TRUE, 4)</f>
        <v>4</v>
      </c>
      <c r="G701" s="18" cm="1">
        <f t="array" ref="G701">_xlfn.IFS(
D701&lt;=monetaryQ1, 1,
D701&lt;=monetaryQ2, 2,
D701&lt;=monetaryQ3, 3,
TRUE, 4)</f>
        <v>4</v>
      </c>
      <c r="H701" s="18" t="str">
        <f t="shared" si="53"/>
        <v>344</v>
      </c>
      <c r="I701" s="19">
        <f t="shared" si="54"/>
        <v>3.6666666666666665</v>
      </c>
      <c r="J701" s="7" t="str" cm="1">
        <f t="array" ref="J701">_xlfn.IFS(
I701&gt;=Best_Customers, Best_Customers_name,
I701&gt;=Loyal_Customers, Loyal_Customers_name,
I701&gt;=Average_Customers, Average_Customers_name,
TRUE, Lost_Customers_name)</f>
        <v>Best Customers</v>
      </c>
    </row>
    <row r="702" spans="1:10" x14ac:dyDescent="0.25">
      <c r="A702" s="25" t="str">
        <v>CUST_0700</v>
      </c>
      <c r="B702" s="16">
        <f t="shared" si="50"/>
        <v>52</v>
      </c>
      <c r="C702" s="16">
        <f t="shared" si="51"/>
        <v>6</v>
      </c>
      <c r="D702" s="17">
        <f t="shared" si="52"/>
        <v>570.28</v>
      </c>
      <c r="E702" s="18" cm="1">
        <f t="array" ref="E702">_xlfn.IFS(
B702&lt;=recencyQ1, 4,
B702&lt;=recencyQ2, 3,
B702&lt;=recencyQ3, 2,
TRUE, 1
)</f>
        <v>2</v>
      </c>
      <c r="F702" s="18" cm="1">
        <f t="array" ref="F702">_xlfn.IFS(
C702&lt;=frequencyQ1, 1,
C702&lt;=frequencyQ2, 2,
C702&lt;=frequencyQ3, 3,
TRUE, 4)</f>
        <v>3</v>
      </c>
      <c r="G702" s="18" cm="1">
        <f t="array" ref="G702">_xlfn.IFS(
D702&lt;=monetaryQ1, 1,
D702&lt;=monetaryQ2, 2,
D702&lt;=monetaryQ3, 3,
TRUE, 4)</f>
        <v>3</v>
      </c>
      <c r="H702" s="18" t="str">
        <f t="shared" si="53"/>
        <v>233</v>
      </c>
      <c r="I702" s="19">
        <f t="shared" si="54"/>
        <v>2.6666666666666665</v>
      </c>
      <c r="J702" s="7" t="str" cm="1">
        <f t="array" ref="J702">_xlfn.IFS(
I702&gt;=Best_Customers, Best_Customers_name,
I702&gt;=Loyal_Customers, Loyal_Customers_name,
I702&gt;=Average_Customers, Average_Customers_name,
TRUE, Lost_Customers_name)</f>
        <v>Loyal Customers</v>
      </c>
    </row>
    <row r="703" spans="1:10" x14ac:dyDescent="0.25">
      <c r="A703" s="25" t="str">
        <v>CUST_0701</v>
      </c>
      <c r="B703" s="16">
        <f t="shared" si="50"/>
        <v>5</v>
      </c>
      <c r="C703" s="16">
        <f t="shared" si="51"/>
        <v>4</v>
      </c>
      <c r="D703" s="17">
        <f t="shared" si="52"/>
        <v>323.08000000000004</v>
      </c>
      <c r="E703" s="18" cm="1">
        <f t="array" ref="E703">_xlfn.IFS(
B703&lt;=recencyQ1, 4,
B703&lt;=recencyQ2, 3,
B703&lt;=recencyQ3, 2,
TRUE, 1
)</f>
        <v>4</v>
      </c>
      <c r="F703" s="18" cm="1">
        <f t="array" ref="F703">_xlfn.IFS(
C703&lt;=frequencyQ1, 1,
C703&lt;=frequencyQ2, 2,
C703&lt;=frequencyQ3, 3,
TRUE, 4)</f>
        <v>2</v>
      </c>
      <c r="G703" s="18" cm="1">
        <f t="array" ref="G703">_xlfn.IFS(
D703&lt;=monetaryQ1, 1,
D703&lt;=monetaryQ2, 2,
D703&lt;=monetaryQ3, 3,
TRUE, 4)</f>
        <v>2</v>
      </c>
      <c r="H703" s="18" t="str">
        <f t="shared" si="53"/>
        <v>422</v>
      </c>
      <c r="I703" s="19">
        <f t="shared" si="54"/>
        <v>2.6666666666666665</v>
      </c>
      <c r="J703" s="7" t="str" cm="1">
        <f t="array" ref="J703">_xlfn.IFS(
I703&gt;=Best_Customers, Best_Customers_name,
I703&gt;=Loyal_Customers, Loyal_Customers_name,
I703&gt;=Average_Customers, Average_Customers_name,
TRUE, Lost_Customers_name)</f>
        <v>Loyal Customers</v>
      </c>
    </row>
    <row r="704" spans="1:10" x14ac:dyDescent="0.25">
      <c r="A704" s="25" t="str">
        <v>CUST_0702</v>
      </c>
      <c r="B704" s="16">
        <f t="shared" si="50"/>
        <v>76</v>
      </c>
      <c r="C704" s="16">
        <f t="shared" si="51"/>
        <v>5</v>
      </c>
      <c r="D704" s="17">
        <f t="shared" si="52"/>
        <v>584.72</v>
      </c>
      <c r="E704" s="18" cm="1">
        <f t="array" ref="E704">_xlfn.IFS(
B704&lt;=recencyQ1, 4,
B704&lt;=recencyQ2, 3,
B704&lt;=recencyQ3, 2,
TRUE, 1
)</f>
        <v>2</v>
      </c>
      <c r="F704" s="18" cm="1">
        <f t="array" ref="F704">_xlfn.IFS(
C704&lt;=frequencyQ1, 1,
C704&lt;=frequencyQ2, 2,
C704&lt;=frequencyQ3, 3,
TRUE, 4)</f>
        <v>2</v>
      </c>
      <c r="G704" s="18" cm="1">
        <f t="array" ref="G704">_xlfn.IFS(
D704&lt;=monetaryQ1, 1,
D704&lt;=monetaryQ2, 2,
D704&lt;=monetaryQ3, 3,
TRUE, 4)</f>
        <v>3</v>
      </c>
      <c r="H704" s="18" t="str">
        <f t="shared" si="53"/>
        <v>223</v>
      </c>
      <c r="I704" s="19">
        <f t="shared" si="54"/>
        <v>2.3333333333333335</v>
      </c>
      <c r="J704" s="7" t="str" cm="1">
        <f t="array" ref="J704">_xlfn.IFS(
I704&gt;=Best_Customers, Best_Customers_name,
I704&gt;=Loyal_Customers, Loyal_Customers_name,
I704&gt;=Average_Customers, Average_Customers_name,
TRUE, Lost_Customers_name)</f>
        <v>Average Customers</v>
      </c>
    </row>
    <row r="705" spans="1:10" x14ac:dyDescent="0.25">
      <c r="A705" s="25" t="str">
        <v>CUST_0703</v>
      </c>
      <c r="B705" s="16">
        <f t="shared" si="50"/>
        <v>47</v>
      </c>
      <c r="C705" s="16">
        <f t="shared" si="51"/>
        <v>11</v>
      </c>
      <c r="D705" s="17">
        <f t="shared" si="52"/>
        <v>972.11</v>
      </c>
      <c r="E705" s="18" cm="1">
        <f t="array" ref="E705">_xlfn.IFS(
B705&lt;=recencyQ1, 4,
B705&lt;=recencyQ2, 3,
B705&lt;=recencyQ3, 2,
TRUE, 1
)</f>
        <v>3</v>
      </c>
      <c r="F705" s="18" cm="1">
        <f t="array" ref="F705">_xlfn.IFS(
C705&lt;=frequencyQ1, 1,
C705&lt;=frequencyQ2, 2,
C705&lt;=frequencyQ3, 3,
TRUE, 4)</f>
        <v>4</v>
      </c>
      <c r="G705" s="18" cm="1">
        <f t="array" ref="G705">_xlfn.IFS(
D705&lt;=monetaryQ1, 1,
D705&lt;=monetaryQ2, 2,
D705&lt;=monetaryQ3, 3,
TRUE, 4)</f>
        <v>4</v>
      </c>
      <c r="H705" s="18" t="str">
        <f t="shared" si="53"/>
        <v>344</v>
      </c>
      <c r="I705" s="19">
        <f t="shared" si="54"/>
        <v>3.6666666666666665</v>
      </c>
      <c r="J705" s="7" t="str" cm="1">
        <f t="array" ref="J705">_xlfn.IFS(
I705&gt;=Best_Customers, Best_Customers_name,
I705&gt;=Loyal_Customers, Loyal_Customers_name,
I705&gt;=Average_Customers, Average_Customers_name,
TRUE, Lost_Customers_name)</f>
        <v>Best Customers</v>
      </c>
    </row>
    <row r="706" spans="1:10" x14ac:dyDescent="0.25">
      <c r="A706" s="25" t="str">
        <v>CUST_0704</v>
      </c>
      <c r="B706" s="16">
        <f t="shared" si="50"/>
        <v>3</v>
      </c>
      <c r="C706" s="16">
        <f t="shared" si="51"/>
        <v>3</v>
      </c>
      <c r="D706" s="17">
        <f t="shared" si="52"/>
        <v>222.03</v>
      </c>
      <c r="E706" s="18" cm="1">
        <f t="array" ref="E706">_xlfn.IFS(
B706&lt;=recencyQ1, 4,
B706&lt;=recencyQ2, 3,
B706&lt;=recencyQ3, 2,
TRUE, 1
)</f>
        <v>4</v>
      </c>
      <c r="F706" s="18" cm="1">
        <f t="array" ref="F706">_xlfn.IFS(
C706&lt;=frequencyQ1, 1,
C706&lt;=frequencyQ2, 2,
C706&lt;=frequencyQ3, 3,
TRUE, 4)</f>
        <v>1</v>
      </c>
      <c r="G706" s="18" cm="1">
        <f t="array" ref="G706">_xlfn.IFS(
D706&lt;=monetaryQ1, 1,
D706&lt;=monetaryQ2, 2,
D706&lt;=monetaryQ3, 3,
TRUE, 4)</f>
        <v>1</v>
      </c>
      <c r="H706" s="18" t="str">
        <f t="shared" si="53"/>
        <v>411</v>
      </c>
      <c r="I706" s="19">
        <f t="shared" si="54"/>
        <v>2</v>
      </c>
      <c r="J706" s="7" t="str" cm="1">
        <f t="array" ref="J706">_xlfn.IFS(
I706&gt;=Best_Customers, Best_Customers_name,
I706&gt;=Loyal_Customers, Loyal_Customers_name,
I706&gt;=Average_Customers, Average_Customers_name,
TRUE, Lost_Customers_name)</f>
        <v>Average Customers</v>
      </c>
    </row>
    <row r="707" spans="1:10" x14ac:dyDescent="0.25">
      <c r="A707" s="25" t="str">
        <v>CUST_0705</v>
      </c>
      <c r="B707" s="16">
        <f t="shared" si="50"/>
        <v>90</v>
      </c>
      <c r="C707" s="16">
        <f t="shared" si="51"/>
        <v>1</v>
      </c>
      <c r="D707" s="17">
        <f t="shared" si="52"/>
        <v>110.64</v>
      </c>
      <c r="E707" s="18" cm="1">
        <f t="array" ref="E707">_xlfn.IFS(
B707&lt;=recencyQ1, 4,
B707&lt;=recencyQ2, 3,
B707&lt;=recencyQ3, 2,
TRUE, 1
)</f>
        <v>2</v>
      </c>
      <c r="F707" s="18" cm="1">
        <f t="array" ref="F707">_xlfn.IFS(
C707&lt;=frequencyQ1, 1,
C707&lt;=frequencyQ2, 2,
C707&lt;=frequencyQ3, 3,
TRUE, 4)</f>
        <v>1</v>
      </c>
      <c r="G707" s="18" cm="1">
        <f t="array" ref="G707">_xlfn.IFS(
D707&lt;=monetaryQ1, 1,
D707&lt;=monetaryQ2, 2,
D707&lt;=monetaryQ3, 3,
TRUE, 4)</f>
        <v>1</v>
      </c>
      <c r="H707" s="18" t="str">
        <f t="shared" si="53"/>
        <v>211</v>
      </c>
      <c r="I707" s="19">
        <f t="shared" si="54"/>
        <v>1.3333333333333333</v>
      </c>
      <c r="J707" s="7" t="str" cm="1">
        <f t="array" ref="J707">_xlfn.IFS(
I707&gt;=Best_Customers, Best_Customers_name,
I707&gt;=Loyal_Customers, Loyal_Customers_name,
I707&gt;=Average_Customers, Average_Customers_name,
TRUE, Lost_Customers_name)</f>
        <v>Lost Customers</v>
      </c>
    </row>
    <row r="708" spans="1:10" x14ac:dyDescent="0.25">
      <c r="A708" s="25" t="str">
        <v>CUST_0706</v>
      </c>
      <c r="B708" s="16">
        <f t="shared" si="50"/>
        <v>46</v>
      </c>
      <c r="C708" s="16">
        <f t="shared" si="51"/>
        <v>3</v>
      </c>
      <c r="D708" s="17">
        <f t="shared" si="52"/>
        <v>251.26</v>
      </c>
      <c r="E708" s="18" cm="1">
        <f t="array" ref="E708">_xlfn.IFS(
B708&lt;=recencyQ1, 4,
B708&lt;=recencyQ2, 3,
B708&lt;=recencyQ3, 2,
TRUE, 1
)</f>
        <v>3</v>
      </c>
      <c r="F708" s="18" cm="1">
        <f t="array" ref="F708">_xlfn.IFS(
C708&lt;=frequencyQ1, 1,
C708&lt;=frequencyQ2, 2,
C708&lt;=frequencyQ3, 3,
TRUE, 4)</f>
        <v>1</v>
      </c>
      <c r="G708" s="18" cm="1">
        <f t="array" ref="G708">_xlfn.IFS(
D708&lt;=monetaryQ1, 1,
D708&lt;=monetaryQ2, 2,
D708&lt;=monetaryQ3, 3,
TRUE, 4)</f>
        <v>1</v>
      </c>
      <c r="H708" s="18" t="str">
        <f t="shared" si="53"/>
        <v>311</v>
      </c>
      <c r="I708" s="19">
        <f t="shared" si="54"/>
        <v>1.6666666666666667</v>
      </c>
      <c r="J708" s="7" t="str" cm="1">
        <f t="array" ref="J708">_xlfn.IFS(
I708&gt;=Best_Customers, Best_Customers_name,
I708&gt;=Loyal_Customers, Loyal_Customers_name,
I708&gt;=Average_Customers, Average_Customers_name,
TRUE, Lost_Customers_name)</f>
        <v>Average Customers</v>
      </c>
    </row>
    <row r="709" spans="1:10" x14ac:dyDescent="0.25">
      <c r="A709" s="25" t="str">
        <v>CUST_0707</v>
      </c>
      <c r="B709" s="16">
        <f t="shared" si="50"/>
        <v>70</v>
      </c>
      <c r="C709" s="16">
        <f t="shared" si="51"/>
        <v>5</v>
      </c>
      <c r="D709" s="17">
        <f t="shared" si="52"/>
        <v>603.11</v>
      </c>
      <c r="E709" s="18" cm="1">
        <f t="array" ref="E709">_xlfn.IFS(
B709&lt;=recencyQ1, 4,
B709&lt;=recencyQ2, 3,
B709&lt;=recencyQ3, 2,
TRUE, 1
)</f>
        <v>2</v>
      </c>
      <c r="F709" s="18" cm="1">
        <f t="array" ref="F709">_xlfn.IFS(
C709&lt;=frequencyQ1, 1,
C709&lt;=frequencyQ2, 2,
C709&lt;=frequencyQ3, 3,
TRUE, 4)</f>
        <v>2</v>
      </c>
      <c r="G709" s="18" cm="1">
        <f t="array" ref="G709">_xlfn.IFS(
D709&lt;=monetaryQ1, 1,
D709&lt;=monetaryQ2, 2,
D709&lt;=monetaryQ3, 3,
TRUE, 4)</f>
        <v>3</v>
      </c>
      <c r="H709" s="18" t="str">
        <f t="shared" si="53"/>
        <v>223</v>
      </c>
      <c r="I709" s="19">
        <f t="shared" si="54"/>
        <v>2.3333333333333335</v>
      </c>
      <c r="J709" s="7" t="str" cm="1">
        <f t="array" ref="J709">_xlfn.IFS(
I709&gt;=Best_Customers, Best_Customers_name,
I709&gt;=Loyal_Customers, Loyal_Customers_name,
I709&gt;=Average_Customers, Average_Customers_name,
TRUE, Lost_Customers_name)</f>
        <v>Average Customers</v>
      </c>
    </row>
    <row r="710" spans="1:10" x14ac:dyDescent="0.25">
      <c r="A710" s="25" t="str">
        <v>CUST_0708</v>
      </c>
      <c r="B710" s="16">
        <f t="shared" si="50"/>
        <v>47</v>
      </c>
      <c r="C710" s="16">
        <f t="shared" si="51"/>
        <v>4</v>
      </c>
      <c r="D710" s="17">
        <f t="shared" si="52"/>
        <v>409.06999999999994</v>
      </c>
      <c r="E710" s="18" cm="1">
        <f t="array" ref="E710">_xlfn.IFS(
B710&lt;=recencyQ1, 4,
B710&lt;=recencyQ2, 3,
B710&lt;=recencyQ3, 2,
TRUE, 1
)</f>
        <v>3</v>
      </c>
      <c r="F710" s="18" cm="1">
        <f t="array" ref="F710">_xlfn.IFS(
C710&lt;=frequencyQ1, 1,
C710&lt;=frequencyQ2, 2,
C710&lt;=frequencyQ3, 3,
TRUE, 4)</f>
        <v>2</v>
      </c>
      <c r="G710" s="18" cm="1">
        <f t="array" ref="G710">_xlfn.IFS(
D710&lt;=monetaryQ1, 1,
D710&lt;=monetaryQ2, 2,
D710&lt;=monetaryQ3, 3,
TRUE, 4)</f>
        <v>2</v>
      </c>
      <c r="H710" s="18" t="str">
        <f t="shared" si="53"/>
        <v>322</v>
      </c>
      <c r="I710" s="19">
        <f t="shared" si="54"/>
        <v>2.3333333333333335</v>
      </c>
      <c r="J710" s="7" t="str" cm="1">
        <f t="array" ref="J710">_xlfn.IFS(
I710&gt;=Best_Customers, Best_Customers_name,
I710&gt;=Loyal_Customers, Loyal_Customers_name,
I710&gt;=Average_Customers, Average_Customers_name,
TRUE, Lost_Customers_name)</f>
        <v>Average Customers</v>
      </c>
    </row>
    <row r="711" spans="1:10" x14ac:dyDescent="0.25">
      <c r="A711" s="25" t="str">
        <v>CUST_0709</v>
      </c>
      <c r="B711" s="16">
        <f t="shared" si="50"/>
        <v>143</v>
      </c>
      <c r="C711" s="16">
        <f t="shared" si="51"/>
        <v>8</v>
      </c>
      <c r="D711" s="17">
        <f t="shared" si="52"/>
        <v>812.83999999999992</v>
      </c>
      <c r="E711" s="18" cm="1">
        <f t="array" ref="E711">_xlfn.IFS(
B711&lt;=recencyQ1, 4,
B711&lt;=recencyQ2, 3,
B711&lt;=recencyQ3, 2,
TRUE, 1
)</f>
        <v>1</v>
      </c>
      <c r="F711" s="18" cm="1">
        <f t="array" ref="F711">_xlfn.IFS(
C711&lt;=frequencyQ1, 1,
C711&lt;=frequencyQ2, 2,
C711&lt;=frequencyQ3, 3,
TRUE, 4)</f>
        <v>4</v>
      </c>
      <c r="G711" s="18" cm="1">
        <f t="array" ref="G711">_xlfn.IFS(
D711&lt;=monetaryQ1, 1,
D711&lt;=monetaryQ2, 2,
D711&lt;=monetaryQ3, 3,
TRUE, 4)</f>
        <v>4</v>
      </c>
      <c r="H711" s="18" t="str">
        <f t="shared" si="53"/>
        <v>144</v>
      </c>
      <c r="I711" s="19">
        <f t="shared" si="54"/>
        <v>3</v>
      </c>
      <c r="J711" s="7" t="str" cm="1">
        <f t="array" ref="J711">_xlfn.IFS(
I711&gt;=Best_Customers, Best_Customers_name,
I711&gt;=Loyal_Customers, Loyal_Customers_name,
I711&gt;=Average_Customers, Average_Customers_name,
TRUE, Lost_Customers_name)</f>
        <v>Loyal Customers</v>
      </c>
    </row>
    <row r="712" spans="1:10" x14ac:dyDescent="0.25">
      <c r="A712" s="25" t="str">
        <v>CUST_0710</v>
      </c>
      <c r="B712" s="16">
        <f t="shared" si="50"/>
        <v>283</v>
      </c>
      <c r="C712" s="16">
        <f t="shared" si="51"/>
        <v>4</v>
      </c>
      <c r="D712" s="17">
        <f t="shared" si="52"/>
        <v>350.19</v>
      </c>
      <c r="E712" s="18" cm="1">
        <f t="array" ref="E712">_xlfn.IFS(
B712&lt;=recencyQ1, 4,
B712&lt;=recencyQ2, 3,
B712&lt;=recencyQ3, 2,
TRUE, 1
)</f>
        <v>1</v>
      </c>
      <c r="F712" s="18" cm="1">
        <f t="array" ref="F712">_xlfn.IFS(
C712&lt;=frequencyQ1, 1,
C712&lt;=frequencyQ2, 2,
C712&lt;=frequencyQ3, 3,
TRUE, 4)</f>
        <v>2</v>
      </c>
      <c r="G712" s="18" cm="1">
        <f t="array" ref="G712">_xlfn.IFS(
D712&lt;=monetaryQ1, 1,
D712&lt;=monetaryQ2, 2,
D712&lt;=monetaryQ3, 3,
TRUE, 4)</f>
        <v>2</v>
      </c>
      <c r="H712" s="18" t="str">
        <f t="shared" si="53"/>
        <v>122</v>
      </c>
      <c r="I712" s="19">
        <f t="shared" si="54"/>
        <v>1.6666666666666667</v>
      </c>
      <c r="J712" s="7" t="str" cm="1">
        <f t="array" ref="J712">_xlfn.IFS(
I712&gt;=Best_Customers, Best_Customers_name,
I712&gt;=Loyal_Customers, Loyal_Customers_name,
I712&gt;=Average_Customers, Average_Customers_name,
TRUE, Lost_Customers_name)</f>
        <v>Average Customers</v>
      </c>
    </row>
    <row r="713" spans="1:10" x14ac:dyDescent="0.25">
      <c r="A713" s="25" t="str">
        <v>CUST_0711</v>
      </c>
      <c r="B713" s="16">
        <f t="shared" si="50"/>
        <v>93</v>
      </c>
      <c r="C713" s="16">
        <f t="shared" si="51"/>
        <v>2</v>
      </c>
      <c r="D713" s="17">
        <f t="shared" si="52"/>
        <v>202.12</v>
      </c>
      <c r="E713" s="18" cm="1">
        <f t="array" ref="E713">_xlfn.IFS(
B713&lt;=recencyQ1, 4,
B713&lt;=recencyQ2, 3,
B713&lt;=recencyQ3, 2,
TRUE, 1
)</f>
        <v>2</v>
      </c>
      <c r="F713" s="18" cm="1">
        <f t="array" ref="F713">_xlfn.IFS(
C713&lt;=frequencyQ1, 1,
C713&lt;=frequencyQ2, 2,
C713&lt;=frequencyQ3, 3,
TRUE, 4)</f>
        <v>1</v>
      </c>
      <c r="G713" s="18" cm="1">
        <f t="array" ref="G713">_xlfn.IFS(
D713&lt;=monetaryQ1, 1,
D713&lt;=monetaryQ2, 2,
D713&lt;=monetaryQ3, 3,
TRUE, 4)</f>
        <v>1</v>
      </c>
      <c r="H713" s="18" t="str">
        <f t="shared" si="53"/>
        <v>211</v>
      </c>
      <c r="I713" s="19">
        <f t="shared" si="54"/>
        <v>1.3333333333333333</v>
      </c>
      <c r="J713" s="7" t="str" cm="1">
        <f t="array" ref="J713">_xlfn.IFS(
I713&gt;=Best_Customers, Best_Customers_name,
I713&gt;=Loyal_Customers, Loyal_Customers_name,
I713&gt;=Average_Customers, Average_Customers_name,
TRUE, Lost_Customers_name)</f>
        <v>Lost Customers</v>
      </c>
    </row>
    <row r="714" spans="1:10" x14ac:dyDescent="0.25">
      <c r="A714" s="25" t="str">
        <v>CUST_0712</v>
      </c>
      <c r="B714" s="16">
        <f t="shared" ref="B714:B777" si="55">analysis_date-_xlfn.MAXIFS(transaction_date,customer_id,A714,included,1)</f>
        <v>12</v>
      </c>
      <c r="C714" s="16">
        <f t="shared" ref="C714:C777" si="56">COUNTIFS(customer_id,A714,included,1)</f>
        <v>3</v>
      </c>
      <c r="D714" s="17">
        <f t="shared" ref="D714:D777" si="57">SUMIFS(transaction_amount,customer_id,A714,included,1)</f>
        <v>391.45999999999992</v>
      </c>
      <c r="E714" s="18" cm="1">
        <f t="array" ref="E714">_xlfn.IFS(
B714&lt;=recencyQ1, 4,
B714&lt;=recencyQ2, 3,
B714&lt;=recencyQ3, 2,
TRUE, 1
)</f>
        <v>4</v>
      </c>
      <c r="F714" s="18" cm="1">
        <f t="array" ref="F714">_xlfn.IFS(
C714&lt;=frequencyQ1, 1,
C714&lt;=frequencyQ2, 2,
C714&lt;=frequencyQ3, 3,
TRUE, 4)</f>
        <v>1</v>
      </c>
      <c r="G714" s="18" cm="1">
        <f t="array" ref="G714">_xlfn.IFS(
D714&lt;=monetaryQ1, 1,
D714&lt;=monetaryQ2, 2,
D714&lt;=monetaryQ3, 3,
TRUE, 4)</f>
        <v>2</v>
      </c>
      <c r="H714" s="18" t="str">
        <f t="shared" ref="H714:H777" si="58">E714&amp;F714&amp;G714</f>
        <v>412</v>
      </c>
      <c r="I714" s="19">
        <f t="shared" ref="I714:I777" si="59">AVERAGE(E714:G714)</f>
        <v>2.3333333333333335</v>
      </c>
      <c r="J714" s="7" t="str" cm="1">
        <f t="array" ref="J714">_xlfn.IFS(
I714&gt;=Best_Customers, Best_Customers_name,
I714&gt;=Loyal_Customers, Loyal_Customers_name,
I714&gt;=Average_Customers, Average_Customers_name,
TRUE, Lost_Customers_name)</f>
        <v>Average Customers</v>
      </c>
    </row>
    <row r="715" spans="1:10" x14ac:dyDescent="0.25">
      <c r="A715" s="25" t="str">
        <v>CUST_0713</v>
      </c>
      <c r="B715" s="16">
        <f t="shared" si="55"/>
        <v>49</v>
      </c>
      <c r="C715" s="16">
        <f t="shared" si="56"/>
        <v>6</v>
      </c>
      <c r="D715" s="17">
        <f t="shared" si="57"/>
        <v>472.76000000000005</v>
      </c>
      <c r="E715" s="18" cm="1">
        <f t="array" ref="E715">_xlfn.IFS(
B715&lt;=recencyQ1, 4,
B715&lt;=recencyQ2, 3,
B715&lt;=recencyQ3, 2,
TRUE, 1
)</f>
        <v>2</v>
      </c>
      <c r="F715" s="18" cm="1">
        <f t="array" ref="F715">_xlfn.IFS(
C715&lt;=frequencyQ1, 1,
C715&lt;=frequencyQ2, 2,
C715&lt;=frequencyQ3, 3,
TRUE, 4)</f>
        <v>3</v>
      </c>
      <c r="G715" s="18" cm="1">
        <f t="array" ref="G715">_xlfn.IFS(
D715&lt;=monetaryQ1, 1,
D715&lt;=monetaryQ2, 2,
D715&lt;=monetaryQ3, 3,
TRUE, 4)</f>
        <v>2</v>
      </c>
      <c r="H715" s="18" t="str">
        <f t="shared" si="58"/>
        <v>232</v>
      </c>
      <c r="I715" s="19">
        <f t="shared" si="59"/>
        <v>2.3333333333333335</v>
      </c>
      <c r="J715" s="7" t="str" cm="1">
        <f t="array" ref="J715">_xlfn.IFS(
I715&gt;=Best_Customers, Best_Customers_name,
I715&gt;=Loyal_Customers, Loyal_Customers_name,
I715&gt;=Average_Customers, Average_Customers_name,
TRUE, Lost_Customers_name)</f>
        <v>Average Customers</v>
      </c>
    </row>
    <row r="716" spans="1:10" x14ac:dyDescent="0.25">
      <c r="A716" s="25" t="str">
        <v>CUST_0714</v>
      </c>
      <c r="B716" s="16">
        <f t="shared" si="55"/>
        <v>118</v>
      </c>
      <c r="C716" s="16">
        <f t="shared" si="56"/>
        <v>4</v>
      </c>
      <c r="D716" s="17">
        <f t="shared" si="57"/>
        <v>388.09</v>
      </c>
      <c r="E716" s="18" cm="1">
        <f t="array" ref="E716">_xlfn.IFS(
B716&lt;=recencyQ1, 4,
B716&lt;=recencyQ2, 3,
B716&lt;=recencyQ3, 2,
TRUE, 1
)</f>
        <v>1</v>
      </c>
      <c r="F716" s="18" cm="1">
        <f t="array" ref="F716">_xlfn.IFS(
C716&lt;=frequencyQ1, 1,
C716&lt;=frequencyQ2, 2,
C716&lt;=frequencyQ3, 3,
TRUE, 4)</f>
        <v>2</v>
      </c>
      <c r="G716" s="18" cm="1">
        <f t="array" ref="G716">_xlfn.IFS(
D716&lt;=monetaryQ1, 1,
D716&lt;=monetaryQ2, 2,
D716&lt;=monetaryQ3, 3,
TRUE, 4)</f>
        <v>2</v>
      </c>
      <c r="H716" s="18" t="str">
        <f t="shared" si="58"/>
        <v>122</v>
      </c>
      <c r="I716" s="19">
        <f t="shared" si="59"/>
        <v>1.6666666666666667</v>
      </c>
      <c r="J716" s="7" t="str" cm="1">
        <f t="array" ref="J716">_xlfn.IFS(
I716&gt;=Best_Customers, Best_Customers_name,
I716&gt;=Loyal_Customers, Loyal_Customers_name,
I716&gt;=Average_Customers, Average_Customers_name,
TRUE, Lost_Customers_name)</f>
        <v>Average Customers</v>
      </c>
    </row>
    <row r="717" spans="1:10" x14ac:dyDescent="0.25">
      <c r="A717" s="25" t="str">
        <v>CUST_0715</v>
      </c>
      <c r="B717" s="16">
        <f t="shared" si="55"/>
        <v>50</v>
      </c>
      <c r="C717" s="16">
        <f t="shared" si="56"/>
        <v>2</v>
      </c>
      <c r="D717" s="17">
        <f t="shared" si="57"/>
        <v>202.45999999999998</v>
      </c>
      <c r="E717" s="18" cm="1">
        <f t="array" ref="E717">_xlfn.IFS(
B717&lt;=recencyQ1, 4,
B717&lt;=recencyQ2, 3,
B717&lt;=recencyQ3, 2,
TRUE, 1
)</f>
        <v>2</v>
      </c>
      <c r="F717" s="18" cm="1">
        <f t="array" ref="F717">_xlfn.IFS(
C717&lt;=frequencyQ1, 1,
C717&lt;=frequencyQ2, 2,
C717&lt;=frequencyQ3, 3,
TRUE, 4)</f>
        <v>1</v>
      </c>
      <c r="G717" s="18" cm="1">
        <f t="array" ref="G717">_xlfn.IFS(
D717&lt;=monetaryQ1, 1,
D717&lt;=monetaryQ2, 2,
D717&lt;=monetaryQ3, 3,
TRUE, 4)</f>
        <v>1</v>
      </c>
      <c r="H717" s="18" t="str">
        <f t="shared" si="58"/>
        <v>211</v>
      </c>
      <c r="I717" s="19">
        <f t="shared" si="59"/>
        <v>1.3333333333333333</v>
      </c>
      <c r="J717" s="7" t="str" cm="1">
        <f t="array" ref="J717">_xlfn.IFS(
I717&gt;=Best_Customers, Best_Customers_name,
I717&gt;=Loyal_Customers, Loyal_Customers_name,
I717&gt;=Average_Customers, Average_Customers_name,
TRUE, Lost_Customers_name)</f>
        <v>Lost Customers</v>
      </c>
    </row>
    <row r="718" spans="1:10" x14ac:dyDescent="0.25">
      <c r="A718" s="25" t="str">
        <v>CUST_0716</v>
      </c>
      <c r="B718" s="16">
        <f t="shared" si="55"/>
        <v>29</v>
      </c>
      <c r="C718" s="16">
        <f t="shared" si="56"/>
        <v>2</v>
      </c>
      <c r="D718" s="17">
        <f t="shared" si="57"/>
        <v>178.42000000000002</v>
      </c>
      <c r="E718" s="18" cm="1">
        <f t="array" ref="E718">_xlfn.IFS(
B718&lt;=recencyQ1, 4,
B718&lt;=recencyQ2, 3,
B718&lt;=recencyQ3, 2,
TRUE, 1
)</f>
        <v>3</v>
      </c>
      <c r="F718" s="18" cm="1">
        <f t="array" ref="F718">_xlfn.IFS(
C718&lt;=frequencyQ1, 1,
C718&lt;=frequencyQ2, 2,
C718&lt;=frequencyQ3, 3,
TRUE, 4)</f>
        <v>1</v>
      </c>
      <c r="G718" s="18" cm="1">
        <f t="array" ref="G718">_xlfn.IFS(
D718&lt;=monetaryQ1, 1,
D718&lt;=monetaryQ2, 2,
D718&lt;=monetaryQ3, 3,
TRUE, 4)</f>
        <v>1</v>
      </c>
      <c r="H718" s="18" t="str">
        <f t="shared" si="58"/>
        <v>311</v>
      </c>
      <c r="I718" s="19">
        <f t="shared" si="59"/>
        <v>1.6666666666666667</v>
      </c>
      <c r="J718" s="7" t="str" cm="1">
        <f t="array" ref="J718">_xlfn.IFS(
I718&gt;=Best_Customers, Best_Customers_name,
I718&gt;=Loyal_Customers, Loyal_Customers_name,
I718&gt;=Average_Customers, Average_Customers_name,
TRUE, Lost_Customers_name)</f>
        <v>Average Customers</v>
      </c>
    </row>
    <row r="719" spans="1:10" x14ac:dyDescent="0.25">
      <c r="A719" s="25" t="str">
        <v>CUST_0717</v>
      </c>
      <c r="B719" s="16">
        <f t="shared" si="55"/>
        <v>162</v>
      </c>
      <c r="C719" s="16">
        <f t="shared" si="56"/>
        <v>3</v>
      </c>
      <c r="D719" s="17">
        <f t="shared" si="57"/>
        <v>274.29999999999995</v>
      </c>
      <c r="E719" s="18" cm="1">
        <f t="array" ref="E719">_xlfn.IFS(
B719&lt;=recencyQ1, 4,
B719&lt;=recencyQ2, 3,
B719&lt;=recencyQ3, 2,
TRUE, 1
)</f>
        <v>1</v>
      </c>
      <c r="F719" s="18" cm="1">
        <f t="array" ref="F719">_xlfn.IFS(
C719&lt;=frequencyQ1, 1,
C719&lt;=frequencyQ2, 2,
C719&lt;=frequencyQ3, 3,
TRUE, 4)</f>
        <v>1</v>
      </c>
      <c r="G719" s="18" cm="1">
        <f t="array" ref="G719">_xlfn.IFS(
D719&lt;=monetaryQ1, 1,
D719&lt;=monetaryQ2, 2,
D719&lt;=monetaryQ3, 3,
TRUE, 4)</f>
        <v>1</v>
      </c>
      <c r="H719" s="18" t="str">
        <f t="shared" si="58"/>
        <v>111</v>
      </c>
      <c r="I719" s="19">
        <f t="shared" si="59"/>
        <v>1</v>
      </c>
      <c r="J719" s="7" t="str" cm="1">
        <f t="array" ref="J719">_xlfn.IFS(
I719&gt;=Best_Customers, Best_Customers_name,
I719&gt;=Loyal_Customers, Loyal_Customers_name,
I719&gt;=Average_Customers, Average_Customers_name,
TRUE, Lost_Customers_name)</f>
        <v>Lost Customers</v>
      </c>
    </row>
    <row r="720" spans="1:10" x14ac:dyDescent="0.25">
      <c r="A720" s="25" t="str">
        <v>CUST_0718</v>
      </c>
      <c r="B720" s="16">
        <f t="shared" si="55"/>
        <v>113</v>
      </c>
      <c r="C720" s="16">
        <f t="shared" si="56"/>
        <v>2</v>
      </c>
      <c r="D720" s="17">
        <f t="shared" si="57"/>
        <v>232.81</v>
      </c>
      <c r="E720" s="18" cm="1">
        <f t="array" ref="E720">_xlfn.IFS(
B720&lt;=recencyQ1, 4,
B720&lt;=recencyQ2, 3,
B720&lt;=recencyQ3, 2,
TRUE, 1
)</f>
        <v>1</v>
      </c>
      <c r="F720" s="18" cm="1">
        <f t="array" ref="F720">_xlfn.IFS(
C720&lt;=frequencyQ1, 1,
C720&lt;=frequencyQ2, 2,
C720&lt;=frequencyQ3, 3,
TRUE, 4)</f>
        <v>1</v>
      </c>
      <c r="G720" s="18" cm="1">
        <f t="array" ref="G720">_xlfn.IFS(
D720&lt;=monetaryQ1, 1,
D720&lt;=monetaryQ2, 2,
D720&lt;=monetaryQ3, 3,
TRUE, 4)</f>
        <v>1</v>
      </c>
      <c r="H720" s="18" t="str">
        <f t="shared" si="58"/>
        <v>111</v>
      </c>
      <c r="I720" s="19">
        <f t="shared" si="59"/>
        <v>1</v>
      </c>
      <c r="J720" s="7" t="str" cm="1">
        <f t="array" ref="J720">_xlfn.IFS(
I720&gt;=Best_Customers, Best_Customers_name,
I720&gt;=Loyal_Customers, Loyal_Customers_name,
I720&gt;=Average_Customers, Average_Customers_name,
TRUE, Lost_Customers_name)</f>
        <v>Lost Customers</v>
      </c>
    </row>
    <row r="721" spans="1:10" x14ac:dyDescent="0.25">
      <c r="A721" s="25" t="str">
        <v>CUST_0719</v>
      </c>
      <c r="B721" s="16">
        <f t="shared" si="55"/>
        <v>16</v>
      </c>
      <c r="C721" s="16">
        <f t="shared" si="56"/>
        <v>4</v>
      </c>
      <c r="D721" s="17">
        <f t="shared" si="57"/>
        <v>433.25</v>
      </c>
      <c r="E721" s="18" cm="1">
        <f t="array" ref="E721">_xlfn.IFS(
B721&lt;=recencyQ1, 4,
B721&lt;=recencyQ2, 3,
B721&lt;=recencyQ3, 2,
TRUE, 1
)</f>
        <v>4</v>
      </c>
      <c r="F721" s="18" cm="1">
        <f t="array" ref="F721">_xlfn.IFS(
C721&lt;=frequencyQ1, 1,
C721&lt;=frequencyQ2, 2,
C721&lt;=frequencyQ3, 3,
TRUE, 4)</f>
        <v>2</v>
      </c>
      <c r="G721" s="18" cm="1">
        <f t="array" ref="G721">_xlfn.IFS(
D721&lt;=monetaryQ1, 1,
D721&lt;=monetaryQ2, 2,
D721&lt;=monetaryQ3, 3,
TRUE, 4)</f>
        <v>2</v>
      </c>
      <c r="H721" s="18" t="str">
        <f t="shared" si="58"/>
        <v>422</v>
      </c>
      <c r="I721" s="19">
        <f t="shared" si="59"/>
        <v>2.6666666666666665</v>
      </c>
      <c r="J721" s="7" t="str" cm="1">
        <f t="array" ref="J721">_xlfn.IFS(
I721&gt;=Best_Customers, Best_Customers_name,
I721&gt;=Loyal_Customers, Loyal_Customers_name,
I721&gt;=Average_Customers, Average_Customers_name,
TRUE, Lost_Customers_name)</f>
        <v>Loyal Customers</v>
      </c>
    </row>
    <row r="722" spans="1:10" x14ac:dyDescent="0.25">
      <c r="A722" s="25" t="str">
        <v>CUST_0720</v>
      </c>
      <c r="B722" s="16">
        <f t="shared" si="55"/>
        <v>241</v>
      </c>
      <c r="C722" s="16">
        <f t="shared" si="56"/>
        <v>2</v>
      </c>
      <c r="D722" s="17">
        <f t="shared" si="57"/>
        <v>153.51999999999998</v>
      </c>
      <c r="E722" s="18" cm="1">
        <f t="array" ref="E722">_xlfn.IFS(
B722&lt;=recencyQ1, 4,
B722&lt;=recencyQ2, 3,
B722&lt;=recencyQ3, 2,
TRUE, 1
)</f>
        <v>1</v>
      </c>
      <c r="F722" s="18" cm="1">
        <f t="array" ref="F722">_xlfn.IFS(
C722&lt;=frequencyQ1, 1,
C722&lt;=frequencyQ2, 2,
C722&lt;=frequencyQ3, 3,
TRUE, 4)</f>
        <v>1</v>
      </c>
      <c r="G722" s="18" cm="1">
        <f t="array" ref="G722">_xlfn.IFS(
D722&lt;=monetaryQ1, 1,
D722&lt;=monetaryQ2, 2,
D722&lt;=monetaryQ3, 3,
TRUE, 4)</f>
        <v>1</v>
      </c>
      <c r="H722" s="18" t="str">
        <f t="shared" si="58"/>
        <v>111</v>
      </c>
      <c r="I722" s="19">
        <f t="shared" si="59"/>
        <v>1</v>
      </c>
      <c r="J722" s="7" t="str" cm="1">
        <f t="array" ref="J722">_xlfn.IFS(
I722&gt;=Best_Customers, Best_Customers_name,
I722&gt;=Loyal_Customers, Loyal_Customers_name,
I722&gt;=Average_Customers, Average_Customers_name,
TRUE, Lost_Customers_name)</f>
        <v>Lost Customers</v>
      </c>
    </row>
    <row r="723" spans="1:10" x14ac:dyDescent="0.25">
      <c r="A723" s="25" t="str">
        <v>CUST_0721</v>
      </c>
      <c r="B723" s="16">
        <f t="shared" si="55"/>
        <v>8</v>
      </c>
      <c r="C723" s="16">
        <f t="shared" si="56"/>
        <v>2</v>
      </c>
      <c r="D723" s="17">
        <f t="shared" si="57"/>
        <v>256.25</v>
      </c>
      <c r="E723" s="18" cm="1">
        <f t="array" ref="E723">_xlfn.IFS(
B723&lt;=recencyQ1, 4,
B723&lt;=recencyQ2, 3,
B723&lt;=recencyQ3, 2,
TRUE, 1
)</f>
        <v>4</v>
      </c>
      <c r="F723" s="18" cm="1">
        <f t="array" ref="F723">_xlfn.IFS(
C723&lt;=frequencyQ1, 1,
C723&lt;=frequencyQ2, 2,
C723&lt;=frequencyQ3, 3,
TRUE, 4)</f>
        <v>1</v>
      </c>
      <c r="G723" s="18" cm="1">
        <f t="array" ref="G723">_xlfn.IFS(
D723&lt;=monetaryQ1, 1,
D723&lt;=monetaryQ2, 2,
D723&lt;=monetaryQ3, 3,
TRUE, 4)</f>
        <v>1</v>
      </c>
      <c r="H723" s="18" t="str">
        <f t="shared" si="58"/>
        <v>411</v>
      </c>
      <c r="I723" s="19">
        <f t="shared" si="59"/>
        <v>2</v>
      </c>
      <c r="J723" s="7" t="str" cm="1">
        <f t="array" ref="J723">_xlfn.IFS(
I723&gt;=Best_Customers, Best_Customers_name,
I723&gt;=Loyal_Customers, Loyal_Customers_name,
I723&gt;=Average_Customers, Average_Customers_name,
TRUE, Lost_Customers_name)</f>
        <v>Average Customers</v>
      </c>
    </row>
    <row r="724" spans="1:10" x14ac:dyDescent="0.25">
      <c r="A724" s="25" t="str">
        <v>CUST_0722</v>
      </c>
      <c r="B724" s="16">
        <f t="shared" si="55"/>
        <v>5</v>
      </c>
      <c r="C724" s="16">
        <f t="shared" si="56"/>
        <v>2</v>
      </c>
      <c r="D724" s="17">
        <f t="shared" si="57"/>
        <v>187.95</v>
      </c>
      <c r="E724" s="18" cm="1">
        <f t="array" ref="E724">_xlfn.IFS(
B724&lt;=recencyQ1, 4,
B724&lt;=recencyQ2, 3,
B724&lt;=recencyQ3, 2,
TRUE, 1
)</f>
        <v>4</v>
      </c>
      <c r="F724" s="18" cm="1">
        <f t="array" ref="F724">_xlfn.IFS(
C724&lt;=frequencyQ1, 1,
C724&lt;=frequencyQ2, 2,
C724&lt;=frequencyQ3, 3,
TRUE, 4)</f>
        <v>1</v>
      </c>
      <c r="G724" s="18" cm="1">
        <f t="array" ref="G724">_xlfn.IFS(
D724&lt;=monetaryQ1, 1,
D724&lt;=monetaryQ2, 2,
D724&lt;=monetaryQ3, 3,
TRUE, 4)</f>
        <v>1</v>
      </c>
      <c r="H724" s="18" t="str">
        <f t="shared" si="58"/>
        <v>411</v>
      </c>
      <c r="I724" s="19">
        <f t="shared" si="59"/>
        <v>2</v>
      </c>
      <c r="J724" s="7" t="str" cm="1">
        <f t="array" ref="J724">_xlfn.IFS(
I724&gt;=Best_Customers, Best_Customers_name,
I724&gt;=Loyal_Customers, Loyal_Customers_name,
I724&gt;=Average_Customers, Average_Customers_name,
TRUE, Lost_Customers_name)</f>
        <v>Average Customers</v>
      </c>
    </row>
    <row r="725" spans="1:10" x14ac:dyDescent="0.25">
      <c r="A725" s="25" t="str">
        <v>CUST_0723</v>
      </c>
      <c r="B725" s="16">
        <f t="shared" si="55"/>
        <v>316</v>
      </c>
      <c r="C725" s="16">
        <f t="shared" si="56"/>
        <v>3</v>
      </c>
      <c r="D725" s="17">
        <f t="shared" si="57"/>
        <v>278.2</v>
      </c>
      <c r="E725" s="18" cm="1">
        <f t="array" ref="E725">_xlfn.IFS(
B725&lt;=recencyQ1, 4,
B725&lt;=recencyQ2, 3,
B725&lt;=recencyQ3, 2,
TRUE, 1
)</f>
        <v>1</v>
      </c>
      <c r="F725" s="18" cm="1">
        <f t="array" ref="F725">_xlfn.IFS(
C725&lt;=frequencyQ1, 1,
C725&lt;=frequencyQ2, 2,
C725&lt;=frequencyQ3, 3,
TRUE, 4)</f>
        <v>1</v>
      </c>
      <c r="G725" s="18" cm="1">
        <f t="array" ref="G725">_xlfn.IFS(
D725&lt;=monetaryQ1, 1,
D725&lt;=monetaryQ2, 2,
D725&lt;=monetaryQ3, 3,
TRUE, 4)</f>
        <v>1</v>
      </c>
      <c r="H725" s="18" t="str">
        <f t="shared" si="58"/>
        <v>111</v>
      </c>
      <c r="I725" s="19">
        <f t="shared" si="59"/>
        <v>1</v>
      </c>
      <c r="J725" s="7" t="str" cm="1">
        <f t="array" ref="J725">_xlfn.IFS(
I725&gt;=Best_Customers, Best_Customers_name,
I725&gt;=Loyal_Customers, Loyal_Customers_name,
I725&gt;=Average_Customers, Average_Customers_name,
TRUE, Lost_Customers_name)</f>
        <v>Lost Customers</v>
      </c>
    </row>
    <row r="726" spans="1:10" x14ac:dyDescent="0.25">
      <c r="A726" s="25" t="str">
        <v>CUST_0724</v>
      </c>
      <c r="B726" s="16">
        <f t="shared" si="55"/>
        <v>25</v>
      </c>
      <c r="C726" s="16">
        <f t="shared" si="56"/>
        <v>7</v>
      </c>
      <c r="D726" s="17">
        <f t="shared" si="57"/>
        <v>733.05</v>
      </c>
      <c r="E726" s="18" cm="1">
        <f t="array" ref="E726">_xlfn.IFS(
B726&lt;=recencyQ1, 4,
B726&lt;=recencyQ2, 3,
B726&lt;=recencyQ3, 2,
TRUE, 1
)</f>
        <v>3</v>
      </c>
      <c r="F726" s="18" cm="1">
        <f t="array" ref="F726">_xlfn.IFS(
C726&lt;=frequencyQ1, 1,
C726&lt;=frequencyQ2, 2,
C726&lt;=frequencyQ3, 3,
TRUE, 4)</f>
        <v>4</v>
      </c>
      <c r="G726" s="18" cm="1">
        <f t="array" ref="G726">_xlfn.IFS(
D726&lt;=monetaryQ1, 1,
D726&lt;=monetaryQ2, 2,
D726&lt;=monetaryQ3, 3,
TRUE, 4)</f>
        <v>4</v>
      </c>
      <c r="H726" s="18" t="str">
        <f t="shared" si="58"/>
        <v>344</v>
      </c>
      <c r="I726" s="19">
        <f t="shared" si="59"/>
        <v>3.6666666666666665</v>
      </c>
      <c r="J726" s="7" t="str" cm="1">
        <f t="array" ref="J726">_xlfn.IFS(
I726&gt;=Best_Customers, Best_Customers_name,
I726&gt;=Loyal_Customers, Loyal_Customers_name,
I726&gt;=Average_Customers, Average_Customers_name,
TRUE, Lost_Customers_name)</f>
        <v>Best Customers</v>
      </c>
    </row>
    <row r="727" spans="1:10" x14ac:dyDescent="0.25">
      <c r="A727" s="25" t="str">
        <v>CUST_0725</v>
      </c>
      <c r="B727" s="16">
        <f t="shared" si="55"/>
        <v>15</v>
      </c>
      <c r="C727" s="16">
        <f t="shared" si="56"/>
        <v>8</v>
      </c>
      <c r="D727" s="17">
        <f t="shared" si="57"/>
        <v>681.59</v>
      </c>
      <c r="E727" s="18" cm="1">
        <f t="array" ref="E727">_xlfn.IFS(
B727&lt;=recencyQ1, 4,
B727&lt;=recencyQ2, 3,
B727&lt;=recencyQ3, 2,
TRUE, 1
)</f>
        <v>4</v>
      </c>
      <c r="F727" s="18" cm="1">
        <f t="array" ref="F727">_xlfn.IFS(
C727&lt;=frequencyQ1, 1,
C727&lt;=frequencyQ2, 2,
C727&lt;=frequencyQ3, 3,
TRUE, 4)</f>
        <v>4</v>
      </c>
      <c r="G727" s="18" cm="1">
        <f t="array" ref="G727">_xlfn.IFS(
D727&lt;=monetaryQ1, 1,
D727&lt;=monetaryQ2, 2,
D727&lt;=monetaryQ3, 3,
TRUE, 4)</f>
        <v>4</v>
      </c>
      <c r="H727" s="18" t="str">
        <f t="shared" si="58"/>
        <v>444</v>
      </c>
      <c r="I727" s="19">
        <f t="shared" si="59"/>
        <v>4</v>
      </c>
      <c r="J727" s="7" t="str" cm="1">
        <f t="array" ref="J727">_xlfn.IFS(
I727&gt;=Best_Customers, Best_Customers_name,
I727&gt;=Loyal_Customers, Loyal_Customers_name,
I727&gt;=Average_Customers, Average_Customers_name,
TRUE, Lost_Customers_name)</f>
        <v>Best Customers</v>
      </c>
    </row>
    <row r="728" spans="1:10" x14ac:dyDescent="0.25">
      <c r="A728" s="25" t="str">
        <v>CUST_0726</v>
      </c>
      <c r="B728" s="16">
        <f t="shared" si="55"/>
        <v>19</v>
      </c>
      <c r="C728" s="16">
        <f t="shared" si="56"/>
        <v>11</v>
      </c>
      <c r="D728" s="17">
        <f t="shared" si="57"/>
        <v>898.09</v>
      </c>
      <c r="E728" s="18" cm="1">
        <f t="array" ref="E728">_xlfn.IFS(
B728&lt;=recencyQ1, 4,
B728&lt;=recencyQ2, 3,
B728&lt;=recencyQ3, 2,
TRUE, 1
)</f>
        <v>3</v>
      </c>
      <c r="F728" s="18" cm="1">
        <f t="array" ref="F728">_xlfn.IFS(
C728&lt;=frequencyQ1, 1,
C728&lt;=frequencyQ2, 2,
C728&lt;=frequencyQ3, 3,
TRUE, 4)</f>
        <v>4</v>
      </c>
      <c r="G728" s="18" cm="1">
        <f t="array" ref="G728">_xlfn.IFS(
D728&lt;=monetaryQ1, 1,
D728&lt;=monetaryQ2, 2,
D728&lt;=monetaryQ3, 3,
TRUE, 4)</f>
        <v>4</v>
      </c>
      <c r="H728" s="18" t="str">
        <f t="shared" si="58"/>
        <v>344</v>
      </c>
      <c r="I728" s="19">
        <f t="shared" si="59"/>
        <v>3.6666666666666665</v>
      </c>
      <c r="J728" s="7" t="str" cm="1">
        <f t="array" ref="J728">_xlfn.IFS(
I728&gt;=Best_Customers, Best_Customers_name,
I728&gt;=Loyal_Customers, Loyal_Customers_name,
I728&gt;=Average_Customers, Average_Customers_name,
TRUE, Lost_Customers_name)</f>
        <v>Best Customers</v>
      </c>
    </row>
    <row r="729" spans="1:10" x14ac:dyDescent="0.25">
      <c r="A729" s="25" t="str">
        <v>CUST_0727</v>
      </c>
      <c r="B729" s="16">
        <f t="shared" si="55"/>
        <v>51</v>
      </c>
      <c r="C729" s="16">
        <f t="shared" si="56"/>
        <v>4</v>
      </c>
      <c r="D729" s="17">
        <f t="shared" si="57"/>
        <v>435.24</v>
      </c>
      <c r="E729" s="18" cm="1">
        <f t="array" ref="E729">_xlfn.IFS(
B729&lt;=recencyQ1, 4,
B729&lt;=recencyQ2, 3,
B729&lt;=recencyQ3, 2,
TRUE, 1
)</f>
        <v>2</v>
      </c>
      <c r="F729" s="18" cm="1">
        <f t="array" ref="F729">_xlfn.IFS(
C729&lt;=frequencyQ1, 1,
C729&lt;=frequencyQ2, 2,
C729&lt;=frequencyQ3, 3,
TRUE, 4)</f>
        <v>2</v>
      </c>
      <c r="G729" s="18" cm="1">
        <f t="array" ref="G729">_xlfn.IFS(
D729&lt;=monetaryQ1, 1,
D729&lt;=monetaryQ2, 2,
D729&lt;=monetaryQ3, 3,
TRUE, 4)</f>
        <v>2</v>
      </c>
      <c r="H729" s="18" t="str">
        <f t="shared" si="58"/>
        <v>222</v>
      </c>
      <c r="I729" s="19">
        <f t="shared" si="59"/>
        <v>2</v>
      </c>
      <c r="J729" s="7" t="str" cm="1">
        <f t="array" ref="J729">_xlfn.IFS(
I729&gt;=Best_Customers, Best_Customers_name,
I729&gt;=Loyal_Customers, Loyal_Customers_name,
I729&gt;=Average_Customers, Average_Customers_name,
TRUE, Lost_Customers_name)</f>
        <v>Average Customers</v>
      </c>
    </row>
    <row r="730" spans="1:10" x14ac:dyDescent="0.25">
      <c r="A730" s="25" t="str">
        <v>CUST_0728</v>
      </c>
      <c r="B730" s="16">
        <f t="shared" si="55"/>
        <v>6</v>
      </c>
      <c r="C730" s="16">
        <f t="shared" si="56"/>
        <v>4</v>
      </c>
      <c r="D730" s="17">
        <f t="shared" si="57"/>
        <v>341.05999999999995</v>
      </c>
      <c r="E730" s="18" cm="1">
        <f t="array" ref="E730">_xlfn.IFS(
B730&lt;=recencyQ1, 4,
B730&lt;=recencyQ2, 3,
B730&lt;=recencyQ3, 2,
TRUE, 1
)</f>
        <v>4</v>
      </c>
      <c r="F730" s="18" cm="1">
        <f t="array" ref="F730">_xlfn.IFS(
C730&lt;=frequencyQ1, 1,
C730&lt;=frequencyQ2, 2,
C730&lt;=frequencyQ3, 3,
TRUE, 4)</f>
        <v>2</v>
      </c>
      <c r="G730" s="18" cm="1">
        <f t="array" ref="G730">_xlfn.IFS(
D730&lt;=monetaryQ1, 1,
D730&lt;=monetaryQ2, 2,
D730&lt;=monetaryQ3, 3,
TRUE, 4)</f>
        <v>2</v>
      </c>
      <c r="H730" s="18" t="str">
        <f t="shared" si="58"/>
        <v>422</v>
      </c>
      <c r="I730" s="19">
        <f t="shared" si="59"/>
        <v>2.6666666666666665</v>
      </c>
      <c r="J730" s="7" t="str" cm="1">
        <f t="array" ref="J730">_xlfn.IFS(
I730&gt;=Best_Customers, Best_Customers_name,
I730&gt;=Loyal_Customers, Loyal_Customers_name,
I730&gt;=Average_Customers, Average_Customers_name,
TRUE, Lost_Customers_name)</f>
        <v>Loyal Customers</v>
      </c>
    </row>
    <row r="731" spans="1:10" x14ac:dyDescent="0.25">
      <c r="A731" s="25" t="str">
        <v>CUST_0729</v>
      </c>
      <c r="B731" s="16">
        <f t="shared" si="55"/>
        <v>77</v>
      </c>
      <c r="C731" s="16">
        <f t="shared" si="56"/>
        <v>5</v>
      </c>
      <c r="D731" s="17">
        <f t="shared" si="57"/>
        <v>486.99</v>
      </c>
      <c r="E731" s="18" cm="1">
        <f t="array" ref="E731">_xlfn.IFS(
B731&lt;=recencyQ1, 4,
B731&lt;=recencyQ2, 3,
B731&lt;=recencyQ3, 2,
TRUE, 1
)</f>
        <v>2</v>
      </c>
      <c r="F731" s="18" cm="1">
        <f t="array" ref="F731">_xlfn.IFS(
C731&lt;=frequencyQ1, 1,
C731&lt;=frequencyQ2, 2,
C731&lt;=frequencyQ3, 3,
TRUE, 4)</f>
        <v>2</v>
      </c>
      <c r="G731" s="18" cm="1">
        <f t="array" ref="G731">_xlfn.IFS(
D731&lt;=monetaryQ1, 1,
D731&lt;=monetaryQ2, 2,
D731&lt;=monetaryQ3, 3,
TRUE, 4)</f>
        <v>3</v>
      </c>
      <c r="H731" s="18" t="str">
        <f t="shared" si="58"/>
        <v>223</v>
      </c>
      <c r="I731" s="19">
        <f t="shared" si="59"/>
        <v>2.3333333333333335</v>
      </c>
      <c r="J731" s="7" t="str" cm="1">
        <f t="array" ref="J731">_xlfn.IFS(
I731&gt;=Best_Customers, Best_Customers_name,
I731&gt;=Loyal_Customers, Loyal_Customers_name,
I731&gt;=Average_Customers, Average_Customers_name,
TRUE, Lost_Customers_name)</f>
        <v>Average Customers</v>
      </c>
    </row>
    <row r="732" spans="1:10" x14ac:dyDescent="0.25">
      <c r="A732" s="25" t="str">
        <v>CUST_0730</v>
      </c>
      <c r="B732" s="16">
        <f t="shared" si="55"/>
        <v>44</v>
      </c>
      <c r="C732" s="16">
        <f t="shared" si="56"/>
        <v>5</v>
      </c>
      <c r="D732" s="17">
        <f t="shared" si="57"/>
        <v>420.57999999999993</v>
      </c>
      <c r="E732" s="18" cm="1">
        <f t="array" ref="E732">_xlfn.IFS(
B732&lt;=recencyQ1, 4,
B732&lt;=recencyQ2, 3,
B732&lt;=recencyQ3, 2,
TRUE, 1
)</f>
        <v>3</v>
      </c>
      <c r="F732" s="18" cm="1">
        <f t="array" ref="F732">_xlfn.IFS(
C732&lt;=frequencyQ1, 1,
C732&lt;=frequencyQ2, 2,
C732&lt;=frequencyQ3, 3,
TRUE, 4)</f>
        <v>2</v>
      </c>
      <c r="G732" s="18" cm="1">
        <f t="array" ref="G732">_xlfn.IFS(
D732&lt;=monetaryQ1, 1,
D732&lt;=monetaryQ2, 2,
D732&lt;=monetaryQ3, 3,
TRUE, 4)</f>
        <v>2</v>
      </c>
      <c r="H732" s="18" t="str">
        <f t="shared" si="58"/>
        <v>322</v>
      </c>
      <c r="I732" s="19">
        <f t="shared" si="59"/>
        <v>2.3333333333333335</v>
      </c>
      <c r="J732" s="7" t="str" cm="1">
        <f t="array" ref="J732">_xlfn.IFS(
I732&gt;=Best_Customers, Best_Customers_name,
I732&gt;=Loyal_Customers, Loyal_Customers_name,
I732&gt;=Average_Customers, Average_Customers_name,
TRUE, Lost_Customers_name)</f>
        <v>Average Customers</v>
      </c>
    </row>
    <row r="733" spans="1:10" x14ac:dyDescent="0.25">
      <c r="A733" s="25" t="str">
        <v>CUST_0731</v>
      </c>
      <c r="B733" s="16">
        <f t="shared" si="55"/>
        <v>87</v>
      </c>
      <c r="C733" s="16">
        <f t="shared" si="56"/>
        <v>4</v>
      </c>
      <c r="D733" s="17">
        <f t="shared" si="57"/>
        <v>457.48</v>
      </c>
      <c r="E733" s="18" cm="1">
        <f t="array" ref="E733">_xlfn.IFS(
B733&lt;=recencyQ1, 4,
B733&lt;=recencyQ2, 3,
B733&lt;=recencyQ3, 2,
TRUE, 1
)</f>
        <v>2</v>
      </c>
      <c r="F733" s="18" cm="1">
        <f t="array" ref="F733">_xlfn.IFS(
C733&lt;=frequencyQ1, 1,
C733&lt;=frequencyQ2, 2,
C733&lt;=frequencyQ3, 3,
TRUE, 4)</f>
        <v>2</v>
      </c>
      <c r="G733" s="18" cm="1">
        <f t="array" ref="G733">_xlfn.IFS(
D733&lt;=monetaryQ1, 1,
D733&lt;=monetaryQ2, 2,
D733&lt;=monetaryQ3, 3,
TRUE, 4)</f>
        <v>2</v>
      </c>
      <c r="H733" s="18" t="str">
        <f t="shared" si="58"/>
        <v>222</v>
      </c>
      <c r="I733" s="19">
        <f t="shared" si="59"/>
        <v>2</v>
      </c>
      <c r="J733" s="7" t="str" cm="1">
        <f t="array" ref="J733">_xlfn.IFS(
I733&gt;=Best_Customers, Best_Customers_name,
I733&gt;=Loyal_Customers, Loyal_Customers_name,
I733&gt;=Average_Customers, Average_Customers_name,
TRUE, Lost_Customers_name)</f>
        <v>Average Customers</v>
      </c>
    </row>
    <row r="734" spans="1:10" x14ac:dyDescent="0.25">
      <c r="A734" s="25" t="str">
        <v>CUST_0732</v>
      </c>
      <c r="B734" s="16">
        <f t="shared" si="55"/>
        <v>154</v>
      </c>
      <c r="C734" s="16">
        <f t="shared" si="56"/>
        <v>3</v>
      </c>
      <c r="D734" s="17">
        <f t="shared" si="57"/>
        <v>258.39999999999998</v>
      </c>
      <c r="E734" s="18" cm="1">
        <f t="array" ref="E734">_xlfn.IFS(
B734&lt;=recencyQ1, 4,
B734&lt;=recencyQ2, 3,
B734&lt;=recencyQ3, 2,
TRUE, 1
)</f>
        <v>1</v>
      </c>
      <c r="F734" s="18" cm="1">
        <f t="array" ref="F734">_xlfn.IFS(
C734&lt;=frequencyQ1, 1,
C734&lt;=frequencyQ2, 2,
C734&lt;=frequencyQ3, 3,
TRUE, 4)</f>
        <v>1</v>
      </c>
      <c r="G734" s="18" cm="1">
        <f t="array" ref="G734">_xlfn.IFS(
D734&lt;=monetaryQ1, 1,
D734&lt;=monetaryQ2, 2,
D734&lt;=monetaryQ3, 3,
TRUE, 4)</f>
        <v>1</v>
      </c>
      <c r="H734" s="18" t="str">
        <f t="shared" si="58"/>
        <v>111</v>
      </c>
      <c r="I734" s="19">
        <f t="shared" si="59"/>
        <v>1</v>
      </c>
      <c r="J734" s="7" t="str" cm="1">
        <f t="array" ref="J734">_xlfn.IFS(
I734&gt;=Best_Customers, Best_Customers_name,
I734&gt;=Loyal_Customers, Loyal_Customers_name,
I734&gt;=Average_Customers, Average_Customers_name,
TRUE, Lost_Customers_name)</f>
        <v>Lost Customers</v>
      </c>
    </row>
    <row r="735" spans="1:10" x14ac:dyDescent="0.25">
      <c r="A735" s="25" t="str">
        <v>CUST_0733</v>
      </c>
      <c r="B735" s="16">
        <f t="shared" si="55"/>
        <v>127</v>
      </c>
      <c r="C735" s="16">
        <f t="shared" si="56"/>
        <v>6</v>
      </c>
      <c r="D735" s="17">
        <f t="shared" si="57"/>
        <v>505.39</v>
      </c>
      <c r="E735" s="18" cm="1">
        <f t="array" ref="E735">_xlfn.IFS(
B735&lt;=recencyQ1, 4,
B735&lt;=recencyQ2, 3,
B735&lt;=recencyQ3, 2,
TRUE, 1
)</f>
        <v>1</v>
      </c>
      <c r="F735" s="18" cm="1">
        <f t="array" ref="F735">_xlfn.IFS(
C735&lt;=frequencyQ1, 1,
C735&lt;=frequencyQ2, 2,
C735&lt;=frequencyQ3, 3,
TRUE, 4)</f>
        <v>3</v>
      </c>
      <c r="G735" s="18" cm="1">
        <f t="array" ref="G735">_xlfn.IFS(
D735&lt;=monetaryQ1, 1,
D735&lt;=monetaryQ2, 2,
D735&lt;=monetaryQ3, 3,
TRUE, 4)</f>
        <v>3</v>
      </c>
      <c r="H735" s="18" t="str">
        <f t="shared" si="58"/>
        <v>133</v>
      </c>
      <c r="I735" s="19">
        <f t="shared" si="59"/>
        <v>2.3333333333333335</v>
      </c>
      <c r="J735" s="7" t="str" cm="1">
        <f t="array" ref="J735">_xlfn.IFS(
I735&gt;=Best_Customers, Best_Customers_name,
I735&gt;=Loyal_Customers, Loyal_Customers_name,
I735&gt;=Average_Customers, Average_Customers_name,
TRUE, Lost_Customers_name)</f>
        <v>Average Customers</v>
      </c>
    </row>
    <row r="736" spans="1:10" x14ac:dyDescent="0.25">
      <c r="A736" s="25" t="str">
        <v>CUST_0734</v>
      </c>
      <c r="B736" s="16">
        <f t="shared" si="55"/>
        <v>15</v>
      </c>
      <c r="C736" s="16">
        <f t="shared" si="56"/>
        <v>5</v>
      </c>
      <c r="D736" s="17">
        <f t="shared" si="57"/>
        <v>575.98</v>
      </c>
      <c r="E736" s="18" cm="1">
        <f t="array" ref="E736">_xlfn.IFS(
B736&lt;=recencyQ1, 4,
B736&lt;=recencyQ2, 3,
B736&lt;=recencyQ3, 2,
TRUE, 1
)</f>
        <v>4</v>
      </c>
      <c r="F736" s="18" cm="1">
        <f t="array" ref="F736">_xlfn.IFS(
C736&lt;=frequencyQ1, 1,
C736&lt;=frequencyQ2, 2,
C736&lt;=frequencyQ3, 3,
TRUE, 4)</f>
        <v>2</v>
      </c>
      <c r="G736" s="18" cm="1">
        <f t="array" ref="G736">_xlfn.IFS(
D736&lt;=monetaryQ1, 1,
D736&lt;=monetaryQ2, 2,
D736&lt;=monetaryQ3, 3,
TRUE, 4)</f>
        <v>3</v>
      </c>
      <c r="H736" s="18" t="str">
        <f t="shared" si="58"/>
        <v>423</v>
      </c>
      <c r="I736" s="19">
        <f t="shared" si="59"/>
        <v>3</v>
      </c>
      <c r="J736" s="7" t="str" cm="1">
        <f t="array" ref="J736">_xlfn.IFS(
I736&gt;=Best_Customers, Best_Customers_name,
I736&gt;=Loyal_Customers, Loyal_Customers_name,
I736&gt;=Average_Customers, Average_Customers_name,
TRUE, Lost_Customers_name)</f>
        <v>Loyal Customers</v>
      </c>
    </row>
    <row r="737" spans="1:10" x14ac:dyDescent="0.25">
      <c r="A737" s="25" t="str">
        <v>CUST_0735</v>
      </c>
      <c r="B737" s="16">
        <f t="shared" si="55"/>
        <v>8</v>
      </c>
      <c r="C737" s="16">
        <f t="shared" si="56"/>
        <v>8</v>
      </c>
      <c r="D737" s="17">
        <f t="shared" si="57"/>
        <v>749.5200000000001</v>
      </c>
      <c r="E737" s="18" cm="1">
        <f t="array" ref="E737">_xlfn.IFS(
B737&lt;=recencyQ1, 4,
B737&lt;=recencyQ2, 3,
B737&lt;=recencyQ3, 2,
TRUE, 1
)</f>
        <v>4</v>
      </c>
      <c r="F737" s="18" cm="1">
        <f t="array" ref="F737">_xlfn.IFS(
C737&lt;=frequencyQ1, 1,
C737&lt;=frequencyQ2, 2,
C737&lt;=frequencyQ3, 3,
TRUE, 4)</f>
        <v>4</v>
      </c>
      <c r="G737" s="18" cm="1">
        <f t="array" ref="G737">_xlfn.IFS(
D737&lt;=monetaryQ1, 1,
D737&lt;=monetaryQ2, 2,
D737&lt;=monetaryQ3, 3,
TRUE, 4)</f>
        <v>4</v>
      </c>
      <c r="H737" s="18" t="str">
        <f t="shared" si="58"/>
        <v>444</v>
      </c>
      <c r="I737" s="19">
        <f t="shared" si="59"/>
        <v>4</v>
      </c>
      <c r="J737" s="7" t="str" cm="1">
        <f t="array" ref="J737">_xlfn.IFS(
I737&gt;=Best_Customers, Best_Customers_name,
I737&gt;=Loyal_Customers, Loyal_Customers_name,
I737&gt;=Average_Customers, Average_Customers_name,
TRUE, Lost_Customers_name)</f>
        <v>Best Customers</v>
      </c>
    </row>
    <row r="738" spans="1:10" x14ac:dyDescent="0.25">
      <c r="A738" s="25" t="str">
        <v>CUST_0736</v>
      </c>
      <c r="B738" s="16">
        <f t="shared" si="55"/>
        <v>42</v>
      </c>
      <c r="C738" s="16">
        <f t="shared" si="56"/>
        <v>4</v>
      </c>
      <c r="D738" s="17">
        <f t="shared" si="57"/>
        <v>430.12</v>
      </c>
      <c r="E738" s="18" cm="1">
        <f t="array" ref="E738">_xlfn.IFS(
B738&lt;=recencyQ1, 4,
B738&lt;=recencyQ2, 3,
B738&lt;=recencyQ3, 2,
TRUE, 1
)</f>
        <v>3</v>
      </c>
      <c r="F738" s="18" cm="1">
        <f t="array" ref="F738">_xlfn.IFS(
C738&lt;=frequencyQ1, 1,
C738&lt;=frequencyQ2, 2,
C738&lt;=frequencyQ3, 3,
TRUE, 4)</f>
        <v>2</v>
      </c>
      <c r="G738" s="18" cm="1">
        <f t="array" ref="G738">_xlfn.IFS(
D738&lt;=monetaryQ1, 1,
D738&lt;=monetaryQ2, 2,
D738&lt;=monetaryQ3, 3,
TRUE, 4)</f>
        <v>2</v>
      </c>
      <c r="H738" s="18" t="str">
        <f t="shared" si="58"/>
        <v>322</v>
      </c>
      <c r="I738" s="19">
        <f t="shared" si="59"/>
        <v>2.3333333333333335</v>
      </c>
      <c r="J738" s="7" t="str" cm="1">
        <f t="array" ref="J738">_xlfn.IFS(
I738&gt;=Best_Customers, Best_Customers_name,
I738&gt;=Loyal_Customers, Loyal_Customers_name,
I738&gt;=Average_Customers, Average_Customers_name,
TRUE, Lost_Customers_name)</f>
        <v>Average Customers</v>
      </c>
    </row>
    <row r="739" spans="1:10" x14ac:dyDescent="0.25">
      <c r="A739" s="25" t="str">
        <v>CUST_0737</v>
      </c>
      <c r="B739" s="16">
        <f t="shared" si="55"/>
        <v>28</v>
      </c>
      <c r="C739" s="16">
        <f t="shared" si="56"/>
        <v>5</v>
      </c>
      <c r="D739" s="17">
        <f t="shared" si="57"/>
        <v>474.82000000000005</v>
      </c>
      <c r="E739" s="18" cm="1">
        <f t="array" ref="E739">_xlfn.IFS(
B739&lt;=recencyQ1, 4,
B739&lt;=recencyQ2, 3,
B739&lt;=recencyQ3, 2,
TRUE, 1
)</f>
        <v>3</v>
      </c>
      <c r="F739" s="18" cm="1">
        <f t="array" ref="F739">_xlfn.IFS(
C739&lt;=frequencyQ1, 1,
C739&lt;=frequencyQ2, 2,
C739&lt;=frequencyQ3, 3,
TRUE, 4)</f>
        <v>2</v>
      </c>
      <c r="G739" s="18" cm="1">
        <f t="array" ref="G739">_xlfn.IFS(
D739&lt;=monetaryQ1, 1,
D739&lt;=monetaryQ2, 2,
D739&lt;=monetaryQ3, 3,
TRUE, 4)</f>
        <v>2</v>
      </c>
      <c r="H739" s="18" t="str">
        <f t="shared" si="58"/>
        <v>322</v>
      </c>
      <c r="I739" s="19">
        <f t="shared" si="59"/>
        <v>2.3333333333333335</v>
      </c>
      <c r="J739" s="7" t="str" cm="1">
        <f t="array" ref="J739">_xlfn.IFS(
I739&gt;=Best_Customers, Best_Customers_name,
I739&gt;=Loyal_Customers, Loyal_Customers_name,
I739&gt;=Average_Customers, Average_Customers_name,
TRUE, Lost_Customers_name)</f>
        <v>Average Customers</v>
      </c>
    </row>
    <row r="740" spans="1:10" x14ac:dyDescent="0.25">
      <c r="A740" s="25" t="str">
        <v>CUST_0738</v>
      </c>
      <c r="B740" s="16">
        <f t="shared" si="55"/>
        <v>105</v>
      </c>
      <c r="C740" s="16">
        <f t="shared" si="56"/>
        <v>8</v>
      </c>
      <c r="D740" s="17">
        <f t="shared" si="57"/>
        <v>824.93999999999994</v>
      </c>
      <c r="E740" s="18" cm="1">
        <f t="array" ref="E740">_xlfn.IFS(
B740&lt;=recencyQ1, 4,
B740&lt;=recencyQ2, 3,
B740&lt;=recencyQ3, 2,
TRUE, 1
)</f>
        <v>1</v>
      </c>
      <c r="F740" s="18" cm="1">
        <f t="array" ref="F740">_xlfn.IFS(
C740&lt;=frequencyQ1, 1,
C740&lt;=frequencyQ2, 2,
C740&lt;=frequencyQ3, 3,
TRUE, 4)</f>
        <v>4</v>
      </c>
      <c r="G740" s="18" cm="1">
        <f t="array" ref="G740">_xlfn.IFS(
D740&lt;=monetaryQ1, 1,
D740&lt;=monetaryQ2, 2,
D740&lt;=monetaryQ3, 3,
TRUE, 4)</f>
        <v>4</v>
      </c>
      <c r="H740" s="18" t="str">
        <f t="shared" si="58"/>
        <v>144</v>
      </c>
      <c r="I740" s="19">
        <f t="shared" si="59"/>
        <v>3</v>
      </c>
      <c r="J740" s="7" t="str" cm="1">
        <f t="array" ref="J740">_xlfn.IFS(
I740&gt;=Best_Customers, Best_Customers_name,
I740&gt;=Loyal_Customers, Loyal_Customers_name,
I740&gt;=Average_Customers, Average_Customers_name,
TRUE, Lost_Customers_name)</f>
        <v>Loyal Customers</v>
      </c>
    </row>
    <row r="741" spans="1:10" x14ac:dyDescent="0.25">
      <c r="A741" s="25" t="str">
        <v>CUST_0739</v>
      </c>
      <c r="B741" s="16">
        <f t="shared" si="55"/>
        <v>62</v>
      </c>
      <c r="C741" s="16">
        <f t="shared" si="56"/>
        <v>5</v>
      </c>
      <c r="D741" s="17">
        <f t="shared" si="57"/>
        <v>439.42000000000007</v>
      </c>
      <c r="E741" s="18" cm="1">
        <f t="array" ref="E741">_xlfn.IFS(
B741&lt;=recencyQ1, 4,
B741&lt;=recencyQ2, 3,
B741&lt;=recencyQ3, 2,
TRUE, 1
)</f>
        <v>2</v>
      </c>
      <c r="F741" s="18" cm="1">
        <f t="array" ref="F741">_xlfn.IFS(
C741&lt;=frequencyQ1, 1,
C741&lt;=frequencyQ2, 2,
C741&lt;=frequencyQ3, 3,
TRUE, 4)</f>
        <v>2</v>
      </c>
      <c r="G741" s="18" cm="1">
        <f t="array" ref="G741">_xlfn.IFS(
D741&lt;=monetaryQ1, 1,
D741&lt;=monetaryQ2, 2,
D741&lt;=monetaryQ3, 3,
TRUE, 4)</f>
        <v>2</v>
      </c>
      <c r="H741" s="18" t="str">
        <f t="shared" si="58"/>
        <v>222</v>
      </c>
      <c r="I741" s="19">
        <f t="shared" si="59"/>
        <v>2</v>
      </c>
      <c r="J741" s="7" t="str" cm="1">
        <f t="array" ref="J741">_xlfn.IFS(
I741&gt;=Best_Customers, Best_Customers_name,
I741&gt;=Loyal_Customers, Loyal_Customers_name,
I741&gt;=Average_Customers, Average_Customers_name,
TRUE, Lost_Customers_name)</f>
        <v>Average Customers</v>
      </c>
    </row>
    <row r="742" spans="1:10" x14ac:dyDescent="0.25">
      <c r="A742" s="25" t="str">
        <v>CUST_0740</v>
      </c>
      <c r="B742" s="16">
        <f t="shared" si="55"/>
        <v>43</v>
      </c>
      <c r="C742" s="16">
        <f t="shared" si="56"/>
        <v>5</v>
      </c>
      <c r="D742" s="17">
        <f t="shared" si="57"/>
        <v>598.88</v>
      </c>
      <c r="E742" s="18" cm="1">
        <f t="array" ref="E742">_xlfn.IFS(
B742&lt;=recencyQ1, 4,
B742&lt;=recencyQ2, 3,
B742&lt;=recencyQ3, 2,
TRUE, 1
)</f>
        <v>3</v>
      </c>
      <c r="F742" s="18" cm="1">
        <f t="array" ref="F742">_xlfn.IFS(
C742&lt;=frequencyQ1, 1,
C742&lt;=frequencyQ2, 2,
C742&lt;=frequencyQ3, 3,
TRUE, 4)</f>
        <v>2</v>
      </c>
      <c r="G742" s="18" cm="1">
        <f t="array" ref="G742">_xlfn.IFS(
D742&lt;=monetaryQ1, 1,
D742&lt;=monetaryQ2, 2,
D742&lt;=monetaryQ3, 3,
TRUE, 4)</f>
        <v>3</v>
      </c>
      <c r="H742" s="18" t="str">
        <f t="shared" si="58"/>
        <v>323</v>
      </c>
      <c r="I742" s="19">
        <f t="shared" si="59"/>
        <v>2.6666666666666665</v>
      </c>
      <c r="J742" s="7" t="str" cm="1">
        <f t="array" ref="J742">_xlfn.IFS(
I742&gt;=Best_Customers, Best_Customers_name,
I742&gt;=Loyal_Customers, Loyal_Customers_name,
I742&gt;=Average_Customers, Average_Customers_name,
TRUE, Lost_Customers_name)</f>
        <v>Loyal Customers</v>
      </c>
    </row>
    <row r="743" spans="1:10" x14ac:dyDescent="0.25">
      <c r="A743" s="25" t="str">
        <v>CUST_0741</v>
      </c>
      <c r="B743" s="16">
        <f t="shared" si="55"/>
        <v>3</v>
      </c>
      <c r="C743" s="16">
        <f t="shared" si="56"/>
        <v>2</v>
      </c>
      <c r="D743" s="17">
        <f t="shared" si="57"/>
        <v>218.14</v>
      </c>
      <c r="E743" s="18" cm="1">
        <f t="array" ref="E743">_xlfn.IFS(
B743&lt;=recencyQ1, 4,
B743&lt;=recencyQ2, 3,
B743&lt;=recencyQ3, 2,
TRUE, 1
)</f>
        <v>4</v>
      </c>
      <c r="F743" s="18" cm="1">
        <f t="array" ref="F743">_xlfn.IFS(
C743&lt;=frequencyQ1, 1,
C743&lt;=frequencyQ2, 2,
C743&lt;=frequencyQ3, 3,
TRUE, 4)</f>
        <v>1</v>
      </c>
      <c r="G743" s="18" cm="1">
        <f t="array" ref="G743">_xlfn.IFS(
D743&lt;=monetaryQ1, 1,
D743&lt;=monetaryQ2, 2,
D743&lt;=monetaryQ3, 3,
TRUE, 4)</f>
        <v>1</v>
      </c>
      <c r="H743" s="18" t="str">
        <f t="shared" si="58"/>
        <v>411</v>
      </c>
      <c r="I743" s="19">
        <f t="shared" si="59"/>
        <v>2</v>
      </c>
      <c r="J743" s="7" t="str" cm="1">
        <f t="array" ref="J743">_xlfn.IFS(
I743&gt;=Best_Customers, Best_Customers_name,
I743&gt;=Loyal_Customers, Loyal_Customers_name,
I743&gt;=Average_Customers, Average_Customers_name,
TRUE, Lost_Customers_name)</f>
        <v>Average Customers</v>
      </c>
    </row>
    <row r="744" spans="1:10" x14ac:dyDescent="0.25">
      <c r="A744" s="25" t="str">
        <v>CUST_0742</v>
      </c>
      <c r="B744" s="16">
        <f t="shared" si="55"/>
        <v>118</v>
      </c>
      <c r="C744" s="16">
        <f t="shared" si="56"/>
        <v>4</v>
      </c>
      <c r="D744" s="17">
        <f t="shared" si="57"/>
        <v>394.71000000000004</v>
      </c>
      <c r="E744" s="18" cm="1">
        <f t="array" ref="E744">_xlfn.IFS(
B744&lt;=recencyQ1, 4,
B744&lt;=recencyQ2, 3,
B744&lt;=recencyQ3, 2,
TRUE, 1
)</f>
        <v>1</v>
      </c>
      <c r="F744" s="18" cm="1">
        <f t="array" ref="F744">_xlfn.IFS(
C744&lt;=frequencyQ1, 1,
C744&lt;=frequencyQ2, 2,
C744&lt;=frequencyQ3, 3,
TRUE, 4)</f>
        <v>2</v>
      </c>
      <c r="G744" s="18" cm="1">
        <f t="array" ref="G744">_xlfn.IFS(
D744&lt;=monetaryQ1, 1,
D744&lt;=monetaryQ2, 2,
D744&lt;=monetaryQ3, 3,
TRUE, 4)</f>
        <v>2</v>
      </c>
      <c r="H744" s="18" t="str">
        <f t="shared" si="58"/>
        <v>122</v>
      </c>
      <c r="I744" s="19">
        <f t="shared" si="59"/>
        <v>1.6666666666666667</v>
      </c>
      <c r="J744" s="7" t="str" cm="1">
        <f t="array" ref="J744">_xlfn.IFS(
I744&gt;=Best_Customers, Best_Customers_name,
I744&gt;=Loyal_Customers, Loyal_Customers_name,
I744&gt;=Average_Customers, Average_Customers_name,
TRUE, Lost_Customers_name)</f>
        <v>Average Customers</v>
      </c>
    </row>
    <row r="745" spans="1:10" x14ac:dyDescent="0.25">
      <c r="A745" s="25" t="str">
        <v>CUST_0743</v>
      </c>
      <c r="B745" s="16">
        <f t="shared" si="55"/>
        <v>52</v>
      </c>
      <c r="C745" s="16">
        <f t="shared" si="56"/>
        <v>6</v>
      </c>
      <c r="D745" s="17">
        <f t="shared" si="57"/>
        <v>500.87</v>
      </c>
      <c r="E745" s="18" cm="1">
        <f t="array" ref="E745">_xlfn.IFS(
B745&lt;=recencyQ1, 4,
B745&lt;=recencyQ2, 3,
B745&lt;=recencyQ3, 2,
TRUE, 1
)</f>
        <v>2</v>
      </c>
      <c r="F745" s="18" cm="1">
        <f t="array" ref="F745">_xlfn.IFS(
C745&lt;=frequencyQ1, 1,
C745&lt;=frequencyQ2, 2,
C745&lt;=frequencyQ3, 3,
TRUE, 4)</f>
        <v>3</v>
      </c>
      <c r="G745" s="18" cm="1">
        <f t="array" ref="G745">_xlfn.IFS(
D745&lt;=monetaryQ1, 1,
D745&lt;=monetaryQ2, 2,
D745&lt;=monetaryQ3, 3,
TRUE, 4)</f>
        <v>3</v>
      </c>
      <c r="H745" s="18" t="str">
        <f t="shared" si="58"/>
        <v>233</v>
      </c>
      <c r="I745" s="19">
        <f t="shared" si="59"/>
        <v>2.6666666666666665</v>
      </c>
      <c r="J745" s="7" t="str" cm="1">
        <f t="array" ref="J745">_xlfn.IFS(
I745&gt;=Best_Customers, Best_Customers_name,
I745&gt;=Loyal_Customers, Loyal_Customers_name,
I745&gt;=Average_Customers, Average_Customers_name,
TRUE, Lost_Customers_name)</f>
        <v>Loyal Customers</v>
      </c>
    </row>
    <row r="746" spans="1:10" x14ac:dyDescent="0.25">
      <c r="A746" s="25" t="str">
        <v>CUST_0744</v>
      </c>
      <c r="B746" s="16">
        <f t="shared" si="55"/>
        <v>95</v>
      </c>
      <c r="C746" s="16">
        <f t="shared" si="56"/>
        <v>4</v>
      </c>
      <c r="D746" s="17">
        <f t="shared" si="57"/>
        <v>408.7</v>
      </c>
      <c r="E746" s="18" cm="1">
        <f t="array" ref="E746">_xlfn.IFS(
B746&lt;=recencyQ1, 4,
B746&lt;=recencyQ2, 3,
B746&lt;=recencyQ3, 2,
TRUE, 1
)</f>
        <v>2</v>
      </c>
      <c r="F746" s="18" cm="1">
        <f t="array" ref="F746">_xlfn.IFS(
C746&lt;=frequencyQ1, 1,
C746&lt;=frequencyQ2, 2,
C746&lt;=frequencyQ3, 3,
TRUE, 4)</f>
        <v>2</v>
      </c>
      <c r="G746" s="18" cm="1">
        <f t="array" ref="G746">_xlfn.IFS(
D746&lt;=monetaryQ1, 1,
D746&lt;=monetaryQ2, 2,
D746&lt;=monetaryQ3, 3,
TRUE, 4)</f>
        <v>2</v>
      </c>
      <c r="H746" s="18" t="str">
        <f t="shared" si="58"/>
        <v>222</v>
      </c>
      <c r="I746" s="19">
        <f t="shared" si="59"/>
        <v>2</v>
      </c>
      <c r="J746" s="7" t="str" cm="1">
        <f t="array" ref="J746">_xlfn.IFS(
I746&gt;=Best_Customers, Best_Customers_name,
I746&gt;=Loyal_Customers, Loyal_Customers_name,
I746&gt;=Average_Customers, Average_Customers_name,
TRUE, Lost_Customers_name)</f>
        <v>Average Customers</v>
      </c>
    </row>
    <row r="747" spans="1:10" x14ac:dyDescent="0.25">
      <c r="A747" s="25" t="str">
        <v>CUST_0745</v>
      </c>
      <c r="B747" s="16">
        <f t="shared" si="55"/>
        <v>89</v>
      </c>
      <c r="C747" s="16">
        <f t="shared" si="56"/>
        <v>3</v>
      </c>
      <c r="D747" s="17">
        <f t="shared" si="57"/>
        <v>254.67000000000002</v>
      </c>
      <c r="E747" s="18" cm="1">
        <f t="array" ref="E747">_xlfn.IFS(
B747&lt;=recencyQ1, 4,
B747&lt;=recencyQ2, 3,
B747&lt;=recencyQ3, 2,
TRUE, 1
)</f>
        <v>2</v>
      </c>
      <c r="F747" s="18" cm="1">
        <f t="array" ref="F747">_xlfn.IFS(
C747&lt;=frequencyQ1, 1,
C747&lt;=frequencyQ2, 2,
C747&lt;=frequencyQ3, 3,
TRUE, 4)</f>
        <v>1</v>
      </c>
      <c r="G747" s="18" cm="1">
        <f t="array" ref="G747">_xlfn.IFS(
D747&lt;=monetaryQ1, 1,
D747&lt;=monetaryQ2, 2,
D747&lt;=monetaryQ3, 3,
TRUE, 4)</f>
        <v>1</v>
      </c>
      <c r="H747" s="18" t="str">
        <f t="shared" si="58"/>
        <v>211</v>
      </c>
      <c r="I747" s="19">
        <f t="shared" si="59"/>
        <v>1.3333333333333333</v>
      </c>
      <c r="J747" s="7" t="str" cm="1">
        <f t="array" ref="J747">_xlfn.IFS(
I747&gt;=Best_Customers, Best_Customers_name,
I747&gt;=Loyal_Customers, Loyal_Customers_name,
I747&gt;=Average_Customers, Average_Customers_name,
TRUE, Lost_Customers_name)</f>
        <v>Lost Customers</v>
      </c>
    </row>
    <row r="748" spans="1:10" x14ac:dyDescent="0.25">
      <c r="A748" s="25" t="str">
        <v>CUST_0746</v>
      </c>
      <c r="B748" s="16">
        <f t="shared" si="55"/>
        <v>98</v>
      </c>
      <c r="C748" s="16">
        <f t="shared" si="56"/>
        <v>2</v>
      </c>
      <c r="D748" s="17">
        <f t="shared" si="57"/>
        <v>170.13</v>
      </c>
      <c r="E748" s="18" cm="1">
        <f t="array" ref="E748">_xlfn.IFS(
B748&lt;=recencyQ1, 4,
B748&lt;=recencyQ2, 3,
B748&lt;=recencyQ3, 2,
TRUE, 1
)</f>
        <v>1</v>
      </c>
      <c r="F748" s="18" cm="1">
        <f t="array" ref="F748">_xlfn.IFS(
C748&lt;=frequencyQ1, 1,
C748&lt;=frequencyQ2, 2,
C748&lt;=frequencyQ3, 3,
TRUE, 4)</f>
        <v>1</v>
      </c>
      <c r="G748" s="18" cm="1">
        <f t="array" ref="G748">_xlfn.IFS(
D748&lt;=monetaryQ1, 1,
D748&lt;=monetaryQ2, 2,
D748&lt;=monetaryQ3, 3,
TRUE, 4)</f>
        <v>1</v>
      </c>
      <c r="H748" s="18" t="str">
        <f t="shared" si="58"/>
        <v>111</v>
      </c>
      <c r="I748" s="19">
        <f t="shared" si="59"/>
        <v>1</v>
      </c>
      <c r="J748" s="7" t="str" cm="1">
        <f t="array" ref="J748">_xlfn.IFS(
I748&gt;=Best_Customers, Best_Customers_name,
I748&gt;=Loyal_Customers, Loyal_Customers_name,
I748&gt;=Average_Customers, Average_Customers_name,
TRUE, Lost_Customers_name)</f>
        <v>Lost Customers</v>
      </c>
    </row>
    <row r="749" spans="1:10" x14ac:dyDescent="0.25">
      <c r="A749" s="25" t="str">
        <v>CUST_0747</v>
      </c>
      <c r="B749" s="16">
        <f t="shared" si="55"/>
        <v>68</v>
      </c>
      <c r="C749" s="16">
        <f t="shared" si="56"/>
        <v>6</v>
      </c>
      <c r="D749" s="17">
        <f t="shared" si="57"/>
        <v>446.18999999999994</v>
      </c>
      <c r="E749" s="18" cm="1">
        <f t="array" ref="E749">_xlfn.IFS(
B749&lt;=recencyQ1, 4,
B749&lt;=recencyQ2, 3,
B749&lt;=recencyQ3, 2,
TRUE, 1
)</f>
        <v>2</v>
      </c>
      <c r="F749" s="18" cm="1">
        <f t="array" ref="F749">_xlfn.IFS(
C749&lt;=frequencyQ1, 1,
C749&lt;=frequencyQ2, 2,
C749&lt;=frequencyQ3, 3,
TRUE, 4)</f>
        <v>3</v>
      </c>
      <c r="G749" s="18" cm="1">
        <f t="array" ref="G749">_xlfn.IFS(
D749&lt;=monetaryQ1, 1,
D749&lt;=monetaryQ2, 2,
D749&lt;=monetaryQ3, 3,
TRUE, 4)</f>
        <v>2</v>
      </c>
      <c r="H749" s="18" t="str">
        <f t="shared" si="58"/>
        <v>232</v>
      </c>
      <c r="I749" s="19">
        <f t="shared" si="59"/>
        <v>2.3333333333333335</v>
      </c>
      <c r="J749" s="7" t="str" cm="1">
        <f t="array" ref="J749">_xlfn.IFS(
I749&gt;=Best_Customers, Best_Customers_name,
I749&gt;=Loyal_Customers, Loyal_Customers_name,
I749&gt;=Average_Customers, Average_Customers_name,
TRUE, Lost_Customers_name)</f>
        <v>Average Customers</v>
      </c>
    </row>
    <row r="750" spans="1:10" x14ac:dyDescent="0.25">
      <c r="A750" s="25" t="str">
        <v>CUST_0748</v>
      </c>
      <c r="B750" s="16">
        <f t="shared" si="55"/>
        <v>2</v>
      </c>
      <c r="C750" s="16">
        <f t="shared" si="56"/>
        <v>7</v>
      </c>
      <c r="D750" s="17">
        <f t="shared" si="57"/>
        <v>716.13</v>
      </c>
      <c r="E750" s="18" cm="1">
        <f t="array" ref="E750">_xlfn.IFS(
B750&lt;=recencyQ1, 4,
B750&lt;=recencyQ2, 3,
B750&lt;=recencyQ3, 2,
TRUE, 1
)</f>
        <v>4</v>
      </c>
      <c r="F750" s="18" cm="1">
        <f t="array" ref="F750">_xlfn.IFS(
C750&lt;=frequencyQ1, 1,
C750&lt;=frequencyQ2, 2,
C750&lt;=frequencyQ3, 3,
TRUE, 4)</f>
        <v>4</v>
      </c>
      <c r="G750" s="18" cm="1">
        <f t="array" ref="G750">_xlfn.IFS(
D750&lt;=monetaryQ1, 1,
D750&lt;=monetaryQ2, 2,
D750&lt;=monetaryQ3, 3,
TRUE, 4)</f>
        <v>4</v>
      </c>
      <c r="H750" s="18" t="str">
        <f t="shared" si="58"/>
        <v>444</v>
      </c>
      <c r="I750" s="19">
        <f t="shared" si="59"/>
        <v>4</v>
      </c>
      <c r="J750" s="7" t="str" cm="1">
        <f t="array" ref="J750">_xlfn.IFS(
I750&gt;=Best_Customers, Best_Customers_name,
I750&gt;=Loyal_Customers, Loyal_Customers_name,
I750&gt;=Average_Customers, Average_Customers_name,
TRUE, Lost_Customers_name)</f>
        <v>Best Customers</v>
      </c>
    </row>
    <row r="751" spans="1:10" x14ac:dyDescent="0.25">
      <c r="A751" s="25" t="str">
        <v>CUST_0749</v>
      </c>
      <c r="B751" s="16">
        <f t="shared" si="55"/>
        <v>18</v>
      </c>
      <c r="C751" s="16">
        <f t="shared" si="56"/>
        <v>4</v>
      </c>
      <c r="D751" s="17">
        <f t="shared" si="57"/>
        <v>446.19000000000005</v>
      </c>
      <c r="E751" s="18" cm="1">
        <f t="array" ref="E751">_xlfn.IFS(
B751&lt;=recencyQ1, 4,
B751&lt;=recencyQ2, 3,
B751&lt;=recencyQ3, 2,
TRUE, 1
)</f>
        <v>4</v>
      </c>
      <c r="F751" s="18" cm="1">
        <f t="array" ref="F751">_xlfn.IFS(
C751&lt;=frequencyQ1, 1,
C751&lt;=frequencyQ2, 2,
C751&lt;=frequencyQ3, 3,
TRUE, 4)</f>
        <v>2</v>
      </c>
      <c r="G751" s="18" cm="1">
        <f t="array" ref="G751">_xlfn.IFS(
D751&lt;=monetaryQ1, 1,
D751&lt;=monetaryQ2, 2,
D751&lt;=monetaryQ3, 3,
TRUE, 4)</f>
        <v>2</v>
      </c>
      <c r="H751" s="18" t="str">
        <f t="shared" si="58"/>
        <v>422</v>
      </c>
      <c r="I751" s="19">
        <f t="shared" si="59"/>
        <v>2.6666666666666665</v>
      </c>
      <c r="J751" s="7" t="str" cm="1">
        <f t="array" ref="J751">_xlfn.IFS(
I751&gt;=Best_Customers, Best_Customers_name,
I751&gt;=Loyal_Customers, Loyal_Customers_name,
I751&gt;=Average_Customers, Average_Customers_name,
TRUE, Lost_Customers_name)</f>
        <v>Loyal Customers</v>
      </c>
    </row>
    <row r="752" spans="1:10" x14ac:dyDescent="0.25">
      <c r="A752" s="25" t="str">
        <v>CUST_0750</v>
      </c>
      <c r="B752" s="16">
        <f t="shared" si="55"/>
        <v>47</v>
      </c>
      <c r="C752" s="16">
        <f t="shared" si="56"/>
        <v>7</v>
      </c>
      <c r="D752" s="17">
        <f t="shared" si="57"/>
        <v>657.44</v>
      </c>
      <c r="E752" s="18" cm="1">
        <f t="array" ref="E752">_xlfn.IFS(
B752&lt;=recencyQ1, 4,
B752&lt;=recencyQ2, 3,
B752&lt;=recencyQ3, 2,
TRUE, 1
)</f>
        <v>3</v>
      </c>
      <c r="F752" s="18" cm="1">
        <f t="array" ref="F752">_xlfn.IFS(
C752&lt;=frequencyQ1, 1,
C752&lt;=frequencyQ2, 2,
C752&lt;=frequencyQ3, 3,
TRUE, 4)</f>
        <v>4</v>
      </c>
      <c r="G752" s="18" cm="1">
        <f t="array" ref="G752">_xlfn.IFS(
D752&lt;=monetaryQ1, 1,
D752&lt;=monetaryQ2, 2,
D752&lt;=monetaryQ3, 3,
TRUE, 4)</f>
        <v>4</v>
      </c>
      <c r="H752" s="18" t="str">
        <f t="shared" si="58"/>
        <v>344</v>
      </c>
      <c r="I752" s="19">
        <f t="shared" si="59"/>
        <v>3.6666666666666665</v>
      </c>
      <c r="J752" s="7" t="str" cm="1">
        <f t="array" ref="J752">_xlfn.IFS(
I752&gt;=Best_Customers, Best_Customers_name,
I752&gt;=Loyal_Customers, Loyal_Customers_name,
I752&gt;=Average_Customers, Average_Customers_name,
TRUE, Lost_Customers_name)</f>
        <v>Best Customers</v>
      </c>
    </row>
    <row r="753" spans="1:10" x14ac:dyDescent="0.25">
      <c r="A753" s="25" t="str">
        <v>CUST_0751</v>
      </c>
      <c r="B753" s="16">
        <f t="shared" si="55"/>
        <v>63</v>
      </c>
      <c r="C753" s="16">
        <f t="shared" si="56"/>
        <v>5</v>
      </c>
      <c r="D753" s="17">
        <f t="shared" si="57"/>
        <v>574.69000000000005</v>
      </c>
      <c r="E753" s="18" cm="1">
        <f t="array" ref="E753">_xlfn.IFS(
B753&lt;=recencyQ1, 4,
B753&lt;=recencyQ2, 3,
B753&lt;=recencyQ3, 2,
TRUE, 1
)</f>
        <v>2</v>
      </c>
      <c r="F753" s="18" cm="1">
        <f t="array" ref="F753">_xlfn.IFS(
C753&lt;=frequencyQ1, 1,
C753&lt;=frequencyQ2, 2,
C753&lt;=frequencyQ3, 3,
TRUE, 4)</f>
        <v>2</v>
      </c>
      <c r="G753" s="18" cm="1">
        <f t="array" ref="G753">_xlfn.IFS(
D753&lt;=monetaryQ1, 1,
D753&lt;=monetaryQ2, 2,
D753&lt;=monetaryQ3, 3,
TRUE, 4)</f>
        <v>3</v>
      </c>
      <c r="H753" s="18" t="str">
        <f t="shared" si="58"/>
        <v>223</v>
      </c>
      <c r="I753" s="19">
        <f t="shared" si="59"/>
        <v>2.3333333333333335</v>
      </c>
      <c r="J753" s="7" t="str" cm="1">
        <f t="array" ref="J753">_xlfn.IFS(
I753&gt;=Best_Customers, Best_Customers_name,
I753&gt;=Loyal_Customers, Loyal_Customers_name,
I753&gt;=Average_Customers, Average_Customers_name,
TRUE, Lost_Customers_name)</f>
        <v>Average Customers</v>
      </c>
    </row>
    <row r="754" spans="1:10" x14ac:dyDescent="0.25">
      <c r="A754" s="25" t="str">
        <v>CUST_0752</v>
      </c>
      <c r="B754" s="16">
        <f t="shared" si="55"/>
        <v>27</v>
      </c>
      <c r="C754" s="16">
        <f t="shared" si="56"/>
        <v>4</v>
      </c>
      <c r="D754" s="17">
        <f t="shared" si="57"/>
        <v>423.4</v>
      </c>
      <c r="E754" s="18" cm="1">
        <f t="array" ref="E754">_xlfn.IFS(
B754&lt;=recencyQ1, 4,
B754&lt;=recencyQ2, 3,
B754&lt;=recencyQ3, 2,
TRUE, 1
)</f>
        <v>3</v>
      </c>
      <c r="F754" s="18" cm="1">
        <f t="array" ref="F754">_xlfn.IFS(
C754&lt;=frequencyQ1, 1,
C754&lt;=frequencyQ2, 2,
C754&lt;=frequencyQ3, 3,
TRUE, 4)</f>
        <v>2</v>
      </c>
      <c r="G754" s="18" cm="1">
        <f t="array" ref="G754">_xlfn.IFS(
D754&lt;=monetaryQ1, 1,
D754&lt;=monetaryQ2, 2,
D754&lt;=monetaryQ3, 3,
TRUE, 4)</f>
        <v>2</v>
      </c>
      <c r="H754" s="18" t="str">
        <f t="shared" si="58"/>
        <v>322</v>
      </c>
      <c r="I754" s="19">
        <f t="shared" si="59"/>
        <v>2.3333333333333335</v>
      </c>
      <c r="J754" s="7" t="str" cm="1">
        <f t="array" ref="J754">_xlfn.IFS(
I754&gt;=Best_Customers, Best_Customers_name,
I754&gt;=Loyal_Customers, Loyal_Customers_name,
I754&gt;=Average_Customers, Average_Customers_name,
TRUE, Lost_Customers_name)</f>
        <v>Average Customers</v>
      </c>
    </row>
    <row r="755" spans="1:10" x14ac:dyDescent="0.25">
      <c r="A755" s="25" t="str">
        <v>CUST_0753</v>
      </c>
      <c r="B755" s="16">
        <f t="shared" si="55"/>
        <v>47</v>
      </c>
      <c r="C755" s="16">
        <f t="shared" si="56"/>
        <v>3</v>
      </c>
      <c r="D755" s="17">
        <f t="shared" si="57"/>
        <v>394.47</v>
      </c>
      <c r="E755" s="18" cm="1">
        <f t="array" ref="E755">_xlfn.IFS(
B755&lt;=recencyQ1, 4,
B755&lt;=recencyQ2, 3,
B755&lt;=recencyQ3, 2,
TRUE, 1
)</f>
        <v>3</v>
      </c>
      <c r="F755" s="18" cm="1">
        <f t="array" ref="F755">_xlfn.IFS(
C755&lt;=frequencyQ1, 1,
C755&lt;=frequencyQ2, 2,
C755&lt;=frequencyQ3, 3,
TRUE, 4)</f>
        <v>1</v>
      </c>
      <c r="G755" s="18" cm="1">
        <f t="array" ref="G755">_xlfn.IFS(
D755&lt;=monetaryQ1, 1,
D755&lt;=monetaryQ2, 2,
D755&lt;=monetaryQ3, 3,
TRUE, 4)</f>
        <v>2</v>
      </c>
      <c r="H755" s="18" t="str">
        <f t="shared" si="58"/>
        <v>312</v>
      </c>
      <c r="I755" s="19">
        <f t="shared" si="59"/>
        <v>2</v>
      </c>
      <c r="J755" s="7" t="str" cm="1">
        <f t="array" ref="J755">_xlfn.IFS(
I755&gt;=Best_Customers, Best_Customers_name,
I755&gt;=Loyal_Customers, Loyal_Customers_name,
I755&gt;=Average_Customers, Average_Customers_name,
TRUE, Lost_Customers_name)</f>
        <v>Average Customers</v>
      </c>
    </row>
    <row r="756" spans="1:10" x14ac:dyDescent="0.25">
      <c r="A756" s="25" t="str">
        <v>CUST_0754</v>
      </c>
      <c r="B756" s="16">
        <f t="shared" si="55"/>
        <v>65</v>
      </c>
      <c r="C756" s="16">
        <f t="shared" si="56"/>
        <v>5</v>
      </c>
      <c r="D756" s="17">
        <f t="shared" si="57"/>
        <v>442.32</v>
      </c>
      <c r="E756" s="18" cm="1">
        <f t="array" ref="E756">_xlfn.IFS(
B756&lt;=recencyQ1, 4,
B756&lt;=recencyQ2, 3,
B756&lt;=recencyQ3, 2,
TRUE, 1
)</f>
        <v>2</v>
      </c>
      <c r="F756" s="18" cm="1">
        <f t="array" ref="F756">_xlfn.IFS(
C756&lt;=frequencyQ1, 1,
C756&lt;=frequencyQ2, 2,
C756&lt;=frequencyQ3, 3,
TRUE, 4)</f>
        <v>2</v>
      </c>
      <c r="G756" s="18" cm="1">
        <f t="array" ref="G756">_xlfn.IFS(
D756&lt;=monetaryQ1, 1,
D756&lt;=monetaryQ2, 2,
D756&lt;=monetaryQ3, 3,
TRUE, 4)</f>
        <v>2</v>
      </c>
      <c r="H756" s="18" t="str">
        <f t="shared" si="58"/>
        <v>222</v>
      </c>
      <c r="I756" s="19">
        <f t="shared" si="59"/>
        <v>2</v>
      </c>
      <c r="J756" s="7" t="str" cm="1">
        <f t="array" ref="J756">_xlfn.IFS(
I756&gt;=Best_Customers, Best_Customers_name,
I756&gt;=Loyal_Customers, Loyal_Customers_name,
I756&gt;=Average_Customers, Average_Customers_name,
TRUE, Lost_Customers_name)</f>
        <v>Average Customers</v>
      </c>
    </row>
    <row r="757" spans="1:10" x14ac:dyDescent="0.25">
      <c r="A757" s="25" t="str">
        <v>CUST_0756</v>
      </c>
      <c r="B757" s="16">
        <f t="shared" si="55"/>
        <v>163</v>
      </c>
      <c r="C757" s="16">
        <f t="shared" si="56"/>
        <v>4</v>
      </c>
      <c r="D757" s="17">
        <f t="shared" si="57"/>
        <v>403.25</v>
      </c>
      <c r="E757" s="18" cm="1">
        <f t="array" ref="E757">_xlfn.IFS(
B757&lt;=recencyQ1, 4,
B757&lt;=recencyQ2, 3,
B757&lt;=recencyQ3, 2,
TRUE, 1
)</f>
        <v>1</v>
      </c>
      <c r="F757" s="18" cm="1">
        <f t="array" ref="F757">_xlfn.IFS(
C757&lt;=frequencyQ1, 1,
C757&lt;=frequencyQ2, 2,
C757&lt;=frequencyQ3, 3,
TRUE, 4)</f>
        <v>2</v>
      </c>
      <c r="G757" s="18" cm="1">
        <f t="array" ref="G757">_xlfn.IFS(
D757&lt;=monetaryQ1, 1,
D757&lt;=monetaryQ2, 2,
D757&lt;=monetaryQ3, 3,
TRUE, 4)</f>
        <v>2</v>
      </c>
      <c r="H757" s="18" t="str">
        <f t="shared" si="58"/>
        <v>122</v>
      </c>
      <c r="I757" s="19">
        <f t="shared" si="59"/>
        <v>1.6666666666666667</v>
      </c>
      <c r="J757" s="7" t="str" cm="1">
        <f t="array" ref="J757">_xlfn.IFS(
I757&gt;=Best_Customers, Best_Customers_name,
I757&gt;=Loyal_Customers, Loyal_Customers_name,
I757&gt;=Average_Customers, Average_Customers_name,
TRUE, Lost_Customers_name)</f>
        <v>Average Customers</v>
      </c>
    </row>
    <row r="758" spans="1:10" x14ac:dyDescent="0.25">
      <c r="A758" s="25" t="str">
        <v>CUST_0757</v>
      </c>
      <c r="B758" s="16">
        <f t="shared" si="55"/>
        <v>83</v>
      </c>
      <c r="C758" s="16">
        <f t="shared" si="56"/>
        <v>5</v>
      </c>
      <c r="D758" s="17">
        <f t="shared" si="57"/>
        <v>535.27</v>
      </c>
      <c r="E758" s="18" cm="1">
        <f t="array" ref="E758">_xlfn.IFS(
B758&lt;=recencyQ1, 4,
B758&lt;=recencyQ2, 3,
B758&lt;=recencyQ3, 2,
TRUE, 1
)</f>
        <v>2</v>
      </c>
      <c r="F758" s="18" cm="1">
        <f t="array" ref="F758">_xlfn.IFS(
C758&lt;=frequencyQ1, 1,
C758&lt;=frequencyQ2, 2,
C758&lt;=frequencyQ3, 3,
TRUE, 4)</f>
        <v>2</v>
      </c>
      <c r="G758" s="18" cm="1">
        <f t="array" ref="G758">_xlfn.IFS(
D758&lt;=monetaryQ1, 1,
D758&lt;=monetaryQ2, 2,
D758&lt;=monetaryQ3, 3,
TRUE, 4)</f>
        <v>3</v>
      </c>
      <c r="H758" s="18" t="str">
        <f t="shared" si="58"/>
        <v>223</v>
      </c>
      <c r="I758" s="19">
        <f t="shared" si="59"/>
        <v>2.3333333333333335</v>
      </c>
      <c r="J758" s="7" t="str" cm="1">
        <f t="array" ref="J758">_xlfn.IFS(
I758&gt;=Best_Customers, Best_Customers_name,
I758&gt;=Loyal_Customers, Loyal_Customers_name,
I758&gt;=Average_Customers, Average_Customers_name,
TRUE, Lost_Customers_name)</f>
        <v>Average Customers</v>
      </c>
    </row>
    <row r="759" spans="1:10" x14ac:dyDescent="0.25">
      <c r="A759" s="25" t="str">
        <v>CUST_0758</v>
      </c>
      <c r="B759" s="16">
        <f t="shared" si="55"/>
        <v>15</v>
      </c>
      <c r="C759" s="16">
        <f t="shared" si="56"/>
        <v>8</v>
      </c>
      <c r="D759" s="17">
        <f t="shared" si="57"/>
        <v>906.14</v>
      </c>
      <c r="E759" s="18" cm="1">
        <f t="array" ref="E759">_xlfn.IFS(
B759&lt;=recencyQ1, 4,
B759&lt;=recencyQ2, 3,
B759&lt;=recencyQ3, 2,
TRUE, 1
)</f>
        <v>4</v>
      </c>
      <c r="F759" s="18" cm="1">
        <f t="array" ref="F759">_xlfn.IFS(
C759&lt;=frequencyQ1, 1,
C759&lt;=frequencyQ2, 2,
C759&lt;=frequencyQ3, 3,
TRUE, 4)</f>
        <v>4</v>
      </c>
      <c r="G759" s="18" cm="1">
        <f t="array" ref="G759">_xlfn.IFS(
D759&lt;=monetaryQ1, 1,
D759&lt;=monetaryQ2, 2,
D759&lt;=monetaryQ3, 3,
TRUE, 4)</f>
        <v>4</v>
      </c>
      <c r="H759" s="18" t="str">
        <f t="shared" si="58"/>
        <v>444</v>
      </c>
      <c r="I759" s="19">
        <f t="shared" si="59"/>
        <v>4</v>
      </c>
      <c r="J759" s="7" t="str" cm="1">
        <f t="array" ref="J759">_xlfn.IFS(
I759&gt;=Best_Customers, Best_Customers_name,
I759&gt;=Loyal_Customers, Loyal_Customers_name,
I759&gt;=Average_Customers, Average_Customers_name,
TRUE, Lost_Customers_name)</f>
        <v>Best Customers</v>
      </c>
    </row>
    <row r="760" spans="1:10" x14ac:dyDescent="0.25">
      <c r="A760" s="25" t="str">
        <v>CUST_0759</v>
      </c>
      <c r="B760" s="16">
        <f t="shared" si="55"/>
        <v>43</v>
      </c>
      <c r="C760" s="16">
        <f t="shared" si="56"/>
        <v>3</v>
      </c>
      <c r="D760" s="17">
        <f t="shared" si="57"/>
        <v>313.86</v>
      </c>
      <c r="E760" s="18" cm="1">
        <f t="array" ref="E760">_xlfn.IFS(
B760&lt;=recencyQ1, 4,
B760&lt;=recencyQ2, 3,
B760&lt;=recencyQ3, 2,
TRUE, 1
)</f>
        <v>3</v>
      </c>
      <c r="F760" s="18" cm="1">
        <f t="array" ref="F760">_xlfn.IFS(
C760&lt;=frequencyQ1, 1,
C760&lt;=frequencyQ2, 2,
C760&lt;=frequencyQ3, 3,
TRUE, 4)</f>
        <v>1</v>
      </c>
      <c r="G760" s="18" cm="1">
        <f t="array" ref="G760">_xlfn.IFS(
D760&lt;=monetaryQ1, 1,
D760&lt;=monetaryQ2, 2,
D760&lt;=monetaryQ3, 3,
TRUE, 4)</f>
        <v>1</v>
      </c>
      <c r="H760" s="18" t="str">
        <f t="shared" si="58"/>
        <v>311</v>
      </c>
      <c r="I760" s="19">
        <f t="shared" si="59"/>
        <v>1.6666666666666667</v>
      </c>
      <c r="J760" s="7" t="str" cm="1">
        <f t="array" ref="J760">_xlfn.IFS(
I760&gt;=Best_Customers, Best_Customers_name,
I760&gt;=Loyal_Customers, Loyal_Customers_name,
I760&gt;=Average_Customers, Average_Customers_name,
TRUE, Lost_Customers_name)</f>
        <v>Average Customers</v>
      </c>
    </row>
    <row r="761" spans="1:10" x14ac:dyDescent="0.25">
      <c r="A761" s="25" t="str">
        <v>CUST_0760</v>
      </c>
      <c r="B761" s="16">
        <f t="shared" si="55"/>
        <v>104</v>
      </c>
      <c r="C761" s="16">
        <f t="shared" si="56"/>
        <v>7</v>
      </c>
      <c r="D761" s="17">
        <f t="shared" si="57"/>
        <v>686.04000000000008</v>
      </c>
      <c r="E761" s="18" cm="1">
        <f t="array" ref="E761">_xlfn.IFS(
B761&lt;=recencyQ1, 4,
B761&lt;=recencyQ2, 3,
B761&lt;=recencyQ3, 2,
TRUE, 1
)</f>
        <v>1</v>
      </c>
      <c r="F761" s="18" cm="1">
        <f t="array" ref="F761">_xlfn.IFS(
C761&lt;=frequencyQ1, 1,
C761&lt;=frequencyQ2, 2,
C761&lt;=frequencyQ3, 3,
TRUE, 4)</f>
        <v>4</v>
      </c>
      <c r="G761" s="18" cm="1">
        <f t="array" ref="G761">_xlfn.IFS(
D761&lt;=monetaryQ1, 1,
D761&lt;=monetaryQ2, 2,
D761&lt;=monetaryQ3, 3,
TRUE, 4)</f>
        <v>4</v>
      </c>
      <c r="H761" s="18" t="str">
        <f t="shared" si="58"/>
        <v>144</v>
      </c>
      <c r="I761" s="19">
        <f t="shared" si="59"/>
        <v>3</v>
      </c>
      <c r="J761" s="7" t="str" cm="1">
        <f t="array" ref="J761">_xlfn.IFS(
I761&gt;=Best_Customers, Best_Customers_name,
I761&gt;=Loyal_Customers, Loyal_Customers_name,
I761&gt;=Average_Customers, Average_Customers_name,
TRUE, Lost_Customers_name)</f>
        <v>Loyal Customers</v>
      </c>
    </row>
    <row r="762" spans="1:10" x14ac:dyDescent="0.25">
      <c r="A762" s="25" t="str">
        <v>CUST_0761</v>
      </c>
      <c r="B762" s="16">
        <f t="shared" si="55"/>
        <v>2</v>
      </c>
      <c r="C762" s="16">
        <f t="shared" si="56"/>
        <v>6</v>
      </c>
      <c r="D762" s="17">
        <f t="shared" si="57"/>
        <v>436.32</v>
      </c>
      <c r="E762" s="18" cm="1">
        <f t="array" ref="E762">_xlfn.IFS(
B762&lt;=recencyQ1, 4,
B762&lt;=recencyQ2, 3,
B762&lt;=recencyQ3, 2,
TRUE, 1
)</f>
        <v>4</v>
      </c>
      <c r="F762" s="18" cm="1">
        <f t="array" ref="F762">_xlfn.IFS(
C762&lt;=frequencyQ1, 1,
C762&lt;=frequencyQ2, 2,
C762&lt;=frequencyQ3, 3,
TRUE, 4)</f>
        <v>3</v>
      </c>
      <c r="G762" s="18" cm="1">
        <f t="array" ref="G762">_xlfn.IFS(
D762&lt;=monetaryQ1, 1,
D762&lt;=monetaryQ2, 2,
D762&lt;=monetaryQ3, 3,
TRUE, 4)</f>
        <v>2</v>
      </c>
      <c r="H762" s="18" t="str">
        <f t="shared" si="58"/>
        <v>432</v>
      </c>
      <c r="I762" s="19">
        <f t="shared" si="59"/>
        <v>3</v>
      </c>
      <c r="J762" s="7" t="str" cm="1">
        <f t="array" ref="J762">_xlfn.IFS(
I762&gt;=Best_Customers, Best_Customers_name,
I762&gt;=Loyal_Customers, Loyal_Customers_name,
I762&gt;=Average_Customers, Average_Customers_name,
TRUE, Lost_Customers_name)</f>
        <v>Loyal Customers</v>
      </c>
    </row>
    <row r="763" spans="1:10" x14ac:dyDescent="0.25">
      <c r="A763" s="25" t="str">
        <v>CUST_0762</v>
      </c>
      <c r="B763" s="16">
        <f t="shared" si="55"/>
        <v>45</v>
      </c>
      <c r="C763" s="16">
        <f t="shared" si="56"/>
        <v>6</v>
      </c>
      <c r="D763" s="17">
        <f t="shared" si="57"/>
        <v>613.47</v>
      </c>
      <c r="E763" s="18" cm="1">
        <f t="array" ref="E763">_xlfn.IFS(
B763&lt;=recencyQ1, 4,
B763&lt;=recencyQ2, 3,
B763&lt;=recencyQ3, 2,
TRUE, 1
)</f>
        <v>3</v>
      </c>
      <c r="F763" s="18" cm="1">
        <f t="array" ref="F763">_xlfn.IFS(
C763&lt;=frequencyQ1, 1,
C763&lt;=frequencyQ2, 2,
C763&lt;=frequencyQ3, 3,
TRUE, 4)</f>
        <v>3</v>
      </c>
      <c r="G763" s="18" cm="1">
        <f t="array" ref="G763">_xlfn.IFS(
D763&lt;=monetaryQ1, 1,
D763&lt;=monetaryQ2, 2,
D763&lt;=monetaryQ3, 3,
TRUE, 4)</f>
        <v>3</v>
      </c>
      <c r="H763" s="18" t="str">
        <f t="shared" si="58"/>
        <v>333</v>
      </c>
      <c r="I763" s="19">
        <f t="shared" si="59"/>
        <v>3</v>
      </c>
      <c r="J763" s="7" t="str" cm="1">
        <f t="array" ref="J763">_xlfn.IFS(
I763&gt;=Best_Customers, Best_Customers_name,
I763&gt;=Loyal_Customers, Loyal_Customers_name,
I763&gt;=Average_Customers, Average_Customers_name,
TRUE, Lost_Customers_name)</f>
        <v>Loyal Customers</v>
      </c>
    </row>
    <row r="764" spans="1:10" x14ac:dyDescent="0.25">
      <c r="A764" s="25" t="str">
        <v>CUST_0763</v>
      </c>
      <c r="B764" s="16">
        <f t="shared" si="55"/>
        <v>41</v>
      </c>
      <c r="C764" s="16">
        <f t="shared" si="56"/>
        <v>9</v>
      </c>
      <c r="D764" s="17">
        <f t="shared" si="57"/>
        <v>815.32</v>
      </c>
      <c r="E764" s="18" cm="1">
        <f t="array" ref="E764">_xlfn.IFS(
B764&lt;=recencyQ1, 4,
B764&lt;=recencyQ2, 3,
B764&lt;=recencyQ3, 2,
TRUE, 1
)</f>
        <v>3</v>
      </c>
      <c r="F764" s="18" cm="1">
        <f t="array" ref="F764">_xlfn.IFS(
C764&lt;=frequencyQ1, 1,
C764&lt;=frequencyQ2, 2,
C764&lt;=frequencyQ3, 3,
TRUE, 4)</f>
        <v>4</v>
      </c>
      <c r="G764" s="18" cm="1">
        <f t="array" ref="G764">_xlfn.IFS(
D764&lt;=monetaryQ1, 1,
D764&lt;=monetaryQ2, 2,
D764&lt;=monetaryQ3, 3,
TRUE, 4)</f>
        <v>4</v>
      </c>
      <c r="H764" s="18" t="str">
        <f t="shared" si="58"/>
        <v>344</v>
      </c>
      <c r="I764" s="19">
        <f t="shared" si="59"/>
        <v>3.6666666666666665</v>
      </c>
      <c r="J764" s="7" t="str" cm="1">
        <f t="array" ref="J764">_xlfn.IFS(
I764&gt;=Best_Customers, Best_Customers_name,
I764&gt;=Loyal_Customers, Loyal_Customers_name,
I764&gt;=Average_Customers, Average_Customers_name,
TRUE, Lost_Customers_name)</f>
        <v>Best Customers</v>
      </c>
    </row>
    <row r="765" spans="1:10" x14ac:dyDescent="0.25">
      <c r="A765" s="25" t="str">
        <v>CUST_0765</v>
      </c>
      <c r="B765" s="16">
        <f t="shared" si="55"/>
        <v>166</v>
      </c>
      <c r="C765" s="16">
        <f t="shared" si="56"/>
        <v>1</v>
      </c>
      <c r="D765" s="17">
        <f t="shared" si="57"/>
        <v>50.77</v>
      </c>
      <c r="E765" s="18" cm="1">
        <f t="array" ref="E765">_xlfn.IFS(
B765&lt;=recencyQ1, 4,
B765&lt;=recencyQ2, 3,
B765&lt;=recencyQ3, 2,
TRUE, 1
)</f>
        <v>1</v>
      </c>
      <c r="F765" s="18" cm="1">
        <f t="array" ref="F765">_xlfn.IFS(
C765&lt;=frequencyQ1, 1,
C765&lt;=frequencyQ2, 2,
C765&lt;=frequencyQ3, 3,
TRUE, 4)</f>
        <v>1</v>
      </c>
      <c r="G765" s="18" cm="1">
        <f t="array" ref="G765">_xlfn.IFS(
D765&lt;=monetaryQ1, 1,
D765&lt;=monetaryQ2, 2,
D765&lt;=monetaryQ3, 3,
TRUE, 4)</f>
        <v>1</v>
      </c>
      <c r="H765" s="18" t="str">
        <f t="shared" si="58"/>
        <v>111</v>
      </c>
      <c r="I765" s="19">
        <f t="shared" si="59"/>
        <v>1</v>
      </c>
      <c r="J765" s="7" t="str" cm="1">
        <f t="array" ref="J765">_xlfn.IFS(
I765&gt;=Best_Customers, Best_Customers_name,
I765&gt;=Loyal_Customers, Loyal_Customers_name,
I765&gt;=Average_Customers, Average_Customers_name,
TRUE, Lost_Customers_name)</f>
        <v>Lost Customers</v>
      </c>
    </row>
    <row r="766" spans="1:10" x14ac:dyDescent="0.25">
      <c r="A766" s="25" t="str">
        <v>CUST_0766</v>
      </c>
      <c r="B766" s="16">
        <f t="shared" si="55"/>
        <v>47</v>
      </c>
      <c r="C766" s="16">
        <f t="shared" si="56"/>
        <v>6</v>
      </c>
      <c r="D766" s="17">
        <f t="shared" si="57"/>
        <v>547.39</v>
      </c>
      <c r="E766" s="18" cm="1">
        <f t="array" ref="E766">_xlfn.IFS(
B766&lt;=recencyQ1, 4,
B766&lt;=recencyQ2, 3,
B766&lt;=recencyQ3, 2,
TRUE, 1
)</f>
        <v>3</v>
      </c>
      <c r="F766" s="18" cm="1">
        <f t="array" ref="F766">_xlfn.IFS(
C766&lt;=frequencyQ1, 1,
C766&lt;=frequencyQ2, 2,
C766&lt;=frequencyQ3, 3,
TRUE, 4)</f>
        <v>3</v>
      </c>
      <c r="G766" s="18" cm="1">
        <f t="array" ref="G766">_xlfn.IFS(
D766&lt;=monetaryQ1, 1,
D766&lt;=monetaryQ2, 2,
D766&lt;=monetaryQ3, 3,
TRUE, 4)</f>
        <v>3</v>
      </c>
      <c r="H766" s="18" t="str">
        <f t="shared" si="58"/>
        <v>333</v>
      </c>
      <c r="I766" s="19">
        <f t="shared" si="59"/>
        <v>3</v>
      </c>
      <c r="J766" s="7" t="str" cm="1">
        <f t="array" ref="J766">_xlfn.IFS(
I766&gt;=Best_Customers, Best_Customers_name,
I766&gt;=Loyal_Customers, Loyal_Customers_name,
I766&gt;=Average_Customers, Average_Customers_name,
TRUE, Lost_Customers_name)</f>
        <v>Loyal Customers</v>
      </c>
    </row>
    <row r="767" spans="1:10" x14ac:dyDescent="0.25">
      <c r="A767" s="25" t="str">
        <v>CUST_0767</v>
      </c>
      <c r="B767" s="16">
        <f t="shared" si="55"/>
        <v>50</v>
      </c>
      <c r="C767" s="16">
        <f t="shared" si="56"/>
        <v>4</v>
      </c>
      <c r="D767" s="17">
        <f t="shared" si="57"/>
        <v>386.62000000000006</v>
      </c>
      <c r="E767" s="18" cm="1">
        <f t="array" ref="E767">_xlfn.IFS(
B767&lt;=recencyQ1, 4,
B767&lt;=recencyQ2, 3,
B767&lt;=recencyQ3, 2,
TRUE, 1
)</f>
        <v>2</v>
      </c>
      <c r="F767" s="18" cm="1">
        <f t="array" ref="F767">_xlfn.IFS(
C767&lt;=frequencyQ1, 1,
C767&lt;=frequencyQ2, 2,
C767&lt;=frequencyQ3, 3,
TRUE, 4)</f>
        <v>2</v>
      </c>
      <c r="G767" s="18" cm="1">
        <f t="array" ref="G767">_xlfn.IFS(
D767&lt;=monetaryQ1, 1,
D767&lt;=monetaryQ2, 2,
D767&lt;=monetaryQ3, 3,
TRUE, 4)</f>
        <v>2</v>
      </c>
      <c r="H767" s="18" t="str">
        <f t="shared" si="58"/>
        <v>222</v>
      </c>
      <c r="I767" s="19">
        <f t="shared" si="59"/>
        <v>2</v>
      </c>
      <c r="J767" s="7" t="str" cm="1">
        <f t="array" ref="J767">_xlfn.IFS(
I767&gt;=Best_Customers, Best_Customers_name,
I767&gt;=Loyal_Customers, Loyal_Customers_name,
I767&gt;=Average_Customers, Average_Customers_name,
TRUE, Lost_Customers_name)</f>
        <v>Average Customers</v>
      </c>
    </row>
    <row r="768" spans="1:10" x14ac:dyDescent="0.25">
      <c r="A768" s="25" t="str">
        <v>CUST_0768</v>
      </c>
      <c r="B768" s="16">
        <f t="shared" si="55"/>
        <v>5</v>
      </c>
      <c r="C768" s="16">
        <f t="shared" si="56"/>
        <v>6</v>
      </c>
      <c r="D768" s="17">
        <f t="shared" si="57"/>
        <v>544.22</v>
      </c>
      <c r="E768" s="18" cm="1">
        <f t="array" ref="E768">_xlfn.IFS(
B768&lt;=recencyQ1, 4,
B768&lt;=recencyQ2, 3,
B768&lt;=recencyQ3, 2,
TRUE, 1
)</f>
        <v>4</v>
      </c>
      <c r="F768" s="18" cm="1">
        <f t="array" ref="F768">_xlfn.IFS(
C768&lt;=frequencyQ1, 1,
C768&lt;=frequencyQ2, 2,
C768&lt;=frequencyQ3, 3,
TRUE, 4)</f>
        <v>3</v>
      </c>
      <c r="G768" s="18" cm="1">
        <f t="array" ref="G768">_xlfn.IFS(
D768&lt;=monetaryQ1, 1,
D768&lt;=monetaryQ2, 2,
D768&lt;=monetaryQ3, 3,
TRUE, 4)</f>
        <v>3</v>
      </c>
      <c r="H768" s="18" t="str">
        <f t="shared" si="58"/>
        <v>433</v>
      </c>
      <c r="I768" s="19">
        <f t="shared" si="59"/>
        <v>3.3333333333333335</v>
      </c>
      <c r="J768" s="7" t="str" cm="1">
        <f t="array" ref="J768">_xlfn.IFS(
I768&gt;=Best_Customers, Best_Customers_name,
I768&gt;=Loyal_Customers, Loyal_Customers_name,
I768&gt;=Average_Customers, Average_Customers_name,
TRUE, Lost_Customers_name)</f>
        <v>Loyal Customers</v>
      </c>
    </row>
    <row r="769" spans="1:10" x14ac:dyDescent="0.25">
      <c r="A769" s="25" t="str">
        <v>CUST_0769</v>
      </c>
      <c r="B769" s="16">
        <f t="shared" si="55"/>
        <v>24</v>
      </c>
      <c r="C769" s="16">
        <f t="shared" si="56"/>
        <v>7</v>
      </c>
      <c r="D769" s="17">
        <f t="shared" si="57"/>
        <v>517.61</v>
      </c>
      <c r="E769" s="18" cm="1">
        <f t="array" ref="E769">_xlfn.IFS(
B769&lt;=recencyQ1, 4,
B769&lt;=recencyQ2, 3,
B769&lt;=recencyQ3, 2,
TRUE, 1
)</f>
        <v>3</v>
      </c>
      <c r="F769" s="18" cm="1">
        <f t="array" ref="F769">_xlfn.IFS(
C769&lt;=frequencyQ1, 1,
C769&lt;=frequencyQ2, 2,
C769&lt;=frequencyQ3, 3,
TRUE, 4)</f>
        <v>4</v>
      </c>
      <c r="G769" s="18" cm="1">
        <f t="array" ref="G769">_xlfn.IFS(
D769&lt;=monetaryQ1, 1,
D769&lt;=monetaryQ2, 2,
D769&lt;=monetaryQ3, 3,
TRUE, 4)</f>
        <v>3</v>
      </c>
      <c r="H769" s="18" t="str">
        <f t="shared" si="58"/>
        <v>343</v>
      </c>
      <c r="I769" s="19">
        <f t="shared" si="59"/>
        <v>3.3333333333333335</v>
      </c>
      <c r="J769" s="7" t="str" cm="1">
        <f t="array" ref="J769">_xlfn.IFS(
I769&gt;=Best_Customers, Best_Customers_name,
I769&gt;=Loyal_Customers, Loyal_Customers_name,
I769&gt;=Average_Customers, Average_Customers_name,
TRUE, Lost_Customers_name)</f>
        <v>Loyal Customers</v>
      </c>
    </row>
    <row r="770" spans="1:10" x14ac:dyDescent="0.25">
      <c r="A770" s="25" t="str">
        <v>CUST_0770</v>
      </c>
      <c r="B770" s="16">
        <f t="shared" si="55"/>
        <v>21</v>
      </c>
      <c r="C770" s="16">
        <f t="shared" si="56"/>
        <v>6</v>
      </c>
      <c r="D770" s="17">
        <f t="shared" si="57"/>
        <v>583.22</v>
      </c>
      <c r="E770" s="18" cm="1">
        <f t="array" ref="E770">_xlfn.IFS(
B770&lt;=recencyQ1, 4,
B770&lt;=recencyQ2, 3,
B770&lt;=recencyQ3, 2,
TRUE, 1
)</f>
        <v>3</v>
      </c>
      <c r="F770" s="18" cm="1">
        <f t="array" ref="F770">_xlfn.IFS(
C770&lt;=frequencyQ1, 1,
C770&lt;=frequencyQ2, 2,
C770&lt;=frequencyQ3, 3,
TRUE, 4)</f>
        <v>3</v>
      </c>
      <c r="G770" s="18" cm="1">
        <f t="array" ref="G770">_xlfn.IFS(
D770&lt;=monetaryQ1, 1,
D770&lt;=monetaryQ2, 2,
D770&lt;=monetaryQ3, 3,
TRUE, 4)</f>
        <v>3</v>
      </c>
      <c r="H770" s="18" t="str">
        <f t="shared" si="58"/>
        <v>333</v>
      </c>
      <c r="I770" s="19">
        <f t="shared" si="59"/>
        <v>3</v>
      </c>
      <c r="J770" s="7" t="str" cm="1">
        <f t="array" ref="J770">_xlfn.IFS(
I770&gt;=Best_Customers, Best_Customers_name,
I770&gt;=Loyal_Customers, Loyal_Customers_name,
I770&gt;=Average_Customers, Average_Customers_name,
TRUE, Lost_Customers_name)</f>
        <v>Loyal Customers</v>
      </c>
    </row>
    <row r="771" spans="1:10" x14ac:dyDescent="0.25">
      <c r="A771" s="25" t="str">
        <v>CUST_0771</v>
      </c>
      <c r="B771" s="16">
        <f t="shared" si="55"/>
        <v>12</v>
      </c>
      <c r="C771" s="16">
        <f t="shared" si="56"/>
        <v>8</v>
      </c>
      <c r="D771" s="17">
        <f t="shared" si="57"/>
        <v>843.69</v>
      </c>
      <c r="E771" s="18" cm="1">
        <f t="array" ref="E771">_xlfn.IFS(
B771&lt;=recencyQ1, 4,
B771&lt;=recencyQ2, 3,
B771&lt;=recencyQ3, 2,
TRUE, 1
)</f>
        <v>4</v>
      </c>
      <c r="F771" s="18" cm="1">
        <f t="array" ref="F771">_xlfn.IFS(
C771&lt;=frequencyQ1, 1,
C771&lt;=frequencyQ2, 2,
C771&lt;=frequencyQ3, 3,
TRUE, 4)</f>
        <v>4</v>
      </c>
      <c r="G771" s="18" cm="1">
        <f t="array" ref="G771">_xlfn.IFS(
D771&lt;=monetaryQ1, 1,
D771&lt;=monetaryQ2, 2,
D771&lt;=monetaryQ3, 3,
TRUE, 4)</f>
        <v>4</v>
      </c>
      <c r="H771" s="18" t="str">
        <f t="shared" si="58"/>
        <v>444</v>
      </c>
      <c r="I771" s="19">
        <f t="shared" si="59"/>
        <v>4</v>
      </c>
      <c r="J771" s="7" t="str" cm="1">
        <f t="array" ref="J771">_xlfn.IFS(
I771&gt;=Best_Customers, Best_Customers_name,
I771&gt;=Loyal_Customers, Loyal_Customers_name,
I771&gt;=Average_Customers, Average_Customers_name,
TRUE, Lost_Customers_name)</f>
        <v>Best Customers</v>
      </c>
    </row>
    <row r="772" spans="1:10" x14ac:dyDescent="0.25">
      <c r="A772" s="25" t="str">
        <v>CUST_0772</v>
      </c>
      <c r="B772" s="16">
        <f t="shared" si="55"/>
        <v>9</v>
      </c>
      <c r="C772" s="16">
        <f t="shared" si="56"/>
        <v>3</v>
      </c>
      <c r="D772" s="17">
        <f t="shared" si="57"/>
        <v>258.59000000000003</v>
      </c>
      <c r="E772" s="18" cm="1">
        <f t="array" ref="E772">_xlfn.IFS(
B772&lt;=recencyQ1, 4,
B772&lt;=recencyQ2, 3,
B772&lt;=recencyQ3, 2,
TRUE, 1
)</f>
        <v>4</v>
      </c>
      <c r="F772" s="18" cm="1">
        <f t="array" ref="F772">_xlfn.IFS(
C772&lt;=frequencyQ1, 1,
C772&lt;=frequencyQ2, 2,
C772&lt;=frequencyQ3, 3,
TRUE, 4)</f>
        <v>1</v>
      </c>
      <c r="G772" s="18" cm="1">
        <f t="array" ref="G772">_xlfn.IFS(
D772&lt;=monetaryQ1, 1,
D772&lt;=monetaryQ2, 2,
D772&lt;=monetaryQ3, 3,
TRUE, 4)</f>
        <v>1</v>
      </c>
      <c r="H772" s="18" t="str">
        <f t="shared" si="58"/>
        <v>411</v>
      </c>
      <c r="I772" s="19">
        <f t="shared" si="59"/>
        <v>2</v>
      </c>
      <c r="J772" s="7" t="str" cm="1">
        <f t="array" ref="J772">_xlfn.IFS(
I772&gt;=Best_Customers, Best_Customers_name,
I772&gt;=Loyal_Customers, Loyal_Customers_name,
I772&gt;=Average_Customers, Average_Customers_name,
TRUE, Lost_Customers_name)</f>
        <v>Average Customers</v>
      </c>
    </row>
    <row r="773" spans="1:10" x14ac:dyDescent="0.25">
      <c r="A773" s="25" t="str">
        <v>CUST_0773</v>
      </c>
      <c r="B773" s="16">
        <f t="shared" si="55"/>
        <v>7</v>
      </c>
      <c r="C773" s="16">
        <f t="shared" si="56"/>
        <v>7</v>
      </c>
      <c r="D773" s="17">
        <f t="shared" si="57"/>
        <v>665.53</v>
      </c>
      <c r="E773" s="18" cm="1">
        <f t="array" ref="E773">_xlfn.IFS(
B773&lt;=recencyQ1, 4,
B773&lt;=recencyQ2, 3,
B773&lt;=recencyQ3, 2,
TRUE, 1
)</f>
        <v>4</v>
      </c>
      <c r="F773" s="18" cm="1">
        <f t="array" ref="F773">_xlfn.IFS(
C773&lt;=frequencyQ1, 1,
C773&lt;=frequencyQ2, 2,
C773&lt;=frequencyQ3, 3,
TRUE, 4)</f>
        <v>4</v>
      </c>
      <c r="G773" s="18" cm="1">
        <f t="array" ref="G773">_xlfn.IFS(
D773&lt;=monetaryQ1, 1,
D773&lt;=monetaryQ2, 2,
D773&lt;=monetaryQ3, 3,
TRUE, 4)</f>
        <v>4</v>
      </c>
      <c r="H773" s="18" t="str">
        <f t="shared" si="58"/>
        <v>444</v>
      </c>
      <c r="I773" s="19">
        <f t="shared" si="59"/>
        <v>4</v>
      </c>
      <c r="J773" s="7" t="str" cm="1">
        <f t="array" ref="J773">_xlfn.IFS(
I773&gt;=Best_Customers, Best_Customers_name,
I773&gt;=Loyal_Customers, Loyal_Customers_name,
I773&gt;=Average_Customers, Average_Customers_name,
TRUE, Lost_Customers_name)</f>
        <v>Best Customers</v>
      </c>
    </row>
    <row r="774" spans="1:10" x14ac:dyDescent="0.25">
      <c r="A774" s="25" t="str">
        <v>CUST_0774</v>
      </c>
      <c r="B774" s="16">
        <f t="shared" si="55"/>
        <v>39</v>
      </c>
      <c r="C774" s="16">
        <f t="shared" si="56"/>
        <v>3</v>
      </c>
      <c r="D774" s="17">
        <f t="shared" si="57"/>
        <v>259.08</v>
      </c>
      <c r="E774" s="18" cm="1">
        <f t="array" ref="E774">_xlfn.IFS(
B774&lt;=recencyQ1, 4,
B774&lt;=recencyQ2, 3,
B774&lt;=recencyQ3, 2,
TRUE, 1
)</f>
        <v>3</v>
      </c>
      <c r="F774" s="18" cm="1">
        <f t="array" ref="F774">_xlfn.IFS(
C774&lt;=frequencyQ1, 1,
C774&lt;=frequencyQ2, 2,
C774&lt;=frequencyQ3, 3,
TRUE, 4)</f>
        <v>1</v>
      </c>
      <c r="G774" s="18" cm="1">
        <f t="array" ref="G774">_xlfn.IFS(
D774&lt;=monetaryQ1, 1,
D774&lt;=monetaryQ2, 2,
D774&lt;=monetaryQ3, 3,
TRUE, 4)</f>
        <v>1</v>
      </c>
      <c r="H774" s="18" t="str">
        <f t="shared" si="58"/>
        <v>311</v>
      </c>
      <c r="I774" s="19">
        <f t="shared" si="59"/>
        <v>1.6666666666666667</v>
      </c>
      <c r="J774" s="7" t="str" cm="1">
        <f t="array" ref="J774">_xlfn.IFS(
I774&gt;=Best_Customers, Best_Customers_name,
I774&gt;=Loyal_Customers, Loyal_Customers_name,
I774&gt;=Average_Customers, Average_Customers_name,
TRUE, Lost_Customers_name)</f>
        <v>Average Customers</v>
      </c>
    </row>
    <row r="775" spans="1:10" x14ac:dyDescent="0.25">
      <c r="A775" s="25" t="str">
        <v>CUST_0775</v>
      </c>
      <c r="B775" s="16">
        <f t="shared" si="55"/>
        <v>75</v>
      </c>
      <c r="C775" s="16">
        <f t="shared" si="56"/>
        <v>11</v>
      </c>
      <c r="D775" s="17">
        <f t="shared" si="57"/>
        <v>969.26</v>
      </c>
      <c r="E775" s="18" cm="1">
        <f t="array" ref="E775">_xlfn.IFS(
B775&lt;=recencyQ1, 4,
B775&lt;=recencyQ2, 3,
B775&lt;=recencyQ3, 2,
TRUE, 1
)</f>
        <v>2</v>
      </c>
      <c r="F775" s="18" cm="1">
        <f t="array" ref="F775">_xlfn.IFS(
C775&lt;=frequencyQ1, 1,
C775&lt;=frequencyQ2, 2,
C775&lt;=frequencyQ3, 3,
TRUE, 4)</f>
        <v>4</v>
      </c>
      <c r="G775" s="18" cm="1">
        <f t="array" ref="G775">_xlfn.IFS(
D775&lt;=monetaryQ1, 1,
D775&lt;=monetaryQ2, 2,
D775&lt;=monetaryQ3, 3,
TRUE, 4)</f>
        <v>4</v>
      </c>
      <c r="H775" s="18" t="str">
        <f t="shared" si="58"/>
        <v>244</v>
      </c>
      <c r="I775" s="19">
        <f t="shared" si="59"/>
        <v>3.3333333333333335</v>
      </c>
      <c r="J775" s="7" t="str" cm="1">
        <f t="array" ref="J775">_xlfn.IFS(
I775&gt;=Best_Customers, Best_Customers_name,
I775&gt;=Loyal_Customers, Loyal_Customers_name,
I775&gt;=Average_Customers, Average_Customers_name,
TRUE, Lost_Customers_name)</f>
        <v>Loyal Customers</v>
      </c>
    </row>
    <row r="776" spans="1:10" x14ac:dyDescent="0.25">
      <c r="A776" s="25" t="str">
        <v>CUST_0776</v>
      </c>
      <c r="B776" s="16">
        <f t="shared" si="55"/>
        <v>64</v>
      </c>
      <c r="C776" s="16">
        <f t="shared" si="56"/>
        <v>4</v>
      </c>
      <c r="D776" s="17">
        <f t="shared" si="57"/>
        <v>477.67</v>
      </c>
      <c r="E776" s="18" cm="1">
        <f t="array" ref="E776">_xlfn.IFS(
B776&lt;=recencyQ1, 4,
B776&lt;=recencyQ2, 3,
B776&lt;=recencyQ3, 2,
TRUE, 1
)</f>
        <v>2</v>
      </c>
      <c r="F776" s="18" cm="1">
        <f t="array" ref="F776">_xlfn.IFS(
C776&lt;=frequencyQ1, 1,
C776&lt;=frequencyQ2, 2,
C776&lt;=frequencyQ3, 3,
TRUE, 4)</f>
        <v>2</v>
      </c>
      <c r="G776" s="18" cm="1">
        <f t="array" ref="G776">_xlfn.IFS(
D776&lt;=monetaryQ1, 1,
D776&lt;=monetaryQ2, 2,
D776&lt;=monetaryQ3, 3,
TRUE, 4)</f>
        <v>2</v>
      </c>
      <c r="H776" s="18" t="str">
        <f t="shared" si="58"/>
        <v>222</v>
      </c>
      <c r="I776" s="19">
        <f t="shared" si="59"/>
        <v>2</v>
      </c>
      <c r="J776" s="7" t="str" cm="1">
        <f t="array" ref="J776">_xlfn.IFS(
I776&gt;=Best_Customers, Best_Customers_name,
I776&gt;=Loyal_Customers, Loyal_Customers_name,
I776&gt;=Average_Customers, Average_Customers_name,
TRUE, Lost_Customers_name)</f>
        <v>Average Customers</v>
      </c>
    </row>
    <row r="777" spans="1:10" x14ac:dyDescent="0.25">
      <c r="A777" s="25" t="str">
        <v>CUST_0777</v>
      </c>
      <c r="B777" s="16">
        <f t="shared" si="55"/>
        <v>62</v>
      </c>
      <c r="C777" s="16">
        <f t="shared" si="56"/>
        <v>5</v>
      </c>
      <c r="D777" s="17">
        <f t="shared" si="57"/>
        <v>425.2</v>
      </c>
      <c r="E777" s="18" cm="1">
        <f t="array" ref="E777">_xlfn.IFS(
B777&lt;=recencyQ1, 4,
B777&lt;=recencyQ2, 3,
B777&lt;=recencyQ3, 2,
TRUE, 1
)</f>
        <v>2</v>
      </c>
      <c r="F777" s="18" cm="1">
        <f t="array" ref="F777">_xlfn.IFS(
C777&lt;=frequencyQ1, 1,
C777&lt;=frequencyQ2, 2,
C777&lt;=frequencyQ3, 3,
TRUE, 4)</f>
        <v>2</v>
      </c>
      <c r="G777" s="18" cm="1">
        <f t="array" ref="G777">_xlfn.IFS(
D777&lt;=monetaryQ1, 1,
D777&lt;=monetaryQ2, 2,
D777&lt;=monetaryQ3, 3,
TRUE, 4)</f>
        <v>2</v>
      </c>
      <c r="H777" s="18" t="str">
        <f t="shared" si="58"/>
        <v>222</v>
      </c>
      <c r="I777" s="19">
        <f t="shared" si="59"/>
        <v>2</v>
      </c>
      <c r="J777" s="7" t="str" cm="1">
        <f t="array" ref="J777">_xlfn.IFS(
I777&gt;=Best_Customers, Best_Customers_name,
I777&gt;=Loyal_Customers, Loyal_Customers_name,
I777&gt;=Average_Customers, Average_Customers_name,
TRUE, Lost_Customers_name)</f>
        <v>Average Customers</v>
      </c>
    </row>
    <row r="778" spans="1:10" x14ac:dyDescent="0.25">
      <c r="A778" s="25" t="str">
        <v>CUST_0778</v>
      </c>
      <c r="B778" s="16">
        <f t="shared" ref="B778:B841" si="60">analysis_date-_xlfn.MAXIFS(transaction_date,customer_id,A778,included,1)</f>
        <v>3</v>
      </c>
      <c r="C778" s="16">
        <f t="shared" ref="C778:C841" si="61">COUNTIFS(customer_id,A778,included,1)</f>
        <v>10</v>
      </c>
      <c r="D778" s="17">
        <f t="shared" ref="D778:D841" si="62">SUMIFS(transaction_amount,customer_id,A778,included,1)</f>
        <v>1064.6500000000001</v>
      </c>
      <c r="E778" s="18" cm="1">
        <f t="array" ref="E778">_xlfn.IFS(
B778&lt;=recencyQ1, 4,
B778&lt;=recencyQ2, 3,
B778&lt;=recencyQ3, 2,
TRUE, 1
)</f>
        <v>4</v>
      </c>
      <c r="F778" s="18" cm="1">
        <f t="array" ref="F778">_xlfn.IFS(
C778&lt;=frequencyQ1, 1,
C778&lt;=frequencyQ2, 2,
C778&lt;=frequencyQ3, 3,
TRUE, 4)</f>
        <v>4</v>
      </c>
      <c r="G778" s="18" cm="1">
        <f t="array" ref="G778">_xlfn.IFS(
D778&lt;=monetaryQ1, 1,
D778&lt;=monetaryQ2, 2,
D778&lt;=monetaryQ3, 3,
TRUE, 4)</f>
        <v>4</v>
      </c>
      <c r="H778" s="18" t="str">
        <f t="shared" ref="H778:H841" si="63">E778&amp;F778&amp;G778</f>
        <v>444</v>
      </c>
      <c r="I778" s="19">
        <f t="shared" ref="I778:I841" si="64">AVERAGE(E778:G778)</f>
        <v>4</v>
      </c>
      <c r="J778" s="7" t="str" cm="1">
        <f t="array" ref="J778">_xlfn.IFS(
I778&gt;=Best_Customers, Best_Customers_name,
I778&gt;=Loyal_Customers, Loyal_Customers_name,
I778&gt;=Average_Customers, Average_Customers_name,
TRUE, Lost_Customers_name)</f>
        <v>Best Customers</v>
      </c>
    </row>
    <row r="779" spans="1:10" x14ac:dyDescent="0.25">
      <c r="A779" s="25" t="str">
        <v>CUST_0779</v>
      </c>
      <c r="B779" s="16">
        <f t="shared" si="60"/>
        <v>48</v>
      </c>
      <c r="C779" s="16">
        <f t="shared" si="61"/>
        <v>4</v>
      </c>
      <c r="D779" s="17">
        <f t="shared" si="62"/>
        <v>308.14999999999998</v>
      </c>
      <c r="E779" s="18" cm="1">
        <f t="array" ref="E779">_xlfn.IFS(
B779&lt;=recencyQ1, 4,
B779&lt;=recencyQ2, 3,
B779&lt;=recencyQ3, 2,
TRUE, 1
)</f>
        <v>3</v>
      </c>
      <c r="F779" s="18" cm="1">
        <f t="array" ref="F779">_xlfn.IFS(
C779&lt;=frequencyQ1, 1,
C779&lt;=frequencyQ2, 2,
C779&lt;=frequencyQ3, 3,
TRUE, 4)</f>
        <v>2</v>
      </c>
      <c r="G779" s="18" cm="1">
        <f t="array" ref="G779">_xlfn.IFS(
D779&lt;=monetaryQ1, 1,
D779&lt;=monetaryQ2, 2,
D779&lt;=monetaryQ3, 3,
TRUE, 4)</f>
        <v>1</v>
      </c>
      <c r="H779" s="18" t="str">
        <f t="shared" si="63"/>
        <v>321</v>
      </c>
      <c r="I779" s="19">
        <f t="shared" si="64"/>
        <v>2</v>
      </c>
      <c r="J779" s="7" t="str" cm="1">
        <f t="array" ref="J779">_xlfn.IFS(
I779&gt;=Best_Customers, Best_Customers_name,
I779&gt;=Loyal_Customers, Loyal_Customers_name,
I779&gt;=Average_Customers, Average_Customers_name,
TRUE, Lost_Customers_name)</f>
        <v>Average Customers</v>
      </c>
    </row>
    <row r="780" spans="1:10" x14ac:dyDescent="0.25">
      <c r="A780" s="25" t="str">
        <v>CUST_0780</v>
      </c>
      <c r="B780" s="16">
        <f t="shared" si="60"/>
        <v>6</v>
      </c>
      <c r="C780" s="16">
        <f t="shared" si="61"/>
        <v>7</v>
      </c>
      <c r="D780" s="17">
        <f t="shared" si="62"/>
        <v>684.53</v>
      </c>
      <c r="E780" s="18" cm="1">
        <f t="array" ref="E780">_xlfn.IFS(
B780&lt;=recencyQ1, 4,
B780&lt;=recencyQ2, 3,
B780&lt;=recencyQ3, 2,
TRUE, 1
)</f>
        <v>4</v>
      </c>
      <c r="F780" s="18" cm="1">
        <f t="array" ref="F780">_xlfn.IFS(
C780&lt;=frequencyQ1, 1,
C780&lt;=frequencyQ2, 2,
C780&lt;=frequencyQ3, 3,
TRUE, 4)</f>
        <v>4</v>
      </c>
      <c r="G780" s="18" cm="1">
        <f t="array" ref="G780">_xlfn.IFS(
D780&lt;=monetaryQ1, 1,
D780&lt;=monetaryQ2, 2,
D780&lt;=monetaryQ3, 3,
TRUE, 4)</f>
        <v>4</v>
      </c>
      <c r="H780" s="18" t="str">
        <f t="shared" si="63"/>
        <v>444</v>
      </c>
      <c r="I780" s="19">
        <f t="shared" si="64"/>
        <v>4</v>
      </c>
      <c r="J780" s="7" t="str" cm="1">
        <f t="array" ref="J780">_xlfn.IFS(
I780&gt;=Best_Customers, Best_Customers_name,
I780&gt;=Loyal_Customers, Loyal_Customers_name,
I780&gt;=Average_Customers, Average_Customers_name,
TRUE, Lost_Customers_name)</f>
        <v>Best Customers</v>
      </c>
    </row>
    <row r="781" spans="1:10" x14ac:dyDescent="0.25">
      <c r="A781" s="25" t="str">
        <v>CUST_0781</v>
      </c>
      <c r="B781" s="16">
        <f t="shared" si="60"/>
        <v>136</v>
      </c>
      <c r="C781" s="16">
        <f t="shared" si="61"/>
        <v>3</v>
      </c>
      <c r="D781" s="17">
        <f t="shared" si="62"/>
        <v>291.49</v>
      </c>
      <c r="E781" s="18" cm="1">
        <f t="array" ref="E781">_xlfn.IFS(
B781&lt;=recencyQ1, 4,
B781&lt;=recencyQ2, 3,
B781&lt;=recencyQ3, 2,
TRUE, 1
)</f>
        <v>1</v>
      </c>
      <c r="F781" s="18" cm="1">
        <f t="array" ref="F781">_xlfn.IFS(
C781&lt;=frequencyQ1, 1,
C781&lt;=frequencyQ2, 2,
C781&lt;=frequencyQ3, 3,
TRUE, 4)</f>
        <v>1</v>
      </c>
      <c r="G781" s="18" cm="1">
        <f t="array" ref="G781">_xlfn.IFS(
D781&lt;=monetaryQ1, 1,
D781&lt;=monetaryQ2, 2,
D781&lt;=monetaryQ3, 3,
TRUE, 4)</f>
        <v>1</v>
      </c>
      <c r="H781" s="18" t="str">
        <f t="shared" si="63"/>
        <v>111</v>
      </c>
      <c r="I781" s="19">
        <f t="shared" si="64"/>
        <v>1</v>
      </c>
      <c r="J781" s="7" t="str" cm="1">
        <f t="array" ref="J781">_xlfn.IFS(
I781&gt;=Best_Customers, Best_Customers_name,
I781&gt;=Loyal_Customers, Loyal_Customers_name,
I781&gt;=Average_Customers, Average_Customers_name,
TRUE, Lost_Customers_name)</f>
        <v>Lost Customers</v>
      </c>
    </row>
    <row r="782" spans="1:10" x14ac:dyDescent="0.25">
      <c r="A782" s="25" t="str">
        <v>CUST_0782</v>
      </c>
      <c r="B782" s="16">
        <f t="shared" si="60"/>
        <v>78</v>
      </c>
      <c r="C782" s="16">
        <f t="shared" si="61"/>
        <v>7</v>
      </c>
      <c r="D782" s="17">
        <f t="shared" si="62"/>
        <v>951.59</v>
      </c>
      <c r="E782" s="18" cm="1">
        <f t="array" ref="E782">_xlfn.IFS(
B782&lt;=recencyQ1, 4,
B782&lt;=recencyQ2, 3,
B782&lt;=recencyQ3, 2,
TRUE, 1
)</f>
        <v>2</v>
      </c>
      <c r="F782" s="18" cm="1">
        <f t="array" ref="F782">_xlfn.IFS(
C782&lt;=frequencyQ1, 1,
C782&lt;=frequencyQ2, 2,
C782&lt;=frequencyQ3, 3,
TRUE, 4)</f>
        <v>4</v>
      </c>
      <c r="G782" s="18" cm="1">
        <f t="array" ref="G782">_xlfn.IFS(
D782&lt;=monetaryQ1, 1,
D782&lt;=monetaryQ2, 2,
D782&lt;=monetaryQ3, 3,
TRUE, 4)</f>
        <v>4</v>
      </c>
      <c r="H782" s="18" t="str">
        <f t="shared" si="63"/>
        <v>244</v>
      </c>
      <c r="I782" s="19">
        <f t="shared" si="64"/>
        <v>3.3333333333333335</v>
      </c>
      <c r="J782" s="7" t="str" cm="1">
        <f t="array" ref="J782">_xlfn.IFS(
I782&gt;=Best_Customers, Best_Customers_name,
I782&gt;=Loyal_Customers, Loyal_Customers_name,
I782&gt;=Average_Customers, Average_Customers_name,
TRUE, Lost_Customers_name)</f>
        <v>Loyal Customers</v>
      </c>
    </row>
    <row r="783" spans="1:10" x14ac:dyDescent="0.25">
      <c r="A783" s="25" t="str">
        <v>CUST_0783</v>
      </c>
      <c r="B783" s="16">
        <f t="shared" si="60"/>
        <v>10</v>
      </c>
      <c r="C783" s="16">
        <f t="shared" si="61"/>
        <v>2</v>
      </c>
      <c r="D783" s="17">
        <f t="shared" si="62"/>
        <v>182.39</v>
      </c>
      <c r="E783" s="18" cm="1">
        <f t="array" ref="E783">_xlfn.IFS(
B783&lt;=recencyQ1, 4,
B783&lt;=recencyQ2, 3,
B783&lt;=recencyQ3, 2,
TRUE, 1
)</f>
        <v>4</v>
      </c>
      <c r="F783" s="18" cm="1">
        <f t="array" ref="F783">_xlfn.IFS(
C783&lt;=frequencyQ1, 1,
C783&lt;=frequencyQ2, 2,
C783&lt;=frequencyQ3, 3,
TRUE, 4)</f>
        <v>1</v>
      </c>
      <c r="G783" s="18" cm="1">
        <f t="array" ref="G783">_xlfn.IFS(
D783&lt;=monetaryQ1, 1,
D783&lt;=monetaryQ2, 2,
D783&lt;=monetaryQ3, 3,
TRUE, 4)</f>
        <v>1</v>
      </c>
      <c r="H783" s="18" t="str">
        <f t="shared" si="63"/>
        <v>411</v>
      </c>
      <c r="I783" s="19">
        <f t="shared" si="64"/>
        <v>2</v>
      </c>
      <c r="J783" s="7" t="str" cm="1">
        <f t="array" ref="J783">_xlfn.IFS(
I783&gt;=Best_Customers, Best_Customers_name,
I783&gt;=Loyal_Customers, Loyal_Customers_name,
I783&gt;=Average_Customers, Average_Customers_name,
TRUE, Lost_Customers_name)</f>
        <v>Average Customers</v>
      </c>
    </row>
    <row r="784" spans="1:10" x14ac:dyDescent="0.25">
      <c r="A784" s="25" t="str">
        <v>CUST_0784</v>
      </c>
      <c r="B784" s="16">
        <f t="shared" si="60"/>
        <v>3</v>
      </c>
      <c r="C784" s="16">
        <f t="shared" si="61"/>
        <v>4</v>
      </c>
      <c r="D784" s="17">
        <f t="shared" si="62"/>
        <v>433.53999999999996</v>
      </c>
      <c r="E784" s="18" cm="1">
        <f t="array" ref="E784">_xlfn.IFS(
B784&lt;=recencyQ1, 4,
B784&lt;=recencyQ2, 3,
B784&lt;=recencyQ3, 2,
TRUE, 1
)</f>
        <v>4</v>
      </c>
      <c r="F784" s="18" cm="1">
        <f t="array" ref="F784">_xlfn.IFS(
C784&lt;=frequencyQ1, 1,
C784&lt;=frequencyQ2, 2,
C784&lt;=frequencyQ3, 3,
TRUE, 4)</f>
        <v>2</v>
      </c>
      <c r="G784" s="18" cm="1">
        <f t="array" ref="G784">_xlfn.IFS(
D784&lt;=monetaryQ1, 1,
D784&lt;=monetaryQ2, 2,
D784&lt;=monetaryQ3, 3,
TRUE, 4)</f>
        <v>2</v>
      </c>
      <c r="H784" s="18" t="str">
        <f t="shared" si="63"/>
        <v>422</v>
      </c>
      <c r="I784" s="19">
        <f t="shared" si="64"/>
        <v>2.6666666666666665</v>
      </c>
      <c r="J784" s="7" t="str" cm="1">
        <f t="array" ref="J784">_xlfn.IFS(
I784&gt;=Best_Customers, Best_Customers_name,
I784&gt;=Loyal_Customers, Loyal_Customers_name,
I784&gt;=Average_Customers, Average_Customers_name,
TRUE, Lost_Customers_name)</f>
        <v>Loyal Customers</v>
      </c>
    </row>
    <row r="785" spans="1:10" x14ac:dyDescent="0.25">
      <c r="A785" s="25" t="str">
        <v>CUST_0785</v>
      </c>
      <c r="B785" s="16">
        <f t="shared" si="60"/>
        <v>7</v>
      </c>
      <c r="C785" s="16">
        <f t="shared" si="61"/>
        <v>2</v>
      </c>
      <c r="D785" s="17">
        <f t="shared" si="62"/>
        <v>159.62</v>
      </c>
      <c r="E785" s="18" cm="1">
        <f t="array" ref="E785">_xlfn.IFS(
B785&lt;=recencyQ1, 4,
B785&lt;=recencyQ2, 3,
B785&lt;=recencyQ3, 2,
TRUE, 1
)</f>
        <v>4</v>
      </c>
      <c r="F785" s="18" cm="1">
        <f t="array" ref="F785">_xlfn.IFS(
C785&lt;=frequencyQ1, 1,
C785&lt;=frequencyQ2, 2,
C785&lt;=frequencyQ3, 3,
TRUE, 4)</f>
        <v>1</v>
      </c>
      <c r="G785" s="18" cm="1">
        <f t="array" ref="G785">_xlfn.IFS(
D785&lt;=monetaryQ1, 1,
D785&lt;=monetaryQ2, 2,
D785&lt;=monetaryQ3, 3,
TRUE, 4)</f>
        <v>1</v>
      </c>
      <c r="H785" s="18" t="str">
        <f t="shared" si="63"/>
        <v>411</v>
      </c>
      <c r="I785" s="19">
        <f t="shared" si="64"/>
        <v>2</v>
      </c>
      <c r="J785" s="7" t="str" cm="1">
        <f t="array" ref="J785">_xlfn.IFS(
I785&gt;=Best_Customers, Best_Customers_name,
I785&gt;=Loyal_Customers, Loyal_Customers_name,
I785&gt;=Average_Customers, Average_Customers_name,
TRUE, Lost_Customers_name)</f>
        <v>Average Customers</v>
      </c>
    </row>
    <row r="786" spans="1:10" x14ac:dyDescent="0.25">
      <c r="A786" s="25" t="str">
        <v>CUST_0786</v>
      </c>
      <c r="B786" s="16">
        <f t="shared" si="60"/>
        <v>70</v>
      </c>
      <c r="C786" s="16">
        <f t="shared" si="61"/>
        <v>8</v>
      </c>
      <c r="D786" s="17">
        <f t="shared" si="62"/>
        <v>650.62</v>
      </c>
      <c r="E786" s="18" cm="1">
        <f t="array" ref="E786">_xlfn.IFS(
B786&lt;=recencyQ1, 4,
B786&lt;=recencyQ2, 3,
B786&lt;=recencyQ3, 2,
TRUE, 1
)</f>
        <v>2</v>
      </c>
      <c r="F786" s="18" cm="1">
        <f t="array" ref="F786">_xlfn.IFS(
C786&lt;=frequencyQ1, 1,
C786&lt;=frequencyQ2, 2,
C786&lt;=frequencyQ3, 3,
TRUE, 4)</f>
        <v>4</v>
      </c>
      <c r="G786" s="18" cm="1">
        <f t="array" ref="G786">_xlfn.IFS(
D786&lt;=monetaryQ1, 1,
D786&lt;=monetaryQ2, 2,
D786&lt;=monetaryQ3, 3,
TRUE, 4)</f>
        <v>3</v>
      </c>
      <c r="H786" s="18" t="str">
        <f t="shared" si="63"/>
        <v>243</v>
      </c>
      <c r="I786" s="19">
        <f t="shared" si="64"/>
        <v>3</v>
      </c>
      <c r="J786" s="7" t="str" cm="1">
        <f t="array" ref="J786">_xlfn.IFS(
I786&gt;=Best_Customers, Best_Customers_name,
I786&gt;=Loyal_Customers, Loyal_Customers_name,
I786&gt;=Average_Customers, Average_Customers_name,
TRUE, Lost_Customers_name)</f>
        <v>Loyal Customers</v>
      </c>
    </row>
    <row r="787" spans="1:10" x14ac:dyDescent="0.25">
      <c r="A787" s="25" t="str">
        <v>CUST_0787</v>
      </c>
      <c r="B787" s="16">
        <f t="shared" si="60"/>
        <v>165</v>
      </c>
      <c r="C787" s="16">
        <f t="shared" si="61"/>
        <v>2</v>
      </c>
      <c r="D787" s="17">
        <f t="shared" si="62"/>
        <v>228.87</v>
      </c>
      <c r="E787" s="18" cm="1">
        <f t="array" ref="E787">_xlfn.IFS(
B787&lt;=recencyQ1, 4,
B787&lt;=recencyQ2, 3,
B787&lt;=recencyQ3, 2,
TRUE, 1
)</f>
        <v>1</v>
      </c>
      <c r="F787" s="18" cm="1">
        <f t="array" ref="F787">_xlfn.IFS(
C787&lt;=frequencyQ1, 1,
C787&lt;=frequencyQ2, 2,
C787&lt;=frequencyQ3, 3,
TRUE, 4)</f>
        <v>1</v>
      </c>
      <c r="G787" s="18" cm="1">
        <f t="array" ref="G787">_xlfn.IFS(
D787&lt;=monetaryQ1, 1,
D787&lt;=monetaryQ2, 2,
D787&lt;=monetaryQ3, 3,
TRUE, 4)</f>
        <v>1</v>
      </c>
      <c r="H787" s="18" t="str">
        <f t="shared" si="63"/>
        <v>111</v>
      </c>
      <c r="I787" s="19">
        <f t="shared" si="64"/>
        <v>1</v>
      </c>
      <c r="J787" s="7" t="str" cm="1">
        <f t="array" ref="J787">_xlfn.IFS(
I787&gt;=Best_Customers, Best_Customers_name,
I787&gt;=Loyal_Customers, Loyal_Customers_name,
I787&gt;=Average_Customers, Average_Customers_name,
TRUE, Lost_Customers_name)</f>
        <v>Lost Customers</v>
      </c>
    </row>
    <row r="788" spans="1:10" x14ac:dyDescent="0.25">
      <c r="A788" s="25" t="str">
        <v>CUST_0788</v>
      </c>
      <c r="B788" s="16">
        <f t="shared" si="60"/>
        <v>26</v>
      </c>
      <c r="C788" s="16">
        <f t="shared" si="61"/>
        <v>5</v>
      </c>
      <c r="D788" s="17">
        <f t="shared" si="62"/>
        <v>402.36</v>
      </c>
      <c r="E788" s="18" cm="1">
        <f t="array" ref="E788">_xlfn.IFS(
B788&lt;=recencyQ1, 4,
B788&lt;=recencyQ2, 3,
B788&lt;=recencyQ3, 2,
TRUE, 1
)</f>
        <v>3</v>
      </c>
      <c r="F788" s="18" cm="1">
        <f t="array" ref="F788">_xlfn.IFS(
C788&lt;=frequencyQ1, 1,
C788&lt;=frequencyQ2, 2,
C788&lt;=frequencyQ3, 3,
TRUE, 4)</f>
        <v>2</v>
      </c>
      <c r="G788" s="18" cm="1">
        <f t="array" ref="G788">_xlfn.IFS(
D788&lt;=monetaryQ1, 1,
D788&lt;=monetaryQ2, 2,
D788&lt;=monetaryQ3, 3,
TRUE, 4)</f>
        <v>2</v>
      </c>
      <c r="H788" s="18" t="str">
        <f t="shared" si="63"/>
        <v>322</v>
      </c>
      <c r="I788" s="19">
        <f t="shared" si="64"/>
        <v>2.3333333333333335</v>
      </c>
      <c r="J788" s="7" t="str" cm="1">
        <f t="array" ref="J788">_xlfn.IFS(
I788&gt;=Best_Customers, Best_Customers_name,
I788&gt;=Loyal_Customers, Loyal_Customers_name,
I788&gt;=Average_Customers, Average_Customers_name,
TRUE, Lost_Customers_name)</f>
        <v>Average Customers</v>
      </c>
    </row>
    <row r="789" spans="1:10" x14ac:dyDescent="0.25">
      <c r="A789" s="25" t="str">
        <v>CUST_0789</v>
      </c>
      <c r="B789" s="16">
        <f t="shared" si="60"/>
        <v>112</v>
      </c>
      <c r="C789" s="16">
        <f t="shared" si="61"/>
        <v>2</v>
      </c>
      <c r="D789" s="17">
        <f t="shared" si="62"/>
        <v>250.16</v>
      </c>
      <c r="E789" s="18" cm="1">
        <f t="array" ref="E789">_xlfn.IFS(
B789&lt;=recencyQ1, 4,
B789&lt;=recencyQ2, 3,
B789&lt;=recencyQ3, 2,
TRUE, 1
)</f>
        <v>1</v>
      </c>
      <c r="F789" s="18" cm="1">
        <f t="array" ref="F789">_xlfn.IFS(
C789&lt;=frequencyQ1, 1,
C789&lt;=frequencyQ2, 2,
C789&lt;=frequencyQ3, 3,
TRUE, 4)</f>
        <v>1</v>
      </c>
      <c r="G789" s="18" cm="1">
        <f t="array" ref="G789">_xlfn.IFS(
D789&lt;=monetaryQ1, 1,
D789&lt;=monetaryQ2, 2,
D789&lt;=monetaryQ3, 3,
TRUE, 4)</f>
        <v>1</v>
      </c>
      <c r="H789" s="18" t="str">
        <f t="shared" si="63"/>
        <v>111</v>
      </c>
      <c r="I789" s="19">
        <f t="shared" si="64"/>
        <v>1</v>
      </c>
      <c r="J789" s="7" t="str" cm="1">
        <f t="array" ref="J789">_xlfn.IFS(
I789&gt;=Best_Customers, Best_Customers_name,
I789&gt;=Loyal_Customers, Loyal_Customers_name,
I789&gt;=Average_Customers, Average_Customers_name,
TRUE, Lost_Customers_name)</f>
        <v>Lost Customers</v>
      </c>
    </row>
    <row r="790" spans="1:10" x14ac:dyDescent="0.25">
      <c r="A790" s="25" t="str">
        <v>CUST_0790</v>
      </c>
      <c r="B790" s="16">
        <f t="shared" si="60"/>
        <v>66</v>
      </c>
      <c r="C790" s="16">
        <f t="shared" si="61"/>
        <v>2</v>
      </c>
      <c r="D790" s="17">
        <f t="shared" si="62"/>
        <v>224.19</v>
      </c>
      <c r="E790" s="18" cm="1">
        <f t="array" ref="E790">_xlfn.IFS(
B790&lt;=recencyQ1, 4,
B790&lt;=recencyQ2, 3,
B790&lt;=recencyQ3, 2,
TRUE, 1
)</f>
        <v>2</v>
      </c>
      <c r="F790" s="18" cm="1">
        <f t="array" ref="F790">_xlfn.IFS(
C790&lt;=frequencyQ1, 1,
C790&lt;=frequencyQ2, 2,
C790&lt;=frequencyQ3, 3,
TRUE, 4)</f>
        <v>1</v>
      </c>
      <c r="G790" s="18" cm="1">
        <f t="array" ref="G790">_xlfn.IFS(
D790&lt;=monetaryQ1, 1,
D790&lt;=monetaryQ2, 2,
D790&lt;=monetaryQ3, 3,
TRUE, 4)</f>
        <v>1</v>
      </c>
      <c r="H790" s="18" t="str">
        <f t="shared" si="63"/>
        <v>211</v>
      </c>
      <c r="I790" s="19">
        <f t="shared" si="64"/>
        <v>1.3333333333333333</v>
      </c>
      <c r="J790" s="7" t="str" cm="1">
        <f t="array" ref="J790">_xlfn.IFS(
I790&gt;=Best_Customers, Best_Customers_name,
I790&gt;=Loyal_Customers, Loyal_Customers_name,
I790&gt;=Average_Customers, Average_Customers_name,
TRUE, Lost_Customers_name)</f>
        <v>Lost Customers</v>
      </c>
    </row>
    <row r="791" spans="1:10" x14ac:dyDescent="0.25">
      <c r="A791" s="25" t="str">
        <v>CUST_0791</v>
      </c>
      <c r="B791" s="16">
        <f t="shared" si="60"/>
        <v>12</v>
      </c>
      <c r="C791" s="16">
        <f t="shared" si="61"/>
        <v>5</v>
      </c>
      <c r="D791" s="17">
        <f t="shared" si="62"/>
        <v>503.40999999999997</v>
      </c>
      <c r="E791" s="18" cm="1">
        <f t="array" ref="E791">_xlfn.IFS(
B791&lt;=recencyQ1, 4,
B791&lt;=recencyQ2, 3,
B791&lt;=recencyQ3, 2,
TRUE, 1
)</f>
        <v>4</v>
      </c>
      <c r="F791" s="18" cm="1">
        <f t="array" ref="F791">_xlfn.IFS(
C791&lt;=frequencyQ1, 1,
C791&lt;=frequencyQ2, 2,
C791&lt;=frequencyQ3, 3,
TRUE, 4)</f>
        <v>2</v>
      </c>
      <c r="G791" s="18" cm="1">
        <f t="array" ref="G791">_xlfn.IFS(
D791&lt;=monetaryQ1, 1,
D791&lt;=monetaryQ2, 2,
D791&lt;=monetaryQ3, 3,
TRUE, 4)</f>
        <v>3</v>
      </c>
      <c r="H791" s="18" t="str">
        <f t="shared" si="63"/>
        <v>423</v>
      </c>
      <c r="I791" s="19">
        <f t="shared" si="64"/>
        <v>3</v>
      </c>
      <c r="J791" s="7" t="str" cm="1">
        <f t="array" ref="J791">_xlfn.IFS(
I791&gt;=Best_Customers, Best_Customers_name,
I791&gt;=Loyal_Customers, Loyal_Customers_name,
I791&gt;=Average_Customers, Average_Customers_name,
TRUE, Lost_Customers_name)</f>
        <v>Loyal Customers</v>
      </c>
    </row>
    <row r="792" spans="1:10" x14ac:dyDescent="0.25">
      <c r="A792" s="25" t="str">
        <v>CUST_0792</v>
      </c>
      <c r="B792" s="16">
        <f t="shared" si="60"/>
        <v>177</v>
      </c>
      <c r="C792" s="16">
        <f t="shared" si="61"/>
        <v>5</v>
      </c>
      <c r="D792" s="17">
        <f t="shared" si="62"/>
        <v>544.81999999999994</v>
      </c>
      <c r="E792" s="18" cm="1">
        <f t="array" ref="E792">_xlfn.IFS(
B792&lt;=recencyQ1, 4,
B792&lt;=recencyQ2, 3,
B792&lt;=recencyQ3, 2,
TRUE, 1
)</f>
        <v>1</v>
      </c>
      <c r="F792" s="18" cm="1">
        <f t="array" ref="F792">_xlfn.IFS(
C792&lt;=frequencyQ1, 1,
C792&lt;=frequencyQ2, 2,
C792&lt;=frequencyQ3, 3,
TRUE, 4)</f>
        <v>2</v>
      </c>
      <c r="G792" s="18" cm="1">
        <f t="array" ref="G792">_xlfn.IFS(
D792&lt;=monetaryQ1, 1,
D792&lt;=monetaryQ2, 2,
D792&lt;=monetaryQ3, 3,
TRUE, 4)</f>
        <v>3</v>
      </c>
      <c r="H792" s="18" t="str">
        <f t="shared" si="63"/>
        <v>123</v>
      </c>
      <c r="I792" s="19">
        <f t="shared" si="64"/>
        <v>2</v>
      </c>
      <c r="J792" s="7" t="str" cm="1">
        <f t="array" ref="J792">_xlfn.IFS(
I792&gt;=Best_Customers, Best_Customers_name,
I792&gt;=Loyal_Customers, Loyal_Customers_name,
I792&gt;=Average_Customers, Average_Customers_name,
TRUE, Lost_Customers_name)</f>
        <v>Average Customers</v>
      </c>
    </row>
    <row r="793" spans="1:10" x14ac:dyDescent="0.25">
      <c r="A793" s="25" t="str">
        <v>CUST_0793</v>
      </c>
      <c r="B793" s="16">
        <f t="shared" si="60"/>
        <v>89</v>
      </c>
      <c r="C793" s="16">
        <f t="shared" si="61"/>
        <v>8</v>
      </c>
      <c r="D793" s="17">
        <f t="shared" si="62"/>
        <v>711.20999999999992</v>
      </c>
      <c r="E793" s="18" cm="1">
        <f t="array" ref="E793">_xlfn.IFS(
B793&lt;=recencyQ1, 4,
B793&lt;=recencyQ2, 3,
B793&lt;=recencyQ3, 2,
TRUE, 1
)</f>
        <v>2</v>
      </c>
      <c r="F793" s="18" cm="1">
        <f t="array" ref="F793">_xlfn.IFS(
C793&lt;=frequencyQ1, 1,
C793&lt;=frequencyQ2, 2,
C793&lt;=frequencyQ3, 3,
TRUE, 4)</f>
        <v>4</v>
      </c>
      <c r="G793" s="18" cm="1">
        <f t="array" ref="G793">_xlfn.IFS(
D793&lt;=monetaryQ1, 1,
D793&lt;=monetaryQ2, 2,
D793&lt;=monetaryQ3, 3,
TRUE, 4)</f>
        <v>4</v>
      </c>
      <c r="H793" s="18" t="str">
        <f t="shared" si="63"/>
        <v>244</v>
      </c>
      <c r="I793" s="19">
        <f t="shared" si="64"/>
        <v>3.3333333333333335</v>
      </c>
      <c r="J793" s="7" t="str" cm="1">
        <f t="array" ref="J793">_xlfn.IFS(
I793&gt;=Best_Customers, Best_Customers_name,
I793&gt;=Loyal_Customers, Loyal_Customers_name,
I793&gt;=Average_Customers, Average_Customers_name,
TRUE, Lost_Customers_name)</f>
        <v>Loyal Customers</v>
      </c>
    </row>
    <row r="794" spans="1:10" x14ac:dyDescent="0.25">
      <c r="A794" s="25" t="str">
        <v>CUST_0794</v>
      </c>
      <c r="B794" s="16">
        <f t="shared" si="60"/>
        <v>115</v>
      </c>
      <c r="C794" s="16">
        <f t="shared" si="61"/>
        <v>4</v>
      </c>
      <c r="D794" s="17">
        <f t="shared" si="62"/>
        <v>346.37</v>
      </c>
      <c r="E794" s="18" cm="1">
        <f t="array" ref="E794">_xlfn.IFS(
B794&lt;=recencyQ1, 4,
B794&lt;=recencyQ2, 3,
B794&lt;=recencyQ3, 2,
TRUE, 1
)</f>
        <v>1</v>
      </c>
      <c r="F794" s="18" cm="1">
        <f t="array" ref="F794">_xlfn.IFS(
C794&lt;=frequencyQ1, 1,
C794&lt;=frequencyQ2, 2,
C794&lt;=frequencyQ3, 3,
TRUE, 4)</f>
        <v>2</v>
      </c>
      <c r="G794" s="18" cm="1">
        <f t="array" ref="G794">_xlfn.IFS(
D794&lt;=monetaryQ1, 1,
D794&lt;=monetaryQ2, 2,
D794&lt;=monetaryQ3, 3,
TRUE, 4)</f>
        <v>2</v>
      </c>
      <c r="H794" s="18" t="str">
        <f t="shared" si="63"/>
        <v>122</v>
      </c>
      <c r="I794" s="19">
        <f t="shared" si="64"/>
        <v>1.6666666666666667</v>
      </c>
      <c r="J794" s="7" t="str" cm="1">
        <f t="array" ref="J794">_xlfn.IFS(
I794&gt;=Best_Customers, Best_Customers_name,
I794&gt;=Loyal_Customers, Loyal_Customers_name,
I794&gt;=Average_Customers, Average_Customers_name,
TRUE, Lost_Customers_name)</f>
        <v>Average Customers</v>
      </c>
    </row>
    <row r="795" spans="1:10" x14ac:dyDescent="0.25">
      <c r="A795" s="25" t="str">
        <v>CUST_0795</v>
      </c>
      <c r="B795" s="16">
        <f t="shared" si="60"/>
        <v>42</v>
      </c>
      <c r="C795" s="16">
        <f t="shared" si="61"/>
        <v>6</v>
      </c>
      <c r="D795" s="17">
        <f t="shared" si="62"/>
        <v>484.66999999999996</v>
      </c>
      <c r="E795" s="18" cm="1">
        <f t="array" ref="E795">_xlfn.IFS(
B795&lt;=recencyQ1, 4,
B795&lt;=recencyQ2, 3,
B795&lt;=recencyQ3, 2,
TRUE, 1
)</f>
        <v>3</v>
      </c>
      <c r="F795" s="18" cm="1">
        <f t="array" ref="F795">_xlfn.IFS(
C795&lt;=frequencyQ1, 1,
C795&lt;=frequencyQ2, 2,
C795&lt;=frequencyQ3, 3,
TRUE, 4)</f>
        <v>3</v>
      </c>
      <c r="G795" s="18" cm="1">
        <f t="array" ref="G795">_xlfn.IFS(
D795&lt;=monetaryQ1, 1,
D795&lt;=monetaryQ2, 2,
D795&lt;=monetaryQ3, 3,
TRUE, 4)</f>
        <v>2</v>
      </c>
      <c r="H795" s="18" t="str">
        <f t="shared" si="63"/>
        <v>332</v>
      </c>
      <c r="I795" s="19">
        <f t="shared" si="64"/>
        <v>2.6666666666666665</v>
      </c>
      <c r="J795" s="7" t="str" cm="1">
        <f t="array" ref="J795">_xlfn.IFS(
I795&gt;=Best_Customers, Best_Customers_name,
I795&gt;=Loyal_Customers, Loyal_Customers_name,
I795&gt;=Average_Customers, Average_Customers_name,
TRUE, Lost_Customers_name)</f>
        <v>Loyal Customers</v>
      </c>
    </row>
    <row r="796" spans="1:10" x14ac:dyDescent="0.25">
      <c r="A796" s="25" t="str">
        <v>CUST_0796</v>
      </c>
      <c r="B796" s="16">
        <f t="shared" si="60"/>
        <v>39</v>
      </c>
      <c r="C796" s="16">
        <f t="shared" si="61"/>
        <v>7</v>
      </c>
      <c r="D796" s="17">
        <f t="shared" si="62"/>
        <v>753.79</v>
      </c>
      <c r="E796" s="18" cm="1">
        <f t="array" ref="E796">_xlfn.IFS(
B796&lt;=recencyQ1, 4,
B796&lt;=recencyQ2, 3,
B796&lt;=recencyQ3, 2,
TRUE, 1
)</f>
        <v>3</v>
      </c>
      <c r="F796" s="18" cm="1">
        <f t="array" ref="F796">_xlfn.IFS(
C796&lt;=frequencyQ1, 1,
C796&lt;=frequencyQ2, 2,
C796&lt;=frequencyQ3, 3,
TRUE, 4)</f>
        <v>4</v>
      </c>
      <c r="G796" s="18" cm="1">
        <f t="array" ref="G796">_xlfn.IFS(
D796&lt;=monetaryQ1, 1,
D796&lt;=monetaryQ2, 2,
D796&lt;=monetaryQ3, 3,
TRUE, 4)</f>
        <v>4</v>
      </c>
      <c r="H796" s="18" t="str">
        <f t="shared" si="63"/>
        <v>344</v>
      </c>
      <c r="I796" s="19">
        <f t="shared" si="64"/>
        <v>3.6666666666666665</v>
      </c>
      <c r="J796" s="7" t="str" cm="1">
        <f t="array" ref="J796">_xlfn.IFS(
I796&gt;=Best_Customers, Best_Customers_name,
I796&gt;=Loyal_Customers, Loyal_Customers_name,
I796&gt;=Average_Customers, Average_Customers_name,
TRUE, Lost_Customers_name)</f>
        <v>Best Customers</v>
      </c>
    </row>
    <row r="797" spans="1:10" x14ac:dyDescent="0.25">
      <c r="A797" s="25" t="str">
        <v>CUST_0797</v>
      </c>
      <c r="B797" s="16">
        <f t="shared" si="60"/>
        <v>16</v>
      </c>
      <c r="C797" s="16">
        <f t="shared" si="61"/>
        <v>8</v>
      </c>
      <c r="D797" s="17">
        <f t="shared" si="62"/>
        <v>888.78</v>
      </c>
      <c r="E797" s="18" cm="1">
        <f t="array" ref="E797">_xlfn.IFS(
B797&lt;=recencyQ1, 4,
B797&lt;=recencyQ2, 3,
B797&lt;=recencyQ3, 2,
TRUE, 1
)</f>
        <v>4</v>
      </c>
      <c r="F797" s="18" cm="1">
        <f t="array" ref="F797">_xlfn.IFS(
C797&lt;=frequencyQ1, 1,
C797&lt;=frequencyQ2, 2,
C797&lt;=frequencyQ3, 3,
TRUE, 4)</f>
        <v>4</v>
      </c>
      <c r="G797" s="18" cm="1">
        <f t="array" ref="G797">_xlfn.IFS(
D797&lt;=monetaryQ1, 1,
D797&lt;=monetaryQ2, 2,
D797&lt;=monetaryQ3, 3,
TRUE, 4)</f>
        <v>4</v>
      </c>
      <c r="H797" s="18" t="str">
        <f t="shared" si="63"/>
        <v>444</v>
      </c>
      <c r="I797" s="19">
        <f t="shared" si="64"/>
        <v>4</v>
      </c>
      <c r="J797" s="7" t="str" cm="1">
        <f t="array" ref="J797">_xlfn.IFS(
I797&gt;=Best_Customers, Best_Customers_name,
I797&gt;=Loyal_Customers, Loyal_Customers_name,
I797&gt;=Average_Customers, Average_Customers_name,
TRUE, Lost_Customers_name)</f>
        <v>Best Customers</v>
      </c>
    </row>
    <row r="798" spans="1:10" x14ac:dyDescent="0.25">
      <c r="A798" s="25" t="str">
        <v>CUST_0798</v>
      </c>
      <c r="B798" s="16">
        <f t="shared" si="60"/>
        <v>287</v>
      </c>
      <c r="C798" s="16">
        <f t="shared" si="61"/>
        <v>1</v>
      </c>
      <c r="D798" s="17">
        <f t="shared" si="62"/>
        <v>95.79</v>
      </c>
      <c r="E798" s="18" cm="1">
        <f t="array" ref="E798">_xlfn.IFS(
B798&lt;=recencyQ1, 4,
B798&lt;=recencyQ2, 3,
B798&lt;=recencyQ3, 2,
TRUE, 1
)</f>
        <v>1</v>
      </c>
      <c r="F798" s="18" cm="1">
        <f t="array" ref="F798">_xlfn.IFS(
C798&lt;=frequencyQ1, 1,
C798&lt;=frequencyQ2, 2,
C798&lt;=frequencyQ3, 3,
TRUE, 4)</f>
        <v>1</v>
      </c>
      <c r="G798" s="18" cm="1">
        <f t="array" ref="G798">_xlfn.IFS(
D798&lt;=monetaryQ1, 1,
D798&lt;=monetaryQ2, 2,
D798&lt;=monetaryQ3, 3,
TRUE, 4)</f>
        <v>1</v>
      </c>
      <c r="H798" s="18" t="str">
        <f t="shared" si="63"/>
        <v>111</v>
      </c>
      <c r="I798" s="19">
        <f t="shared" si="64"/>
        <v>1</v>
      </c>
      <c r="J798" s="7" t="str" cm="1">
        <f t="array" ref="J798">_xlfn.IFS(
I798&gt;=Best_Customers, Best_Customers_name,
I798&gt;=Loyal_Customers, Loyal_Customers_name,
I798&gt;=Average_Customers, Average_Customers_name,
TRUE, Lost_Customers_name)</f>
        <v>Lost Customers</v>
      </c>
    </row>
    <row r="799" spans="1:10" x14ac:dyDescent="0.25">
      <c r="A799" s="25" t="str">
        <v>CUST_0799</v>
      </c>
      <c r="B799" s="16">
        <f t="shared" si="60"/>
        <v>39</v>
      </c>
      <c r="C799" s="16">
        <f t="shared" si="61"/>
        <v>9</v>
      </c>
      <c r="D799" s="17">
        <f t="shared" si="62"/>
        <v>1118.9299999999998</v>
      </c>
      <c r="E799" s="18" cm="1">
        <f t="array" ref="E799">_xlfn.IFS(
B799&lt;=recencyQ1, 4,
B799&lt;=recencyQ2, 3,
B799&lt;=recencyQ3, 2,
TRUE, 1
)</f>
        <v>3</v>
      </c>
      <c r="F799" s="18" cm="1">
        <f t="array" ref="F799">_xlfn.IFS(
C799&lt;=frequencyQ1, 1,
C799&lt;=frequencyQ2, 2,
C799&lt;=frequencyQ3, 3,
TRUE, 4)</f>
        <v>4</v>
      </c>
      <c r="G799" s="18" cm="1">
        <f t="array" ref="G799">_xlfn.IFS(
D799&lt;=monetaryQ1, 1,
D799&lt;=monetaryQ2, 2,
D799&lt;=monetaryQ3, 3,
TRUE, 4)</f>
        <v>4</v>
      </c>
      <c r="H799" s="18" t="str">
        <f t="shared" si="63"/>
        <v>344</v>
      </c>
      <c r="I799" s="19">
        <f t="shared" si="64"/>
        <v>3.6666666666666665</v>
      </c>
      <c r="J799" s="7" t="str" cm="1">
        <f t="array" ref="J799">_xlfn.IFS(
I799&gt;=Best_Customers, Best_Customers_name,
I799&gt;=Loyal_Customers, Loyal_Customers_name,
I799&gt;=Average_Customers, Average_Customers_name,
TRUE, Lost_Customers_name)</f>
        <v>Best Customers</v>
      </c>
    </row>
    <row r="800" spans="1:10" x14ac:dyDescent="0.25">
      <c r="A800" s="25" t="str">
        <v>CUST_0800</v>
      </c>
      <c r="B800" s="16">
        <f t="shared" si="60"/>
        <v>28</v>
      </c>
      <c r="C800" s="16">
        <f t="shared" si="61"/>
        <v>5</v>
      </c>
      <c r="D800" s="17">
        <f t="shared" si="62"/>
        <v>482.26</v>
      </c>
      <c r="E800" s="18" cm="1">
        <f t="array" ref="E800">_xlfn.IFS(
B800&lt;=recencyQ1, 4,
B800&lt;=recencyQ2, 3,
B800&lt;=recencyQ3, 2,
TRUE, 1
)</f>
        <v>3</v>
      </c>
      <c r="F800" s="18" cm="1">
        <f t="array" ref="F800">_xlfn.IFS(
C800&lt;=frequencyQ1, 1,
C800&lt;=frequencyQ2, 2,
C800&lt;=frequencyQ3, 3,
TRUE, 4)</f>
        <v>2</v>
      </c>
      <c r="G800" s="18" cm="1">
        <f t="array" ref="G800">_xlfn.IFS(
D800&lt;=monetaryQ1, 1,
D800&lt;=monetaryQ2, 2,
D800&lt;=monetaryQ3, 3,
TRUE, 4)</f>
        <v>2</v>
      </c>
      <c r="H800" s="18" t="str">
        <f t="shared" si="63"/>
        <v>322</v>
      </c>
      <c r="I800" s="19">
        <f t="shared" si="64"/>
        <v>2.3333333333333335</v>
      </c>
      <c r="J800" s="7" t="str" cm="1">
        <f t="array" ref="J800">_xlfn.IFS(
I800&gt;=Best_Customers, Best_Customers_name,
I800&gt;=Loyal_Customers, Loyal_Customers_name,
I800&gt;=Average_Customers, Average_Customers_name,
TRUE, Lost_Customers_name)</f>
        <v>Average Customers</v>
      </c>
    </row>
    <row r="801" spans="1:10" x14ac:dyDescent="0.25">
      <c r="A801" s="25" t="str">
        <v>CUST_0801</v>
      </c>
      <c r="B801" s="16">
        <f t="shared" si="60"/>
        <v>33</v>
      </c>
      <c r="C801" s="16">
        <f t="shared" si="61"/>
        <v>6</v>
      </c>
      <c r="D801" s="17">
        <f t="shared" si="62"/>
        <v>475.42</v>
      </c>
      <c r="E801" s="18" cm="1">
        <f t="array" ref="E801">_xlfn.IFS(
B801&lt;=recencyQ1, 4,
B801&lt;=recencyQ2, 3,
B801&lt;=recencyQ3, 2,
TRUE, 1
)</f>
        <v>3</v>
      </c>
      <c r="F801" s="18" cm="1">
        <f t="array" ref="F801">_xlfn.IFS(
C801&lt;=frequencyQ1, 1,
C801&lt;=frequencyQ2, 2,
C801&lt;=frequencyQ3, 3,
TRUE, 4)</f>
        <v>3</v>
      </c>
      <c r="G801" s="18" cm="1">
        <f t="array" ref="G801">_xlfn.IFS(
D801&lt;=monetaryQ1, 1,
D801&lt;=monetaryQ2, 2,
D801&lt;=monetaryQ3, 3,
TRUE, 4)</f>
        <v>2</v>
      </c>
      <c r="H801" s="18" t="str">
        <f t="shared" si="63"/>
        <v>332</v>
      </c>
      <c r="I801" s="19">
        <f t="shared" si="64"/>
        <v>2.6666666666666665</v>
      </c>
      <c r="J801" s="7" t="str" cm="1">
        <f t="array" ref="J801">_xlfn.IFS(
I801&gt;=Best_Customers, Best_Customers_name,
I801&gt;=Loyal_Customers, Loyal_Customers_name,
I801&gt;=Average_Customers, Average_Customers_name,
TRUE, Lost_Customers_name)</f>
        <v>Loyal Customers</v>
      </c>
    </row>
    <row r="802" spans="1:10" x14ac:dyDescent="0.25">
      <c r="A802" s="25" t="str">
        <v>CUST_0802</v>
      </c>
      <c r="B802" s="16">
        <f t="shared" si="60"/>
        <v>67</v>
      </c>
      <c r="C802" s="16">
        <f t="shared" si="61"/>
        <v>6</v>
      </c>
      <c r="D802" s="17">
        <f t="shared" si="62"/>
        <v>526.7299999999999</v>
      </c>
      <c r="E802" s="18" cm="1">
        <f t="array" ref="E802">_xlfn.IFS(
B802&lt;=recencyQ1, 4,
B802&lt;=recencyQ2, 3,
B802&lt;=recencyQ3, 2,
TRUE, 1
)</f>
        <v>2</v>
      </c>
      <c r="F802" s="18" cm="1">
        <f t="array" ref="F802">_xlfn.IFS(
C802&lt;=frequencyQ1, 1,
C802&lt;=frequencyQ2, 2,
C802&lt;=frequencyQ3, 3,
TRUE, 4)</f>
        <v>3</v>
      </c>
      <c r="G802" s="18" cm="1">
        <f t="array" ref="G802">_xlfn.IFS(
D802&lt;=monetaryQ1, 1,
D802&lt;=monetaryQ2, 2,
D802&lt;=monetaryQ3, 3,
TRUE, 4)</f>
        <v>3</v>
      </c>
      <c r="H802" s="18" t="str">
        <f t="shared" si="63"/>
        <v>233</v>
      </c>
      <c r="I802" s="19">
        <f t="shared" si="64"/>
        <v>2.6666666666666665</v>
      </c>
      <c r="J802" s="7" t="str" cm="1">
        <f t="array" ref="J802">_xlfn.IFS(
I802&gt;=Best_Customers, Best_Customers_name,
I802&gt;=Loyal_Customers, Loyal_Customers_name,
I802&gt;=Average_Customers, Average_Customers_name,
TRUE, Lost_Customers_name)</f>
        <v>Loyal Customers</v>
      </c>
    </row>
    <row r="803" spans="1:10" x14ac:dyDescent="0.25">
      <c r="A803" s="25" t="str">
        <v>CUST_0803</v>
      </c>
      <c r="B803" s="16">
        <f t="shared" si="60"/>
        <v>49</v>
      </c>
      <c r="C803" s="16">
        <f t="shared" si="61"/>
        <v>5</v>
      </c>
      <c r="D803" s="17">
        <f t="shared" si="62"/>
        <v>432.77000000000004</v>
      </c>
      <c r="E803" s="18" cm="1">
        <f t="array" ref="E803">_xlfn.IFS(
B803&lt;=recencyQ1, 4,
B803&lt;=recencyQ2, 3,
B803&lt;=recencyQ3, 2,
TRUE, 1
)</f>
        <v>2</v>
      </c>
      <c r="F803" s="18" cm="1">
        <f t="array" ref="F803">_xlfn.IFS(
C803&lt;=frequencyQ1, 1,
C803&lt;=frequencyQ2, 2,
C803&lt;=frequencyQ3, 3,
TRUE, 4)</f>
        <v>2</v>
      </c>
      <c r="G803" s="18" cm="1">
        <f t="array" ref="G803">_xlfn.IFS(
D803&lt;=monetaryQ1, 1,
D803&lt;=monetaryQ2, 2,
D803&lt;=monetaryQ3, 3,
TRUE, 4)</f>
        <v>2</v>
      </c>
      <c r="H803" s="18" t="str">
        <f t="shared" si="63"/>
        <v>222</v>
      </c>
      <c r="I803" s="19">
        <f t="shared" si="64"/>
        <v>2</v>
      </c>
      <c r="J803" s="7" t="str" cm="1">
        <f t="array" ref="J803">_xlfn.IFS(
I803&gt;=Best_Customers, Best_Customers_name,
I803&gt;=Loyal_Customers, Loyal_Customers_name,
I803&gt;=Average_Customers, Average_Customers_name,
TRUE, Lost_Customers_name)</f>
        <v>Average Customers</v>
      </c>
    </row>
    <row r="804" spans="1:10" x14ac:dyDescent="0.25">
      <c r="A804" s="25" t="str">
        <v>CUST_0804</v>
      </c>
      <c r="B804" s="16">
        <f t="shared" si="60"/>
        <v>9</v>
      </c>
      <c r="C804" s="16">
        <f t="shared" si="61"/>
        <v>10</v>
      </c>
      <c r="D804" s="17">
        <f t="shared" si="62"/>
        <v>842.21000000000015</v>
      </c>
      <c r="E804" s="18" cm="1">
        <f t="array" ref="E804">_xlfn.IFS(
B804&lt;=recencyQ1, 4,
B804&lt;=recencyQ2, 3,
B804&lt;=recencyQ3, 2,
TRUE, 1
)</f>
        <v>4</v>
      </c>
      <c r="F804" s="18" cm="1">
        <f t="array" ref="F804">_xlfn.IFS(
C804&lt;=frequencyQ1, 1,
C804&lt;=frequencyQ2, 2,
C804&lt;=frequencyQ3, 3,
TRUE, 4)</f>
        <v>4</v>
      </c>
      <c r="G804" s="18" cm="1">
        <f t="array" ref="G804">_xlfn.IFS(
D804&lt;=monetaryQ1, 1,
D804&lt;=monetaryQ2, 2,
D804&lt;=monetaryQ3, 3,
TRUE, 4)</f>
        <v>4</v>
      </c>
      <c r="H804" s="18" t="str">
        <f t="shared" si="63"/>
        <v>444</v>
      </c>
      <c r="I804" s="19">
        <f t="shared" si="64"/>
        <v>4</v>
      </c>
      <c r="J804" s="7" t="str" cm="1">
        <f t="array" ref="J804">_xlfn.IFS(
I804&gt;=Best_Customers, Best_Customers_name,
I804&gt;=Loyal_Customers, Loyal_Customers_name,
I804&gt;=Average_Customers, Average_Customers_name,
TRUE, Lost_Customers_name)</f>
        <v>Best Customers</v>
      </c>
    </row>
    <row r="805" spans="1:10" x14ac:dyDescent="0.25">
      <c r="A805" s="25" t="str">
        <v>CUST_0805</v>
      </c>
      <c r="B805" s="16">
        <f t="shared" si="60"/>
        <v>10</v>
      </c>
      <c r="C805" s="16">
        <f t="shared" si="61"/>
        <v>8</v>
      </c>
      <c r="D805" s="17">
        <f t="shared" si="62"/>
        <v>751.93999999999994</v>
      </c>
      <c r="E805" s="18" cm="1">
        <f t="array" ref="E805">_xlfn.IFS(
B805&lt;=recencyQ1, 4,
B805&lt;=recencyQ2, 3,
B805&lt;=recencyQ3, 2,
TRUE, 1
)</f>
        <v>4</v>
      </c>
      <c r="F805" s="18" cm="1">
        <f t="array" ref="F805">_xlfn.IFS(
C805&lt;=frequencyQ1, 1,
C805&lt;=frequencyQ2, 2,
C805&lt;=frequencyQ3, 3,
TRUE, 4)</f>
        <v>4</v>
      </c>
      <c r="G805" s="18" cm="1">
        <f t="array" ref="G805">_xlfn.IFS(
D805&lt;=monetaryQ1, 1,
D805&lt;=monetaryQ2, 2,
D805&lt;=monetaryQ3, 3,
TRUE, 4)</f>
        <v>4</v>
      </c>
      <c r="H805" s="18" t="str">
        <f t="shared" si="63"/>
        <v>444</v>
      </c>
      <c r="I805" s="19">
        <f t="shared" si="64"/>
        <v>4</v>
      </c>
      <c r="J805" s="7" t="str" cm="1">
        <f t="array" ref="J805">_xlfn.IFS(
I805&gt;=Best_Customers, Best_Customers_name,
I805&gt;=Loyal_Customers, Loyal_Customers_name,
I805&gt;=Average_Customers, Average_Customers_name,
TRUE, Lost_Customers_name)</f>
        <v>Best Customers</v>
      </c>
    </row>
    <row r="806" spans="1:10" x14ac:dyDescent="0.25">
      <c r="A806" s="25" t="str">
        <v>CUST_0806</v>
      </c>
      <c r="B806" s="16">
        <f t="shared" si="60"/>
        <v>39</v>
      </c>
      <c r="C806" s="16">
        <f t="shared" si="61"/>
        <v>5</v>
      </c>
      <c r="D806" s="17">
        <f t="shared" si="62"/>
        <v>477.84</v>
      </c>
      <c r="E806" s="18" cm="1">
        <f t="array" ref="E806">_xlfn.IFS(
B806&lt;=recencyQ1, 4,
B806&lt;=recencyQ2, 3,
B806&lt;=recencyQ3, 2,
TRUE, 1
)</f>
        <v>3</v>
      </c>
      <c r="F806" s="18" cm="1">
        <f t="array" ref="F806">_xlfn.IFS(
C806&lt;=frequencyQ1, 1,
C806&lt;=frequencyQ2, 2,
C806&lt;=frequencyQ3, 3,
TRUE, 4)</f>
        <v>2</v>
      </c>
      <c r="G806" s="18" cm="1">
        <f t="array" ref="G806">_xlfn.IFS(
D806&lt;=monetaryQ1, 1,
D806&lt;=monetaryQ2, 2,
D806&lt;=monetaryQ3, 3,
TRUE, 4)</f>
        <v>2</v>
      </c>
      <c r="H806" s="18" t="str">
        <f t="shared" si="63"/>
        <v>322</v>
      </c>
      <c r="I806" s="19">
        <f t="shared" si="64"/>
        <v>2.3333333333333335</v>
      </c>
      <c r="J806" s="7" t="str" cm="1">
        <f t="array" ref="J806">_xlfn.IFS(
I806&gt;=Best_Customers, Best_Customers_name,
I806&gt;=Loyal_Customers, Loyal_Customers_name,
I806&gt;=Average_Customers, Average_Customers_name,
TRUE, Lost_Customers_name)</f>
        <v>Average Customers</v>
      </c>
    </row>
    <row r="807" spans="1:10" x14ac:dyDescent="0.25">
      <c r="A807" s="25" t="str">
        <v>CUST_0808</v>
      </c>
      <c r="B807" s="16">
        <f t="shared" si="60"/>
        <v>107</v>
      </c>
      <c r="C807" s="16">
        <f t="shared" si="61"/>
        <v>2</v>
      </c>
      <c r="D807" s="17">
        <f t="shared" si="62"/>
        <v>188.55</v>
      </c>
      <c r="E807" s="18" cm="1">
        <f t="array" ref="E807">_xlfn.IFS(
B807&lt;=recencyQ1, 4,
B807&lt;=recencyQ2, 3,
B807&lt;=recencyQ3, 2,
TRUE, 1
)</f>
        <v>1</v>
      </c>
      <c r="F807" s="18" cm="1">
        <f t="array" ref="F807">_xlfn.IFS(
C807&lt;=frequencyQ1, 1,
C807&lt;=frequencyQ2, 2,
C807&lt;=frequencyQ3, 3,
TRUE, 4)</f>
        <v>1</v>
      </c>
      <c r="G807" s="18" cm="1">
        <f t="array" ref="G807">_xlfn.IFS(
D807&lt;=monetaryQ1, 1,
D807&lt;=monetaryQ2, 2,
D807&lt;=monetaryQ3, 3,
TRUE, 4)</f>
        <v>1</v>
      </c>
      <c r="H807" s="18" t="str">
        <f t="shared" si="63"/>
        <v>111</v>
      </c>
      <c r="I807" s="19">
        <f t="shared" si="64"/>
        <v>1</v>
      </c>
      <c r="J807" s="7" t="str" cm="1">
        <f t="array" ref="J807">_xlfn.IFS(
I807&gt;=Best_Customers, Best_Customers_name,
I807&gt;=Loyal_Customers, Loyal_Customers_name,
I807&gt;=Average_Customers, Average_Customers_name,
TRUE, Lost_Customers_name)</f>
        <v>Lost Customers</v>
      </c>
    </row>
    <row r="808" spans="1:10" x14ac:dyDescent="0.25">
      <c r="A808" s="25" t="str">
        <v>CUST_0809</v>
      </c>
      <c r="B808" s="16">
        <f t="shared" si="60"/>
        <v>88</v>
      </c>
      <c r="C808" s="16">
        <f t="shared" si="61"/>
        <v>1</v>
      </c>
      <c r="D808" s="17">
        <f t="shared" si="62"/>
        <v>110.51</v>
      </c>
      <c r="E808" s="18" cm="1">
        <f t="array" ref="E808">_xlfn.IFS(
B808&lt;=recencyQ1, 4,
B808&lt;=recencyQ2, 3,
B808&lt;=recencyQ3, 2,
TRUE, 1
)</f>
        <v>2</v>
      </c>
      <c r="F808" s="18" cm="1">
        <f t="array" ref="F808">_xlfn.IFS(
C808&lt;=frequencyQ1, 1,
C808&lt;=frequencyQ2, 2,
C808&lt;=frequencyQ3, 3,
TRUE, 4)</f>
        <v>1</v>
      </c>
      <c r="G808" s="18" cm="1">
        <f t="array" ref="G808">_xlfn.IFS(
D808&lt;=monetaryQ1, 1,
D808&lt;=monetaryQ2, 2,
D808&lt;=monetaryQ3, 3,
TRUE, 4)</f>
        <v>1</v>
      </c>
      <c r="H808" s="18" t="str">
        <f t="shared" si="63"/>
        <v>211</v>
      </c>
      <c r="I808" s="19">
        <f t="shared" si="64"/>
        <v>1.3333333333333333</v>
      </c>
      <c r="J808" s="7" t="str" cm="1">
        <f t="array" ref="J808">_xlfn.IFS(
I808&gt;=Best_Customers, Best_Customers_name,
I808&gt;=Loyal_Customers, Loyal_Customers_name,
I808&gt;=Average_Customers, Average_Customers_name,
TRUE, Lost_Customers_name)</f>
        <v>Lost Customers</v>
      </c>
    </row>
    <row r="809" spans="1:10" x14ac:dyDescent="0.25">
      <c r="A809" s="25" t="str">
        <v>CUST_0810</v>
      </c>
      <c r="B809" s="16">
        <f t="shared" si="60"/>
        <v>111</v>
      </c>
      <c r="C809" s="16">
        <f t="shared" si="61"/>
        <v>3</v>
      </c>
      <c r="D809" s="17">
        <f t="shared" si="62"/>
        <v>356.78</v>
      </c>
      <c r="E809" s="18" cm="1">
        <f t="array" ref="E809">_xlfn.IFS(
B809&lt;=recencyQ1, 4,
B809&lt;=recencyQ2, 3,
B809&lt;=recencyQ3, 2,
TRUE, 1
)</f>
        <v>1</v>
      </c>
      <c r="F809" s="18" cm="1">
        <f t="array" ref="F809">_xlfn.IFS(
C809&lt;=frequencyQ1, 1,
C809&lt;=frequencyQ2, 2,
C809&lt;=frequencyQ3, 3,
TRUE, 4)</f>
        <v>1</v>
      </c>
      <c r="G809" s="18" cm="1">
        <f t="array" ref="G809">_xlfn.IFS(
D809&lt;=monetaryQ1, 1,
D809&lt;=monetaryQ2, 2,
D809&lt;=monetaryQ3, 3,
TRUE, 4)</f>
        <v>2</v>
      </c>
      <c r="H809" s="18" t="str">
        <f t="shared" si="63"/>
        <v>112</v>
      </c>
      <c r="I809" s="19">
        <f t="shared" si="64"/>
        <v>1.3333333333333333</v>
      </c>
      <c r="J809" s="7" t="str" cm="1">
        <f t="array" ref="J809">_xlfn.IFS(
I809&gt;=Best_Customers, Best_Customers_name,
I809&gt;=Loyal_Customers, Loyal_Customers_name,
I809&gt;=Average_Customers, Average_Customers_name,
TRUE, Lost_Customers_name)</f>
        <v>Lost Customers</v>
      </c>
    </row>
    <row r="810" spans="1:10" x14ac:dyDescent="0.25">
      <c r="A810" s="25" t="str">
        <v>CUST_0811</v>
      </c>
      <c r="B810" s="16">
        <f t="shared" si="60"/>
        <v>15</v>
      </c>
      <c r="C810" s="16">
        <f t="shared" si="61"/>
        <v>4</v>
      </c>
      <c r="D810" s="17">
        <f t="shared" si="62"/>
        <v>388.58000000000004</v>
      </c>
      <c r="E810" s="18" cm="1">
        <f t="array" ref="E810">_xlfn.IFS(
B810&lt;=recencyQ1, 4,
B810&lt;=recencyQ2, 3,
B810&lt;=recencyQ3, 2,
TRUE, 1
)</f>
        <v>4</v>
      </c>
      <c r="F810" s="18" cm="1">
        <f t="array" ref="F810">_xlfn.IFS(
C810&lt;=frequencyQ1, 1,
C810&lt;=frequencyQ2, 2,
C810&lt;=frequencyQ3, 3,
TRUE, 4)</f>
        <v>2</v>
      </c>
      <c r="G810" s="18" cm="1">
        <f t="array" ref="G810">_xlfn.IFS(
D810&lt;=monetaryQ1, 1,
D810&lt;=monetaryQ2, 2,
D810&lt;=monetaryQ3, 3,
TRUE, 4)</f>
        <v>2</v>
      </c>
      <c r="H810" s="18" t="str">
        <f t="shared" si="63"/>
        <v>422</v>
      </c>
      <c r="I810" s="19">
        <f t="shared" si="64"/>
        <v>2.6666666666666665</v>
      </c>
      <c r="J810" s="7" t="str" cm="1">
        <f t="array" ref="J810">_xlfn.IFS(
I810&gt;=Best_Customers, Best_Customers_name,
I810&gt;=Loyal_Customers, Loyal_Customers_name,
I810&gt;=Average_Customers, Average_Customers_name,
TRUE, Lost_Customers_name)</f>
        <v>Loyal Customers</v>
      </c>
    </row>
    <row r="811" spans="1:10" x14ac:dyDescent="0.25">
      <c r="A811" s="25" t="str">
        <v>CUST_0812</v>
      </c>
      <c r="B811" s="16">
        <f t="shared" si="60"/>
        <v>43</v>
      </c>
      <c r="C811" s="16">
        <f t="shared" si="61"/>
        <v>7</v>
      </c>
      <c r="D811" s="17">
        <f t="shared" si="62"/>
        <v>655.72</v>
      </c>
      <c r="E811" s="18" cm="1">
        <f t="array" ref="E811">_xlfn.IFS(
B811&lt;=recencyQ1, 4,
B811&lt;=recencyQ2, 3,
B811&lt;=recencyQ3, 2,
TRUE, 1
)</f>
        <v>3</v>
      </c>
      <c r="F811" s="18" cm="1">
        <f t="array" ref="F811">_xlfn.IFS(
C811&lt;=frequencyQ1, 1,
C811&lt;=frequencyQ2, 2,
C811&lt;=frequencyQ3, 3,
TRUE, 4)</f>
        <v>4</v>
      </c>
      <c r="G811" s="18" cm="1">
        <f t="array" ref="G811">_xlfn.IFS(
D811&lt;=monetaryQ1, 1,
D811&lt;=monetaryQ2, 2,
D811&lt;=monetaryQ3, 3,
TRUE, 4)</f>
        <v>3</v>
      </c>
      <c r="H811" s="18" t="str">
        <f t="shared" si="63"/>
        <v>343</v>
      </c>
      <c r="I811" s="19">
        <f t="shared" si="64"/>
        <v>3.3333333333333335</v>
      </c>
      <c r="J811" s="7" t="str" cm="1">
        <f t="array" ref="J811">_xlfn.IFS(
I811&gt;=Best_Customers, Best_Customers_name,
I811&gt;=Loyal_Customers, Loyal_Customers_name,
I811&gt;=Average_Customers, Average_Customers_name,
TRUE, Lost_Customers_name)</f>
        <v>Loyal Customers</v>
      </c>
    </row>
    <row r="812" spans="1:10" x14ac:dyDescent="0.25">
      <c r="A812" s="25" t="str">
        <v>CUST_0813</v>
      </c>
      <c r="B812" s="16">
        <f t="shared" si="60"/>
        <v>89</v>
      </c>
      <c r="C812" s="16">
        <f t="shared" si="61"/>
        <v>6</v>
      </c>
      <c r="D812" s="17">
        <f t="shared" si="62"/>
        <v>589.47</v>
      </c>
      <c r="E812" s="18" cm="1">
        <f t="array" ref="E812">_xlfn.IFS(
B812&lt;=recencyQ1, 4,
B812&lt;=recencyQ2, 3,
B812&lt;=recencyQ3, 2,
TRUE, 1
)</f>
        <v>2</v>
      </c>
      <c r="F812" s="18" cm="1">
        <f t="array" ref="F812">_xlfn.IFS(
C812&lt;=frequencyQ1, 1,
C812&lt;=frequencyQ2, 2,
C812&lt;=frequencyQ3, 3,
TRUE, 4)</f>
        <v>3</v>
      </c>
      <c r="G812" s="18" cm="1">
        <f t="array" ref="G812">_xlfn.IFS(
D812&lt;=monetaryQ1, 1,
D812&lt;=monetaryQ2, 2,
D812&lt;=monetaryQ3, 3,
TRUE, 4)</f>
        <v>3</v>
      </c>
      <c r="H812" s="18" t="str">
        <f t="shared" si="63"/>
        <v>233</v>
      </c>
      <c r="I812" s="19">
        <f t="shared" si="64"/>
        <v>2.6666666666666665</v>
      </c>
      <c r="J812" s="7" t="str" cm="1">
        <f t="array" ref="J812">_xlfn.IFS(
I812&gt;=Best_Customers, Best_Customers_name,
I812&gt;=Loyal_Customers, Loyal_Customers_name,
I812&gt;=Average_Customers, Average_Customers_name,
TRUE, Lost_Customers_name)</f>
        <v>Loyal Customers</v>
      </c>
    </row>
    <row r="813" spans="1:10" x14ac:dyDescent="0.25">
      <c r="A813" s="25" t="str">
        <v>CUST_0814</v>
      </c>
      <c r="B813" s="16">
        <f t="shared" si="60"/>
        <v>12</v>
      </c>
      <c r="C813" s="16">
        <f t="shared" si="61"/>
        <v>8</v>
      </c>
      <c r="D813" s="17">
        <f t="shared" si="62"/>
        <v>966.2600000000001</v>
      </c>
      <c r="E813" s="18" cm="1">
        <f t="array" ref="E813">_xlfn.IFS(
B813&lt;=recencyQ1, 4,
B813&lt;=recencyQ2, 3,
B813&lt;=recencyQ3, 2,
TRUE, 1
)</f>
        <v>4</v>
      </c>
      <c r="F813" s="18" cm="1">
        <f t="array" ref="F813">_xlfn.IFS(
C813&lt;=frequencyQ1, 1,
C813&lt;=frequencyQ2, 2,
C813&lt;=frequencyQ3, 3,
TRUE, 4)</f>
        <v>4</v>
      </c>
      <c r="G813" s="18" cm="1">
        <f t="array" ref="G813">_xlfn.IFS(
D813&lt;=monetaryQ1, 1,
D813&lt;=monetaryQ2, 2,
D813&lt;=monetaryQ3, 3,
TRUE, 4)</f>
        <v>4</v>
      </c>
      <c r="H813" s="18" t="str">
        <f t="shared" si="63"/>
        <v>444</v>
      </c>
      <c r="I813" s="19">
        <f t="shared" si="64"/>
        <v>4</v>
      </c>
      <c r="J813" s="7" t="str" cm="1">
        <f t="array" ref="J813">_xlfn.IFS(
I813&gt;=Best_Customers, Best_Customers_name,
I813&gt;=Loyal_Customers, Loyal_Customers_name,
I813&gt;=Average_Customers, Average_Customers_name,
TRUE, Lost_Customers_name)</f>
        <v>Best Customers</v>
      </c>
    </row>
    <row r="814" spans="1:10" x14ac:dyDescent="0.25">
      <c r="A814" s="25" t="str">
        <v>CUST_0815</v>
      </c>
      <c r="B814" s="16">
        <f t="shared" si="60"/>
        <v>54</v>
      </c>
      <c r="C814" s="16">
        <f t="shared" si="61"/>
        <v>6</v>
      </c>
      <c r="D814" s="17">
        <f t="shared" si="62"/>
        <v>643</v>
      </c>
      <c r="E814" s="18" cm="1">
        <f t="array" ref="E814">_xlfn.IFS(
B814&lt;=recencyQ1, 4,
B814&lt;=recencyQ2, 3,
B814&lt;=recencyQ3, 2,
TRUE, 1
)</f>
        <v>2</v>
      </c>
      <c r="F814" s="18" cm="1">
        <f t="array" ref="F814">_xlfn.IFS(
C814&lt;=frequencyQ1, 1,
C814&lt;=frequencyQ2, 2,
C814&lt;=frequencyQ3, 3,
TRUE, 4)</f>
        <v>3</v>
      </c>
      <c r="G814" s="18" cm="1">
        <f t="array" ref="G814">_xlfn.IFS(
D814&lt;=monetaryQ1, 1,
D814&lt;=monetaryQ2, 2,
D814&lt;=monetaryQ3, 3,
TRUE, 4)</f>
        <v>3</v>
      </c>
      <c r="H814" s="18" t="str">
        <f t="shared" si="63"/>
        <v>233</v>
      </c>
      <c r="I814" s="19">
        <f t="shared" si="64"/>
        <v>2.6666666666666665</v>
      </c>
      <c r="J814" s="7" t="str" cm="1">
        <f t="array" ref="J814">_xlfn.IFS(
I814&gt;=Best_Customers, Best_Customers_name,
I814&gt;=Loyal_Customers, Loyal_Customers_name,
I814&gt;=Average_Customers, Average_Customers_name,
TRUE, Lost_Customers_name)</f>
        <v>Loyal Customers</v>
      </c>
    </row>
    <row r="815" spans="1:10" x14ac:dyDescent="0.25">
      <c r="A815" s="25" t="str">
        <v>CUST_0816</v>
      </c>
      <c r="B815" s="16">
        <f t="shared" si="60"/>
        <v>18</v>
      </c>
      <c r="C815" s="16">
        <f t="shared" si="61"/>
        <v>7</v>
      </c>
      <c r="D815" s="17">
        <f t="shared" si="62"/>
        <v>693.7299999999999</v>
      </c>
      <c r="E815" s="18" cm="1">
        <f t="array" ref="E815">_xlfn.IFS(
B815&lt;=recencyQ1, 4,
B815&lt;=recencyQ2, 3,
B815&lt;=recencyQ3, 2,
TRUE, 1
)</f>
        <v>4</v>
      </c>
      <c r="F815" s="18" cm="1">
        <f t="array" ref="F815">_xlfn.IFS(
C815&lt;=frequencyQ1, 1,
C815&lt;=frequencyQ2, 2,
C815&lt;=frequencyQ3, 3,
TRUE, 4)</f>
        <v>4</v>
      </c>
      <c r="G815" s="18" cm="1">
        <f t="array" ref="G815">_xlfn.IFS(
D815&lt;=monetaryQ1, 1,
D815&lt;=monetaryQ2, 2,
D815&lt;=monetaryQ3, 3,
TRUE, 4)</f>
        <v>4</v>
      </c>
      <c r="H815" s="18" t="str">
        <f t="shared" si="63"/>
        <v>444</v>
      </c>
      <c r="I815" s="19">
        <f t="shared" si="64"/>
        <v>4</v>
      </c>
      <c r="J815" s="7" t="str" cm="1">
        <f t="array" ref="J815">_xlfn.IFS(
I815&gt;=Best_Customers, Best_Customers_name,
I815&gt;=Loyal_Customers, Loyal_Customers_name,
I815&gt;=Average_Customers, Average_Customers_name,
TRUE, Lost_Customers_name)</f>
        <v>Best Customers</v>
      </c>
    </row>
    <row r="816" spans="1:10" x14ac:dyDescent="0.25">
      <c r="A816" s="25" t="str">
        <v>CUST_0817</v>
      </c>
      <c r="B816" s="16">
        <f t="shared" si="60"/>
        <v>240</v>
      </c>
      <c r="C816" s="16">
        <f t="shared" si="61"/>
        <v>2</v>
      </c>
      <c r="D816" s="17">
        <f t="shared" si="62"/>
        <v>239.95000000000002</v>
      </c>
      <c r="E816" s="18" cm="1">
        <f t="array" ref="E816">_xlfn.IFS(
B816&lt;=recencyQ1, 4,
B816&lt;=recencyQ2, 3,
B816&lt;=recencyQ3, 2,
TRUE, 1
)</f>
        <v>1</v>
      </c>
      <c r="F816" s="18" cm="1">
        <f t="array" ref="F816">_xlfn.IFS(
C816&lt;=frequencyQ1, 1,
C816&lt;=frequencyQ2, 2,
C816&lt;=frequencyQ3, 3,
TRUE, 4)</f>
        <v>1</v>
      </c>
      <c r="G816" s="18" cm="1">
        <f t="array" ref="G816">_xlfn.IFS(
D816&lt;=monetaryQ1, 1,
D816&lt;=monetaryQ2, 2,
D816&lt;=monetaryQ3, 3,
TRUE, 4)</f>
        <v>1</v>
      </c>
      <c r="H816" s="18" t="str">
        <f t="shared" si="63"/>
        <v>111</v>
      </c>
      <c r="I816" s="19">
        <f t="shared" si="64"/>
        <v>1</v>
      </c>
      <c r="J816" s="7" t="str" cm="1">
        <f t="array" ref="J816">_xlfn.IFS(
I816&gt;=Best_Customers, Best_Customers_name,
I816&gt;=Loyal_Customers, Loyal_Customers_name,
I816&gt;=Average_Customers, Average_Customers_name,
TRUE, Lost_Customers_name)</f>
        <v>Lost Customers</v>
      </c>
    </row>
    <row r="817" spans="1:10" x14ac:dyDescent="0.25">
      <c r="A817" s="25" t="str">
        <v>CUST_0818</v>
      </c>
      <c r="B817" s="16">
        <f t="shared" si="60"/>
        <v>45</v>
      </c>
      <c r="C817" s="16">
        <f t="shared" si="61"/>
        <v>6</v>
      </c>
      <c r="D817" s="17">
        <f t="shared" si="62"/>
        <v>571.61999999999989</v>
      </c>
      <c r="E817" s="18" cm="1">
        <f t="array" ref="E817">_xlfn.IFS(
B817&lt;=recencyQ1, 4,
B817&lt;=recencyQ2, 3,
B817&lt;=recencyQ3, 2,
TRUE, 1
)</f>
        <v>3</v>
      </c>
      <c r="F817" s="18" cm="1">
        <f t="array" ref="F817">_xlfn.IFS(
C817&lt;=frequencyQ1, 1,
C817&lt;=frequencyQ2, 2,
C817&lt;=frequencyQ3, 3,
TRUE, 4)</f>
        <v>3</v>
      </c>
      <c r="G817" s="18" cm="1">
        <f t="array" ref="G817">_xlfn.IFS(
D817&lt;=monetaryQ1, 1,
D817&lt;=monetaryQ2, 2,
D817&lt;=monetaryQ3, 3,
TRUE, 4)</f>
        <v>3</v>
      </c>
      <c r="H817" s="18" t="str">
        <f t="shared" si="63"/>
        <v>333</v>
      </c>
      <c r="I817" s="19">
        <f t="shared" si="64"/>
        <v>3</v>
      </c>
      <c r="J817" s="7" t="str" cm="1">
        <f t="array" ref="J817">_xlfn.IFS(
I817&gt;=Best_Customers, Best_Customers_name,
I817&gt;=Loyal_Customers, Loyal_Customers_name,
I817&gt;=Average_Customers, Average_Customers_name,
TRUE, Lost_Customers_name)</f>
        <v>Loyal Customers</v>
      </c>
    </row>
    <row r="818" spans="1:10" x14ac:dyDescent="0.25">
      <c r="A818" s="25" t="str">
        <v>CUST_0819</v>
      </c>
      <c r="B818" s="16">
        <f t="shared" si="60"/>
        <v>58</v>
      </c>
      <c r="C818" s="16">
        <f t="shared" si="61"/>
        <v>7</v>
      </c>
      <c r="D818" s="17">
        <f t="shared" si="62"/>
        <v>747.31000000000006</v>
      </c>
      <c r="E818" s="18" cm="1">
        <f t="array" ref="E818">_xlfn.IFS(
B818&lt;=recencyQ1, 4,
B818&lt;=recencyQ2, 3,
B818&lt;=recencyQ3, 2,
TRUE, 1
)</f>
        <v>2</v>
      </c>
      <c r="F818" s="18" cm="1">
        <f t="array" ref="F818">_xlfn.IFS(
C818&lt;=frequencyQ1, 1,
C818&lt;=frequencyQ2, 2,
C818&lt;=frequencyQ3, 3,
TRUE, 4)</f>
        <v>4</v>
      </c>
      <c r="G818" s="18" cm="1">
        <f t="array" ref="G818">_xlfn.IFS(
D818&lt;=monetaryQ1, 1,
D818&lt;=monetaryQ2, 2,
D818&lt;=monetaryQ3, 3,
TRUE, 4)</f>
        <v>4</v>
      </c>
      <c r="H818" s="18" t="str">
        <f t="shared" si="63"/>
        <v>244</v>
      </c>
      <c r="I818" s="19">
        <f t="shared" si="64"/>
        <v>3.3333333333333335</v>
      </c>
      <c r="J818" s="7" t="str" cm="1">
        <f t="array" ref="J818">_xlfn.IFS(
I818&gt;=Best_Customers, Best_Customers_name,
I818&gt;=Loyal_Customers, Loyal_Customers_name,
I818&gt;=Average_Customers, Average_Customers_name,
TRUE, Lost_Customers_name)</f>
        <v>Loyal Customers</v>
      </c>
    </row>
    <row r="819" spans="1:10" x14ac:dyDescent="0.25">
      <c r="A819" s="25" t="str">
        <v>CUST_0820</v>
      </c>
      <c r="B819" s="16">
        <f t="shared" si="60"/>
        <v>38</v>
      </c>
      <c r="C819" s="16">
        <f t="shared" si="61"/>
        <v>4</v>
      </c>
      <c r="D819" s="17">
        <f t="shared" si="62"/>
        <v>330.28000000000003</v>
      </c>
      <c r="E819" s="18" cm="1">
        <f t="array" ref="E819">_xlfn.IFS(
B819&lt;=recencyQ1, 4,
B819&lt;=recencyQ2, 3,
B819&lt;=recencyQ3, 2,
TRUE, 1
)</f>
        <v>3</v>
      </c>
      <c r="F819" s="18" cm="1">
        <f t="array" ref="F819">_xlfn.IFS(
C819&lt;=frequencyQ1, 1,
C819&lt;=frequencyQ2, 2,
C819&lt;=frequencyQ3, 3,
TRUE, 4)</f>
        <v>2</v>
      </c>
      <c r="G819" s="18" cm="1">
        <f t="array" ref="G819">_xlfn.IFS(
D819&lt;=monetaryQ1, 1,
D819&lt;=monetaryQ2, 2,
D819&lt;=monetaryQ3, 3,
TRUE, 4)</f>
        <v>2</v>
      </c>
      <c r="H819" s="18" t="str">
        <f t="shared" si="63"/>
        <v>322</v>
      </c>
      <c r="I819" s="19">
        <f t="shared" si="64"/>
        <v>2.3333333333333335</v>
      </c>
      <c r="J819" s="7" t="str" cm="1">
        <f t="array" ref="J819">_xlfn.IFS(
I819&gt;=Best_Customers, Best_Customers_name,
I819&gt;=Loyal_Customers, Loyal_Customers_name,
I819&gt;=Average_Customers, Average_Customers_name,
TRUE, Lost_Customers_name)</f>
        <v>Average Customers</v>
      </c>
    </row>
    <row r="820" spans="1:10" x14ac:dyDescent="0.25">
      <c r="A820" s="25" t="str">
        <v>CUST_0821</v>
      </c>
      <c r="B820" s="16">
        <f t="shared" si="60"/>
        <v>21</v>
      </c>
      <c r="C820" s="16">
        <f t="shared" si="61"/>
        <v>10</v>
      </c>
      <c r="D820" s="17">
        <f t="shared" si="62"/>
        <v>1141.4800000000002</v>
      </c>
      <c r="E820" s="18" cm="1">
        <f t="array" ref="E820">_xlfn.IFS(
B820&lt;=recencyQ1, 4,
B820&lt;=recencyQ2, 3,
B820&lt;=recencyQ3, 2,
TRUE, 1
)</f>
        <v>3</v>
      </c>
      <c r="F820" s="18" cm="1">
        <f t="array" ref="F820">_xlfn.IFS(
C820&lt;=frequencyQ1, 1,
C820&lt;=frequencyQ2, 2,
C820&lt;=frequencyQ3, 3,
TRUE, 4)</f>
        <v>4</v>
      </c>
      <c r="G820" s="18" cm="1">
        <f t="array" ref="G820">_xlfn.IFS(
D820&lt;=monetaryQ1, 1,
D820&lt;=monetaryQ2, 2,
D820&lt;=monetaryQ3, 3,
TRUE, 4)</f>
        <v>4</v>
      </c>
      <c r="H820" s="18" t="str">
        <f t="shared" si="63"/>
        <v>344</v>
      </c>
      <c r="I820" s="19">
        <f t="shared" si="64"/>
        <v>3.6666666666666665</v>
      </c>
      <c r="J820" s="7" t="str" cm="1">
        <f t="array" ref="J820">_xlfn.IFS(
I820&gt;=Best_Customers, Best_Customers_name,
I820&gt;=Loyal_Customers, Loyal_Customers_name,
I820&gt;=Average_Customers, Average_Customers_name,
TRUE, Lost_Customers_name)</f>
        <v>Best Customers</v>
      </c>
    </row>
    <row r="821" spans="1:10" x14ac:dyDescent="0.25">
      <c r="A821" s="25" t="str">
        <v>CUST_0822</v>
      </c>
      <c r="B821" s="16">
        <f t="shared" si="60"/>
        <v>29</v>
      </c>
      <c r="C821" s="16">
        <f t="shared" si="61"/>
        <v>6</v>
      </c>
      <c r="D821" s="17">
        <f t="shared" si="62"/>
        <v>588.59</v>
      </c>
      <c r="E821" s="18" cm="1">
        <f t="array" ref="E821">_xlfn.IFS(
B821&lt;=recencyQ1, 4,
B821&lt;=recencyQ2, 3,
B821&lt;=recencyQ3, 2,
TRUE, 1
)</f>
        <v>3</v>
      </c>
      <c r="F821" s="18" cm="1">
        <f t="array" ref="F821">_xlfn.IFS(
C821&lt;=frequencyQ1, 1,
C821&lt;=frequencyQ2, 2,
C821&lt;=frequencyQ3, 3,
TRUE, 4)</f>
        <v>3</v>
      </c>
      <c r="G821" s="18" cm="1">
        <f t="array" ref="G821">_xlfn.IFS(
D821&lt;=monetaryQ1, 1,
D821&lt;=monetaryQ2, 2,
D821&lt;=monetaryQ3, 3,
TRUE, 4)</f>
        <v>3</v>
      </c>
      <c r="H821" s="18" t="str">
        <f t="shared" si="63"/>
        <v>333</v>
      </c>
      <c r="I821" s="19">
        <f t="shared" si="64"/>
        <v>3</v>
      </c>
      <c r="J821" s="7" t="str" cm="1">
        <f t="array" ref="J821">_xlfn.IFS(
I821&gt;=Best_Customers, Best_Customers_name,
I821&gt;=Loyal_Customers, Loyal_Customers_name,
I821&gt;=Average_Customers, Average_Customers_name,
TRUE, Lost_Customers_name)</f>
        <v>Loyal Customers</v>
      </c>
    </row>
    <row r="822" spans="1:10" x14ac:dyDescent="0.25">
      <c r="A822" s="25" t="str">
        <v>CUST_0823</v>
      </c>
      <c r="B822" s="16">
        <f t="shared" si="60"/>
        <v>61</v>
      </c>
      <c r="C822" s="16">
        <f t="shared" si="61"/>
        <v>5</v>
      </c>
      <c r="D822" s="17">
        <f t="shared" si="62"/>
        <v>489.53</v>
      </c>
      <c r="E822" s="18" cm="1">
        <f t="array" ref="E822">_xlfn.IFS(
B822&lt;=recencyQ1, 4,
B822&lt;=recencyQ2, 3,
B822&lt;=recencyQ3, 2,
TRUE, 1
)</f>
        <v>2</v>
      </c>
      <c r="F822" s="18" cm="1">
        <f t="array" ref="F822">_xlfn.IFS(
C822&lt;=frequencyQ1, 1,
C822&lt;=frequencyQ2, 2,
C822&lt;=frequencyQ3, 3,
TRUE, 4)</f>
        <v>2</v>
      </c>
      <c r="G822" s="18" cm="1">
        <f t="array" ref="G822">_xlfn.IFS(
D822&lt;=monetaryQ1, 1,
D822&lt;=monetaryQ2, 2,
D822&lt;=monetaryQ3, 3,
TRUE, 4)</f>
        <v>3</v>
      </c>
      <c r="H822" s="18" t="str">
        <f t="shared" si="63"/>
        <v>223</v>
      </c>
      <c r="I822" s="19">
        <f t="shared" si="64"/>
        <v>2.3333333333333335</v>
      </c>
      <c r="J822" s="7" t="str" cm="1">
        <f t="array" ref="J822">_xlfn.IFS(
I822&gt;=Best_Customers, Best_Customers_name,
I822&gt;=Loyal_Customers, Loyal_Customers_name,
I822&gt;=Average_Customers, Average_Customers_name,
TRUE, Lost_Customers_name)</f>
        <v>Average Customers</v>
      </c>
    </row>
    <row r="823" spans="1:10" x14ac:dyDescent="0.25">
      <c r="A823" s="25" t="str">
        <v>CUST_0824</v>
      </c>
      <c r="B823" s="16">
        <f t="shared" si="60"/>
        <v>31</v>
      </c>
      <c r="C823" s="16">
        <f t="shared" si="61"/>
        <v>7</v>
      </c>
      <c r="D823" s="17">
        <f t="shared" si="62"/>
        <v>917.75</v>
      </c>
      <c r="E823" s="18" cm="1">
        <f t="array" ref="E823">_xlfn.IFS(
B823&lt;=recencyQ1, 4,
B823&lt;=recencyQ2, 3,
B823&lt;=recencyQ3, 2,
TRUE, 1
)</f>
        <v>3</v>
      </c>
      <c r="F823" s="18" cm="1">
        <f t="array" ref="F823">_xlfn.IFS(
C823&lt;=frequencyQ1, 1,
C823&lt;=frequencyQ2, 2,
C823&lt;=frequencyQ3, 3,
TRUE, 4)</f>
        <v>4</v>
      </c>
      <c r="G823" s="18" cm="1">
        <f t="array" ref="G823">_xlfn.IFS(
D823&lt;=monetaryQ1, 1,
D823&lt;=monetaryQ2, 2,
D823&lt;=monetaryQ3, 3,
TRUE, 4)</f>
        <v>4</v>
      </c>
      <c r="H823" s="18" t="str">
        <f t="shared" si="63"/>
        <v>344</v>
      </c>
      <c r="I823" s="19">
        <f t="shared" si="64"/>
        <v>3.6666666666666665</v>
      </c>
      <c r="J823" s="7" t="str" cm="1">
        <f t="array" ref="J823">_xlfn.IFS(
I823&gt;=Best_Customers, Best_Customers_name,
I823&gt;=Loyal_Customers, Loyal_Customers_name,
I823&gt;=Average_Customers, Average_Customers_name,
TRUE, Lost_Customers_name)</f>
        <v>Best Customers</v>
      </c>
    </row>
    <row r="824" spans="1:10" x14ac:dyDescent="0.25">
      <c r="A824" s="25" t="str">
        <v>CUST_0825</v>
      </c>
      <c r="B824" s="16">
        <f t="shared" si="60"/>
        <v>13</v>
      </c>
      <c r="C824" s="16">
        <f t="shared" si="61"/>
        <v>5</v>
      </c>
      <c r="D824" s="17">
        <f t="shared" si="62"/>
        <v>569.57999999999993</v>
      </c>
      <c r="E824" s="18" cm="1">
        <f t="array" ref="E824">_xlfn.IFS(
B824&lt;=recencyQ1, 4,
B824&lt;=recencyQ2, 3,
B824&lt;=recencyQ3, 2,
TRUE, 1
)</f>
        <v>4</v>
      </c>
      <c r="F824" s="18" cm="1">
        <f t="array" ref="F824">_xlfn.IFS(
C824&lt;=frequencyQ1, 1,
C824&lt;=frequencyQ2, 2,
C824&lt;=frequencyQ3, 3,
TRUE, 4)</f>
        <v>2</v>
      </c>
      <c r="G824" s="18" cm="1">
        <f t="array" ref="G824">_xlfn.IFS(
D824&lt;=monetaryQ1, 1,
D824&lt;=monetaryQ2, 2,
D824&lt;=monetaryQ3, 3,
TRUE, 4)</f>
        <v>3</v>
      </c>
      <c r="H824" s="18" t="str">
        <f t="shared" si="63"/>
        <v>423</v>
      </c>
      <c r="I824" s="19">
        <f t="shared" si="64"/>
        <v>3</v>
      </c>
      <c r="J824" s="7" t="str" cm="1">
        <f t="array" ref="J824">_xlfn.IFS(
I824&gt;=Best_Customers, Best_Customers_name,
I824&gt;=Loyal_Customers, Loyal_Customers_name,
I824&gt;=Average_Customers, Average_Customers_name,
TRUE, Lost_Customers_name)</f>
        <v>Loyal Customers</v>
      </c>
    </row>
    <row r="825" spans="1:10" x14ac:dyDescent="0.25">
      <c r="A825" s="25" t="str">
        <v>CUST_0826</v>
      </c>
      <c r="B825" s="16">
        <f t="shared" si="60"/>
        <v>45</v>
      </c>
      <c r="C825" s="16">
        <f t="shared" si="61"/>
        <v>5</v>
      </c>
      <c r="D825" s="17">
        <f t="shared" si="62"/>
        <v>466.36</v>
      </c>
      <c r="E825" s="18" cm="1">
        <f t="array" ref="E825">_xlfn.IFS(
B825&lt;=recencyQ1, 4,
B825&lt;=recencyQ2, 3,
B825&lt;=recencyQ3, 2,
TRUE, 1
)</f>
        <v>3</v>
      </c>
      <c r="F825" s="18" cm="1">
        <f t="array" ref="F825">_xlfn.IFS(
C825&lt;=frequencyQ1, 1,
C825&lt;=frequencyQ2, 2,
C825&lt;=frequencyQ3, 3,
TRUE, 4)</f>
        <v>2</v>
      </c>
      <c r="G825" s="18" cm="1">
        <f t="array" ref="G825">_xlfn.IFS(
D825&lt;=monetaryQ1, 1,
D825&lt;=monetaryQ2, 2,
D825&lt;=monetaryQ3, 3,
TRUE, 4)</f>
        <v>2</v>
      </c>
      <c r="H825" s="18" t="str">
        <f t="shared" si="63"/>
        <v>322</v>
      </c>
      <c r="I825" s="19">
        <f t="shared" si="64"/>
        <v>2.3333333333333335</v>
      </c>
      <c r="J825" s="7" t="str" cm="1">
        <f t="array" ref="J825">_xlfn.IFS(
I825&gt;=Best_Customers, Best_Customers_name,
I825&gt;=Loyal_Customers, Loyal_Customers_name,
I825&gt;=Average_Customers, Average_Customers_name,
TRUE, Lost_Customers_name)</f>
        <v>Average Customers</v>
      </c>
    </row>
    <row r="826" spans="1:10" x14ac:dyDescent="0.25">
      <c r="A826" s="25" t="str">
        <v>CUST_0827</v>
      </c>
      <c r="B826" s="16">
        <f t="shared" si="60"/>
        <v>58</v>
      </c>
      <c r="C826" s="16">
        <f t="shared" si="61"/>
        <v>10</v>
      </c>
      <c r="D826" s="17">
        <f t="shared" si="62"/>
        <v>944.99</v>
      </c>
      <c r="E826" s="18" cm="1">
        <f t="array" ref="E826">_xlfn.IFS(
B826&lt;=recencyQ1, 4,
B826&lt;=recencyQ2, 3,
B826&lt;=recencyQ3, 2,
TRUE, 1
)</f>
        <v>2</v>
      </c>
      <c r="F826" s="18" cm="1">
        <f t="array" ref="F826">_xlfn.IFS(
C826&lt;=frequencyQ1, 1,
C826&lt;=frequencyQ2, 2,
C826&lt;=frequencyQ3, 3,
TRUE, 4)</f>
        <v>4</v>
      </c>
      <c r="G826" s="18" cm="1">
        <f t="array" ref="G826">_xlfn.IFS(
D826&lt;=monetaryQ1, 1,
D826&lt;=monetaryQ2, 2,
D826&lt;=monetaryQ3, 3,
TRUE, 4)</f>
        <v>4</v>
      </c>
      <c r="H826" s="18" t="str">
        <f t="shared" si="63"/>
        <v>244</v>
      </c>
      <c r="I826" s="19">
        <f t="shared" si="64"/>
        <v>3.3333333333333335</v>
      </c>
      <c r="J826" s="7" t="str" cm="1">
        <f t="array" ref="J826">_xlfn.IFS(
I826&gt;=Best_Customers, Best_Customers_name,
I826&gt;=Loyal_Customers, Loyal_Customers_name,
I826&gt;=Average_Customers, Average_Customers_name,
TRUE, Lost_Customers_name)</f>
        <v>Loyal Customers</v>
      </c>
    </row>
    <row r="827" spans="1:10" x14ac:dyDescent="0.25">
      <c r="A827" s="25" t="str">
        <v>CUST_0828</v>
      </c>
      <c r="B827" s="16">
        <f t="shared" si="60"/>
        <v>20</v>
      </c>
      <c r="C827" s="16">
        <f t="shared" si="61"/>
        <v>5</v>
      </c>
      <c r="D827" s="17">
        <f t="shared" si="62"/>
        <v>649.3599999999999</v>
      </c>
      <c r="E827" s="18" cm="1">
        <f t="array" ref="E827">_xlfn.IFS(
B827&lt;=recencyQ1, 4,
B827&lt;=recencyQ2, 3,
B827&lt;=recencyQ3, 2,
TRUE, 1
)</f>
        <v>3</v>
      </c>
      <c r="F827" s="18" cm="1">
        <f t="array" ref="F827">_xlfn.IFS(
C827&lt;=frequencyQ1, 1,
C827&lt;=frequencyQ2, 2,
C827&lt;=frequencyQ3, 3,
TRUE, 4)</f>
        <v>2</v>
      </c>
      <c r="G827" s="18" cm="1">
        <f t="array" ref="G827">_xlfn.IFS(
D827&lt;=monetaryQ1, 1,
D827&lt;=monetaryQ2, 2,
D827&lt;=monetaryQ3, 3,
TRUE, 4)</f>
        <v>3</v>
      </c>
      <c r="H827" s="18" t="str">
        <f t="shared" si="63"/>
        <v>323</v>
      </c>
      <c r="I827" s="19">
        <f t="shared" si="64"/>
        <v>2.6666666666666665</v>
      </c>
      <c r="J827" s="7" t="str" cm="1">
        <f t="array" ref="J827">_xlfn.IFS(
I827&gt;=Best_Customers, Best_Customers_name,
I827&gt;=Loyal_Customers, Loyal_Customers_name,
I827&gt;=Average_Customers, Average_Customers_name,
TRUE, Lost_Customers_name)</f>
        <v>Loyal Customers</v>
      </c>
    </row>
    <row r="828" spans="1:10" x14ac:dyDescent="0.25">
      <c r="A828" s="25" t="str">
        <v>CUST_0829</v>
      </c>
      <c r="B828" s="16">
        <f t="shared" si="60"/>
        <v>149</v>
      </c>
      <c r="C828" s="16">
        <f t="shared" si="61"/>
        <v>3</v>
      </c>
      <c r="D828" s="17">
        <f t="shared" si="62"/>
        <v>329.66999999999996</v>
      </c>
      <c r="E828" s="18" cm="1">
        <f t="array" ref="E828">_xlfn.IFS(
B828&lt;=recencyQ1, 4,
B828&lt;=recencyQ2, 3,
B828&lt;=recencyQ3, 2,
TRUE, 1
)</f>
        <v>1</v>
      </c>
      <c r="F828" s="18" cm="1">
        <f t="array" ref="F828">_xlfn.IFS(
C828&lt;=frequencyQ1, 1,
C828&lt;=frequencyQ2, 2,
C828&lt;=frequencyQ3, 3,
TRUE, 4)</f>
        <v>1</v>
      </c>
      <c r="G828" s="18" cm="1">
        <f t="array" ref="G828">_xlfn.IFS(
D828&lt;=monetaryQ1, 1,
D828&lt;=monetaryQ2, 2,
D828&lt;=monetaryQ3, 3,
TRUE, 4)</f>
        <v>2</v>
      </c>
      <c r="H828" s="18" t="str">
        <f t="shared" si="63"/>
        <v>112</v>
      </c>
      <c r="I828" s="19">
        <f t="shared" si="64"/>
        <v>1.3333333333333333</v>
      </c>
      <c r="J828" s="7" t="str" cm="1">
        <f t="array" ref="J828">_xlfn.IFS(
I828&gt;=Best_Customers, Best_Customers_name,
I828&gt;=Loyal_Customers, Loyal_Customers_name,
I828&gt;=Average_Customers, Average_Customers_name,
TRUE, Lost_Customers_name)</f>
        <v>Lost Customers</v>
      </c>
    </row>
    <row r="829" spans="1:10" x14ac:dyDescent="0.25">
      <c r="A829" s="25" t="str">
        <v>CUST_0830</v>
      </c>
      <c r="B829" s="16">
        <f t="shared" si="60"/>
        <v>25</v>
      </c>
      <c r="C829" s="16">
        <f t="shared" si="61"/>
        <v>8</v>
      </c>
      <c r="D829" s="17">
        <f t="shared" si="62"/>
        <v>667.50000000000011</v>
      </c>
      <c r="E829" s="18" cm="1">
        <f t="array" ref="E829">_xlfn.IFS(
B829&lt;=recencyQ1, 4,
B829&lt;=recencyQ2, 3,
B829&lt;=recencyQ3, 2,
TRUE, 1
)</f>
        <v>3</v>
      </c>
      <c r="F829" s="18" cm="1">
        <f t="array" ref="F829">_xlfn.IFS(
C829&lt;=frequencyQ1, 1,
C829&lt;=frequencyQ2, 2,
C829&lt;=frequencyQ3, 3,
TRUE, 4)</f>
        <v>4</v>
      </c>
      <c r="G829" s="18" cm="1">
        <f t="array" ref="G829">_xlfn.IFS(
D829&lt;=monetaryQ1, 1,
D829&lt;=monetaryQ2, 2,
D829&lt;=monetaryQ3, 3,
TRUE, 4)</f>
        <v>4</v>
      </c>
      <c r="H829" s="18" t="str">
        <f t="shared" si="63"/>
        <v>344</v>
      </c>
      <c r="I829" s="19">
        <f t="shared" si="64"/>
        <v>3.6666666666666665</v>
      </c>
      <c r="J829" s="7" t="str" cm="1">
        <f t="array" ref="J829">_xlfn.IFS(
I829&gt;=Best_Customers, Best_Customers_name,
I829&gt;=Loyal_Customers, Loyal_Customers_name,
I829&gt;=Average_Customers, Average_Customers_name,
TRUE, Lost_Customers_name)</f>
        <v>Best Customers</v>
      </c>
    </row>
    <row r="830" spans="1:10" x14ac:dyDescent="0.25">
      <c r="A830" s="25" t="str">
        <v>CUST_0831</v>
      </c>
      <c r="B830" s="16">
        <f t="shared" si="60"/>
        <v>48</v>
      </c>
      <c r="C830" s="16">
        <f t="shared" si="61"/>
        <v>5</v>
      </c>
      <c r="D830" s="17">
        <f t="shared" si="62"/>
        <v>545.55000000000007</v>
      </c>
      <c r="E830" s="18" cm="1">
        <f t="array" ref="E830">_xlfn.IFS(
B830&lt;=recencyQ1, 4,
B830&lt;=recencyQ2, 3,
B830&lt;=recencyQ3, 2,
TRUE, 1
)</f>
        <v>3</v>
      </c>
      <c r="F830" s="18" cm="1">
        <f t="array" ref="F830">_xlfn.IFS(
C830&lt;=frequencyQ1, 1,
C830&lt;=frequencyQ2, 2,
C830&lt;=frequencyQ3, 3,
TRUE, 4)</f>
        <v>2</v>
      </c>
      <c r="G830" s="18" cm="1">
        <f t="array" ref="G830">_xlfn.IFS(
D830&lt;=monetaryQ1, 1,
D830&lt;=monetaryQ2, 2,
D830&lt;=monetaryQ3, 3,
TRUE, 4)</f>
        <v>3</v>
      </c>
      <c r="H830" s="18" t="str">
        <f t="shared" si="63"/>
        <v>323</v>
      </c>
      <c r="I830" s="19">
        <f t="shared" si="64"/>
        <v>2.6666666666666665</v>
      </c>
      <c r="J830" s="7" t="str" cm="1">
        <f t="array" ref="J830">_xlfn.IFS(
I830&gt;=Best_Customers, Best_Customers_name,
I830&gt;=Loyal_Customers, Loyal_Customers_name,
I830&gt;=Average_Customers, Average_Customers_name,
TRUE, Lost_Customers_name)</f>
        <v>Loyal Customers</v>
      </c>
    </row>
    <row r="831" spans="1:10" x14ac:dyDescent="0.25">
      <c r="A831" s="25" t="str">
        <v>CUST_0832</v>
      </c>
      <c r="B831" s="16">
        <f t="shared" si="60"/>
        <v>132</v>
      </c>
      <c r="C831" s="16">
        <f t="shared" si="61"/>
        <v>6</v>
      </c>
      <c r="D831" s="17">
        <f t="shared" si="62"/>
        <v>564.78000000000009</v>
      </c>
      <c r="E831" s="18" cm="1">
        <f t="array" ref="E831">_xlfn.IFS(
B831&lt;=recencyQ1, 4,
B831&lt;=recencyQ2, 3,
B831&lt;=recencyQ3, 2,
TRUE, 1
)</f>
        <v>1</v>
      </c>
      <c r="F831" s="18" cm="1">
        <f t="array" ref="F831">_xlfn.IFS(
C831&lt;=frequencyQ1, 1,
C831&lt;=frequencyQ2, 2,
C831&lt;=frequencyQ3, 3,
TRUE, 4)</f>
        <v>3</v>
      </c>
      <c r="G831" s="18" cm="1">
        <f t="array" ref="G831">_xlfn.IFS(
D831&lt;=monetaryQ1, 1,
D831&lt;=monetaryQ2, 2,
D831&lt;=monetaryQ3, 3,
TRUE, 4)</f>
        <v>3</v>
      </c>
      <c r="H831" s="18" t="str">
        <f t="shared" si="63"/>
        <v>133</v>
      </c>
      <c r="I831" s="19">
        <f t="shared" si="64"/>
        <v>2.3333333333333335</v>
      </c>
      <c r="J831" s="7" t="str" cm="1">
        <f t="array" ref="J831">_xlfn.IFS(
I831&gt;=Best_Customers, Best_Customers_name,
I831&gt;=Loyal_Customers, Loyal_Customers_name,
I831&gt;=Average_Customers, Average_Customers_name,
TRUE, Lost_Customers_name)</f>
        <v>Average Customers</v>
      </c>
    </row>
    <row r="832" spans="1:10" x14ac:dyDescent="0.25">
      <c r="A832" s="25" t="str">
        <v>CUST_0833</v>
      </c>
      <c r="B832" s="16">
        <f t="shared" si="60"/>
        <v>101</v>
      </c>
      <c r="C832" s="16">
        <f t="shared" si="61"/>
        <v>2</v>
      </c>
      <c r="D832" s="17">
        <f t="shared" si="62"/>
        <v>228.82</v>
      </c>
      <c r="E832" s="18" cm="1">
        <f t="array" ref="E832">_xlfn.IFS(
B832&lt;=recencyQ1, 4,
B832&lt;=recencyQ2, 3,
B832&lt;=recencyQ3, 2,
TRUE, 1
)</f>
        <v>1</v>
      </c>
      <c r="F832" s="18" cm="1">
        <f t="array" ref="F832">_xlfn.IFS(
C832&lt;=frequencyQ1, 1,
C832&lt;=frequencyQ2, 2,
C832&lt;=frequencyQ3, 3,
TRUE, 4)</f>
        <v>1</v>
      </c>
      <c r="G832" s="18" cm="1">
        <f t="array" ref="G832">_xlfn.IFS(
D832&lt;=monetaryQ1, 1,
D832&lt;=monetaryQ2, 2,
D832&lt;=monetaryQ3, 3,
TRUE, 4)</f>
        <v>1</v>
      </c>
      <c r="H832" s="18" t="str">
        <f t="shared" si="63"/>
        <v>111</v>
      </c>
      <c r="I832" s="19">
        <f t="shared" si="64"/>
        <v>1</v>
      </c>
      <c r="J832" s="7" t="str" cm="1">
        <f t="array" ref="J832">_xlfn.IFS(
I832&gt;=Best_Customers, Best_Customers_name,
I832&gt;=Loyal_Customers, Loyal_Customers_name,
I832&gt;=Average_Customers, Average_Customers_name,
TRUE, Lost_Customers_name)</f>
        <v>Lost Customers</v>
      </c>
    </row>
    <row r="833" spans="1:10" x14ac:dyDescent="0.25">
      <c r="A833" s="25" t="str">
        <v>CUST_0834</v>
      </c>
      <c r="B833" s="16">
        <f t="shared" si="60"/>
        <v>19</v>
      </c>
      <c r="C833" s="16">
        <f t="shared" si="61"/>
        <v>5</v>
      </c>
      <c r="D833" s="17">
        <f t="shared" si="62"/>
        <v>663.26</v>
      </c>
      <c r="E833" s="18" cm="1">
        <f t="array" ref="E833">_xlfn.IFS(
B833&lt;=recencyQ1, 4,
B833&lt;=recencyQ2, 3,
B833&lt;=recencyQ3, 2,
TRUE, 1
)</f>
        <v>3</v>
      </c>
      <c r="F833" s="18" cm="1">
        <f t="array" ref="F833">_xlfn.IFS(
C833&lt;=frequencyQ1, 1,
C833&lt;=frequencyQ2, 2,
C833&lt;=frequencyQ3, 3,
TRUE, 4)</f>
        <v>2</v>
      </c>
      <c r="G833" s="18" cm="1">
        <f t="array" ref="G833">_xlfn.IFS(
D833&lt;=monetaryQ1, 1,
D833&lt;=monetaryQ2, 2,
D833&lt;=monetaryQ3, 3,
TRUE, 4)</f>
        <v>4</v>
      </c>
      <c r="H833" s="18" t="str">
        <f t="shared" si="63"/>
        <v>324</v>
      </c>
      <c r="I833" s="19">
        <f t="shared" si="64"/>
        <v>3</v>
      </c>
      <c r="J833" s="7" t="str" cm="1">
        <f t="array" ref="J833">_xlfn.IFS(
I833&gt;=Best_Customers, Best_Customers_name,
I833&gt;=Loyal_Customers, Loyal_Customers_name,
I833&gt;=Average_Customers, Average_Customers_name,
TRUE, Lost_Customers_name)</f>
        <v>Loyal Customers</v>
      </c>
    </row>
    <row r="834" spans="1:10" x14ac:dyDescent="0.25">
      <c r="A834" s="25" t="str">
        <v>CUST_0835</v>
      </c>
      <c r="B834" s="16">
        <f t="shared" si="60"/>
        <v>2</v>
      </c>
      <c r="C834" s="16">
        <f t="shared" si="61"/>
        <v>4</v>
      </c>
      <c r="D834" s="17">
        <f t="shared" si="62"/>
        <v>389.97</v>
      </c>
      <c r="E834" s="18" cm="1">
        <f t="array" ref="E834">_xlfn.IFS(
B834&lt;=recencyQ1, 4,
B834&lt;=recencyQ2, 3,
B834&lt;=recencyQ3, 2,
TRUE, 1
)</f>
        <v>4</v>
      </c>
      <c r="F834" s="18" cm="1">
        <f t="array" ref="F834">_xlfn.IFS(
C834&lt;=frequencyQ1, 1,
C834&lt;=frequencyQ2, 2,
C834&lt;=frequencyQ3, 3,
TRUE, 4)</f>
        <v>2</v>
      </c>
      <c r="G834" s="18" cm="1">
        <f t="array" ref="G834">_xlfn.IFS(
D834&lt;=monetaryQ1, 1,
D834&lt;=monetaryQ2, 2,
D834&lt;=monetaryQ3, 3,
TRUE, 4)</f>
        <v>2</v>
      </c>
      <c r="H834" s="18" t="str">
        <f t="shared" si="63"/>
        <v>422</v>
      </c>
      <c r="I834" s="19">
        <f t="shared" si="64"/>
        <v>2.6666666666666665</v>
      </c>
      <c r="J834" s="7" t="str" cm="1">
        <f t="array" ref="J834">_xlfn.IFS(
I834&gt;=Best_Customers, Best_Customers_name,
I834&gt;=Loyal_Customers, Loyal_Customers_name,
I834&gt;=Average_Customers, Average_Customers_name,
TRUE, Lost_Customers_name)</f>
        <v>Loyal Customers</v>
      </c>
    </row>
    <row r="835" spans="1:10" x14ac:dyDescent="0.25">
      <c r="A835" s="25" t="str">
        <v>CUST_0836</v>
      </c>
      <c r="B835" s="16">
        <f t="shared" si="60"/>
        <v>8</v>
      </c>
      <c r="C835" s="16">
        <f t="shared" si="61"/>
        <v>9</v>
      </c>
      <c r="D835" s="17">
        <f t="shared" si="62"/>
        <v>772.41</v>
      </c>
      <c r="E835" s="18" cm="1">
        <f t="array" ref="E835">_xlfn.IFS(
B835&lt;=recencyQ1, 4,
B835&lt;=recencyQ2, 3,
B835&lt;=recencyQ3, 2,
TRUE, 1
)</f>
        <v>4</v>
      </c>
      <c r="F835" s="18" cm="1">
        <f t="array" ref="F835">_xlfn.IFS(
C835&lt;=frequencyQ1, 1,
C835&lt;=frequencyQ2, 2,
C835&lt;=frequencyQ3, 3,
TRUE, 4)</f>
        <v>4</v>
      </c>
      <c r="G835" s="18" cm="1">
        <f t="array" ref="G835">_xlfn.IFS(
D835&lt;=monetaryQ1, 1,
D835&lt;=monetaryQ2, 2,
D835&lt;=monetaryQ3, 3,
TRUE, 4)</f>
        <v>4</v>
      </c>
      <c r="H835" s="18" t="str">
        <f t="shared" si="63"/>
        <v>444</v>
      </c>
      <c r="I835" s="19">
        <f t="shared" si="64"/>
        <v>4</v>
      </c>
      <c r="J835" s="7" t="str" cm="1">
        <f t="array" ref="J835">_xlfn.IFS(
I835&gt;=Best_Customers, Best_Customers_name,
I835&gt;=Loyal_Customers, Loyal_Customers_name,
I835&gt;=Average_Customers, Average_Customers_name,
TRUE, Lost_Customers_name)</f>
        <v>Best Customers</v>
      </c>
    </row>
    <row r="836" spans="1:10" x14ac:dyDescent="0.25">
      <c r="A836" s="25" t="str">
        <v>CUST_0837</v>
      </c>
      <c r="B836" s="16">
        <f t="shared" si="60"/>
        <v>80</v>
      </c>
      <c r="C836" s="16">
        <f t="shared" si="61"/>
        <v>6</v>
      </c>
      <c r="D836" s="17">
        <f t="shared" si="62"/>
        <v>568.20000000000005</v>
      </c>
      <c r="E836" s="18" cm="1">
        <f t="array" ref="E836">_xlfn.IFS(
B836&lt;=recencyQ1, 4,
B836&lt;=recencyQ2, 3,
B836&lt;=recencyQ3, 2,
TRUE, 1
)</f>
        <v>2</v>
      </c>
      <c r="F836" s="18" cm="1">
        <f t="array" ref="F836">_xlfn.IFS(
C836&lt;=frequencyQ1, 1,
C836&lt;=frequencyQ2, 2,
C836&lt;=frequencyQ3, 3,
TRUE, 4)</f>
        <v>3</v>
      </c>
      <c r="G836" s="18" cm="1">
        <f t="array" ref="G836">_xlfn.IFS(
D836&lt;=monetaryQ1, 1,
D836&lt;=monetaryQ2, 2,
D836&lt;=monetaryQ3, 3,
TRUE, 4)</f>
        <v>3</v>
      </c>
      <c r="H836" s="18" t="str">
        <f t="shared" si="63"/>
        <v>233</v>
      </c>
      <c r="I836" s="19">
        <f t="shared" si="64"/>
        <v>2.6666666666666665</v>
      </c>
      <c r="J836" s="7" t="str" cm="1">
        <f t="array" ref="J836">_xlfn.IFS(
I836&gt;=Best_Customers, Best_Customers_name,
I836&gt;=Loyal_Customers, Loyal_Customers_name,
I836&gt;=Average_Customers, Average_Customers_name,
TRUE, Lost_Customers_name)</f>
        <v>Loyal Customers</v>
      </c>
    </row>
    <row r="837" spans="1:10" x14ac:dyDescent="0.25">
      <c r="A837" s="25" t="str">
        <v>CUST_0838</v>
      </c>
      <c r="B837" s="16">
        <f t="shared" si="60"/>
        <v>125</v>
      </c>
      <c r="C837" s="16">
        <f t="shared" si="61"/>
        <v>2</v>
      </c>
      <c r="D837" s="17">
        <f t="shared" si="62"/>
        <v>196.45999999999998</v>
      </c>
      <c r="E837" s="18" cm="1">
        <f t="array" ref="E837">_xlfn.IFS(
B837&lt;=recencyQ1, 4,
B837&lt;=recencyQ2, 3,
B837&lt;=recencyQ3, 2,
TRUE, 1
)</f>
        <v>1</v>
      </c>
      <c r="F837" s="18" cm="1">
        <f t="array" ref="F837">_xlfn.IFS(
C837&lt;=frequencyQ1, 1,
C837&lt;=frequencyQ2, 2,
C837&lt;=frequencyQ3, 3,
TRUE, 4)</f>
        <v>1</v>
      </c>
      <c r="G837" s="18" cm="1">
        <f t="array" ref="G837">_xlfn.IFS(
D837&lt;=monetaryQ1, 1,
D837&lt;=monetaryQ2, 2,
D837&lt;=monetaryQ3, 3,
TRUE, 4)</f>
        <v>1</v>
      </c>
      <c r="H837" s="18" t="str">
        <f t="shared" si="63"/>
        <v>111</v>
      </c>
      <c r="I837" s="19">
        <f t="shared" si="64"/>
        <v>1</v>
      </c>
      <c r="J837" s="7" t="str" cm="1">
        <f t="array" ref="J837">_xlfn.IFS(
I837&gt;=Best_Customers, Best_Customers_name,
I837&gt;=Loyal_Customers, Loyal_Customers_name,
I837&gt;=Average_Customers, Average_Customers_name,
TRUE, Lost_Customers_name)</f>
        <v>Lost Customers</v>
      </c>
    </row>
    <row r="838" spans="1:10" x14ac:dyDescent="0.25">
      <c r="A838" s="25" t="str">
        <v>CUST_0839</v>
      </c>
      <c r="B838" s="16">
        <f t="shared" si="60"/>
        <v>15</v>
      </c>
      <c r="C838" s="16">
        <f t="shared" si="61"/>
        <v>10</v>
      </c>
      <c r="D838" s="17">
        <f t="shared" si="62"/>
        <v>983.2399999999999</v>
      </c>
      <c r="E838" s="18" cm="1">
        <f t="array" ref="E838">_xlfn.IFS(
B838&lt;=recencyQ1, 4,
B838&lt;=recencyQ2, 3,
B838&lt;=recencyQ3, 2,
TRUE, 1
)</f>
        <v>4</v>
      </c>
      <c r="F838" s="18" cm="1">
        <f t="array" ref="F838">_xlfn.IFS(
C838&lt;=frequencyQ1, 1,
C838&lt;=frequencyQ2, 2,
C838&lt;=frequencyQ3, 3,
TRUE, 4)</f>
        <v>4</v>
      </c>
      <c r="G838" s="18" cm="1">
        <f t="array" ref="G838">_xlfn.IFS(
D838&lt;=monetaryQ1, 1,
D838&lt;=monetaryQ2, 2,
D838&lt;=monetaryQ3, 3,
TRUE, 4)</f>
        <v>4</v>
      </c>
      <c r="H838" s="18" t="str">
        <f t="shared" si="63"/>
        <v>444</v>
      </c>
      <c r="I838" s="19">
        <f t="shared" si="64"/>
        <v>4</v>
      </c>
      <c r="J838" s="7" t="str" cm="1">
        <f t="array" ref="J838">_xlfn.IFS(
I838&gt;=Best_Customers, Best_Customers_name,
I838&gt;=Loyal_Customers, Loyal_Customers_name,
I838&gt;=Average_Customers, Average_Customers_name,
TRUE, Lost_Customers_name)</f>
        <v>Best Customers</v>
      </c>
    </row>
    <row r="839" spans="1:10" x14ac:dyDescent="0.25">
      <c r="A839" s="25" t="str">
        <v>CUST_0840</v>
      </c>
      <c r="B839" s="16">
        <f t="shared" si="60"/>
        <v>171</v>
      </c>
      <c r="C839" s="16">
        <f t="shared" si="61"/>
        <v>2</v>
      </c>
      <c r="D839" s="17">
        <f t="shared" si="62"/>
        <v>195.89</v>
      </c>
      <c r="E839" s="18" cm="1">
        <f t="array" ref="E839">_xlfn.IFS(
B839&lt;=recencyQ1, 4,
B839&lt;=recencyQ2, 3,
B839&lt;=recencyQ3, 2,
TRUE, 1
)</f>
        <v>1</v>
      </c>
      <c r="F839" s="18" cm="1">
        <f t="array" ref="F839">_xlfn.IFS(
C839&lt;=frequencyQ1, 1,
C839&lt;=frequencyQ2, 2,
C839&lt;=frequencyQ3, 3,
TRUE, 4)</f>
        <v>1</v>
      </c>
      <c r="G839" s="18" cm="1">
        <f t="array" ref="G839">_xlfn.IFS(
D839&lt;=monetaryQ1, 1,
D839&lt;=monetaryQ2, 2,
D839&lt;=monetaryQ3, 3,
TRUE, 4)</f>
        <v>1</v>
      </c>
      <c r="H839" s="18" t="str">
        <f t="shared" si="63"/>
        <v>111</v>
      </c>
      <c r="I839" s="19">
        <f t="shared" si="64"/>
        <v>1</v>
      </c>
      <c r="J839" s="7" t="str" cm="1">
        <f t="array" ref="J839">_xlfn.IFS(
I839&gt;=Best_Customers, Best_Customers_name,
I839&gt;=Loyal_Customers, Loyal_Customers_name,
I839&gt;=Average_Customers, Average_Customers_name,
TRUE, Lost_Customers_name)</f>
        <v>Lost Customers</v>
      </c>
    </row>
    <row r="840" spans="1:10" x14ac:dyDescent="0.25">
      <c r="A840" s="25" t="str">
        <v>CUST_0841</v>
      </c>
      <c r="B840" s="16">
        <f t="shared" si="60"/>
        <v>12</v>
      </c>
      <c r="C840" s="16">
        <f t="shared" si="61"/>
        <v>6</v>
      </c>
      <c r="D840" s="17">
        <f t="shared" si="62"/>
        <v>520.98</v>
      </c>
      <c r="E840" s="18" cm="1">
        <f t="array" ref="E840">_xlfn.IFS(
B840&lt;=recencyQ1, 4,
B840&lt;=recencyQ2, 3,
B840&lt;=recencyQ3, 2,
TRUE, 1
)</f>
        <v>4</v>
      </c>
      <c r="F840" s="18" cm="1">
        <f t="array" ref="F840">_xlfn.IFS(
C840&lt;=frequencyQ1, 1,
C840&lt;=frequencyQ2, 2,
C840&lt;=frequencyQ3, 3,
TRUE, 4)</f>
        <v>3</v>
      </c>
      <c r="G840" s="18" cm="1">
        <f t="array" ref="G840">_xlfn.IFS(
D840&lt;=monetaryQ1, 1,
D840&lt;=monetaryQ2, 2,
D840&lt;=monetaryQ3, 3,
TRUE, 4)</f>
        <v>3</v>
      </c>
      <c r="H840" s="18" t="str">
        <f t="shared" si="63"/>
        <v>433</v>
      </c>
      <c r="I840" s="19">
        <f t="shared" si="64"/>
        <v>3.3333333333333335</v>
      </c>
      <c r="J840" s="7" t="str" cm="1">
        <f t="array" ref="J840">_xlfn.IFS(
I840&gt;=Best_Customers, Best_Customers_name,
I840&gt;=Loyal_Customers, Loyal_Customers_name,
I840&gt;=Average_Customers, Average_Customers_name,
TRUE, Lost_Customers_name)</f>
        <v>Loyal Customers</v>
      </c>
    </row>
    <row r="841" spans="1:10" x14ac:dyDescent="0.25">
      <c r="A841" s="25" t="str">
        <v>CUST_0842</v>
      </c>
      <c r="B841" s="16">
        <f t="shared" si="60"/>
        <v>57</v>
      </c>
      <c r="C841" s="16">
        <f t="shared" si="61"/>
        <v>4</v>
      </c>
      <c r="D841" s="17">
        <f t="shared" si="62"/>
        <v>483.68</v>
      </c>
      <c r="E841" s="18" cm="1">
        <f t="array" ref="E841">_xlfn.IFS(
B841&lt;=recencyQ1, 4,
B841&lt;=recencyQ2, 3,
B841&lt;=recencyQ3, 2,
TRUE, 1
)</f>
        <v>2</v>
      </c>
      <c r="F841" s="18" cm="1">
        <f t="array" ref="F841">_xlfn.IFS(
C841&lt;=frequencyQ1, 1,
C841&lt;=frequencyQ2, 2,
C841&lt;=frequencyQ3, 3,
TRUE, 4)</f>
        <v>2</v>
      </c>
      <c r="G841" s="18" cm="1">
        <f t="array" ref="G841">_xlfn.IFS(
D841&lt;=monetaryQ1, 1,
D841&lt;=monetaryQ2, 2,
D841&lt;=monetaryQ3, 3,
TRUE, 4)</f>
        <v>2</v>
      </c>
      <c r="H841" s="18" t="str">
        <f t="shared" si="63"/>
        <v>222</v>
      </c>
      <c r="I841" s="19">
        <f t="shared" si="64"/>
        <v>2</v>
      </c>
      <c r="J841" s="7" t="str" cm="1">
        <f t="array" ref="J841">_xlfn.IFS(
I841&gt;=Best_Customers, Best_Customers_name,
I841&gt;=Loyal_Customers, Loyal_Customers_name,
I841&gt;=Average_Customers, Average_Customers_name,
TRUE, Lost_Customers_name)</f>
        <v>Average Customers</v>
      </c>
    </row>
    <row r="842" spans="1:10" x14ac:dyDescent="0.25">
      <c r="A842" s="25" t="str">
        <v>CUST_0843</v>
      </c>
      <c r="B842" s="16">
        <f t="shared" ref="B842:B905" si="65">analysis_date-_xlfn.MAXIFS(transaction_date,customer_id,A842,included,1)</f>
        <v>167</v>
      </c>
      <c r="C842" s="16">
        <f t="shared" ref="C842:C905" si="66">COUNTIFS(customer_id,A842,included,1)</f>
        <v>2</v>
      </c>
      <c r="D842" s="17">
        <f t="shared" ref="D842:D905" si="67">SUMIFS(transaction_amount,customer_id,A842,included,1)</f>
        <v>160.36000000000001</v>
      </c>
      <c r="E842" s="18" cm="1">
        <f t="array" ref="E842">_xlfn.IFS(
B842&lt;=recencyQ1, 4,
B842&lt;=recencyQ2, 3,
B842&lt;=recencyQ3, 2,
TRUE, 1
)</f>
        <v>1</v>
      </c>
      <c r="F842" s="18" cm="1">
        <f t="array" ref="F842">_xlfn.IFS(
C842&lt;=frequencyQ1, 1,
C842&lt;=frequencyQ2, 2,
C842&lt;=frequencyQ3, 3,
TRUE, 4)</f>
        <v>1</v>
      </c>
      <c r="G842" s="18" cm="1">
        <f t="array" ref="G842">_xlfn.IFS(
D842&lt;=monetaryQ1, 1,
D842&lt;=monetaryQ2, 2,
D842&lt;=monetaryQ3, 3,
TRUE, 4)</f>
        <v>1</v>
      </c>
      <c r="H842" s="18" t="str">
        <f t="shared" ref="H842:H905" si="68">E842&amp;F842&amp;G842</f>
        <v>111</v>
      </c>
      <c r="I842" s="19">
        <f t="shared" ref="I842:I905" si="69">AVERAGE(E842:G842)</f>
        <v>1</v>
      </c>
      <c r="J842" s="7" t="str" cm="1">
        <f t="array" ref="J842">_xlfn.IFS(
I842&gt;=Best_Customers, Best_Customers_name,
I842&gt;=Loyal_Customers, Loyal_Customers_name,
I842&gt;=Average_Customers, Average_Customers_name,
TRUE, Lost_Customers_name)</f>
        <v>Lost Customers</v>
      </c>
    </row>
    <row r="843" spans="1:10" x14ac:dyDescent="0.25">
      <c r="A843" s="25" t="str">
        <v>CUST_0844</v>
      </c>
      <c r="B843" s="16">
        <f t="shared" si="65"/>
        <v>11</v>
      </c>
      <c r="C843" s="16">
        <f t="shared" si="66"/>
        <v>4</v>
      </c>
      <c r="D843" s="17">
        <f t="shared" si="67"/>
        <v>327.76</v>
      </c>
      <c r="E843" s="18" cm="1">
        <f t="array" ref="E843">_xlfn.IFS(
B843&lt;=recencyQ1, 4,
B843&lt;=recencyQ2, 3,
B843&lt;=recencyQ3, 2,
TRUE, 1
)</f>
        <v>4</v>
      </c>
      <c r="F843" s="18" cm="1">
        <f t="array" ref="F843">_xlfn.IFS(
C843&lt;=frequencyQ1, 1,
C843&lt;=frequencyQ2, 2,
C843&lt;=frequencyQ3, 3,
TRUE, 4)</f>
        <v>2</v>
      </c>
      <c r="G843" s="18" cm="1">
        <f t="array" ref="G843">_xlfn.IFS(
D843&lt;=monetaryQ1, 1,
D843&lt;=monetaryQ2, 2,
D843&lt;=monetaryQ3, 3,
TRUE, 4)</f>
        <v>2</v>
      </c>
      <c r="H843" s="18" t="str">
        <f t="shared" si="68"/>
        <v>422</v>
      </c>
      <c r="I843" s="19">
        <f t="shared" si="69"/>
        <v>2.6666666666666665</v>
      </c>
      <c r="J843" s="7" t="str" cm="1">
        <f t="array" ref="J843">_xlfn.IFS(
I843&gt;=Best_Customers, Best_Customers_name,
I843&gt;=Loyal_Customers, Loyal_Customers_name,
I843&gt;=Average_Customers, Average_Customers_name,
TRUE, Lost_Customers_name)</f>
        <v>Loyal Customers</v>
      </c>
    </row>
    <row r="844" spans="1:10" x14ac:dyDescent="0.25">
      <c r="A844" s="25" t="str">
        <v>CUST_0845</v>
      </c>
      <c r="B844" s="16">
        <f t="shared" si="65"/>
        <v>176</v>
      </c>
      <c r="C844" s="16">
        <f t="shared" si="66"/>
        <v>3</v>
      </c>
      <c r="D844" s="17">
        <f t="shared" si="67"/>
        <v>316.92</v>
      </c>
      <c r="E844" s="18" cm="1">
        <f t="array" ref="E844">_xlfn.IFS(
B844&lt;=recencyQ1, 4,
B844&lt;=recencyQ2, 3,
B844&lt;=recencyQ3, 2,
TRUE, 1
)</f>
        <v>1</v>
      </c>
      <c r="F844" s="18" cm="1">
        <f t="array" ref="F844">_xlfn.IFS(
C844&lt;=frequencyQ1, 1,
C844&lt;=frequencyQ2, 2,
C844&lt;=frequencyQ3, 3,
TRUE, 4)</f>
        <v>1</v>
      </c>
      <c r="G844" s="18" cm="1">
        <f t="array" ref="G844">_xlfn.IFS(
D844&lt;=monetaryQ1, 1,
D844&lt;=monetaryQ2, 2,
D844&lt;=monetaryQ3, 3,
TRUE, 4)</f>
        <v>1</v>
      </c>
      <c r="H844" s="18" t="str">
        <f t="shared" si="68"/>
        <v>111</v>
      </c>
      <c r="I844" s="19">
        <f t="shared" si="69"/>
        <v>1</v>
      </c>
      <c r="J844" s="7" t="str" cm="1">
        <f t="array" ref="J844">_xlfn.IFS(
I844&gt;=Best_Customers, Best_Customers_name,
I844&gt;=Loyal_Customers, Loyal_Customers_name,
I844&gt;=Average_Customers, Average_Customers_name,
TRUE, Lost_Customers_name)</f>
        <v>Lost Customers</v>
      </c>
    </row>
    <row r="845" spans="1:10" x14ac:dyDescent="0.25">
      <c r="A845" s="25" t="str">
        <v>CUST_0846</v>
      </c>
      <c r="B845" s="16">
        <f t="shared" si="65"/>
        <v>178</v>
      </c>
      <c r="C845" s="16">
        <f t="shared" si="66"/>
        <v>3</v>
      </c>
      <c r="D845" s="17">
        <f t="shared" si="67"/>
        <v>358.14</v>
      </c>
      <c r="E845" s="18" cm="1">
        <f t="array" ref="E845">_xlfn.IFS(
B845&lt;=recencyQ1, 4,
B845&lt;=recencyQ2, 3,
B845&lt;=recencyQ3, 2,
TRUE, 1
)</f>
        <v>1</v>
      </c>
      <c r="F845" s="18" cm="1">
        <f t="array" ref="F845">_xlfn.IFS(
C845&lt;=frequencyQ1, 1,
C845&lt;=frequencyQ2, 2,
C845&lt;=frequencyQ3, 3,
TRUE, 4)</f>
        <v>1</v>
      </c>
      <c r="G845" s="18" cm="1">
        <f t="array" ref="G845">_xlfn.IFS(
D845&lt;=monetaryQ1, 1,
D845&lt;=monetaryQ2, 2,
D845&lt;=monetaryQ3, 3,
TRUE, 4)</f>
        <v>2</v>
      </c>
      <c r="H845" s="18" t="str">
        <f t="shared" si="68"/>
        <v>112</v>
      </c>
      <c r="I845" s="19">
        <f t="shared" si="69"/>
        <v>1.3333333333333333</v>
      </c>
      <c r="J845" s="7" t="str" cm="1">
        <f t="array" ref="J845">_xlfn.IFS(
I845&gt;=Best_Customers, Best_Customers_name,
I845&gt;=Loyal_Customers, Loyal_Customers_name,
I845&gt;=Average_Customers, Average_Customers_name,
TRUE, Lost_Customers_name)</f>
        <v>Lost Customers</v>
      </c>
    </row>
    <row r="846" spans="1:10" x14ac:dyDescent="0.25">
      <c r="A846" s="25" t="str">
        <v>CUST_0847</v>
      </c>
      <c r="B846" s="16">
        <f t="shared" si="65"/>
        <v>172</v>
      </c>
      <c r="C846" s="16">
        <f t="shared" si="66"/>
        <v>4</v>
      </c>
      <c r="D846" s="17">
        <f t="shared" si="67"/>
        <v>511.23</v>
      </c>
      <c r="E846" s="18" cm="1">
        <f t="array" ref="E846">_xlfn.IFS(
B846&lt;=recencyQ1, 4,
B846&lt;=recencyQ2, 3,
B846&lt;=recencyQ3, 2,
TRUE, 1
)</f>
        <v>1</v>
      </c>
      <c r="F846" s="18" cm="1">
        <f t="array" ref="F846">_xlfn.IFS(
C846&lt;=frequencyQ1, 1,
C846&lt;=frequencyQ2, 2,
C846&lt;=frequencyQ3, 3,
TRUE, 4)</f>
        <v>2</v>
      </c>
      <c r="G846" s="18" cm="1">
        <f t="array" ref="G846">_xlfn.IFS(
D846&lt;=monetaryQ1, 1,
D846&lt;=monetaryQ2, 2,
D846&lt;=monetaryQ3, 3,
TRUE, 4)</f>
        <v>3</v>
      </c>
      <c r="H846" s="18" t="str">
        <f t="shared" si="68"/>
        <v>123</v>
      </c>
      <c r="I846" s="19">
        <f t="shared" si="69"/>
        <v>2</v>
      </c>
      <c r="J846" s="7" t="str" cm="1">
        <f t="array" ref="J846">_xlfn.IFS(
I846&gt;=Best_Customers, Best_Customers_name,
I846&gt;=Loyal_Customers, Loyal_Customers_name,
I846&gt;=Average_Customers, Average_Customers_name,
TRUE, Lost_Customers_name)</f>
        <v>Average Customers</v>
      </c>
    </row>
    <row r="847" spans="1:10" x14ac:dyDescent="0.25">
      <c r="A847" s="25" t="str">
        <v>CUST_0848</v>
      </c>
      <c r="B847" s="16">
        <f t="shared" si="65"/>
        <v>9</v>
      </c>
      <c r="C847" s="16">
        <f t="shared" si="66"/>
        <v>6</v>
      </c>
      <c r="D847" s="17">
        <f t="shared" si="67"/>
        <v>728.11</v>
      </c>
      <c r="E847" s="18" cm="1">
        <f t="array" ref="E847">_xlfn.IFS(
B847&lt;=recencyQ1, 4,
B847&lt;=recencyQ2, 3,
B847&lt;=recencyQ3, 2,
TRUE, 1
)</f>
        <v>4</v>
      </c>
      <c r="F847" s="18" cm="1">
        <f t="array" ref="F847">_xlfn.IFS(
C847&lt;=frequencyQ1, 1,
C847&lt;=frequencyQ2, 2,
C847&lt;=frequencyQ3, 3,
TRUE, 4)</f>
        <v>3</v>
      </c>
      <c r="G847" s="18" cm="1">
        <f t="array" ref="G847">_xlfn.IFS(
D847&lt;=monetaryQ1, 1,
D847&lt;=monetaryQ2, 2,
D847&lt;=monetaryQ3, 3,
TRUE, 4)</f>
        <v>4</v>
      </c>
      <c r="H847" s="18" t="str">
        <f t="shared" si="68"/>
        <v>434</v>
      </c>
      <c r="I847" s="19">
        <f t="shared" si="69"/>
        <v>3.6666666666666665</v>
      </c>
      <c r="J847" s="7" t="str" cm="1">
        <f t="array" ref="J847">_xlfn.IFS(
I847&gt;=Best_Customers, Best_Customers_name,
I847&gt;=Loyal_Customers, Loyal_Customers_name,
I847&gt;=Average_Customers, Average_Customers_name,
TRUE, Lost_Customers_name)</f>
        <v>Best Customers</v>
      </c>
    </row>
    <row r="848" spans="1:10" x14ac:dyDescent="0.25">
      <c r="A848" s="25" t="str">
        <v>CUST_0849</v>
      </c>
      <c r="B848" s="16">
        <f t="shared" si="65"/>
        <v>28</v>
      </c>
      <c r="C848" s="16">
        <f t="shared" si="66"/>
        <v>5</v>
      </c>
      <c r="D848" s="17">
        <f t="shared" si="67"/>
        <v>558.29</v>
      </c>
      <c r="E848" s="18" cm="1">
        <f t="array" ref="E848">_xlfn.IFS(
B848&lt;=recencyQ1, 4,
B848&lt;=recencyQ2, 3,
B848&lt;=recencyQ3, 2,
TRUE, 1
)</f>
        <v>3</v>
      </c>
      <c r="F848" s="18" cm="1">
        <f t="array" ref="F848">_xlfn.IFS(
C848&lt;=frequencyQ1, 1,
C848&lt;=frequencyQ2, 2,
C848&lt;=frequencyQ3, 3,
TRUE, 4)</f>
        <v>2</v>
      </c>
      <c r="G848" s="18" cm="1">
        <f t="array" ref="G848">_xlfn.IFS(
D848&lt;=monetaryQ1, 1,
D848&lt;=monetaryQ2, 2,
D848&lt;=monetaryQ3, 3,
TRUE, 4)</f>
        <v>3</v>
      </c>
      <c r="H848" s="18" t="str">
        <f t="shared" si="68"/>
        <v>323</v>
      </c>
      <c r="I848" s="19">
        <f t="shared" si="69"/>
        <v>2.6666666666666665</v>
      </c>
      <c r="J848" s="7" t="str" cm="1">
        <f t="array" ref="J848">_xlfn.IFS(
I848&gt;=Best_Customers, Best_Customers_name,
I848&gt;=Loyal_Customers, Loyal_Customers_name,
I848&gt;=Average_Customers, Average_Customers_name,
TRUE, Lost_Customers_name)</f>
        <v>Loyal Customers</v>
      </c>
    </row>
    <row r="849" spans="1:10" x14ac:dyDescent="0.25">
      <c r="A849" s="25" t="str">
        <v>CUST_0850</v>
      </c>
      <c r="B849" s="16">
        <f t="shared" si="65"/>
        <v>35</v>
      </c>
      <c r="C849" s="16">
        <f t="shared" si="66"/>
        <v>3</v>
      </c>
      <c r="D849" s="17">
        <f t="shared" si="67"/>
        <v>247.13</v>
      </c>
      <c r="E849" s="18" cm="1">
        <f t="array" ref="E849">_xlfn.IFS(
B849&lt;=recencyQ1, 4,
B849&lt;=recencyQ2, 3,
B849&lt;=recencyQ3, 2,
TRUE, 1
)</f>
        <v>3</v>
      </c>
      <c r="F849" s="18" cm="1">
        <f t="array" ref="F849">_xlfn.IFS(
C849&lt;=frequencyQ1, 1,
C849&lt;=frequencyQ2, 2,
C849&lt;=frequencyQ3, 3,
TRUE, 4)</f>
        <v>1</v>
      </c>
      <c r="G849" s="18" cm="1">
        <f t="array" ref="G849">_xlfn.IFS(
D849&lt;=monetaryQ1, 1,
D849&lt;=monetaryQ2, 2,
D849&lt;=monetaryQ3, 3,
TRUE, 4)</f>
        <v>1</v>
      </c>
      <c r="H849" s="18" t="str">
        <f t="shared" si="68"/>
        <v>311</v>
      </c>
      <c r="I849" s="19">
        <f t="shared" si="69"/>
        <v>1.6666666666666667</v>
      </c>
      <c r="J849" s="7" t="str" cm="1">
        <f t="array" ref="J849">_xlfn.IFS(
I849&gt;=Best_Customers, Best_Customers_name,
I849&gt;=Loyal_Customers, Loyal_Customers_name,
I849&gt;=Average_Customers, Average_Customers_name,
TRUE, Lost_Customers_name)</f>
        <v>Average Customers</v>
      </c>
    </row>
    <row r="850" spans="1:10" x14ac:dyDescent="0.25">
      <c r="A850" s="25" t="str">
        <v>CUST_0851</v>
      </c>
      <c r="B850" s="16">
        <f t="shared" si="65"/>
        <v>128</v>
      </c>
      <c r="C850" s="16">
        <f t="shared" si="66"/>
        <v>7</v>
      </c>
      <c r="D850" s="17">
        <f t="shared" si="67"/>
        <v>698.12</v>
      </c>
      <c r="E850" s="18" cm="1">
        <f t="array" ref="E850">_xlfn.IFS(
B850&lt;=recencyQ1, 4,
B850&lt;=recencyQ2, 3,
B850&lt;=recencyQ3, 2,
TRUE, 1
)</f>
        <v>1</v>
      </c>
      <c r="F850" s="18" cm="1">
        <f t="array" ref="F850">_xlfn.IFS(
C850&lt;=frequencyQ1, 1,
C850&lt;=frequencyQ2, 2,
C850&lt;=frequencyQ3, 3,
TRUE, 4)</f>
        <v>4</v>
      </c>
      <c r="G850" s="18" cm="1">
        <f t="array" ref="G850">_xlfn.IFS(
D850&lt;=monetaryQ1, 1,
D850&lt;=monetaryQ2, 2,
D850&lt;=monetaryQ3, 3,
TRUE, 4)</f>
        <v>4</v>
      </c>
      <c r="H850" s="18" t="str">
        <f t="shared" si="68"/>
        <v>144</v>
      </c>
      <c r="I850" s="19">
        <f t="shared" si="69"/>
        <v>3</v>
      </c>
      <c r="J850" s="7" t="str" cm="1">
        <f t="array" ref="J850">_xlfn.IFS(
I850&gt;=Best_Customers, Best_Customers_name,
I850&gt;=Loyal_Customers, Loyal_Customers_name,
I850&gt;=Average_Customers, Average_Customers_name,
TRUE, Lost_Customers_name)</f>
        <v>Loyal Customers</v>
      </c>
    </row>
    <row r="851" spans="1:10" x14ac:dyDescent="0.25">
      <c r="A851" s="25" t="str">
        <v>CUST_0852</v>
      </c>
      <c r="B851" s="16">
        <f t="shared" si="65"/>
        <v>71</v>
      </c>
      <c r="C851" s="16">
        <f t="shared" si="66"/>
        <v>6</v>
      </c>
      <c r="D851" s="17">
        <f t="shared" si="67"/>
        <v>704.36</v>
      </c>
      <c r="E851" s="18" cm="1">
        <f t="array" ref="E851">_xlfn.IFS(
B851&lt;=recencyQ1, 4,
B851&lt;=recencyQ2, 3,
B851&lt;=recencyQ3, 2,
TRUE, 1
)</f>
        <v>2</v>
      </c>
      <c r="F851" s="18" cm="1">
        <f t="array" ref="F851">_xlfn.IFS(
C851&lt;=frequencyQ1, 1,
C851&lt;=frequencyQ2, 2,
C851&lt;=frequencyQ3, 3,
TRUE, 4)</f>
        <v>3</v>
      </c>
      <c r="G851" s="18" cm="1">
        <f t="array" ref="G851">_xlfn.IFS(
D851&lt;=monetaryQ1, 1,
D851&lt;=monetaryQ2, 2,
D851&lt;=monetaryQ3, 3,
TRUE, 4)</f>
        <v>4</v>
      </c>
      <c r="H851" s="18" t="str">
        <f t="shared" si="68"/>
        <v>234</v>
      </c>
      <c r="I851" s="19">
        <f t="shared" si="69"/>
        <v>3</v>
      </c>
      <c r="J851" s="7" t="str" cm="1">
        <f t="array" ref="J851">_xlfn.IFS(
I851&gt;=Best_Customers, Best_Customers_name,
I851&gt;=Loyal_Customers, Loyal_Customers_name,
I851&gt;=Average_Customers, Average_Customers_name,
TRUE, Lost_Customers_name)</f>
        <v>Loyal Customers</v>
      </c>
    </row>
    <row r="852" spans="1:10" x14ac:dyDescent="0.25">
      <c r="A852" s="25" t="str">
        <v>CUST_0853</v>
      </c>
      <c r="B852" s="16">
        <f t="shared" si="65"/>
        <v>5</v>
      </c>
      <c r="C852" s="16">
        <f t="shared" si="66"/>
        <v>6</v>
      </c>
      <c r="D852" s="17">
        <f t="shared" si="67"/>
        <v>633.57000000000005</v>
      </c>
      <c r="E852" s="18" cm="1">
        <f t="array" ref="E852">_xlfn.IFS(
B852&lt;=recencyQ1, 4,
B852&lt;=recencyQ2, 3,
B852&lt;=recencyQ3, 2,
TRUE, 1
)</f>
        <v>4</v>
      </c>
      <c r="F852" s="18" cm="1">
        <f t="array" ref="F852">_xlfn.IFS(
C852&lt;=frequencyQ1, 1,
C852&lt;=frequencyQ2, 2,
C852&lt;=frequencyQ3, 3,
TRUE, 4)</f>
        <v>3</v>
      </c>
      <c r="G852" s="18" cm="1">
        <f t="array" ref="G852">_xlfn.IFS(
D852&lt;=monetaryQ1, 1,
D852&lt;=monetaryQ2, 2,
D852&lt;=monetaryQ3, 3,
TRUE, 4)</f>
        <v>3</v>
      </c>
      <c r="H852" s="18" t="str">
        <f t="shared" si="68"/>
        <v>433</v>
      </c>
      <c r="I852" s="19">
        <f t="shared" si="69"/>
        <v>3.3333333333333335</v>
      </c>
      <c r="J852" s="7" t="str" cm="1">
        <f t="array" ref="J852">_xlfn.IFS(
I852&gt;=Best_Customers, Best_Customers_name,
I852&gt;=Loyal_Customers, Loyal_Customers_name,
I852&gt;=Average_Customers, Average_Customers_name,
TRUE, Lost_Customers_name)</f>
        <v>Loyal Customers</v>
      </c>
    </row>
    <row r="853" spans="1:10" x14ac:dyDescent="0.25">
      <c r="A853" s="25" t="str">
        <v>CUST_0854</v>
      </c>
      <c r="B853" s="16">
        <f t="shared" si="65"/>
        <v>3</v>
      </c>
      <c r="C853" s="16">
        <f t="shared" si="66"/>
        <v>3</v>
      </c>
      <c r="D853" s="17">
        <f t="shared" si="67"/>
        <v>265.77</v>
      </c>
      <c r="E853" s="18" cm="1">
        <f t="array" ref="E853">_xlfn.IFS(
B853&lt;=recencyQ1, 4,
B853&lt;=recencyQ2, 3,
B853&lt;=recencyQ3, 2,
TRUE, 1
)</f>
        <v>4</v>
      </c>
      <c r="F853" s="18" cm="1">
        <f t="array" ref="F853">_xlfn.IFS(
C853&lt;=frequencyQ1, 1,
C853&lt;=frequencyQ2, 2,
C853&lt;=frequencyQ3, 3,
TRUE, 4)</f>
        <v>1</v>
      </c>
      <c r="G853" s="18" cm="1">
        <f t="array" ref="G853">_xlfn.IFS(
D853&lt;=monetaryQ1, 1,
D853&lt;=monetaryQ2, 2,
D853&lt;=monetaryQ3, 3,
TRUE, 4)</f>
        <v>1</v>
      </c>
      <c r="H853" s="18" t="str">
        <f t="shared" si="68"/>
        <v>411</v>
      </c>
      <c r="I853" s="19">
        <f t="shared" si="69"/>
        <v>2</v>
      </c>
      <c r="J853" s="7" t="str" cm="1">
        <f t="array" ref="J853">_xlfn.IFS(
I853&gt;=Best_Customers, Best_Customers_name,
I853&gt;=Loyal_Customers, Loyal_Customers_name,
I853&gt;=Average_Customers, Average_Customers_name,
TRUE, Lost_Customers_name)</f>
        <v>Average Customers</v>
      </c>
    </row>
    <row r="854" spans="1:10" x14ac:dyDescent="0.25">
      <c r="A854" s="25" t="str">
        <v>CUST_0855</v>
      </c>
      <c r="B854" s="16">
        <f t="shared" si="65"/>
        <v>51</v>
      </c>
      <c r="C854" s="16">
        <f t="shared" si="66"/>
        <v>5</v>
      </c>
      <c r="D854" s="17">
        <f t="shared" si="67"/>
        <v>451.87999999999994</v>
      </c>
      <c r="E854" s="18" cm="1">
        <f t="array" ref="E854">_xlfn.IFS(
B854&lt;=recencyQ1, 4,
B854&lt;=recencyQ2, 3,
B854&lt;=recencyQ3, 2,
TRUE, 1
)</f>
        <v>2</v>
      </c>
      <c r="F854" s="18" cm="1">
        <f t="array" ref="F854">_xlfn.IFS(
C854&lt;=frequencyQ1, 1,
C854&lt;=frequencyQ2, 2,
C854&lt;=frequencyQ3, 3,
TRUE, 4)</f>
        <v>2</v>
      </c>
      <c r="G854" s="18" cm="1">
        <f t="array" ref="G854">_xlfn.IFS(
D854&lt;=monetaryQ1, 1,
D854&lt;=monetaryQ2, 2,
D854&lt;=monetaryQ3, 3,
TRUE, 4)</f>
        <v>2</v>
      </c>
      <c r="H854" s="18" t="str">
        <f t="shared" si="68"/>
        <v>222</v>
      </c>
      <c r="I854" s="19">
        <f t="shared" si="69"/>
        <v>2</v>
      </c>
      <c r="J854" s="7" t="str" cm="1">
        <f t="array" ref="J854">_xlfn.IFS(
I854&gt;=Best_Customers, Best_Customers_name,
I854&gt;=Loyal_Customers, Loyal_Customers_name,
I854&gt;=Average_Customers, Average_Customers_name,
TRUE, Lost_Customers_name)</f>
        <v>Average Customers</v>
      </c>
    </row>
    <row r="855" spans="1:10" x14ac:dyDescent="0.25">
      <c r="A855" s="25" t="str">
        <v>CUST_0856</v>
      </c>
      <c r="B855" s="16">
        <f t="shared" si="65"/>
        <v>20</v>
      </c>
      <c r="C855" s="16">
        <f t="shared" si="66"/>
        <v>5</v>
      </c>
      <c r="D855" s="17">
        <f t="shared" si="67"/>
        <v>531.45000000000005</v>
      </c>
      <c r="E855" s="18" cm="1">
        <f t="array" ref="E855">_xlfn.IFS(
B855&lt;=recencyQ1, 4,
B855&lt;=recencyQ2, 3,
B855&lt;=recencyQ3, 2,
TRUE, 1
)</f>
        <v>3</v>
      </c>
      <c r="F855" s="18" cm="1">
        <f t="array" ref="F855">_xlfn.IFS(
C855&lt;=frequencyQ1, 1,
C855&lt;=frequencyQ2, 2,
C855&lt;=frequencyQ3, 3,
TRUE, 4)</f>
        <v>2</v>
      </c>
      <c r="G855" s="18" cm="1">
        <f t="array" ref="G855">_xlfn.IFS(
D855&lt;=monetaryQ1, 1,
D855&lt;=monetaryQ2, 2,
D855&lt;=monetaryQ3, 3,
TRUE, 4)</f>
        <v>3</v>
      </c>
      <c r="H855" s="18" t="str">
        <f t="shared" si="68"/>
        <v>323</v>
      </c>
      <c r="I855" s="19">
        <f t="shared" si="69"/>
        <v>2.6666666666666665</v>
      </c>
      <c r="J855" s="7" t="str" cm="1">
        <f t="array" ref="J855">_xlfn.IFS(
I855&gt;=Best_Customers, Best_Customers_name,
I855&gt;=Loyal_Customers, Loyal_Customers_name,
I855&gt;=Average_Customers, Average_Customers_name,
TRUE, Lost_Customers_name)</f>
        <v>Loyal Customers</v>
      </c>
    </row>
    <row r="856" spans="1:10" x14ac:dyDescent="0.25">
      <c r="A856" s="25" t="str">
        <v>CUST_0857</v>
      </c>
      <c r="B856" s="16">
        <f t="shared" si="65"/>
        <v>118</v>
      </c>
      <c r="C856" s="16">
        <f t="shared" si="66"/>
        <v>2</v>
      </c>
      <c r="D856" s="17">
        <f t="shared" si="67"/>
        <v>214.43</v>
      </c>
      <c r="E856" s="18" cm="1">
        <f t="array" ref="E856">_xlfn.IFS(
B856&lt;=recencyQ1, 4,
B856&lt;=recencyQ2, 3,
B856&lt;=recencyQ3, 2,
TRUE, 1
)</f>
        <v>1</v>
      </c>
      <c r="F856" s="18" cm="1">
        <f t="array" ref="F856">_xlfn.IFS(
C856&lt;=frequencyQ1, 1,
C856&lt;=frequencyQ2, 2,
C856&lt;=frequencyQ3, 3,
TRUE, 4)</f>
        <v>1</v>
      </c>
      <c r="G856" s="18" cm="1">
        <f t="array" ref="G856">_xlfn.IFS(
D856&lt;=monetaryQ1, 1,
D856&lt;=monetaryQ2, 2,
D856&lt;=monetaryQ3, 3,
TRUE, 4)</f>
        <v>1</v>
      </c>
      <c r="H856" s="18" t="str">
        <f t="shared" si="68"/>
        <v>111</v>
      </c>
      <c r="I856" s="19">
        <f t="shared" si="69"/>
        <v>1</v>
      </c>
      <c r="J856" s="7" t="str" cm="1">
        <f t="array" ref="J856">_xlfn.IFS(
I856&gt;=Best_Customers, Best_Customers_name,
I856&gt;=Loyal_Customers, Loyal_Customers_name,
I856&gt;=Average_Customers, Average_Customers_name,
TRUE, Lost_Customers_name)</f>
        <v>Lost Customers</v>
      </c>
    </row>
    <row r="857" spans="1:10" x14ac:dyDescent="0.25">
      <c r="A857" s="25" t="str">
        <v>CUST_0858</v>
      </c>
      <c r="B857" s="16">
        <f t="shared" si="65"/>
        <v>68</v>
      </c>
      <c r="C857" s="16">
        <f t="shared" si="66"/>
        <v>7</v>
      </c>
      <c r="D857" s="17">
        <f t="shared" si="67"/>
        <v>691.41</v>
      </c>
      <c r="E857" s="18" cm="1">
        <f t="array" ref="E857">_xlfn.IFS(
B857&lt;=recencyQ1, 4,
B857&lt;=recencyQ2, 3,
B857&lt;=recencyQ3, 2,
TRUE, 1
)</f>
        <v>2</v>
      </c>
      <c r="F857" s="18" cm="1">
        <f t="array" ref="F857">_xlfn.IFS(
C857&lt;=frequencyQ1, 1,
C857&lt;=frequencyQ2, 2,
C857&lt;=frequencyQ3, 3,
TRUE, 4)</f>
        <v>4</v>
      </c>
      <c r="G857" s="18" cm="1">
        <f t="array" ref="G857">_xlfn.IFS(
D857&lt;=monetaryQ1, 1,
D857&lt;=monetaryQ2, 2,
D857&lt;=monetaryQ3, 3,
TRUE, 4)</f>
        <v>4</v>
      </c>
      <c r="H857" s="18" t="str">
        <f t="shared" si="68"/>
        <v>244</v>
      </c>
      <c r="I857" s="19">
        <f t="shared" si="69"/>
        <v>3.3333333333333335</v>
      </c>
      <c r="J857" s="7" t="str" cm="1">
        <f t="array" ref="J857">_xlfn.IFS(
I857&gt;=Best_Customers, Best_Customers_name,
I857&gt;=Loyal_Customers, Loyal_Customers_name,
I857&gt;=Average_Customers, Average_Customers_name,
TRUE, Lost_Customers_name)</f>
        <v>Loyal Customers</v>
      </c>
    </row>
    <row r="858" spans="1:10" x14ac:dyDescent="0.25">
      <c r="A858" s="25" t="str">
        <v>CUST_0859</v>
      </c>
      <c r="B858" s="16">
        <f t="shared" si="65"/>
        <v>194</v>
      </c>
      <c r="C858" s="16">
        <f t="shared" si="66"/>
        <v>2</v>
      </c>
      <c r="D858" s="17">
        <f t="shared" si="67"/>
        <v>240.71</v>
      </c>
      <c r="E858" s="18" cm="1">
        <f t="array" ref="E858">_xlfn.IFS(
B858&lt;=recencyQ1, 4,
B858&lt;=recencyQ2, 3,
B858&lt;=recencyQ3, 2,
TRUE, 1
)</f>
        <v>1</v>
      </c>
      <c r="F858" s="18" cm="1">
        <f t="array" ref="F858">_xlfn.IFS(
C858&lt;=frequencyQ1, 1,
C858&lt;=frequencyQ2, 2,
C858&lt;=frequencyQ3, 3,
TRUE, 4)</f>
        <v>1</v>
      </c>
      <c r="G858" s="18" cm="1">
        <f t="array" ref="G858">_xlfn.IFS(
D858&lt;=monetaryQ1, 1,
D858&lt;=monetaryQ2, 2,
D858&lt;=monetaryQ3, 3,
TRUE, 4)</f>
        <v>1</v>
      </c>
      <c r="H858" s="18" t="str">
        <f t="shared" si="68"/>
        <v>111</v>
      </c>
      <c r="I858" s="19">
        <f t="shared" si="69"/>
        <v>1</v>
      </c>
      <c r="J858" s="7" t="str" cm="1">
        <f t="array" ref="J858">_xlfn.IFS(
I858&gt;=Best_Customers, Best_Customers_name,
I858&gt;=Loyal_Customers, Loyal_Customers_name,
I858&gt;=Average_Customers, Average_Customers_name,
TRUE, Lost_Customers_name)</f>
        <v>Lost Customers</v>
      </c>
    </row>
    <row r="859" spans="1:10" x14ac:dyDescent="0.25">
      <c r="A859" s="25" t="str">
        <v>CUST_0860</v>
      </c>
      <c r="B859" s="16">
        <f t="shared" si="65"/>
        <v>11</v>
      </c>
      <c r="C859" s="16">
        <f t="shared" si="66"/>
        <v>5</v>
      </c>
      <c r="D859" s="17">
        <f t="shared" si="67"/>
        <v>397.7</v>
      </c>
      <c r="E859" s="18" cm="1">
        <f t="array" ref="E859">_xlfn.IFS(
B859&lt;=recencyQ1, 4,
B859&lt;=recencyQ2, 3,
B859&lt;=recencyQ3, 2,
TRUE, 1
)</f>
        <v>4</v>
      </c>
      <c r="F859" s="18" cm="1">
        <f t="array" ref="F859">_xlfn.IFS(
C859&lt;=frequencyQ1, 1,
C859&lt;=frequencyQ2, 2,
C859&lt;=frequencyQ3, 3,
TRUE, 4)</f>
        <v>2</v>
      </c>
      <c r="G859" s="18" cm="1">
        <f t="array" ref="G859">_xlfn.IFS(
D859&lt;=monetaryQ1, 1,
D859&lt;=monetaryQ2, 2,
D859&lt;=monetaryQ3, 3,
TRUE, 4)</f>
        <v>2</v>
      </c>
      <c r="H859" s="18" t="str">
        <f t="shared" si="68"/>
        <v>422</v>
      </c>
      <c r="I859" s="19">
        <f t="shared" si="69"/>
        <v>2.6666666666666665</v>
      </c>
      <c r="J859" s="7" t="str" cm="1">
        <f t="array" ref="J859">_xlfn.IFS(
I859&gt;=Best_Customers, Best_Customers_name,
I859&gt;=Loyal_Customers, Loyal_Customers_name,
I859&gt;=Average_Customers, Average_Customers_name,
TRUE, Lost_Customers_name)</f>
        <v>Loyal Customers</v>
      </c>
    </row>
    <row r="860" spans="1:10" x14ac:dyDescent="0.25">
      <c r="A860" s="25" t="str">
        <v>CUST_0861</v>
      </c>
      <c r="B860" s="16">
        <f t="shared" si="65"/>
        <v>230</v>
      </c>
      <c r="C860" s="16">
        <f t="shared" si="66"/>
        <v>4</v>
      </c>
      <c r="D860" s="17">
        <f t="shared" si="67"/>
        <v>390.89</v>
      </c>
      <c r="E860" s="18" cm="1">
        <f t="array" ref="E860">_xlfn.IFS(
B860&lt;=recencyQ1, 4,
B860&lt;=recencyQ2, 3,
B860&lt;=recencyQ3, 2,
TRUE, 1
)</f>
        <v>1</v>
      </c>
      <c r="F860" s="18" cm="1">
        <f t="array" ref="F860">_xlfn.IFS(
C860&lt;=frequencyQ1, 1,
C860&lt;=frequencyQ2, 2,
C860&lt;=frequencyQ3, 3,
TRUE, 4)</f>
        <v>2</v>
      </c>
      <c r="G860" s="18" cm="1">
        <f t="array" ref="G860">_xlfn.IFS(
D860&lt;=monetaryQ1, 1,
D860&lt;=monetaryQ2, 2,
D860&lt;=monetaryQ3, 3,
TRUE, 4)</f>
        <v>2</v>
      </c>
      <c r="H860" s="18" t="str">
        <f t="shared" si="68"/>
        <v>122</v>
      </c>
      <c r="I860" s="19">
        <f t="shared" si="69"/>
        <v>1.6666666666666667</v>
      </c>
      <c r="J860" s="7" t="str" cm="1">
        <f t="array" ref="J860">_xlfn.IFS(
I860&gt;=Best_Customers, Best_Customers_name,
I860&gt;=Loyal_Customers, Loyal_Customers_name,
I860&gt;=Average_Customers, Average_Customers_name,
TRUE, Lost_Customers_name)</f>
        <v>Average Customers</v>
      </c>
    </row>
    <row r="861" spans="1:10" x14ac:dyDescent="0.25">
      <c r="A861" s="25" t="str">
        <v>CUST_0862</v>
      </c>
      <c r="B861" s="16">
        <f t="shared" si="65"/>
        <v>139</v>
      </c>
      <c r="C861" s="16">
        <f t="shared" si="66"/>
        <v>2</v>
      </c>
      <c r="D861" s="17">
        <f t="shared" si="67"/>
        <v>104.01</v>
      </c>
      <c r="E861" s="18" cm="1">
        <f t="array" ref="E861">_xlfn.IFS(
B861&lt;=recencyQ1, 4,
B861&lt;=recencyQ2, 3,
B861&lt;=recencyQ3, 2,
TRUE, 1
)</f>
        <v>1</v>
      </c>
      <c r="F861" s="18" cm="1">
        <f t="array" ref="F861">_xlfn.IFS(
C861&lt;=frequencyQ1, 1,
C861&lt;=frequencyQ2, 2,
C861&lt;=frequencyQ3, 3,
TRUE, 4)</f>
        <v>1</v>
      </c>
      <c r="G861" s="18" cm="1">
        <f t="array" ref="G861">_xlfn.IFS(
D861&lt;=monetaryQ1, 1,
D861&lt;=monetaryQ2, 2,
D861&lt;=monetaryQ3, 3,
TRUE, 4)</f>
        <v>1</v>
      </c>
      <c r="H861" s="18" t="str">
        <f t="shared" si="68"/>
        <v>111</v>
      </c>
      <c r="I861" s="19">
        <f t="shared" si="69"/>
        <v>1</v>
      </c>
      <c r="J861" s="7" t="str" cm="1">
        <f t="array" ref="J861">_xlfn.IFS(
I861&gt;=Best_Customers, Best_Customers_name,
I861&gt;=Loyal_Customers, Loyal_Customers_name,
I861&gt;=Average_Customers, Average_Customers_name,
TRUE, Lost_Customers_name)</f>
        <v>Lost Customers</v>
      </c>
    </row>
    <row r="862" spans="1:10" x14ac:dyDescent="0.25">
      <c r="A862" s="25" t="str">
        <v>CUST_0863</v>
      </c>
      <c r="B862" s="16">
        <f t="shared" si="65"/>
        <v>107</v>
      </c>
      <c r="C862" s="16">
        <f t="shared" si="66"/>
        <v>6</v>
      </c>
      <c r="D862" s="17">
        <f t="shared" si="67"/>
        <v>751.13000000000011</v>
      </c>
      <c r="E862" s="18" cm="1">
        <f t="array" ref="E862">_xlfn.IFS(
B862&lt;=recencyQ1, 4,
B862&lt;=recencyQ2, 3,
B862&lt;=recencyQ3, 2,
TRUE, 1
)</f>
        <v>1</v>
      </c>
      <c r="F862" s="18" cm="1">
        <f t="array" ref="F862">_xlfn.IFS(
C862&lt;=frequencyQ1, 1,
C862&lt;=frequencyQ2, 2,
C862&lt;=frequencyQ3, 3,
TRUE, 4)</f>
        <v>3</v>
      </c>
      <c r="G862" s="18" cm="1">
        <f t="array" ref="G862">_xlfn.IFS(
D862&lt;=monetaryQ1, 1,
D862&lt;=monetaryQ2, 2,
D862&lt;=monetaryQ3, 3,
TRUE, 4)</f>
        <v>4</v>
      </c>
      <c r="H862" s="18" t="str">
        <f t="shared" si="68"/>
        <v>134</v>
      </c>
      <c r="I862" s="19">
        <f t="shared" si="69"/>
        <v>2.6666666666666665</v>
      </c>
      <c r="J862" s="7" t="str" cm="1">
        <f t="array" ref="J862">_xlfn.IFS(
I862&gt;=Best_Customers, Best_Customers_name,
I862&gt;=Loyal_Customers, Loyal_Customers_name,
I862&gt;=Average_Customers, Average_Customers_name,
TRUE, Lost_Customers_name)</f>
        <v>Loyal Customers</v>
      </c>
    </row>
    <row r="863" spans="1:10" x14ac:dyDescent="0.25">
      <c r="A863" s="25" t="str">
        <v>CUST_0864</v>
      </c>
      <c r="B863" s="16">
        <f t="shared" si="65"/>
        <v>54</v>
      </c>
      <c r="C863" s="16">
        <f t="shared" si="66"/>
        <v>4</v>
      </c>
      <c r="D863" s="17">
        <f t="shared" si="67"/>
        <v>394.80000000000007</v>
      </c>
      <c r="E863" s="18" cm="1">
        <f t="array" ref="E863">_xlfn.IFS(
B863&lt;=recencyQ1, 4,
B863&lt;=recencyQ2, 3,
B863&lt;=recencyQ3, 2,
TRUE, 1
)</f>
        <v>2</v>
      </c>
      <c r="F863" s="18" cm="1">
        <f t="array" ref="F863">_xlfn.IFS(
C863&lt;=frequencyQ1, 1,
C863&lt;=frequencyQ2, 2,
C863&lt;=frequencyQ3, 3,
TRUE, 4)</f>
        <v>2</v>
      </c>
      <c r="G863" s="18" cm="1">
        <f t="array" ref="G863">_xlfn.IFS(
D863&lt;=monetaryQ1, 1,
D863&lt;=monetaryQ2, 2,
D863&lt;=monetaryQ3, 3,
TRUE, 4)</f>
        <v>2</v>
      </c>
      <c r="H863" s="18" t="str">
        <f t="shared" si="68"/>
        <v>222</v>
      </c>
      <c r="I863" s="19">
        <f t="shared" si="69"/>
        <v>2</v>
      </c>
      <c r="J863" s="7" t="str" cm="1">
        <f t="array" ref="J863">_xlfn.IFS(
I863&gt;=Best_Customers, Best_Customers_name,
I863&gt;=Loyal_Customers, Loyal_Customers_name,
I863&gt;=Average_Customers, Average_Customers_name,
TRUE, Lost_Customers_name)</f>
        <v>Average Customers</v>
      </c>
    </row>
    <row r="864" spans="1:10" x14ac:dyDescent="0.25">
      <c r="A864" s="25" t="str">
        <v>CUST_0865</v>
      </c>
      <c r="B864" s="16">
        <f t="shared" si="65"/>
        <v>10</v>
      </c>
      <c r="C864" s="16">
        <f t="shared" si="66"/>
        <v>8</v>
      </c>
      <c r="D864" s="17">
        <f t="shared" si="67"/>
        <v>557.73</v>
      </c>
      <c r="E864" s="18" cm="1">
        <f t="array" ref="E864">_xlfn.IFS(
B864&lt;=recencyQ1, 4,
B864&lt;=recencyQ2, 3,
B864&lt;=recencyQ3, 2,
TRUE, 1
)</f>
        <v>4</v>
      </c>
      <c r="F864" s="18" cm="1">
        <f t="array" ref="F864">_xlfn.IFS(
C864&lt;=frequencyQ1, 1,
C864&lt;=frequencyQ2, 2,
C864&lt;=frequencyQ3, 3,
TRUE, 4)</f>
        <v>4</v>
      </c>
      <c r="G864" s="18" cm="1">
        <f t="array" ref="G864">_xlfn.IFS(
D864&lt;=monetaryQ1, 1,
D864&lt;=monetaryQ2, 2,
D864&lt;=monetaryQ3, 3,
TRUE, 4)</f>
        <v>3</v>
      </c>
      <c r="H864" s="18" t="str">
        <f t="shared" si="68"/>
        <v>443</v>
      </c>
      <c r="I864" s="19">
        <f t="shared" si="69"/>
        <v>3.6666666666666665</v>
      </c>
      <c r="J864" s="7" t="str" cm="1">
        <f t="array" ref="J864">_xlfn.IFS(
I864&gt;=Best_Customers, Best_Customers_name,
I864&gt;=Loyal_Customers, Loyal_Customers_name,
I864&gt;=Average_Customers, Average_Customers_name,
TRUE, Lost_Customers_name)</f>
        <v>Best Customers</v>
      </c>
    </row>
    <row r="865" spans="1:10" x14ac:dyDescent="0.25">
      <c r="A865" s="25" t="str">
        <v>CUST_0866</v>
      </c>
      <c r="B865" s="16">
        <f t="shared" si="65"/>
        <v>64</v>
      </c>
      <c r="C865" s="16">
        <f t="shared" si="66"/>
        <v>9</v>
      </c>
      <c r="D865" s="17">
        <f t="shared" si="67"/>
        <v>855.74</v>
      </c>
      <c r="E865" s="18" cm="1">
        <f t="array" ref="E865">_xlfn.IFS(
B865&lt;=recencyQ1, 4,
B865&lt;=recencyQ2, 3,
B865&lt;=recencyQ3, 2,
TRUE, 1
)</f>
        <v>2</v>
      </c>
      <c r="F865" s="18" cm="1">
        <f t="array" ref="F865">_xlfn.IFS(
C865&lt;=frequencyQ1, 1,
C865&lt;=frequencyQ2, 2,
C865&lt;=frequencyQ3, 3,
TRUE, 4)</f>
        <v>4</v>
      </c>
      <c r="G865" s="18" cm="1">
        <f t="array" ref="G865">_xlfn.IFS(
D865&lt;=monetaryQ1, 1,
D865&lt;=monetaryQ2, 2,
D865&lt;=monetaryQ3, 3,
TRUE, 4)</f>
        <v>4</v>
      </c>
      <c r="H865" s="18" t="str">
        <f t="shared" si="68"/>
        <v>244</v>
      </c>
      <c r="I865" s="19">
        <f t="shared" si="69"/>
        <v>3.3333333333333335</v>
      </c>
      <c r="J865" s="7" t="str" cm="1">
        <f t="array" ref="J865">_xlfn.IFS(
I865&gt;=Best_Customers, Best_Customers_name,
I865&gt;=Loyal_Customers, Loyal_Customers_name,
I865&gt;=Average_Customers, Average_Customers_name,
TRUE, Lost_Customers_name)</f>
        <v>Loyal Customers</v>
      </c>
    </row>
    <row r="866" spans="1:10" x14ac:dyDescent="0.25">
      <c r="A866" s="25" t="str">
        <v>CUST_0867</v>
      </c>
      <c r="B866" s="16">
        <f t="shared" si="65"/>
        <v>167</v>
      </c>
      <c r="C866" s="16">
        <f t="shared" si="66"/>
        <v>2</v>
      </c>
      <c r="D866" s="17">
        <f t="shared" si="67"/>
        <v>61.730000000000004</v>
      </c>
      <c r="E866" s="18" cm="1">
        <f t="array" ref="E866">_xlfn.IFS(
B866&lt;=recencyQ1, 4,
B866&lt;=recencyQ2, 3,
B866&lt;=recencyQ3, 2,
TRUE, 1
)</f>
        <v>1</v>
      </c>
      <c r="F866" s="18" cm="1">
        <f t="array" ref="F866">_xlfn.IFS(
C866&lt;=frequencyQ1, 1,
C866&lt;=frequencyQ2, 2,
C866&lt;=frequencyQ3, 3,
TRUE, 4)</f>
        <v>1</v>
      </c>
      <c r="G866" s="18" cm="1">
        <f t="array" ref="G866">_xlfn.IFS(
D866&lt;=monetaryQ1, 1,
D866&lt;=monetaryQ2, 2,
D866&lt;=monetaryQ3, 3,
TRUE, 4)</f>
        <v>1</v>
      </c>
      <c r="H866" s="18" t="str">
        <f t="shared" si="68"/>
        <v>111</v>
      </c>
      <c r="I866" s="19">
        <f t="shared" si="69"/>
        <v>1</v>
      </c>
      <c r="J866" s="7" t="str" cm="1">
        <f t="array" ref="J866">_xlfn.IFS(
I866&gt;=Best_Customers, Best_Customers_name,
I866&gt;=Loyal_Customers, Loyal_Customers_name,
I866&gt;=Average_Customers, Average_Customers_name,
TRUE, Lost_Customers_name)</f>
        <v>Lost Customers</v>
      </c>
    </row>
    <row r="867" spans="1:10" x14ac:dyDescent="0.25">
      <c r="A867" s="25" t="str">
        <v>CUST_0868</v>
      </c>
      <c r="B867" s="16">
        <f t="shared" si="65"/>
        <v>24</v>
      </c>
      <c r="C867" s="16">
        <f t="shared" si="66"/>
        <v>5</v>
      </c>
      <c r="D867" s="17">
        <f t="shared" si="67"/>
        <v>517.90000000000009</v>
      </c>
      <c r="E867" s="18" cm="1">
        <f t="array" ref="E867">_xlfn.IFS(
B867&lt;=recencyQ1, 4,
B867&lt;=recencyQ2, 3,
B867&lt;=recencyQ3, 2,
TRUE, 1
)</f>
        <v>3</v>
      </c>
      <c r="F867" s="18" cm="1">
        <f t="array" ref="F867">_xlfn.IFS(
C867&lt;=frequencyQ1, 1,
C867&lt;=frequencyQ2, 2,
C867&lt;=frequencyQ3, 3,
TRUE, 4)</f>
        <v>2</v>
      </c>
      <c r="G867" s="18" cm="1">
        <f t="array" ref="G867">_xlfn.IFS(
D867&lt;=monetaryQ1, 1,
D867&lt;=monetaryQ2, 2,
D867&lt;=monetaryQ3, 3,
TRUE, 4)</f>
        <v>3</v>
      </c>
      <c r="H867" s="18" t="str">
        <f t="shared" si="68"/>
        <v>323</v>
      </c>
      <c r="I867" s="19">
        <f t="shared" si="69"/>
        <v>2.6666666666666665</v>
      </c>
      <c r="J867" s="7" t="str" cm="1">
        <f t="array" ref="J867">_xlfn.IFS(
I867&gt;=Best_Customers, Best_Customers_name,
I867&gt;=Loyal_Customers, Loyal_Customers_name,
I867&gt;=Average_Customers, Average_Customers_name,
TRUE, Lost_Customers_name)</f>
        <v>Loyal Customers</v>
      </c>
    </row>
    <row r="868" spans="1:10" x14ac:dyDescent="0.25">
      <c r="A868" s="25" t="str">
        <v>CUST_0869</v>
      </c>
      <c r="B868" s="16">
        <f t="shared" si="65"/>
        <v>135</v>
      </c>
      <c r="C868" s="16">
        <f t="shared" si="66"/>
        <v>1</v>
      </c>
      <c r="D868" s="17">
        <f t="shared" si="67"/>
        <v>95.9</v>
      </c>
      <c r="E868" s="18" cm="1">
        <f t="array" ref="E868">_xlfn.IFS(
B868&lt;=recencyQ1, 4,
B868&lt;=recencyQ2, 3,
B868&lt;=recencyQ3, 2,
TRUE, 1
)</f>
        <v>1</v>
      </c>
      <c r="F868" s="18" cm="1">
        <f t="array" ref="F868">_xlfn.IFS(
C868&lt;=frequencyQ1, 1,
C868&lt;=frequencyQ2, 2,
C868&lt;=frequencyQ3, 3,
TRUE, 4)</f>
        <v>1</v>
      </c>
      <c r="G868" s="18" cm="1">
        <f t="array" ref="G868">_xlfn.IFS(
D868&lt;=monetaryQ1, 1,
D868&lt;=monetaryQ2, 2,
D868&lt;=monetaryQ3, 3,
TRUE, 4)</f>
        <v>1</v>
      </c>
      <c r="H868" s="18" t="str">
        <f t="shared" si="68"/>
        <v>111</v>
      </c>
      <c r="I868" s="19">
        <f t="shared" si="69"/>
        <v>1</v>
      </c>
      <c r="J868" s="7" t="str" cm="1">
        <f t="array" ref="J868">_xlfn.IFS(
I868&gt;=Best_Customers, Best_Customers_name,
I868&gt;=Loyal_Customers, Loyal_Customers_name,
I868&gt;=Average_Customers, Average_Customers_name,
TRUE, Lost_Customers_name)</f>
        <v>Lost Customers</v>
      </c>
    </row>
    <row r="869" spans="1:10" x14ac:dyDescent="0.25">
      <c r="A869" s="25" t="str">
        <v>CUST_0870</v>
      </c>
      <c r="B869" s="16">
        <f t="shared" si="65"/>
        <v>61</v>
      </c>
      <c r="C869" s="16">
        <f t="shared" si="66"/>
        <v>5</v>
      </c>
      <c r="D869" s="17">
        <f t="shared" si="67"/>
        <v>504.38</v>
      </c>
      <c r="E869" s="18" cm="1">
        <f t="array" ref="E869">_xlfn.IFS(
B869&lt;=recencyQ1, 4,
B869&lt;=recencyQ2, 3,
B869&lt;=recencyQ3, 2,
TRUE, 1
)</f>
        <v>2</v>
      </c>
      <c r="F869" s="18" cm="1">
        <f t="array" ref="F869">_xlfn.IFS(
C869&lt;=frequencyQ1, 1,
C869&lt;=frequencyQ2, 2,
C869&lt;=frequencyQ3, 3,
TRUE, 4)</f>
        <v>2</v>
      </c>
      <c r="G869" s="18" cm="1">
        <f t="array" ref="G869">_xlfn.IFS(
D869&lt;=monetaryQ1, 1,
D869&lt;=monetaryQ2, 2,
D869&lt;=monetaryQ3, 3,
TRUE, 4)</f>
        <v>3</v>
      </c>
      <c r="H869" s="18" t="str">
        <f t="shared" si="68"/>
        <v>223</v>
      </c>
      <c r="I869" s="19">
        <f t="shared" si="69"/>
        <v>2.3333333333333335</v>
      </c>
      <c r="J869" s="7" t="str" cm="1">
        <f t="array" ref="J869">_xlfn.IFS(
I869&gt;=Best_Customers, Best_Customers_name,
I869&gt;=Loyal_Customers, Loyal_Customers_name,
I869&gt;=Average_Customers, Average_Customers_name,
TRUE, Lost_Customers_name)</f>
        <v>Average Customers</v>
      </c>
    </row>
    <row r="870" spans="1:10" x14ac:dyDescent="0.25">
      <c r="A870" s="25" t="str">
        <v>CUST_0871</v>
      </c>
      <c r="B870" s="16">
        <f t="shared" si="65"/>
        <v>5</v>
      </c>
      <c r="C870" s="16">
        <f t="shared" si="66"/>
        <v>8</v>
      </c>
      <c r="D870" s="17">
        <f t="shared" si="67"/>
        <v>683.43</v>
      </c>
      <c r="E870" s="18" cm="1">
        <f t="array" ref="E870">_xlfn.IFS(
B870&lt;=recencyQ1, 4,
B870&lt;=recencyQ2, 3,
B870&lt;=recencyQ3, 2,
TRUE, 1
)</f>
        <v>4</v>
      </c>
      <c r="F870" s="18" cm="1">
        <f t="array" ref="F870">_xlfn.IFS(
C870&lt;=frequencyQ1, 1,
C870&lt;=frequencyQ2, 2,
C870&lt;=frequencyQ3, 3,
TRUE, 4)</f>
        <v>4</v>
      </c>
      <c r="G870" s="18" cm="1">
        <f t="array" ref="G870">_xlfn.IFS(
D870&lt;=monetaryQ1, 1,
D870&lt;=monetaryQ2, 2,
D870&lt;=monetaryQ3, 3,
TRUE, 4)</f>
        <v>4</v>
      </c>
      <c r="H870" s="18" t="str">
        <f t="shared" si="68"/>
        <v>444</v>
      </c>
      <c r="I870" s="19">
        <f t="shared" si="69"/>
        <v>4</v>
      </c>
      <c r="J870" s="7" t="str" cm="1">
        <f t="array" ref="J870">_xlfn.IFS(
I870&gt;=Best_Customers, Best_Customers_name,
I870&gt;=Loyal_Customers, Loyal_Customers_name,
I870&gt;=Average_Customers, Average_Customers_name,
TRUE, Lost_Customers_name)</f>
        <v>Best Customers</v>
      </c>
    </row>
    <row r="871" spans="1:10" x14ac:dyDescent="0.25">
      <c r="A871" s="25" t="str">
        <v>CUST_0872</v>
      </c>
      <c r="B871" s="16">
        <f t="shared" si="65"/>
        <v>17</v>
      </c>
      <c r="C871" s="16">
        <f t="shared" si="66"/>
        <v>5</v>
      </c>
      <c r="D871" s="17">
        <f t="shared" si="67"/>
        <v>416.15</v>
      </c>
      <c r="E871" s="18" cm="1">
        <f t="array" ref="E871">_xlfn.IFS(
B871&lt;=recencyQ1, 4,
B871&lt;=recencyQ2, 3,
B871&lt;=recencyQ3, 2,
TRUE, 1
)</f>
        <v>4</v>
      </c>
      <c r="F871" s="18" cm="1">
        <f t="array" ref="F871">_xlfn.IFS(
C871&lt;=frequencyQ1, 1,
C871&lt;=frequencyQ2, 2,
C871&lt;=frequencyQ3, 3,
TRUE, 4)</f>
        <v>2</v>
      </c>
      <c r="G871" s="18" cm="1">
        <f t="array" ref="G871">_xlfn.IFS(
D871&lt;=monetaryQ1, 1,
D871&lt;=monetaryQ2, 2,
D871&lt;=monetaryQ3, 3,
TRUE, 4)</f>
        <v>2</v>
      </c>
      <c r="H871" s="18" t="str">
        <f t="shared" si="68"/>
        <v>422</v>
      </c>
      <c r="I871" s="19">
        <f t="shared" si="69"/>
        <v>2.6666666666666665</v>
      </c>
      <c r="J871" s="7" t="str" cm="1">
        <f t="array" ref="J871">_xlfn.IFS(
I871&gt;=Best_Customers, Best_Customers_name,
I871&gt;=Loyal_Customers, Loyal_Customers_name,
I871&gt;=Average_Customers, Average_Customers_name,
TRUE, Lost_Customers_name)</f>
        <v>Loyal Customers</v>
      </c>
    </row>
    <row r="872" spans="1:10" x14ac:dyDescent="0.25">
      <c r="A872" s="25" t="str">
        <v>CUST_0873</v>
      </c>
      <c r="B872" s="16">
        <f t="shared" si="65"/>
        <v>153</v>
      </c>
      <c r="C872" s="16">
        <f t="shared" si="66"/>
        <v>3</v>
      </c>
      <c r="D872" s="17">
        <f t="shared" si="67"/>
        <v>395.81</v>
      </c>
      <c r="E872" s="18" cm="1">
        <f t="array" ref="E872">_xlfn.IFS(
B872&lt;=recencyQ1, 4,
B872&lt;=recencyQ2, 3,
B872&lt;=recencyQ3, 2,
TRUE, 1
)</f>
        <v>1</v>
      </c>
      <c r="F872" s="18" cm="1">
        <f t="array" ref="F872">_xlfn.IFS(
C872&lt;=frequencyQ1, 1,
C872&lt;=frequencyQ2, 2,
C872&lt;=frequencyQ3, 3,
TRUE, 4)</f>
        <v>1</v>
      </c>
      <c r="G872" s="18" cm="1">
        <f t="array" ref="G872">_xlfn.IFS(
D872&lt;=monetaryQ1, 1,
D872&lt;=monetaryQ2, 2,
D872&lt;=monetaryQ3, 3,
TRUE, 4)</f>
        <v>2</v>
      </c>
      <c r="H872" s="18" t="str">
        <f t="shared" si="68"/>
        <v>112</v>
      </c>
      <c r="I872" s="19">
        <f t="shared" si="69"/>
        <v>1.3333333333333333</v>
      </c>
      <c r="J872" s="7" t="str" cm="1">
        <f t="array" ref="J872">_xlfn.IFS(
I872&gt;=Best_Customers, Best_Customers_name,
I872&gt;=Loyal_Customers, Loyal_Customers_name,
I872&gt;=Average_Customers, Average_Customers_name,
TRUE, Lost_Customers_name)</f>
        <v>Lost Customers</v>
      </c>
    </row>
    <row r="873" spans="1:10" x14ac:dyDescent="0.25">
      <c r="A873" s="25" t="str">
        <v>CUST_0874</v>
      </c>
      <c r="B873" s="16">
        <f t="shared" si="65"/>
        <v>240</v>
      </c>
      <c r="C873" s="16">
        <f t="shared" si="66"/>
        <v>2</v>
      </c>
      <c r="D873" s="17">
        <f t="shared" si="67"/>
        <v>123.66</v>
      </c>
      <c r="E873" s="18" cm="1">
        <f t="array" ref="E873">_xlfn.IFS(
B873&lt;=recencyQ1, 4,
B873&lt;=recencyQ2, 3,
B873&lt;=recencyQ3, 2,
TRUE, 1
)</f>
        <v>1</v>
      </c>
      <c r="F873" s="18" cm="1">
        <f t="array" ref="F873">_xlfn.IFS(
C873&lt;=frequencyQ1, 1,
C873&lt;=frequencyQ2, 2,
C873&lt;=frequencyQ3, 3,
TRUE, 4)</f>
        <v>1</v>
      </c>
      <c r="G873" s="18" cm="1">
        <f t="array" ref="G873">_xlfn.IFS(
D873&lt;=monetaryQ1, 1,
D873&lt;=monetaryQ2, 2,
D873&lt;=monetaryQ3, 3,
TRUE, 4)</f>
        <v>1</v>
      </c>
      <c r="H873" s="18" t="str">
        <f t="shared" si="68"/>
        <v>111</v>
      </c>
      <c r="I873" s="19">
        <f t="shared" si="69"/>
        <v>1</v>
      </c>
      <c r="J873" s="7" t="str" cm="1">
        <f t="array" ref="J873">_xlfn.IFS(
I873&gt;=Best_Customers, Best_Customers_name,
I873&gt;=Loyal_Customers, Loyal_Customers_name,
I873&gt;=Average_Customers, Average_Customers_name,
TRUE, Lost_Customers_name)</f>
        <v>Lost Customers</v>
      </c>
    </row>
    <row r="874" spans="1:10" x14ac:dyDescent="0.25">
      <c r="A874" s="25" t="str">
        <v>CUST_0875</v>
      </c>
      <c r="B874" s="16">
        <f t="shared" si="65"/>
        <v>71</v>
      </c>
      <c r="C874" s="16">
        <f t="shared" si="66"/>
        <v>6</v>
      </c>
      <c r="D874" s="17">
        <f t="shared" si="67"/>
        <v>684.6099999999999</v>
      </c>
      <c r="E874" s="18" cm="1">
        <f t="array" ref="E874">_xlfn.IFS(
B874&lt;=recencyQ1, 4,
B874&lt;=recencyQ2, 3,
B874&lt;=recencyQ3, 2,
TRUE, 1
)</f>
        <v>2</v>
      </c>
      <c r="F874" s="18" cm="1">
        <f t="array" ref="F874">_xlfn.IFS(
C874&lt;=frequencyQ1, 1,
C874&lt;=frequencyQ2, 2,
C874&lt;=frequencyQ3, 3,
TRUE, 4)</f>
        <v>3</v>
      </c>
      <c r="G874" s="18" cm="1">
        <f t="array" ref="G874">_xlfn.IFS(
D874&lt;=monetaryQ1, 1,
D874&lt;=monetaryQ2, 2,
D874&lt;=monetaryQ3, 3,
TRUE, 4)</f>
        <v>4</v>
      </c>
      <c r="H874" s="18" t="str">
        <f t="shared" si="68"/>
        <v>234</v>
      </c>
      <c r="I874" s="19">
        <f t="shared" si="69"/>
        <v>3</v>
      </c>
      <c r="J874" s="7" t="str" cm="1">
        <f t="array" ref="J874">_xlfn.IFS(
I874&gt;=Best_Customers, Best_Customers_name,
I874&gt;=Loyal_Customers, Loyal_Customers_name,
I874&gt;=Average_Customers, Average_Customers_name,
TRUE, Lost_Customers_name)</f>
        <v>Loyal Customers</v>
      </c>
    </row>
    <row r="875" spans="1:10" x14ac:dyDescent="0.25">
      <c r="A875" s="25" t="str">
        <v>CUST_0876</v>
      </c>
      <c r="B875" s="16">
        <f t="shared" si="65"/>
        <v>75</v>
      </c>
      <c r="C875" s="16">
        <f t="shared" si="66"/>
        <v>8</v>
      </c>
      <c r="D875" s="17">
        <f t="shared" si="67"/>
        <v>764.71</v>
      </c>
      <c r="E875" s="18" cm="1">
        <f t="array" ref="E875">_xlfn.IFS(
B875&lt;=recencyQ1, 4,
B875&lt;=recencyQ2, 3,
B875&lt;=recencyQ3, 2,
TRUE, 1
)</f>
        <v>2</v>
      </c>
      <c r="F875" s="18" cm="1">
        <f t="array" ref="F875">_xlfn.IFS(
C875&lt;=frequencyQ1, 1,
C875&lt;=frequencyQ2, 2,
C875&lt;=frequencyQ3, 3,
TRUE, 4)</f>
        <v>4</v>
      </c>
      <c r="G875" s="18" cm="1">
        <f t="array" ref="G875">_xlfn.IFS(
D875&lt;=monetaryQ1, 1,
D875&lt;=monetaryQ2, 2,
D875&lt;=monetaryQ3, 3,
TRUE, 4)</f>
        <v>4</v>
      </c>
      <c r="H875" s="18" t="str">
        <f t="shared" si="68"/>
        <v>244</v>
      </c>
      <c r="I875" s="19">
        <f t="shared" si="69"/>
        <v>3.3333333333333335</v>
      </c>
      <c r="J875" s="7" t="str" cm="1">
        <f t="array" ref="J875">_xlfn.IFS(
I875&gt;=Best_Customers, Best_Customers_name,
I875&gt;=Loyal_Customers, Loyal_Customers_name,
I875&gt;=Average_Customers, Average_Customers_name,
TRUE, Lost_Customers_name)</f>
        <v>Loyal Customers</v>
      </c>
    </row>
    <row r="876" spans="1:10" x14ac:dyDescent="0.25">
      <c r="A876" s="25" t="str">
        <v>CUST_0877</v>
      </c>
      <c r="B876" s="16">
        <f t="shared" si="65"/>
        <v>17</v>
      </c>
      <c r="C876" s="16">
        <f t="shared" si="66"/>
        <v>5</v>
      </c>
      <c r="D876" s="17">
        <f t="shared" si="67"/>
        <v>452.11999999999995</v>
      </c>
      <c r="E876" s="18" cm="1">
        <f t="array" ref="E876">_xlfn.IFS(
B876&lt;=recencyQ1, 4,
B876&lt;=recencyQ2, 3,
B876&lt;=recencyQ3, 2,
TRUE, 1
)</f>
        <v>4</v>
      </c>
      <c r="F876" s="18" cm="1">
        <f t="array" ref="F876">_xlfn.IFS(
C876&lt;=frequencyQ1, 1,
C876&lt;=frequencyQ2, 2,
C876&lt;=frequencyQ3, 3,
TRUE, 4)</f>
        <v>2</v>
      </c>
      <c r="G876" s="18" cm="1">
        <f t="array" ref="G876">_xlfn.IFS(
D876&lt;=monetaryQ1, 1,
D876&lt;=monetaryQ2, 2,
D876&lt;=monetaryQ3, 3,
TRUE, 4)</f>
        <v>2</v>
      </c>
      <c r="H876" s="18" t="str">
        <f t="shared" si="68"/>
        <v>422</v>
      </c>
      <c r="I876" s="19">
        <f t="shared" si="69"/>
        <v>2.6666666666666665</v>
      </c>
      <c r="J876" s="7" t="str" cm="1">
        <f t="array" ref="J876">_xlfn.IFS(
I876&gt;=Best_Customers, Best_Customers_name,
I876&gt;=Loyal_Customers, Loyal_Customers_name,
I876&gt;=Average_Customers, Average_Customers_name,
TRUE, Lost_Customers_name)</f>
        <v>Loyal Customers</v>
      </c>
    </row>
    <row r="877" spans="1:10" x14ac:dyDescent="0.25">
      <c r="A877" s="25" t="str">
        <v>CUST_0878</v>
      </c>
      <c r="B877" s="16">
        <f t="shared" si="65"/>
        <v>39</v>
      </c>
      <c r="C877" s="16">
        <f t="shared" si="66"/>
        <v>3</v>
      </c>
      <c r="D877" s="17">
        <f t="shared" si="67"/>
        <v>252.12</v>
      </c>
      <c r="E877" s="18" cm="1">
        <f t="array" ref="E877">_xlfn.IFS(
B877&lt;=recencyQ1, 4,
B877&lt;=recencyQ2, 3,
B877&lt;=recencyQ3, 2,
TRUE, 1
)</f>
        <v>3</v>
      </c>
      <c r="F877" s="18" cm="1">
        <f t="array" ref="F877">_xlfn.IFS(
C877&lt;=frequencyQ1, 1,
C877&lt;=frequencyQ2, 2,
C877&lt;=frequencyQ3, 3,
TRUE, 4)</f>
        <v>1</v>
      </c>
      <c r="G877" s="18" cm="1">
        <f t="array" ref="G877">_xlfn.IFS(
D877&lt;=monetaryQ1, 1,
D877&lt;=monetaryQ2, 2,
D877&lt;=monetaryQ3, 3,
TRUE, 4)</f>
        <v>1</v>
      </c>
      <c r="H877" s="18" t="str">
        <f t="shared" si="68"/>
        <v>311</v>
      </c>
      <c r="I877" s="19">
        <f t="shared" si="69"/>
        <v>1.6666666666666667</v>
      </c>
      <c r="J877" s="7" t="str" cm="1">
        <f t="array" ref="J877">_xlfn.IFS(
I877&gt;=Best_Customers, Best_Customers_name,
I877&gt;=Loyal_Customers, Loyal_Customers_name,
I877&gt;=Average_Customers, Average_Customers_name,
TRUE, Lost_Customers_name)</f>
        <v>Average Customers</v>
      </c>
    </row>
    <row r="878" spans="1:10" x14ac:dyDescent="0.25">
      <c r="A878" s="25" t="str">
        <v>CUST_0879</v>
      </c>
      <c r="B878" s="16">
        <f t="shared" si="65"/>
        <v>34</v>
      </c>
      <c r="C878" s="16">
        <f t="shared" si="66"/>
        <v>2</v>
      </c>
      <c r="D878" s="17">
        <f t="shared" si="67"/>
        <v>227.1</v>
      </c>
      <c r="E878" s="18" cm="1">
        <f t="array" ref="E878">_xlfn.IFS(
B878&lt;=recencyQ1, 4,
B878&lt;=recencyQ2, 3,
B878&lt;=recencyQ3, 2,
TRUE, 1
)</f>
        <v>3</v>
      </c>
      <c r="F878" s="18" cm="1">
        <f t="array" ref="F878">_xlfn.IFS(
C878&lt;=frequencyQ1, 1,
C878&lt;=frequencyQ2, 2,
C878&lt;=frequencyQ3, 3,
TRUE, 4)</f>
        <v>1</v>
      </c>
      <c r="G878" s="18" cm="1">
        <f t="array" ref="G878">_xlfn.IFS(
D878&lt;=monetaryQ1, 1,
D878&lt;=monetaryQ2, 2,
D878&lt;=monetaryQ3, 3,
TRUE, 4)</f>
        <v>1</v>
      </c>
      <c r="H878" s="18" t="str">
        <f t="shared" si="68"/>
        <v>311</v>
      </c>
      <c r="I878" s="19">
        <f t="shared" si="69"/>
        <v>1.6666666666666667</v>
      </c>
      <c r="J878" s="7" t="str" cm="1">
        <f t="array" ref="J878">_xlfn.IFS(
I878&gt;=Best_Customers, Best_Customers_name,
I878&gt;=Loyal_Customers, Loyal_Customers_name,
I878&gt;=Average_Customers, Average_Customers_name,
TRUE, Lost_Customers_name)</f>
        <v>Average Customers</v>
      </c>
    </row>
    <row r="879" spans="1:10" x14ac:dyDescent="0.25">
      <c r="A879" s="25" t="str">
        <v>CUST_0880</v>
      </c>
      <c r="B879" s="16">
        <f t="shared" si="65"/>
        <v>12</v>
      </c>
      <c r="C879" s="16">
        <f t="shared" si="66"/>
        <v>11</v>
      </c>
      <c r="D879" s="17">
        <f t="shared" si="67"/>
        <v>969.53000000000009</v>
      </c>
      <c r="E879" s="18" cm="1">
        <f t="array" ref="E879">_xlfn.IFS(
B879&lt;=recencyQ1, 4,
B879&lt;=recencyQ2, 3,
B879&lt;=recencyQ3, 2,
TRUE, 1
)</f>
        <v>4</v>
      </c>
      <c r="F879" s="18" cm="1">
        <f t="array" ref="F879">_xlfn.IFS(
C879&lt;=frequencyQ1, 1,
C879&lt;=frequencyQ2, 2,
C879&lt;=frequencyQ3, 3,
TRUE, 4)</f>
        <v>4</v>
      </c>
      <c r="G879" s="18" cm="1">
        <f t="array" ref="G879">_xlfn.IFS(
D879&lt;=monetaryQ1, 1,
D879&lt;=monetaryQ2, 2,
D879&lt;=monetaryQ3, 3,
TRUE, 4)</f>
        <v>4</v>
      </c>
      <c r="H879" s="18" t="str">
        <f t="shared" si="68"/>
        <v>444</v>
      </c>
      <c r="I879" s="19">
        <f t="shared" si="69"/>
        <v>4</v>
      </c>
      <c r="J879" s="7" t="str" cm="1">
        <f t="array" ref="J879">_xlfn.IFS(
I879&gt;=Best_Customers, Best_Customers_name,
I879&gt;=Loyal_Customers, Loyal_Customers_name,
I879&gt;=Average_Customers, Average_Customers_name,
TRUE, Lost_Customers_name)</f>
        <v>Best Customers</v>
      </c>
    </row>
    <row r="880" spans="1:10" x14ac:dyDescent="0.25">
      <c r="A880" s="25" t="str">
        <v>CUST_0881</v>
      </c>
      <c r="B880" s="16">
        <f t="shared" si="65"/>
        <v>96</v>
      </c>
      <c r="C880" s="16">
        <f t="shared" si="66"/>
        <v>3</v>
      </c>
      <c r="D880" s="17">
        <f t="shared" si="67"/>
        <v>290.24</v>
      </c>
      <c r="E880" s="18" cm="1">
        <f t="array" ref="E880">_xlfn.IFS(
B880&lt;=recencyQ1, 4,
B880&lt;=recencyQ2, 3,
B880&lt;=recencyQ3, 2,
TRUE, 1
)</f>
        <v>2</v>
      </c>
      <c r="F880" s="18" cm="1">
        <f t="array" ref="F880">_xlfn.IFS(
C880&lt;=frequencyQ1, 1,
C880&lt;=frequencyQ2, 2,
C880&lt;=frequencyQ3, 3,
TRUE, 4)</f>
        <v>1</v>
      </c>
      <c r="G880" s="18" cm="1">
        <f t="array" ref="G880">_xlfn.IFS(
D880&lt;=monetaryQ1, 1,
D880&lt;=monetaryQ2, 2,
D880&lt;=monetaryQ3, 3,
TRUE, 4)</f>
        <v>1</v>
      </c>
      <c r="H880" s="18" t="str">
        <f t="shared" si="68"/>
        <v>211</v>
      </c>
      <c r="I880" s="19">
        <f t="shared" si="69"/>
        <v>1.3333333333333333</v>
      </c>
      <c r="J880" s="7" t="str" cm="1">
        <f t="array" ref="J880">_xlfn.IFS(
I880&gt;=Best_Customers, Best_Customers_name,
I880&gt;=Loyal_Customers, Loyal_Customers_name,
I880&gt;=Average_Customers, Average_Customers_name,
TRUE, Lost_Customers_name)</f>
        <v>Lost Customers</v>
      </c>
    </row>
    <row r="881" spans="1:10" x14ac:dyDescent="0.25">
      <c r="A881" s="25" t="str">
        <v>CUST_0882</v>
      </c>
      <c r="B881" s="16">
        <f t="shared" si="65"/>
        <v>6</v>
      </c>
      <c r="C881" s="16">
        <f t="shared" si="66"/>
        <v>9</v>
      </c>
      <c r="D881" s="17">
        <f t="shared" si="67"/>
        <v>944.48</v>
      </c>
      <c r="E881" s="18" cm="1">
        <f t="array" ref="E881">_xlfn.IFS(
B881&lt;=recencyQ1, 4,
B881&lt;=recencyQ2, 3,
B881&lt;=recencyQ3, 2,
TRUE, 1
)</f>
        <v>4</v>
      </c>
      <c r="F881" s="18" cm="1">
        <f t="array" ref="F881">_xlfn.IFS(
C881&lt;=frequencyQ1, 1,
C881&lt;=frequencyQ2, 2,
C881&lt;=frequencyQ3, 3,
TRUE, 4)</f>
        <v>4</v>
      </c>
      <c r="G881" s="18" cm="1">
        <f t="array" ref="G881">_xlfn.IFS(
D881&lt;=monetaryQ1, 1,
D881&lt;=monetaryQ2, 2,
D881&lt;=monetaryQ3, 3,
TRUE, 4)</f>
        <v>4</v>
      </c>
      <c r="H881" s="18" t="str">
        <f t="shared" si="68"/>
        <v>444</v>
      </c>
      <c r="I881" s="19">
        <f t="shared" si="69"/>
        <v>4</v>
      </c>
      <c r="J881" s="7" t="str" cm="1">
        <f t="array" ref="J881">_xlfn.IFS(
I881&gt;=Best_Customers, Best_Customers_name,
I881&gt;=Loyal_Customers, Loyal_Customers_name,
I881&gt;=Average_Customers, Average_Customers_name,
TRUE, Lost_Customers_name)</f>
        <v>Best Customers</v>
      </c>
    </row>
    <row r="882" spans="1:10" x14ac:dyDescent="0.25">
      <c r="A882" s="25" t="str">
        <v>CUST_0883</v>
      </c>
      <c r="B882" s="16">
        <f t="shared" si="65"/>
        <v>107</v>
      </c>
      <c r="C882" s="16">
        <f t="shared" si="66"/>
        <v>4</v>
      </c>
      <c r="D882" s="17">
        <f t="shared" si="67"/>
        <v>326.27</v>
      </c>
      <c r="E882" s="18" cm="1">
        <f t="array" ref="E882">_xlfn.IFS(
B882&lt;=recencyQ1, 4,
B882&lt;=recencyQ2, 3,
B882&lt;=recencyQ3, 2,
TRUE, 1
)</f>
        <v>1</v>
      </c>
      <c r="F882" s="18" cm="1">
        <f t="array" ref="F882">_xlfn.IFS(
C882&lt;=frequencyQ1, 1,
C882&lt;=frequencyQ2, 2,
C882&lt;=frequencyQ3, 3,
TRUE, 4)</f>
        <v>2</v>
      </c>
      <c r="G882" s="18" cm="1">
        <f t="array" ref="G882">_xlfn.IFS(
D882&lt;=monetaryQ1, 1,
D882&lt;=monetaryQ2, 2,
D882&lt;=monetaryQ3, 3,
TRUE, 4)</f>
        <v>2</v>
      </c>
      <c r="H882" s="18" t="str">
        <f t="shared" si="68"/>
        <v>122</v>
      </c>
      <c r="I882" s="19">
        <f t="shared" si="69"/>
        <v>1.6666666666666667</v>
      </c>
      <c r="J882" s="7" t="str" cm="1">
        <f t="array" ref="J882">_xlfn.IFS(
I882&gt;=Best_Customers, Best_Customers_name,
I882&gt;=Loyal_Customers, Loyal_Customers_name,
I882&gt;=Average_Customers, Average_Customers_name,
TRUE, Lost_Customers_name)</f>
        <v>Average Customers</v>
      </c>
    </row>
    <row r="883" spans="1:10" x14ac:dyDescent="0.25">
      <c r="A883" s="25" t="str">
        <v>CUST_0884</v>
      </c>
      <c r="B883" s="16">
        <f t="shared" si="65"/>
        <v>21</v>
      </c>
      <c r="C883" s="16">
        <f t="shared" si="66"/>
        <v>4</v>
      </c>
      <c r="D883" s="17">
        <f t="shared" si="67"/>
        <v>297.64</v>
      </c>
      <c r="E883" s="18" cm="1">
        <f t="array" ref="E883">_xlfn.IFS(
B883&lt;=recencyQ1, 4,
B883&lt;=recencyQ2, 3,
B883&lt;=recencyQ3, 2,
TRUE, 1
)</f>
        <v>3</v>
      </c>
      <c r="F883" s="18" cm="1">
        <f t="array" ref="F883">_xlfn.IFS(
C883&lt;=frequencyQ1, 1,
C883&lt;=frequencyQ2, 2,
C883&lt;=frequencyQ3, 3,
TRUE, 4)</f>
        <v>2</v>
      </c>
      <c r="G883" s="18" cm="1">
        <f t="array" ref="G883">_xlfn.IFS(
D883&lt;=monetaryQ1, 1,
D883&lt;=monetaryQ2, 2,
D883&lt;=monetaryQ3, 3,
TRUE, 4)</f>
        <v>1</v>
      </c>
      <c r="H883" s="18" t="str">
        <f t="shared" si="68"/>
        <v>321</v>
      </c>
      <c r="I883" s="19">
        <f t="shared" si="69"/>
        <v>2</v>
      </c>
      <c r="J883" s="7" t="str" cm="1">
        <f t="array" ref="J883">_xlfn.IFS(
I883&gt;=Best_Customers, Best_Customers_name,
I883&gt;=Loyal_Customers, Loyal_Customers_name,
I883&gt;=Average_Customers, Average_Customers_name,
TRUE, Lost_Customers_name)</f>
        <v>Average Customers</v>
      </c>
    </row>
    <row r="884" spans="1:10" x14ac:dyDescent="0.25">
      <c r="A884" s="25" t="str">
        <v>CUST_0885</v>
      </c>
      <c r="B884" s="16">
        <f t="shared" si="65"/>
        <v>0</v>
      </c>
      <c r="C884" s="16">
        <f t="shared" si="66"/>
        <v>6</v>
      </c>
      <c r="D884" s="17">
        <f t="shared" si="67"/>
        <v>586.47</v>
      </c>
      <c r="E884" s="18" cm="1">
        <f t="array" ref="E884">_xlfn.IFS(
B884&lt;=recencyQ1, 4,
B884&lt;=recencyQ2, 3,
B884&lt;=recencyQ3, 2,
TRUE, 1
)</f>
        <v>4</v>
      </c>
      <c r="F884" s="18" cm="1">
        <f t="array" ref="F884">_xlfn.IFS(
C884&lt;=frequencyQ1, 1,
C884&lt;=frequencyQ2, 2,
C884&lt;=frequencyQ3, 3,
TRUE, 4)</f>
        <v>3</v>
      </c>
      <c r="G884" s="18" cm="1">
        <f t="array" ref="G884">_xlfn.IFS(
D884&lt;=monetaryQ1, 1,
D884&lt;=monetaryQ2, 2,
D884&lt;=monetaryQ3, 3,
TRUE, 4)</f>
        <v>3</v>
      </c>
      <c r="H884" s="18" t="str">
        <f t="shared" si="68"/>
        <v>433</v>
      </c>
      <c r="I884" s="19">
        <f t="shared" si="69"/>
        <v>3.3333333333333335</v>
      </c>
      <c r="J884" s="7" t="str" cm="1">
        <f t="array" ref="J884">_xlfn.IFS(
I884&gt;=Best_Customers, Best_Customers_name,
I884&gt;=Loyal_Customers, Loyal_Customers_name,
I884&gt;=Average_Customers, Average_Customers_name,
TRUE, Lost_Customers_name)</f>
        <v>Loyal Customers</v>
      </c>
    </row>
    <row r="885" spans="1:10" x14ac:dyDescent="0.25">
      <c r="A885" s="25" t="str">
        <v>CUST_0886</v>
      </c>
      <c r="B885" s="16">
        <f t="shared" si="65"/>
        <v>34</v>
      </c>
      <c r="C885" s="16">
        <f t="shared" si="66"/>
        <v>5</v>
      </c>
      <c r="D885" s="17">
        <f t="shared" si="67"/>
        <v>551.42999999999995</v>
      </c>
      <c r="E885" s="18" cm="1">
        <f t="array" ref="E885">_xlfn.IFS(
B885&lt;=recencyQ1, 4,
B885&lt;=recencyQ2, 3,
B885&lt;=recencyQ3, 2,
TRUE, 1
)</f>
        <v>3</v>
      </c>
      <c r="F885" s="18" cm="1">
        <f t="array" ref="F885">_xlfn.IFS(
C885&lt;=frequencyQ1, 1,
C885&lt;=frequencyQ2, 2,
C885&lt;=frequencyQ3, 3,
TRUE, 4)</f>
        <v>2</v>
      </c>
      <c r="G885" s="18" cm="1">
        <f t="array" ref="G885">_xlfn.IFS(
D885&lt;=monetaryQ1, 1,
D885&lt;=monetaryQ2, 2,
D885&lt;=monetaryQ3, 3,
TRUE, 4)</f>
        <v>3</v>
      </c>
      <c r="H885" s="18" t="str">
        <f t="shared" si="68"/>
        <v>323</v>
      </c>
      <c r="I885" s="19">
        <f t="shared" si="69"/>
        <v>2.6666666666666665</v>
      </c>
      <c r="J885" s="7" t="str" cm="1">
        <f t="array" ref="J885">_xlfn.IFS(
I885&gt;=Best_Customers, Best_Customers_name,
I885&gt;=Loyal_Customers, Loyal_Customers_name,
I885&gt;=Average_Customers, Average_Customers_name,
TRUE, Lost_Customers_name)</f>
        <v>Loyal Customers</v>
      </c>
    </row>
    <row r="886" spans="1:10" x14ac:dyDescent="0.25">
      <c r="A886" s="25" t="str">
        <v>CUST_0887</v>
      </c>
      <c r="B886" s="16">
        <f t="shared" si="65"/>
        <v>0</v>
      </c>
      <c r="C886" s="16">
        <f t="shared" si="66"/>
        <v>8</v>
      </c>
      <c r="D886" s="17">
        <f t="shared" si="67"/>
        <v>936.03</v>
      </c>
      <c r="E886" s="18" cm="1">
        <f t="array" ref="E886">_xlfn.IFS(
B886&lt;=recencyQ1, 4,
B886&lt;=recencyQ2, 3,
B886&lt;=recencyQ3, 2,
TRUE, 1
)</f>
        <v>4</v>
      </c>
      <c r="F886" s="18" cm="1">
        <f t="array" ref="F886">_xlfn.IFS(
C886&lt;=frequencyQ1, 1,
C886&lt;=frequencyQ2, 2,
C886&lt;=frequencyQ3, 3,
TRUE, 4)</f>
        <v>4</v>
      </c>
      <c r="G886" s="18" cm="1">
        <f t="array" ref="G886">_xlfn.IFS(
D886&lt;=monetaryQ1, 1,
D886&lt;=monetaryQ2, 2,
D886&lt;=monetaryQ3, 3,
TRUE, 4)</f>
        <v>4</v>
      </c>
      <c r="H886" s="18" t="str">
        <f t="shared" si="68"/>
        <v>444</v>
      </c>
      <c r="I886" s="19">
        <f t="shared" si="69"/>
        <v>4</v>
      </c>
      <c r="J886" s="7" t="str" cm="1">
        <f t="array" ref="J886">_xlfn.IFS(
I886&gt;=Best_Customers, Best_Customers_name,
I886&gt;=Loyal_Customers, Loyal_Customers_name,
I886&gt;=Average_Customers, Average_Customers_name,
TRUE, Lost_Customers_name)</f>
        <v>Best Customers</v>
      </c>
    </row>
    <row r="887" spans="1:10" x14ac:dyDescent="0.25">
      <c r="A887" s="25" t="str">
        <v>CUST_0888</v>
      </c>
      <c r="B887" s="16">
        <f t="shared" si="65"/>
        <v>295</v>
      </c>
      <c r="C887" s="16">
        <f t="shared" si="66"/>
        <v>2</v>
      </c>
      <c r="D887" s="17">
        <f t="shared" si="67"/>
        <v>299.23</v>
      </c>
      <c r="E887" s="18" cm="1">
        <f t="array" ref="E887">_xlfn.IFS(
B887&lt;=recencyQ1, 4,
B887&lt;=recencyQ2, 3,
B887&lt;=recencyQ3, 2,
TRUE, 1
)</f>
        <v>1</v>
      </c>
      <c r="F887" s="18" cm="1">
        <f t="array" ref="F887">_xlfn.IFS(
C887&lt;=frequencyQ1, 1,
C887&lt;=frequencyQ2, 2,
C887&lt;=frequencyQ3, 3,
TRUE, 4)</f>
        <v>1</v>
      </c>
      <c r="G887" s="18" cm="1">
        <f t="array" ref="G887">_xlfn.IFS(
D887&lt;=monetaryQ1, 1,
D887&lt;=monetaryQ2, 2,
D887&lt;=monetaryQ3, 3,
TRUE, 4)</f>
        <v>1</v>
      </c>
      <c r="H887" s="18" t="str">
        <f t="shared" si="68"/>
        <v>111</v>
      </c>
      <c r="I887" s="19">
        <f t="shared" si="69"/>
        <v>1</v>
      </c>
      <c r="J887" s="7" t="str" cm="1">
        <f t="array" ref="J887">_xlfn.IFS(
I887&gt;=Best_Customers, Best_Customers_name,
I887&gt;=Loyal_Customers, Loyal_Customers_name,
I887&gt;=Average_Customers, Average_Customers_name,
TRUE, Lost_Customers_name)</f>
        <v>Lost Customers</v>
      </c>
    </row>
    <row r="888" spans="1:10" x14ac:dyDescent="0.25">
      <c r="A888" s="25" t="str">
        <v>CUST_0889</v>
      </c>
      <c r="B888" s="16">
        <f t="shared" si="65"/>
        <v>320</v>
      </c>
      <c r="C888" s="16">
        <f t="shared" si="66"/>
        <v>1</v>
      </c>
      <c r="D888" s="17">
        <f t="shared" si="67"/>
        <v>74.17</v>
      </c>
      <c r="E888" s="18" cm="1">
        <f t="array" ref="E888">_xlfn.IFS(
B888&lt;=recencyQ1, 4,
B888&lt;=recencyQ2, 3,
B888&lt;=recencyQ3, 2,
TRUE, 1
)</f>
        <v>1</v>
      </c>
      <c r="F888" s="18" cm="1">
        <f t="array" ref="F888">_xlfn.IFS(
C888&lt;=frequencyQ1, 1,
C888&lt;=frequencyQ2, 2,
C888&lt;=frequencyQ3, 3,
TRUE, 4)</f>
        <v>1</v>
      </c>
      <c r="G888" s="18" cm="1">
        <f t="array" ref="G888">_xlfn.IFS(
D888&lt;=monetaryQ1, 1,
D888&lt;=monetaryQ2, 2,
D888&lt;=monetaryQ3, 3,
TRUE, 4)</f>
        <v>1</v>
      </c>
      <c r="H888" s="18" t="str">
        <f t="shared" si="68"/>
        <v>111</v>
      </c>
      <c r="I888" s="19">
        <f t="shared" si="69"/>
        <v>1</v>
      </c>
      <c r="J888" s="7" t="str" cm="1">
        <f t="array" ref="J888">_xlfn.IFS(
I888&gt;=Best_Customers, Best_Customers_name,
I888&gt;=Loyal_Customers, Loyal_Customers_name,
I888&gt;=Average_Customers, Average_Customers_name,
TRUE, Lost_Customers_name)</f>
        <v>Lost Customers</v>
      </c>
    </row>
    <row r="889" spans="1:10" x14ac:dyDescent="0.25">
      <c r="A889" s="25" t="str">
        <v>CUST_0890</v>
      </c>
      <c r="B889" s="16">
        <f t="shared" si="65"/>
        <v>15</v>
      </c>
      <c r="C889" s="16">
        <f t="shared" si="66"/>
        <v>9</v>
      </c>
      <c r="D889" s="17">
        <f t="shared" si="67"/>
        <v>856.08</v>
      </c>
      <c r="E889" s="18" cm="1">
        <f t="array" ref="E889">_xlfn.IFS(
B889&lt;=recencyQ1, 4,
B889&lt;=recencyQ2, 3,
B889&lt;=recencyQ3, 2,
TRUE, 1
)</f>
        <v>4</v>
      </c>
      <c r="F889" s="18" cm="1">
        <f t="array" ref="F889">_xlfn.IFS(
C889&lt;=frequencyQ1, 1,
C889&lt;=frequencyQ2, 2,
C889&lt;=frequencyQ3, 3,
TRUE, 4)</f>
        <v>4</v>
      </c>
      <c r="G889" s="18" cm="1">
        <f t="array" ref="G889">_xlfn.IFS(
D889&lt;=monetaryQ1, 1,
D889&lt;=monetaryQ2, 2,
D889&lt;=monetaryQ3, 3,
TRUE, 4)</f>
        <v>4</v>
      </c>
      <c r="H889" s="18" t="str">
        <f t="shared" si="68"/>
        <v>444</v>
      </c>
      <c r="I889" s="19">
        <f t="shared" si="69"/>
        <v>4</v>
      </c>
      <c r="J889" s="7" t="str" cm="1">
        <f t="array" ref="J889">_xlfn.IFS(
I889&gt;=Best_Customers, Best_Customers_name,
I889&gt;=Loyal_Customers, Loyal_Customers_name,
I889&gt;=Average_Customers, Average_Customers_name,
TRUE, Lost_Customers_name)</f>
        <v>Best Customers</v>
      </c>
    </row>
    <row r="890" spans="1:10" x14ac:dyDescent="0.25">
      <c r="A890" s="25" t="str">
        <v>CUST_0891</v>
      </c>
      <c r="B890" s="16">
        <f t="shared" si="65"/>
        <v>63</v>
      </c>
      <c r="C890" s="16">
        <f t="shared" si="66"/>
        <v>7</v>
      </c>
      <c r="D890" s="17">
        <f t="shared" si="67"/>
        <v>744.36000000000013</v>
      </c>
      <c r="E890" s="18" cm="1">
        <f t="array" ref="E890">_xlfn.IFS(
B890&lt;=recencyQ1, 4,
B890&lt;=recencyQ2, 3,
B890&lt;=recencyQ3, 2,
TRUE, 1
)</f>
        <v>2</v>
      </c>
      <c r="F890" s="18" cm="1">
        <f t="array" ref="F890">_xlfn.IFS(
C890&lt;=frequencyQ1, 1,
C890&lt;=frequencyQ2, 2,
C890&lt;=frequencyQ3, 3,
TRUE, 4)</f>
        <v>4</v>
      </c>
      <c r="G890" s="18" cm="1">
        <f t="array" ref="G890">_xlfn.IFS(
D890&lt;=monetaryQ1, 1,
D890&lt;=monetaryQ2, 2,
D890&lt;=monetaryQ3, 3,
TRUE, 4)</f>
        <v>4</v>
      </c>
      <c r="H890" s="18" t="str">
        <f t="shared" si="68"/>
        <v>244</v>
      </c>
      <c r="I890" s="19">
        <f t="shared" si="69"/>
        <v>3.3333333333333335</v>
      </c>
      <c r="J890" s="7" t="str" cm="1">
        <f t="array" ref="J890">_xlfn.IFS(
I890&gt;=Best_Customers, Best_Customers_name,
I890&gt;=Loyal_Customers, Loyal_Customers_name,
I890&gt;=Average_Customers, Average_Customers_name,
TRUE, Lost_Customers_name)</f>
        <v>Loyal Customers</v>
      </c>
    </row>
    <row r="891" spans="1:10" x14ac:dyDescent="0.25">
      <c r="A891" s="25" t="str">
        <v>CUST_0892</v>
      </c>
      <c r="B891" s="16">
        <f t="shared" si="65"/>
        <v>78</v>
      </c>
      <c r="C891" s="16">
        <f t="shared" si="66"/>
        <v>3</v>
      </c>
      <c r="D891" s="17">
        <f t="shared" si="67"/>
        <v>348.39</v>
      </c>
      <c r="E891" s="18" cm="1">
        <f t="array" ref="E891">_xlfn.IFS(
B891&lt;=recencyQ1, 4,
B891&lt;=recencyQ2, 3,
B891&lt;=recencyQ3, 2,
TRUE, 1
)</f>
        <v>2</v>
      </c>
      <c r="F891" s="18" cm="1">
        <f t="array" ref="F891">_xlfn.IFS(
C891&lt;=frequencyQ1, 1,
C891&lt;=frequencyQ2, 2,
C891&lt;=frequencyQ3, 3,
TRUE, 4)</f>
        <v>1</v>
      </c>
      <c r="G891" s="18" cm="1">
        <f t="array" ref="G891">_xlfn.IFS(
D891&lt;=monetaryQ1, 1,
D891&lt;=monetaryQ2, 2,
D891&lt;=monetaryQ3, 3,
TRUE, 4)</f>
        <v>2</v>
      </c>
      <c r="H891" s="18" t="str">
        <f t="shared" si="68"/>
        <v>212</v>
      </c>
      <c r="I891" s="19">
        <f t="shared" si="69"/>
        <v>1.6666666666666667</v>
      </c>
      <c r="J891" s="7" t="str" cm="1">
        <f t="array" ref="J891">_xlfn.IFS(
I891&gt;=Best_Customers, Best_Customers_name,
I891&gt;=Loyal_Customers, Loyal_Customers_name,
I891&gt;=Average_Customers, Average_Customers_name,
TRUE, Lost_Customers_name)</f>
        <v>Average Customers</v>
      </c>
    </row>
    <row r="892" spans="1:10" x14ac:dyDescent="0.25">
      <c r="A892" s="25" t="str">
        <v>CUST_0893</v>
      </c>
      <c r="B892" s="16">
        <f t="shared" si="65"/>
        <v>125</v>
      </c>
      <c r="C892" s="16">
        <f t="shared" si="66"/>
        <v>3</v>
      </c>
      <c r="D892" s="17">
        <f t="shared" si="67"/>
        <v>362.84000000000003</v>
      </c>
      <c r="E892" s="18" cm="1">
        <f t="array" ref="E892">_xlfn.IFS(
B892&lt;=recencyQ1, 4,
B892&lt;=recencyQ2, 3,
B892&lt;=recencyQ3, 2,
TRUE, 1
)</f>
        <v>1</v>
      </c>
      <c r="F892" s="18" cm="1">
        <f t="array" ref="F892">_xlfn.IFS(
C892&lt;=frequencyQ1, 1,
C892&lt;=frequencyQ2, 2,
C892&lt;=frequencyQ3, 3,
TRUE, 4)</f>
        <v>1</v>
      </c>
      <c r="G892" s="18" cm="1">
        <f t="array" ref="G892">_xlfn.IFS(
D892&lt;=monetaryQ1, 1,
D892&lt;=monetaryQ2, 2,
D892&lt;=monetaryQ3, 3,
TRUE, 4)</f>
        <v>2</v>
      </c>
      <c r="H892" s="18" t="str">
        <f t="shared" si="68"/>
        <v>112</v>
      </c>
      <c r="I892" s="19">
        <f t="shared" si="69"/>
        <v>1.3333333333333333</v>
      </c>
      <c r="J892" s="7" t="str" cm="1">
        <f t="array" ref="J892">_xlfn.IFS(
I892&gt;=Best_Customers, Best_Customers_name,
I892&gt;=Loyal_Customers, Loyal_Customers_name,
I892&gt;=Average_Customers, Average_Customers_name,
TRUE, Lost_Customers_name)</f>
        <v>Lost Customers</v>
      </c>
    </row>
    <row r="893" spans="1:10" x14ac:dyDescent="0.25">
      <c r="A893" s="25" t="str">
        <v>CUST_0894</v>
      </c>
      <c r="B893" s="16">
        <f t="shared" si="65"/>
        <v>199</v>
      </c>
      <c r="C893" s="16">
        <f t="shared" si="66"/>
        <v>3</v>
      </c>
      <c r="D893" s="17">
        <f t="shared" si="67"/>
        <v>356.69</v>
      </c>
      <c r="E893" s="18" cm="1">
        <f t="array" ref="E893">_xlfn.IFS(
B893&lt;=recencyQ1, 4,
B893&lt;=recencyQ2, 3,
B893&lt;=recencyQ3, 2,
TRUE, 1
)</f>
        <v>1</v>
      </c>
      <c r="F893" s="18" cm="1">
        <f t="array" ref="F893">_xlfn.IFS(
C893&lt;=frequencyQ1, 1,
C893&lt;=frequencyQ2, 2,
C893&lt;=frequencyQ3, 3,
TRUE, 4)</f>
        <v>1</v>
      </c>
      <c r="G893" s="18" cm="1">
        <f t="array" ref="G893">_xlfn.IFS(
D893&lt;=monetaryQ1, 1,
D893&lt;=monetaryQ2, 2,
D893&lt;=monetaryQ3, 3,
TRUE, 4)</f>
        <v>2</v>
      </c>
      <c r="H893" s="18" t="str">
        <f t="shared" si="68"/>
        <v>112</v>
      </c>
      <c r="I893" s="19">
        <f t="shared" si="69"/>
        <v>1.3333333333333333</v>
      </c>
      <c r="J893" s="7" t="str" cm="1">
        <f t="array" ref="J893">_xlfn.IFS(
I893&gt;=Best_Customers, Best_Customers_name,
I893&gt;=Loyal_Customers, Loyal_Customers_name,
I893&gt;=Average_Customers, Average_Customers_name,
TRUE, Lost_Customers_name)</f>
        <v>Lost Customers</v>
      </c>
    </row>
    <row r="894" spans="1:10" x14ac:dyDescent="0.25">
      <c r="A894" s="25" t="str">
        <v>CUST_0895</v>
      </c>
      <c r="B894" s="16">
        <f t="shared" si="65"/>
        <v>98</v>
      </c>
      <c r="C894" s="16">
        <f t="shared" si="66"/>
        <v>6</v>
      </c>
      <c r="D894" s="17">
        <f t="shared" si="67"/>
        <v>632.47</v>
      </c>
      <c r="E894" s="18" cm="1">
        <f t="array" ref="E894">_xlfn.IFS(
B894&lt;=recencyQ1, 4,
B894&lt;=recencyQ2, 3,
B894&lt;=recencyQ3, 2,
TRUE, 1
)</f>
        <v>1</v>
      </c>
      <c r="F894" s="18" cm="1">
        <f t="array" ref="F894">_xlfn.IFS(
C894&lt;=frequencyQ1, 1,
C894&lt;=frequencyQ2, 2,
C894&lt;=frequencyQ3, 3,
TRUE, 4)</f>
        <v>3</v>
      </c>
      <c r="G894" s="18" cm="1">
        <f t="array" ref="G894">_xlfn.IFS(
D894&lt;=monetaryQ1, 1,
D894&lt;=monetaryQ2, 2,
D894&lt;=monetaryQ3, 3,
TRUE, 4)</f>
        <v>3</v>
      </c>
      <c r="H894" s="18" t="str">
        <f t="shared" si="68"/>
        <v>133</v>
      </c>
      <c r="I894" s="19">
        <f t="shared" si="69"/>
        <v>2.3333333333333335</v>
      </c>
      <c r="J894" s="7" t="str" cm="1">
        <f t="array" ref="J894">_xlfn.IFS(
I894&gt;=Best_Customers, Best_Customers_name,
I894&gt;=Loyal_Customers, Loyal_Customers_name,
I894&gt;=Average_Customers, Average_Customers_name,
TRUE, Lost_Customers_name)</f>
        <v>Average Customers</v>
      </c>
    </row>
    <row r="895" spans="1:10" x14ac:dyDescent="0.25">
      <c r="A895" s="25" t="str">
        <v>CUST_0896</v>
      </c>
      <c r="B895" s="16">
        <f t="shared" si="65"/>
        <v>7</v>
      </c>
      <c r="C895" s="16">
        <f t="shared" si="66"/>
        <v>4</v>
      </c>
      <c r="D895" s="17">
        <f t="shared" si="67"/>
        <v>380.76</v>
      </c>
      <c r="E895" s="18" cm="1">
        <f t="array" ref="E895">_xlfn.IFS(
B895&lt;=recencyQ1, 4,
B895&lt;=recencyQ2, 3,
B895&lt;=recencyQ3, 2,
TRUE, 1
)</f>
        <v>4</v>
      </c>
      <c r="F895" s="18" cm="1">
        <f t="array" ref="F895">_xlfn.IFS(
C895&lt;=frequencyQ1, 1,
C895&lt;=frequencyQ2, 2,
C895&lt;=frequencyQ3, 3,
TRUE, 4)</f>
        <v>2</v>
      </c>
      <c r="G895" s="18" cm="1">
        <f t="array" ref="G895">_xlfn.IFS(
D895&lt;=monetaryQ1, 1,
D895&lt;=monetaryQ2, 2,
D895&lt;=monetaryQ3, 3,
TRUE, 4)</f>
        <v>2</v>
      </c>
      <c r="H895" s="18" t="str">
        <f t="shared" si="68"/>
        <v>422</v>
      </c>
      <c r="I895" s="19">
        <f t="shared" si="69"/>
        <v>2.6666666666666665</v>
      </c>
      <c r="J895" s="7" t="str" cm="1">
        <f t="array" ref="J895">_xlfn.IFS(
I895&gt;=Best_Customers, Best_Customers_name,
I895&gt;=Loyal_Customers, Loyal_Customers_name,
I895&gt;=Average_Customers, Average_Customers_name,
TRUE, Lost_Customers_name)</f>
        <v>Loyal Customers</v>
      </c>
    </row>
    <row r="896" spans="1:10" x14ac:dyDescent="0.25">
      <c r="A896" s="25" t="str">
        <v>CUST_0897</v>
      </c>
      <c r="B896" s="16">
        <f t="shared" si="65"/>
        <v>38</v>
      </c>
      <c r="C896" s="16">
        <f t="shared" si="66"/>
        <v>3</v>
      </c>
      <c r="D896" s="17">
        <f t="shared" si="67"/>
        <v>267.85000000000002</v>
      </c>
      <c r="E896" s="18" cm="1">
        <f t="array" ref="E896">_xlfn.IFS(
B896&lt;=recencyQ1, 4,
B896&lt;=recencyQ2, 3,
B896&lt;=recencyQ3, 2,
TRUE, 1
)</f>
        <v>3</v>
      </c>
      <c r="F896" s="18" cm="1">
        <f t="array" ref="F896">_xlfn.IFS(
C896&lt;=frequencyQ1, 1,
C896&lt;=frequencyQ2, 2,
C896&lt;=frequencyQ3, 3,
TRUE, 4)</f>
        <v>1</v>
      </c>
      <c r="G896" s="18" cm="1">
        <f t="array" ref="G896">_xlfn.IFS(
D896&lt;=monetaryQ1, 1,
D896&lt;=monetaryQ2, 2,
D896&lt;=monetaryQ3, 3,
TRUE, 4)</f>
        <v>1</v>
      </c>
      <c r="H896" s="18" t="str">
        <f t="shared" si="68"/>
        <v>311</v>
      </c>
      <c r="I896" s="19">
        <f t="shared" si="69"/>
        <v>1.6666666666666667</v>
      </c>
      <c r="J896" s="7" t="str" cm="1">
        <f t="array" ref="J896">_xlfn.IFS(
I896&gt;=Best_Customers, Best_Customers_name,
I896&gt;=Loyal_Customers, Loyal_Customers_name,
I896&gt;=Average_Customers, Average_Customers_name,
TRUE, Lost_Customers_name)</f>
        <v>Average Customers</v>
      </c>
    </row>
    <row r="897" spans="1:10" x14ac:dyDescent="0.25">
      <c r="A897" s="25" t="str">
        <v>CUST_0898</v>
      </c>
      <c r="B897" s="16">
        <f t="shared" si="65"/>
        <v>77</v>
      </c>
      <c r="C897" s="16">
        <f t="shared" si="66"/>
        <v>7</v>
      </c>
      <c r="D897" s="17">
        <f t="shared" si="67"/>
        <v>711.58</v>
      </c>
      <c r="E897" s="18" cm="1">
        <f t="array" ref="E897">_xlfn.IFS(
B897&lt;=recencyQ1, 4,
B897&lt;=recencyQ2, 3,
B897&lt;=recencyQ3, 2,
TRUE, 1
)</f>
        <v>2</v>
      </c>
      <c r="F897" s="18" cm="1">
        <f t="array" ref="F897">_xlfn.IFS(
C897&lt;=frequencyQ1, 1,
C897&lt;=frequencyQ2, 2,
C897&lt;=frequencyQ3, 3,
TRUE, 4)</f>
        <v>4</v>
      </c>
      <c r="G897" s="18" cm="1">
        <f t="array" ref="G897">_xlfn.IFS(
D897&lt;=monetaryQ1, 1,
D897&lt;=monetaryQ2, 2,
D897&lt;=monetaryQ3, 3,
TRUE, 4)</f>
        <v>4</v>
      </c>
      <c r="H897" s="18" t="str">
        <f t="shared" si="68"/>
        <v>244</v>
      </c>
      <c r="I897" s="19">
        <f t="shared" si="69"/>
        <v>3.3333333333333335</v>
      </c>
      <c r="J897" s="7" t="str" cm="1">
        <f t="array" ref="J897">_xlfn.IFS(
I897&gt;=Best_Customers, Best_Customers_name,
I897&gt;=Loyal_Customers, Loyal_Customers_name,
I897&gt;=Average_Customers, Average_Customers_name,
TRUE, Lost_Customers_name)</f>
        <v>Loyal Customers</v>
      </c>
    </row>
    <row r="898" spans="1:10" x14ac:dyDescent="0.25">
      <c r="A898" s="25" t="str">
        <v>CUST_0899</v>
      </c>
      <c r="B898" s="16">
        <f t="shared" si="65"/>
        <v>73</v>
      </c>
      <c r="C898" s="16">
        <f t="shared" si="66"/>
        <v>7</v>
      </c>
      <c r="D898" s="17">
        <f t="shared" si="67"/>
        <v>654.96999999999991</v>
      </c>
      <c r="E898" s="18" cm="1">
        <f t="array" ref="E898">_xlfn.IFS(
B898&lt;=recencyQ1, 4,
B898&lt;=recencyQ2, 3,
B898&lt;=recencyQ3, 2,
TRUE, 1
)</f>
        <v>2</v>
      </c>
      <c r="F898" s="18" cm="1">
        <f t="array" ref="F898">_xlfn.IFS(
C898&lt;=frequencyQ1, 1,
C898&lt;=frequencyQ2, 2,
C898&lt;=frequencyQ3, 3,
TRUE, 4)</f>
        <v>4</v>
      </c>
      <c r="G898" s="18" cm="1">
        <f t="array" ref="G898">_xlfn.IFS(
D898&lt;=monetaryQ1, 1,
D898&lt;=monetaryQ2, 2,
D898&lt;=monetaryQ3, 3,
TRUE, 4)</f>
        <v>3</v>
      </c>
      <c r="H898" s="18" t="str">
        <f t="shared" si="68"/>
        <v>243</v>
      </c>
      <c r="I898" s="19">
        <f t="shared" si="69"/>
        <v>3</v>
      </c>
      <c r="J898" s="7" t="str" cm="1">
        <f t="array" ref="J898">_xlfn.IFS(
I898&gt;=Best_Customers, Best_Customers_name,
I898&gt;=Loyal_Customers, Loyal_Customers_name,
I898&gt;=Average_Customers, Average_Customers_name,
TRUE, Lost_Customers_name)</f>
        <v>Loyal Customers</v>
      </c>
    </row>
    <row r="899" spans="1:10" x14ac:dyDescent="0.25">
      <c r="A899" s="25" t="str">
        <v>CUST_0900</v>
      </c>
      <c r="B899" s="16">
        <f t="shared" si="65"/>
        <v>86</v>
      </c>
      <c r="C899" s="16">
        <f t="shared" si="66"/>
        <v>3</v>
      </c>
      <c r="D899" s="17">
        <f t="shared" si="67"/>
        <v>328.9</v>
      </c>
      <c r="E899" s="18" cm="1">
        <f t="array" ref="E899">_xlfn.IFS(
B899&lt;=recencyQ1, 4,
B899&lt;=recencyQ2, 3,
B899&lt;=recencyQ3, 2,
TRUE, 1
)</f>
        <v>2</v>
      </c>
      <c r="F899" s="18" cm="1">
        <f t="array" ref="F899">_xlfn.IFS(
C899&lt;=frequencyQ1, 1,
C899&lt;=frequencyQ2, 2,
C899&lt;=frequencyQ3, 3,
TRUE, 4)</f>
        <v>1</v>
      </c>
      <c r="G899" s="18" cm="1">
        <f t="array" ref="G899">_xlfn.IFS(
D899&lt;=monetaryQ1, 1,
D899&lt;=monetaryQ2, 2,
D899&lt;=monetaryQ3, 3,
TRUE, 4)</f>
        <v>2</v>
      </c>
      <c r="H899" s="18" t="str">
        <f t="shared" si="68"/>
        <v>212</v>
      </c>
      <c r="I899" s="19">
        <f t="shared" si="69"/>
        <v>1.6666666666666667</v>
      </c>
      <c r="J899" s="7" t="str" cm="1">
        <f t="array" ref="J899">_xlfn.IFS(
I899&gt;=Best_Customers, Best_Customers_name,
I899&gt;=Loyal_Customers, Loyal_Customers_name,
I899&gt;=Average_Customers, Average_Customers_name,
TRUE, Lost_Customers_name)</f>
        <v>Average Customers</v>
      </c>
    </row>
    <row r="900" spans="1:10" x14ac:dyDescent="0.25">
      <c r="A900" s="25" t="str">
        <v>CUST_0901</v>
      </c>
      <c r="B900" s="16">
        <f t="shared" si="65"/>
        <v>44</v>
      </c>
      <c r="C900" s="16">
        <f t="shared" si="66"/>
        <v>4</v>
      </c>
      <c r="D900" s="17">
        <f t="shared" si="67"/>
        <v>408.84999999999997</v>
      </c>
      <c r="E900" s="18" cm="1">
        <f t="array" ref="E900">_xlfn.IFS(
B900&lt;=recencyQ1, 4,
B900&lt;=recencyQ2, 3,
B900&lt;=recencyQ3, 2,
TRUE, 1
)</f>
        <v>3</v>
      </c>
      <c r="F900" s="18" cm="1">
        <f t="array" ref="F900">_xlfn.IFS(
C900&lt;=frequencyQ1, 1,
C900&lt;=frequencyQ2, 2,
C900&lt;=frequencyQ3, 3,
TRUE, 4)</f>
        <v>2</v>
      </c>
      <c r="G900" s="18" cm="1">
        <f t="array" ref="G900">_xlfn.IFS(
D900&lt;=monetaryQ1, 1,
D900&lt;=monetaryQ2, 2,
D900&lt;=monetaryQ3, 3,
TRUE, 4)</f>
        <v>2</v>
      </c>
      <c r="H900" s="18" t="str">
        <f t="shared" si="68"/>
        <v>322</v>
      </c>
      <c r="I900" s="19">
        <f t="shared" si="69"/>
        <v>2.3333333333333335</v>
      </c>
      <c r="J900" s="7" t="str" cm="1">
        <f t="array" ref="J900">_xlfn.IFS(
I900&gt;=Best_Customers, Best_Customers_name,
I900&gt;=Loyal_Customers, Loyal_Customers_name,
I900&gt;=Average_Customers, Average_Customers_name,
TRUE, Lost_Customers_name)</f>
        <v>Average Customers</v>
      </c>
    </row>
    <row r="901" spans="1:10" x14ac:dyDescent="0.25">
      <c r="A901" s="25" t="str">
        <v>CUST_0902</v>
      </c>
      <c r="B901" s="16">
        <f t="shared" si="65"/>
        <v>37</v>
      </c>
      <c r="C901" s="16">
        <f t="shared" si="66"/>
        <v>6</v>
      </c>
      <c r="D901" s="17">
        <f t="shared" si="67"/>
        <v>523.54</v>
      </c>
      <c r="E901" s="18" cm="1">
        <f t="array" ref="E901">_xlfn.IFS(
B901&lt;=recencyQ1, 4,
B901&lt;=recencyQ2, 3,
B901&lt;=recencyQ3, 2,
TRUE, 1
)</f>
        <v>3</v>
      </c>
      <c r="F901" s="18" cm="1">
        <f t="array" ref="F901">_xlfn.IFS(
C901&lt;=frequencyQ1, 1,
C901&lt;=frequencyQ2, 2,
C901&lt;=frequencyQ3, 3,
TRUE, 4)</f>
        <v>3</v>
      </c>
      <c r="G901" s="18" cm="1">
        <f t="array" ref="G901">_xlfn.IFS(
D901&lt;=monetaryQ1, 1,
D901&lt;=monetaryQ2, 2,
D901&lt;=monetaryQ3, 3,
TRUE, 4)</f>
        <v>3</v>
      </c>
      <c r="H901" s="18" t="str">
        <f t="shared" si="68"/>
        <v>333</v>
      </c>
      <c r="I901" s="19">
        <f t="shared" si="69"/>
        <v>3</v>
      </c>
      <c r="J901" s="7" t="str" cm="1">
        <f t="array" ref="J901">_xlfn.IFS(
I901&gt;=Best_Customers, Best_Customers_name,
I901&gt;=Loyal_Customers, Loyal_Customers_name,
I901&gt;=Average_Customers, Average_Customers_name,
TRUE, Lost_Customers_name)</f>
        <v>Loyal Customers</v>
      </c>
    </row>
    <row r="902" spans="1:10" x14ac:dyDescent="0.25">
      <c r="A902" s="25" t="str">
        <v>CUST_0903</v>
      </c>
      <c r="B902" s="16">
        <f t="shared" si="65"/>
        <v>33</v>
      </c>
      <c r="C902" s="16">
        <f t="shared" si="66"/>
        <v>3</v>
      </c>
      <c r="D902" s="17">
        <f t="shared" si="67"/>
        <v>312.45</v>
      </c>
      <c r="E902" s="18" cm="1">
        <f t="array" ref="E902">_xlfn.IFS(
B902&lt;=recencyQ1, 4,
B902&lt;=recencyQ2, 3,
B902&lt;=recencyQ3, 2,
TRUE, 1
)</f>
        <v>3</v>
      </c>
      <c r="F902" s="18" cm="1">
        <f t="array" ref="F902">_xlfn.IFS(
C902&lt;=frequencyQ1, 1,
C902&lt;=frequencyQ2, 2,
C902&lt;=frequencyQ3, 3,
TRUE, 4)</f>
        <v>1</v>
      </c>
      <c r="G902" s="18" cm="1">
        <f t="array" ref="G902">_xlfn.IFS(
D902&lt;=monetaryQ1, 1,
D902&lt;=monetaryQ2, 2,
D902&lt;=monetaryQ3, 3,
TRUE, 4)</f>
        <v>1</v>
      </c>
      <c r="H902" s="18" t="str">
        <f t="shared" si="68"/>
        <v>311</v>
      </c>
      <c r="I902" s="19">
        <f t="shared" si="69"/>
        <v>1.6666666666666667</v>
      </c>
      <c r="J902" s="7" t="str" cm="1">
        <f t="array" ref="J902">_xlfn.IFS(
I902&gt;=Best_Customers, Best_Customers_name,
I902&gt;=Loyal_Customers, Loyal_Customers_name,
I902&gt;=Average_Customers, Average_Customers_name,
TRUE, Lost_Customers_name)</f>
        <v>Average Customers</v>
      </c>
    </row>
    <row r="903" spans="1:10" x14ac:dyDescent="0.25">
      <c r="A903" s="25" t="str">
        <v>CUST_0904</v>
      </c>
      <c r="B903" s="16">
        <f t="shared" si="65"/>
        <v>3</v>
      </c>
      <c r="C903" s="16">
        <f t="shared" si="66"/>
        <v>6</v>
      </c>
      <c r="D903" s="17">
        <f t="shared" si="67"/>
        <v>625.4</v>
      </c>
      <c r="E903" s="18" cm="1">
        <f t="array" ref="E903">_xlfn.IFS(
B903&lt;=recencyQ1, 4,
B903&lt;=recencyQ2, 3,
B903&lt;=recencyQ3, 2,
TRUE, 1
)</f>
        <v>4</v>
      </c>
      <c r="F903" s="18" cm="1">
        <f t="array" ref="F903">_xlfn.IFS(
C903&lt;=frequencyQ1, 1,
C903&lt;=frequencyQ2, 2,
C903&lt;=frequencyQ3, 3,
TRUE, 4)</f>
        <v>3</v>
      </c>
      <c r="G903" s="18" cm="1">
        <f t="array" ref="G903">_xlfn.IFS(
D903&lt;=monetaryQ1, 1,
D903&lt;=monetaryQ2, 2,
D903&lt;=monetaryQ3, 3,
TRUE, 4)</f>
        <v>3</v>
      </c>
      <c r="H903" s="18" t="str">
        <f t="shared" si="68"/>
        <v>433</v>
      </c>
      <c r="I903" s="19">
        <f t="shared" si="69"/>
        <v>3.3333333333333335</v>
      </c>
      <c r="J903" s="7" t="str" cm="1">
        <f t="array" ref="J903">_xlfn.IFS(
I903&gt;=Best_Customers, Best_Customers_name,
I903&gt;=Loyal_Customers, Loyal_Customers_name,
I903&gt;=Average_Customers, Average_Customers_name,
TRUE, Lost_Customers_name)</f>
        <v>Loyal Customers</v>
      </c>
    </row>
    <row r="904" spans="1:10" x14ac:dyDescent="0.25">
      <c r="A904" s="25" t="str">
        <v>CUST_0905</v>
      </c>
      <c r="B904" s="16">
        <f t="shared" si="65"/>
        <v>38</v>
      </c>
      <c r="C904" s="16">
        <f t="shared" si="66"/>
        <v>6</v>
      </c>
      <c r="D904" s="17">
        <f t="shared" si="67"/>
        <v>701.13</v>
      </c>
      <c r="E904" s="18" cm="1">
        <f t="array" ref="E904">_xlfn.IFS(
B904&lt;=recencyQ1, 4,
B904&lt;=recencyQ2, 3,
B904&lt;=recencyQ3, 2,
TRUE, 1
)</f>
        <v>3</v>
      </c>
      <c r="F904" s="18" cm="1">
        <f t="array" ref="F904">_xlfn.IFS(
C904&lt;=frequencyQ1, 1,
C904&lt;=frequencyQ2, 2,
C904&lt;=frequencyQ3, 3,
TRUE, 4)</f>
        <v>3</v>
      </c>
      <c r="G904" s="18" cm="1">
        <f t="array" ref="G904">_xlfn.IFS(
D904&lt;=monetaryQ1, 1,
D904&lt;=monetaryQ2, 2,
D904&lt;=monetaryQ3, 3,
TRUE, 4)</f>
        <v>4</v>
      </c>
      <c r="H904" s="18" t="str">
        <f t="shared" si="68"/>
        <v>334</v>
      </c>
      <c r="I904" s="19">
        <f t="shared" si="69"/>
        <v>3.3333333333333335</v>
      </c>
      <c r="J904" s="7" t="str" cm="1">
        <f t="array" ref="J904">_xlfn.IFS(
I904&gt;=Best_Customers, Best_Customers_name,
I904&gt;=Loyal_Customers, Loyal_Customers_name,
I904&gt;=Average_Customers, Average_Customers_name,
TRUE, Lost_Customers_name)</f>
        <v>Loyal Customers</v>
      </c>
    </row>
    <row r="905" spans="1:10" x14ac:dyDescent="0.25">
      <c r="A905" s="25" t="str">
        <v>CUST_0906</v>
      </c>
      <c r="B905" s="16">
        <f t="shared" si="65"/>
        <v>53</v>
      </c>
      <c r="C905" s="16">
        <f t="shared" si="66"/>
        <v>4</v>
      </c>
      <c r="D905" s="17">
        <f t="shared" si="67"/>
        <v>372.73</v>
      </c>
      <c r="E905" s="18" cm="1">
        <f t="array" ref="E905">_xlfn.IFS(
B905&lt;=recencyQ1, 4,
B905&lt;=recencyQ2, 3,
B905&lt;=recencyQ3, 2,
TRUE, 1
)</f>
        <v>2</v>
      </c>
      <c r="F905" s="18" cm="1">
        <f t="array" ref="F905">_xlfn.IFS(
C905&lt;=frequencyQ1, 1,
C905&lt;=frequencyQ2, 2,
C905&lt;=frequencyQ3, 3,
TRUE, 4)</f>
        <v>2</v>
      </c>
      <c r="G905" s="18" cm="1">
        <f t="array" ref="G905">_xlfn.IFS(
D905&lt;=monetaryQ1, 1,
D905&lt;=monetaryQ2, 2,
D905&lt;=monetaryQ3, 3,
TRUE, 4)</f>
        <v>2</v>
      </c>
      <c r="H905" s="18" t="str">
        <f t="shared" si="68"/>
        <v>222</v>
      </c>
      <c r="I905" s="19">
        <f t="shared" si="69"/>
        <v>2</v>
      </c>
      <c r="J905" s="7" t="str" cm="1">
        <f t="array" ref="J905">_xlfn.IFS(
I905&gt;=Best_Customers, Best_Customers_name,
I905&gt;=Loyal_Customers, Loyal_Customers_name,
I905&gt;=Average_Customers, Average_Customers_name,
TRUE, Lost_Customers_name)</f>
        <v>Average Customers</v>
      </c>
    </row>
    <row r="906" spans="1:10" x14ac:dyDescent="0.25">
      <c r="A906" s="25" t="str">
        <v>CUST_0907</v>
      </c>
      <c r="B906" s="16">
        <f t="shared" ref="B906:B969" si="70">analysis_date-_xlfn.MAXIFS(transaction_date,customer_id,A906,included,1)</f>
        <v>1</v>
      </c>
      <c r="C906" s="16">
        <f t="shared" ref="C906:C969" si="71">COUNTIFS(customer_id,A906,included,1)</f>
        <v>4</v>
      </c>
      <c r="D906" s="17">
        <f t="shared" ref="D906:D969" si="72">SUMIFS(transaction_amount,customer_id,A906,included,1)</f>
        <v>417.14</v>
      </c>
      <c r="E906" s="18" cm="1">
        <f t="array" ref="E906">_xlfn.IFS(
B906&lt;=recencyQ1, 4,
B906&lt;=recencyQ2, 3,
B906&lt;=recencyQ3, 2,
TRUE, 1
)</f>
        <v>4</v>
      </c>
      <c r="F906" s="18" cm="1">
        <f t="array" ref="F906">_xlfn.IFS(
C906&lt;=frequencyQ1, 1,
C906&lt;=frequencyQ2, 2,
C906&lt;=frequencyQ3, 3,
TRUE, 4)</f>
        <v>2</v>
      </c>
      <c r="G906" s="18" cm="1">
        <f t="array" ref="G906">_xlfn.IFS(
D906&lt;=monetaryQ1, 1,
D906&lt;=monetaryQ2, 2,
D906&lt;=monetaryQ3, 3,
TRUE, 4)</f>
        <v>2</v>
      </c>
      <c r="H906" s="18" t="str">
        <f t="shared" ref="H906:H969" si="73">E906&amp;F906&amp;G906</f>
        <v>422</v>
      </c>
      <c r="I906" s="19">
        <f t="shared" ref="I906:I969" si="74">AVERAGE(E906:G906)</f>
        <v>2.6666666666666665</v>
      </c>
      <c r="J906" s="7" t="str" cm="1">
        <f t="array" ref="J906">_xlfn.IFS(
I906&gt;=Best_Customers, Best_Customers_name,
I906&gt;=Loyal_Customers, Loyal_Customers_name,
I906&gt;=Average_Customers, Average_Customers_name,
TRUE, Lost_Customers_name)</f>
        <v>Loyal Customers</v>
      </c>
    </row>
    <row r="907" spans="1:10" x14ac:dyDescent="0.25">
      <c r="A907" s="25" t="str">
        <v>CUST_0908</v>
      </c>
      <c r="B907" s="16">
        <f t="shared" si="70"/>
        <v>16</v>
      </c>
      <c r="C907" s="16">
        <f t="shared" si="71"/>
        <v>6</v>
      </c>
      <c r="D907" s="17">
        <f t="shared" si="72"/>
        <v>593.64</v>
      </c>
      <c r="E907" s="18" cm="1">
        <f t="array" ref="E907">_xlfn.IFS(
B907&lt;=recencyQ1, 4,
B907&lt;=recencyQ2, 3,
B907&lt;=recencyQ3, 2,
TRUE, 1
)</f>
        <v>4</v>
      </c>
      <c r="F907" s="18" cm="1">
        <f t="array" ref="F907">_xlfn.IFS(
C907&lt;=frequencyQ1, 1,
C907&lt;=frequencyQ2, 2,
C907&lt;=frequencyQ3, 3,
TRUE, 4)</f>
        <v>3</v>
      </c>
      <c r="G907" s="18" cm="1">
        <f t="array" ref="G907">_xlfn.IFS(
D907&lt;=monetaryQ1, 1,
D907&lt;=monetaryQ2, 2,
D907&lt;=monetaryQ3, 3,
TRUE, 4)</f>
        <v>3</v>
      </c>
      <c r="H907" s="18" t="str">
        <f t="shared" si="73"/>
        <v>433</v>
      </c>
      <c r="I907" s="19">
        <f t="shared" si="74"/>
        <v>3.3333333333333335</v>
      </c>
      <c r="J907" s="7" t="str" cm="1">
        <f t="array" ref="J907">_xlfn.IFS(
I907&gt;=Best_Customers, Best_Customers_name,
I907&gt;=Loyal_Customers, Loyal_Customers_name,
I907&gt;=Average_Customers, Average_Customers_name,
TRUE, Lost_Customers_name)</f>
        <v>Loyal Customers</v>
      </c>
    </row>
    <row r="908" spans="1:10" x14ac:dyDescent="0.25">
      <c r="A908" s="25" t="str">
        <v>CUST_0909</v>
      </c>
      <c r="B908" s="16">
        <f t="shared" si="70"/>
        <v>7</v>
      </c>
      <c r="C908" s="16">
        <f t="shared" si="71"/>
        <v>5</v>
      </c>
      <c r="D908" s="17">
        <f t="shared" si="72"/>
        <v>589.28</v>
      </c>
      <c r="E908" s="18" cm="1">
        <f t="array" ref="E908">_xlfn.IFS(
B908&lt;=recencyQ1, 4,
B908&lt;=recencyQ2, 3,
B908&lt;=recencyQ3, 2,
TRUE, 1
)</f>
        <v>4</v>
      </c>
      <c r="F908" s="18" cm="1">
        <f t="array" ref="F908">_xlfn.IFS(
C908&lt;=frequencyQ1, 1,
C908&lt;=frequencyQ2, 2,
C908&lt;=frequencyQ3, 3,
TRUE, 4)</f>
        <v>2</v>
      </c>
      <c r="G908" s="18" cm="1">
        <f t="array" ref="G908">_xlfn.IFS(
D908&lt;=monetaryQ1, 1,
D908&lt;=monetaryQ2, 2,
D908&lt;=monetaryQ3, 3,
TRUE, 4)</f>
        <v>3</v>
      </c>
      <c r="H908" s="18" t="str">
        <f t="shared" si="73"/>
        <v>423</v>
      </c>
      <c r="I908" s="19">
        <f t="shared" si="74"/>
        <v>3</v>
      </c>
      <c r="J908" s="7" t="str" cm="1">
        <f t="array" ref="J908">_xlfn.IFS(
I908&gt;=Best_Customers, Best_Customers_name,
I908&gt;=Loyal_Customers, Loyal_Customers_name,
I908&gt;=Average_Customers, Average_Customers_name,
TRUE, Lost_Customers_name)</f>
        <v>Loyal Customers</v>
      </c>
    </row>
    <row r="909" spans="1:10" x14ac:dyDescent="0.25">
      <c r="A909" s="25" t="str">
        <v>CUST_0910</v>
      </c>
      <c r="B909" s="16">
        <f t="shared" si="70"/>
        <v>165</v>
      </c>
      <c r="C909" s="16">
        <f t="shared" si="71"/>
        <v>6</v>
      </c>
      <c r="D909" s="17">
        <f t="shared" si="72"/>
        <v>540.5</v>
      </c>
      <c r="E909" s="18" cm="1">
        <f t="array" ref="E909">_xlfn.IFS(
B909&lt;=recencyQ1, 4,
B909&lt;=recencyQ2, 3,
B909&lt;=recencyQ3, 2,
TRUE, 1
)</f>
        <v>1</v>
      </c>
      <c r="F909" s="18" cm="1">
        <f t="array" ref="F909">_xlfn.IFS(
C909&lt;=frequencyQ1, 1,
C909&lt;=frequencyQ2, 2,
C909&lt;=frequencyQ3, 3,
TRUE, 4)</f>
        <v>3</v>
      </c>
      <c r="G909" s="18" cm="1">
        <f t="array" ref="G909">_xlfn.IFS(
D909&lt;=monetaryQ1, 1,
D909&lt;=monetaryQ2, 2,
D909&lt;=monetaryQ3, 3,
TRUE, 4)</f>
        <v>3</v>
      </c>
      <c r="H909" s="18" t="str">
        <f t="shared" si="73"/>
        <v>133</v>
      </c>
      <c r="I909" s="19">
        <f t="shared" si="74"/>
        <v>2.3333333333333335</v>
      </c>
      <c r="J909" s="7" t="str" cm="1">
        <f t="array" ref="J909">_xlfn.IFS(
I909&gt;=Best_Customers, Best_Customers_name,
I909&gt;=Loyal_Customers, Loyal_Customers_name,
I909&gt;=Average_Customers, Average_Customers_name,
TRUE, Lost_Customers_name)</f>
        <v>Average Customers</v>
      </c>
    </row>
    <row r="910" spans="1:10" x14ac:dyDescent="0.25">
      <c r="A910" s="25" t="str">
        <v>CUST_0911</v>
      </c>
      <c r="B910" s="16">
        <f t="shared" si="70"/>
        <v>32</v>
      </c>
      <c r="C910" s="16">
        <f t="shared" si="71"/>
        <v>7</v>
      </c>
      <c r="D910" s="17">
        <f t="shared" si="72"/>
        <v>702.13</v>
      </c>
      <c r="E910" s="18" cm="1">
        <f t="array" ref="E910">_xlfn.IFS(
B910&lt;=recencyQ1, 4,
B910&lt;=recencyQ2, 3,
B910&lt;=recencyQ3, 2,
TRUE, 1
)</f>
        <v>3</v>
      </c>
      <c r="F910" s="18" cm="1">
        <f t="array" ref="F910">_xlfn.IFS(
C910&lt;=frequencyQ1, 1,
C910&lt;=frequencyQ2, 2,
C910&lt;=frequencyQ3, 3,
TRUE, 4)</f>
        <v>4</v>
      </c>
      <c r="G910" s="18" cm="1">
        <f t="array" ref="G910">_xlfn.IFS(
D910&lt;=monetaryQ1, 1,
D910&lt;=monetaryQ2, 2,
D910&lt;=monetaryQ3, 3,
TRUE, 4)</f>
        <v>4</v>
      </c>
      <c r="H910" s="18" t="str">
        <f t="shared" si="73"/>
        <v>344</v>
      </c>
      <c r="I910" s="19">
        <f t="shared" si="74"/>
        <v>3.6666666666666665</v>
      </c>
      <c r="J910" s="7" t="str" cm="1">
        <f t="array" ref="J910">_xlfn.IFS(
I910&gt;=Best_Customers, Best_Customers_name,
I910&gt;=Loyal_Customers, Loyal_Customers_name,
I910&gt;=Average_Customers, Average_Customers_name,
TRUE, Lost_Customers_name)</f>
        <v>Best Customers</v>
      </c>
    </row>
    <row r="911" spans="1:10" x14ac:dyDescent="0.25">
      <c r="A911" s="25" t="str">
        <v>CUST_0912</v>
      </c>
      <c r="B911" s="16">
        <f t="shared" si="70"/>
        <v>106</v>
      </c>
      <c r="C911" s="16">
        <f t="shared" si="71"/>
        <v>4</v>
      </c>
      <c r="D911" s="17">
        <f t="shared" si="72"/>
        <v>362.99</v>
      </c>
      <c r="E911" s="18" cm="1">
        <f t="array" ref="E911">_xlfn.IFS(
B911&lt;=recencyQ1, 4,
B911&lt;=recencyQ2, 3,
B911&lt;=recencyQ3, 2,
TRUE, 1
)</f>
        <v>1</v>
      </c>
      <c r="F911" s="18" cm="1">
        <f t="array" ref="F911">_xlfn.IFS(
C911&lt;=frequencyQ1, 1,
C911&lt;=frequencyQ2, 2,
C911&lt;=frequencyQ3, 3,
TRUE, 4)</f>
        <v>2</v>
      </c>
      <c r="G911" s="18" cm="1">
        <f t="array" ref="G911">_xlfn.IFS(
D911&lt;=monetaryQ1, 1,
D911&lt;=monetaryQ2, 2,
D911&lt;=monetaryQ3, 3,
TRUE, 4)</f>
        <v>2</v>
      </c>
      <c r="H911" s="18" t="str">
        <f t="shared" si="73"/>
        <v>122</v>
      </c>
      <c r="I911" s="19">
        <f t="shared" si="74"/>
        <v>1.6666666666666667</v>
      </c>
      <c r="J911" s="7" t="str" cm="1">
        <f t="array" ref="J911">_xlfn.IFS(
I911&gt;=Best_Customers, Best_Customers_name,
I911&gt;=Loyal_Customers, Loyal_Customers_name,
I911&gt;=Average_Customers, Average_Customers_name,
TRUE, Lost_Customers_name)</f>
        <v>Average Customers</v>
      </c>
    </row>
    <row r="912" spans="1:10" x14ac:dyDescent="0.25">
      <c r="A912" s="25" t="str">
        <v>CUST_0913</v>
      </c>
      <c r="B912" s="16">
        <f t="shared" si="70"/>
        <v>162</v>
      </c>
      <c r="C912" s="16">
        <f t="shared" si="71"/>
        <v>4</v>
      </c>
      <c r="D912" s="17">
        <f t="shared" si="72"/>
        <v>402.22</v>
      </c>
      <c r="E912" s="18" cm="1">
        <f t="array" ref="E912">_xlfn.IFS(
B912&lt;=recencyQ1, 4,
B912&lt;=recencyQ2, 3,
B912&lt;=recencyQ3, 2,
TRUE, 1
)</f>
        <v>1</v>
      </c>
      <c r="F912" s="18" cm="1">
        <f t="array" ref="F912">_xlfn.IFS(
C912&lt;=frequencyQ1, 1,
C912&lt;=frequencyQ2, 2,
C912&lt;=frequencyQ3, 3,
TRUE, 4)</f>
        <v>2</v>
      </c>
      <c r="G912" s="18" cm="1">
        <f t="array" ref="G912">_xlfn.IFS(
D912&lt;=monetaryQ1, 1,
D912&lt;=monetaryQ2, 2,
D912&lt;=monetaryQ3, 3,
TRUE, 4)</f>
        <v>2</v>
      </c>
      <c r="H912" s="18" t="str">
        <f t="shared" si="73"/>
        <v>122</v>
      </c>
      <c r="I912" s="19">
        <f t="shared" si="74"/>
        <v>1.6666666666666667</v>
      </c>
      <c r="J912" s="7" t="str" cm="1">
        <f t="array" ref="J912">_xlfn.IFS(
I912&gt;=Best_Customers, Best_Customers_name,
I912&gt;=Loyal_Customers, Loyal_Customers_name,
I912&gt;=Average_Customers, Average_Customers_name,
TRUE, Lost_Customers_name)</f>
        <v>Average Customers</v>
      </c>
    </row>
    <row r="913" spans="1:10" x14ac:dyDescent="0.25">
      <c r="A913" s="25" t="str">
        <v>CUST_0914</v>
      </c>
      <c r="B913" s="16">
        <f t="shared" si="70"/>
        <v>6</v>
      </c>
      <c r="C913" s="16">
        <f t="shared" si="71"/>
        <v>9</v>
      </c>
      <c r="D913" s="17">
        <f t="shared" si="72"/>
        <v>946.69</v>
      </c>
      <c r="E913" s="18" cm="1">
        <f t="array" ref="E913">_xlfn.IFS(
B913&lt;=recencyQ1, 4,
B913&lt;=recencyQ2, 3,
B913&lt;=recencyQ3, 2,
TRUE, 1
)</f>
        <v>4</v>
      </c>
      <c r="F913" s="18" cm="1">
        <f t="array" ref="F913">_xlfn.IFS(
C913&lt;=frequencyQ1, 1,
C913&lt;=frequencyQ2, 2,
C913&lt;=frequencyQ3, 3,
TRUE, 4)</f>
        <v>4</v>
      </c>
      <c r="G913" s="18" cm="1">
        <f t="array" ref="G913">_xlfn.IFS(
D913&lt;=monetaryQ1, 1,
D913&lt;=monetaryQ2, 2,
D913&lt;=monetaryQ3, 3,
TRUE, 4)</f>
        <v>4</v>
      </c>
      <c r="H913" s="18" t="str">
        <f t="shared" si="73"/>
        <v>444</v>
      </c>
      <c r="I913" s="19">
        <f t="shared" si="74"/>
        <v>4</v>
      </c>
      <c r="J913" s="7" t="str" cm="1">
        <f t="array" ref="J913">_xlfn.IFS(
I913&gt;=Best_Customers, Best_Customers_name,
I913&gt;=Loyal_Customers, Loyal_Customers_name,
I913&gt;=Average_Customers, Average_Customers_name,
TRUE, Lost_Customers_name)</f>
        <v>Best Customers</v>
      </c>
    </row>
    <row r="914" spans="1:10" x14ac:dyDescent="0.25">
      <c r="A914" s="25" t="str">
        <v>CUST_0915</v>
      </c>
      <c r="B914" s="16">
        <f t="shared" si="70"/>
        <v>65</v>
      </c>
      <c r="C914" s="16">
        <f t="shared" si="71"/>
        <v>6</v>
      </c>
      <c r="D914" s="17">
        <f t="shared" si="72"/>
        <v>628.32000000000005</v>
      </c>
      <c r="E914" s="18" cm="1">
        <f t="array" ref="E914">_xlfn.IFS(
B914&lt;=recencyQ1, 4,
B914&lt;=recencyQ2, 3,
B914&lt;=recencyQ3, 2,
TRUE, 1
)</f>
        <v>2</v>
      </c>
      <c r="F914" s="18" cm="1">
        <f t="array" ref="F914">_xlfn.IFS(
C914&lt;=frequencyQ1, 1,
C914&lt;=frequencyQ2, 2,
C914&lt;=frequencyQ3, 3,
TRUE, 4)</f>
        <v>3</v>
      </c>
      <c r="G914" s="18" cm="1">
        <f t="array" ref="G914">_xlfn.IFS(
D914&lt;=monetaryQ1, 1,
D914&lt;=monetaryQ2, 2,
D914&lt;=monetaryQ3, 3,
TRUE, 4)</f>
        <v>3</v>
      </c>
      <c r="H914" s="18" t="str">
        <f t="shared" si="73"/>
        <v>233</v>
      </c>
      <c r="I914" s="19">
        <f t="shared" si="74"/>
        <v>2.6666666666666665</v>
      </c>
      <c r="J914" s="7" t="str" cm="1">
        <f t="array" ref="J914">_xlfn.IFS(
I914&gt;=Best_Customers, Best_Customers_name,
I914&gt;=Loyal_Customers, Loyal_Customers_name,
I914&gt;=Average_Customers, Average_Customers_name,
TRUE, Lost_Customers_name)</f>
        <v>Loyal Customers</v>
      </c>
    </row>
    <row r="915" spans="1:10" x14ac:dyDescent="0.25">
      <c r="A915" s="25" t="str">
        <v>CUST_0916</v>
      </c>
      <c r="B915" s="16">
        <f t="shared" si="70"/>
        <v>12</v>
      </c>
      <c r="C915" s="16">
        <f t="shared" si="71"/>
        <v>6</v>
      </c>
      <c r="D915" s="17">
        <f t="shared" si="72"/>
        <v>565.57000000000005</v>
      </c>
      <c r="E915" s="18" cm="1">
        <f t="array" ref="E915">_xlfn.IFS(
B915&lt;=recencyQ1, 4,
B915&lt;=recencyQ2, 3,
B915&lt;=recencyQ3, 2,
TRUE, 1
)</f>
        <v>4</v>
      </c>
      <c r="F915" s="18" cm="1">
        <f t="array" ref="F915">_xlfn.IFS(
C915&lt;=frequencyQ1, 1,
C915&lt;=frequencyQ2, 2,
C915&lt;=frequencyQ3, 3,
TRUE, 4)</f>
        <v>3</v>
      </c>
      <c r="G915" s="18" cm="1">
        <f t="array" ref="G915">_xlfn.IFS(
D915&lt;=monetaryQ1, 1,
D915&lt;=monetaryQ2, 2,
D915&lt;=monetaryQ3, 3,
TRUE, 4)</f>
        <v>3</v>
      </c>
      <c r="H915" s="18" t="str">
        <f t="shared" si="73"/>
        <v>433</v>
      </c>
      <c r="I915" s="19">
        <f t="shared" si="74"/>
        <v>3.3333333333333335</v>
      </c>
      <c r="J915" s="7" t="str" cm="1">
        <f t="array" ref="J915">_xlfn.IFS(
I915&gt;=Best_Customers, Best_Customers_name,
I915&gt;=Loyal_Customers, Loyal_Customers_name,
I915&gt;=Average_Customers, Average_Customers_name,
TRUE, Lost_Customers_name)</f>
        <v>Loyal Customers</v>
      </c>
    </row>
    <row r="916" spans="1:10" x14ac:dyDescent="0.25">
      <c r="A916" s="25" t="str">
        <v>CUST_0917</v>
      </c>
      <c r="B916" s="16">
        <f t="shared" si="70"/>
        <v>164</v>
      </c>
      <c r="C916" s="16">
        <f t="shared" si="71"/>
        <v>4</v>
      </c>
      <c r="D916" s="17">
        <f t="shared" si="72"/>
        <v>376.43999999999994</v>
      </c>
      <c r="E916" s="18" cm="1">
        <f t="array" ref="E916">_xlfn.IFS(
B916&lt;=recencyQ1, 4,
B916&lt;=recencyQ2, 3,
B916&lt;=recencyQ3, 2,
TRUE, 1
)</f>
        <v>1</v>
      </c>
      <c r="F916" s="18" cm="1">
        <f t="array" ref="F916">_xlfn.IFS(
C916&lt;=frequencyQ1, 1,
C916&lt;=frequencyQ2, 2,
C916&lt;=frequencyQ3, 3,
TRUE, 4)</f>
        <v>2</v>
      </c>
      <c r="G916" s="18" cm="1">
        <f t="array" ref="G916">_xlfn.IFS(
D916&lt;=monetaryQ1, 1,
D916&lt;=monetaryQ2, 2,
D916&lt;=monetaryQ3, 3,
TRUE, 4)</f>
        <v>2</v>
      </c>
      <c r="H916" s="18" t="str">
        <f t="shared" si="73"/>
        <v>122</v>
      </c>
      <c r="I916" s="19">
        <f t="shared" si="74"/>
        <v>1.6666666666666667</v>
      </c>
      <c r="J916" s="7" t="str" cm="1">
        <f t="array" ref="J916">_xlfn.IFS(
I916&gt;=Best_Customers, Best_Customers_name,
I916&gt;=Loyal_Customers, Loyal_Customers_name,
I916&gt;=Average_Customers, Average_Customers_name,
TRUE, Lost_Customers_name)</f>
        <v>Average Customers</v>
      </c>
    </row>
    <row r="917" spans="1:10" x14ac:dyDescent="0.25">
      <c r="A917" s="25" t="str">
        <v>CUST_0918</v>
      </c>
      <c r="B917" s="16">
        <f t="shared" si="70"/>
        <v>55</v>
      </c>
      <c r="C917" s="16">
        <f t="shared" si="71"/>
        <v>6</v>
      </c>
      <c r="D917" s="17">
        <f t="shared" si="72"/>
        <v>488.71000000000004</v>
      </c>
      <c r="E917" s="18" cm="1">
        <f t="array" ref="E917">_xlfn.IFS(
B917&lt;=recencyQ1, 4,
B917&lt;=recencyQ2, 3,
B917&lt;=recencyQ3, 2,
TRUE, 1
)</f>
        <v>2</v>
      </c>
      <c r="F917" s="18" cm="1">
        <f t="array" ref="F917">_xlfn.IFS(
C917&lt;=frequencyQ1, 1,
C917&lt;=frequencyQ2, 2,
C917&lt;=frequencyQ3, 3,
TRUE, 4)</f>
        <v>3</v>
      </c>
      <c r="G917" s="18" cm="1">
        <f t="array" ref="G917">_xlfn.IFS(
D917&lt;=monetaryQ1, 1,
D917&lt;=monetaryQ2, 2,
D917&lt;=monetaryQ3, 3,
TRUE, 4)</f>
        <v>3</v>
      </c>
      <c r="H917" s="18" t="str">
        <f t="shared" si="73"/>
        <v>233</v>
      </c>
      <c r="I917" s="19">
        <f t="shared" si="74"/>
        <v>2.6666666666666665</v>
      </c>
      <c r="J917" s="7" t="str" cm="1">
        <f t="array" ref="J917">_xlfn.IFS(
I917&gt;=Best_Customers, Best_Customers_name,
I917&gt;=Loyal_Customers, Loyal_Customers_name,
I917&gt;=Average_Customers, Average_Customers_name,
TRUE, Lost_Customers_name)</f>
        <v>Loyal Customers</v>
      </c>
    </row>
    <row r="918" spans="1:10" x14ac:dyDescent="0.25">
      <c r="A918" s="25" t="str">
        <v>CUST_0919</v>
      </c>
      <c r="B918" s="16">
        <f t="shared" si="70"/>
        <v>44</v>
      </c>
      <c r="C918" s="16">
        <f t="shared" si="71"/>
        <v>6</v>
      </c>
      <c r="D918" s="17">
        <f t="shared" si="72"/>
        <v>464.13</v>
      </c>
      <c r="E918" s="18" cm="1">
        <f t="array" ref="E918">_xlfn.IFS(
B918&lt;=recencyQ1, 4,
B918&lt;=recencyQ2, 3,
B918&lt;=recencyQ3, 2,
TRUE, 1
)</f>
        <v>3</v>
      </c>
      <c r="F918" s="18" cm="1">
        <f t="array" ref="F918">_xlfn.IFS(
C918&lt;=frequencyQ1, 1,
C918&lt;=frequencyQ2, 2,
C918&lt;=frequencyQ3, 3,
TRUE, 4)</f>
        <v>3</v>
      </c>
      <c r="G918" s="18" cm="1">
        <f t="array" ref="G918">_xlfn.IFS(
D918&lt;=monetaryQ1, 1,
D918&lt;=monetaryQ2, 2,
D918&lt;=monetaryQ3, 3,
TRUE, 4)</f>
        <v>2</v>
      </c>
      <c r="H918" s="18" t="str">
        <f t="shared" si="73"/>
        <v>332</v>
      </c>
      <c r="I918" s="19">
        <f t="shared" si="74"/>
        <v>2.6666666666666665</v>
      </c>
      <c r="J918" s="7" t="str" cm="1">
        <f t="array" ref="J918">_xlfn.IFS(
I918&gt;=Best_Customers, Best_Customers_name,
I918&gt;=Loyal_Customers, Loyal_Customers_name,
I918&gt;=Average_Customers, Average_Customers_name,
TRUE, Lost_Customers_name)</f>
        <v>Loyal Customers</v>
      </c>
    </row>
    <row r="919" spans="1:10" x14ac:dyDescent="0.25">
      <c r="A919" s="25" t="str">
        <v>CUST_0920</v>
      </c>
      <c r="B919" s="16">
        <f t="shared" si="70"/>
        <v>15</v>
      </c>
      <c r="C919" s="16">
        <f t="shared" si="71"/>
        <v>10</v>
      </c>
      <c r="D919" s="17">
        <f t="shared" si="72"/>
        <v>1021.1800000000002</v>
      </c>
      <c r="E919" s="18" cm="1">
        <f t="array" ref="E919">_xlfn.IFS(
B919&lt;=recencyQ1, 4,
B919&lt;=recencyQ2, 3,
B919&lt;=recencyQ3, 2,
TRUE, 1
)</f>
        <v>4</v>
      </c>
      <c r="F919" s="18" cm="1">
        <f t="array" ref="F919">_xlfn.IFS(
C919&lt;=frequencyQ1, 1,
C919&lt;=frequencyQ2, 2,
C919&lt;=frequencyQ3, 3,
TRUE, 4)</f>
        <v>4</v>
      </c>
      <c r="G919" s="18" cm="1">
        <f t="array" ref="G919">_xlfn.IFS(
D919&lt;=monetaryQ1, 1,
D919&lt;=monetaryQ2, 2,
D919&lt;=monetaryQ3, 3,
TRUE, 4)</f>
        <v>4</v>
      </c>
      <c r="H919" s="18" t="str">
        <f t="shared" si="73"/>
        <v>444</v>
      </c>
      <c r="I919" s="19">
        <f t="shared" si="74"/>
        <v>4</v>
      </c>
      <c r="J919" s="7" t="str" cm="1">
        <f t="array" ref="J919">_xlfn.IFS(
I919&gt;=Best_Customers, Best_Customers_name,
I919&gt;=Loyal_Customers, Loyal_Customers_name,
I919&gt;=Average_Customers, Average_Customers_name,
TRUE, Lost_Customers_name)</f>
        <v>Best Customers</v>
      </c>
    </row>
    <row r="920" spans="1:10" x14ac:dyDescent="0.25">
      <c r="A920" s="25" t="str">
        <v>CUST_0921</v>
      </c>
      <c r="B920" s="16">
        <f t="shared" si="70"/>
        <v>62</v>
      </c>
      <c r="C920" s="16">
        <f t="shared" si="71"/>
        <v>5</v>
      </c>
      <c r="D920" s="17">
        <f t="shared" si="72"/>
        <v>383.03</v>
      </c>
      <c r="E920" s="18" cm="1">
        <f t="array" ref="E920">_xlfn.IFS(
B920&lt;=recencyQ1, 4,
B920&lt;=recencyQ2, 3,
B920&lt;=recencyQ3, 2,
TRUE, 1
)</f>
        <v>2</v>
      </c>
      <c r="F920" s="18" cm="1">
        <f t="array" ref="F920">_xlfn.IFS(
C920&lt;=frequencyQ1, 1,
C920&lt;=frequencyQ2, 2,
C920&lt;=frequencyQ3, 3,
TRUE, 4)</f>
        <v>2</v>
      </c>
      <c r="G920" s="18" cm="1">
        <f t="array" ref="G920">_xlfn.IFS(
D920&lt;=monetaryQ1, 1,
D920&lt;=monetaryQ2, 2,
D920&lt;=monetaryQ3, 3,
TRUE, 4)</f>
        <v>2</v>
      </c>
      <c r="H920" s="18" t="str">
        <f t="shared" si="73"/>
        <v>222</v>
      </c>
      <c r="I920" s="19">
        <f t="shared" si="74"/>
        <v>2</v>
      </c>
      <c r="J920" s="7" t="str" cm="1">
        <f t="array" ref="J920">_xlfn.IFS(
I920&gt;=Best_Customers, Best_Customers_name,
I920&gt;=Loyal_Customers, Loyal_Customers_name,
I920&gt;=Average_Customers, Average_Customers_name,
TRUE, Lost_Customers_name)</f>
        <v>Average Customers</v>
      </c>
    </row>
    <row r="921" spans="1:10" x14ac:dyDescent="0.25">
      <c r="A921" s="25" t="str">
        <v>CUST_0922</v>
      </c>
      <c r="B921" s="16">
        <f t="shared" si="70"/>
        <v>10</v>
      </c>
      <c r="C921" s="16">
        <f t="shared" si="71"/>
        <v>6</v>
      </c>
      <c r="D921" s="17">
        <f t="shared" si="72"/>
        <v>560.47</v>
      </c>
      <c r="E921" s="18" cm="1">
        <f t="array" ref="E921">_xlfn.IFS(
B921&lt;=recencyQ1, 4,
B921&lt;=recencyQ2, 3,
B921&lt;=recencyQ3, 2,
TRUE, 1
)</f>
        <v>4</v>
      </c>
      <c r="F921" s="18" cm="1">
        <f t="array" ref="F921">_xlfn.IFS(
C921&lt;=frequencyQ1, 1,
C921&lt;=frequencyQ2, 2,
C921&lt;=frequencyQ3, 3,
TRUE, 4)</f>
        <v>3</v>
      </c>
      <c r="G921" s="18" cm="1">
        <f t="array" ref="G921">_xlfn.IFS(
D921&lt;=monetaryQ1, 1,
D921&lt;=monetaryQ2, 2,
D921&lt;=monetaryQ3, 3,
TRUE, 4)</f>
        <v>3</v>
      </c>
      <c r="H921" s="18" t="str">
        <f t="shared" si="73"/>
        <v>433</v>
      </c>
      <c r="I921" s="19">
        <f t="shared" si="74"/>
        <v>3.3333333333333335</v>
      </c>
      <c r="J921" s="7" t="str" cm="1">
        <f t="array" ref="J921">_xlfn.IFS(
I921&gt;=Best_Customers, Best_Customers_name,
I921&gt;=Loyal_Customers, Loyal_Customers_name,
I921&gt;=Average_Customers, Average_Customers_name,
TRUE, Lost_Customers_name)</f>
        <v>Loyal Customers</v>
      </c>
    </row>
    <row r="922" spans="1:10" x14ac:dyDescent="0.25">
      <c r="A922" s="25" t="str">
        <v>CUST_0923</v>
      </c>
      <c r="B922" s="16">
        <f t="shared" si="70"/>
        <v>4</v>
      </c>
      <c r="C922" s="16">
        <f t="shared" si="71"/>
        <v>3</v>
      </c>
      <c r="D922" s="17">
        <f t="shared" si="72"/>
        <v>247.14999999999998</v>
      </c>
      <c r="E922" s="18" cm="1">
        <f t="array" ref="E922">_xlfn.IFS(
B922&lt;=recencyQ1, 4,
B922&lt;=recencyQ2, 3,
B922&lt;=recencyQ3, 2,
TRUE, 1
)</f>
        <v>4</v>
      </c>
      <c r="F922" s="18" cm="1">
        <f t="array" ref="F922">_xlfn.IFS(
C922&lt;=frequencyQ1, 1,
C922&lt;=frequencyQ2, 2,
C922&lt;=frequencyQ3, 3,
TRUE, 4)</f>
        <v>1</v>
      </c>
      <c r="G922" s="18" cm="1">
        <f t="array" ref="G922">_xlfn.IFS(
D922&lt;=monetaryQ1, 1,
D922&lt;=monetaryQ2, 2,
D922&lt;=monetaryQ3, 3,
TRUE, 4)</f>
        <v>1</v>
      </c>
      <c r="H922" s="18" t="str">
        <f t="shared" si="73"/>
        <v>411</v>
      </c>
      <c r="I922" s="19">
        <f t="shared" si="74"/>
        <v>2</v>
      </c>
      <c r="J922" s="7" t="str" cm="1">
        <f t="array" ref="J922">_xlfn.IFS(
I922&gt;=Best_Customers, Best_Customers_name,
I922&gt;=Loyal_Customers, Loyal_Customers_name,
I922&gt;=Average_Customers, Average_Customers_name,
TRUE, Lost_Customers_name)</f>
        <v>Average Customers</v>
      </c>
    </row>
    <row r="923" spans="1:10" x14ac:dyDescent="0.25">
      <c r="A923" s="25" t="str">
        <v>CUST_0924</v>
      </c>
      <c r="B923" s="16">
        <f t="shared" si="70"/>
        <v>68</v>
      </c>
      <c r="C923" s="16">
        <f t="shared" si="71"/>
        <v>3</v>
      </c>
      <c r="D923" s="17">
        <f t="shared" si="72"/>
        <v>223.94</v>
      </c>
      <c r="E923" s="18" cm="1">
        <f t="array" ref="E923">_xlfn.IFS(
B923&lt;=recencyQ1, 4,
B923&lt;=recencyQ2, 3,
B923&lt;=recencyQ3, 2,
TRUE, 1
)</f>
        <v>2</v>
      </c>
      <c r="F923" s="18" cm="1">
        <f t="array" ref="F923">_xlfn.IFS(
C923&lt;=frequencyQ1, 1,
C923&lt;=frequencyQ2, 2,
C923&lt;=frequencyQ3, 3,
TRUE, 4)</f>
        <v>1</v>
      </c>
      <c r="G923" s="18" cm="1">
        <f t="array" ref="G923">_xlfn.IFS(
D923&lt;=monetaryQ1, 1,
D923&lt;=monetaryQ2, 2,
D923&lt;=monetaryQ3, 3,
TRUE, 4)</f>
        <v>1</v>
      </c>
      <c r="H923" s="18" t="str">
        <f t="shared" si="73"/>
        <v>211</v>
      </c>
      <c r="I923" s="19">
        <f t="shared" si="74"/>
        <v>1.3333333333333333</v>
      </c>
      <c r="J923" s="7" t="str" cm="1">
        <f t="array" ref="J923">_xlfn.IFS(
I923&gt;=Best_Customers, Best_Customers_name,
I923&gt;=Loyal_Customers, Loyal_Customers_name,
I923&gt;=Average_Customers, Average_Customers_name,
TRUE, Lost_Customers_name)</f>
        <v>Lost Customers</v>
      </c>
    </row>
    <row r="924" spans="1:10" x14ac:dyDescent="0.25">
      <c r="A924" s="25" t="str">
        <v>CUST_0925</v>
      </c>
      <c r="B924" s="16">
        <f t="shared" si="70"/>
        <v>143</v>
      </c>
      <c r="C924" s="16">
        <f t="shared" si="71"/>
        <v>4</v>
      </c>
      <c r="D924" s="17">
        <f t="shared" si="72"/>
        <v>427.38</v>
      </c>
      <c r="E924" s="18" cm="1">
        <f t="array" ref="E924">_xlfn.IFS(
B924&lt;=recencyQ1, 4,
B924&lt;=recencyQ2, 3,
B924&lt;=recencyQ3, 2,
TRUE, 1
)</f>
        <v>1</v>
      </c>
      <c r="F924" s="18" cm="1">
        <f t="array" ref="F924">_xlfn.IFS(
C924&lt;=frequencyQ1, 1,
C924&lt;=frequencyQ2, 2,
C924&lt;=frequencyQ3, 3,
TRUE, 4)</f>
        <v>2</v>
      </c>
      <c r="G924" s="18" cm="1">
        <f t="array" ref="G924">_xlfn.IFS(
D924&lt;=monetaryQ1, 1,
D924&lt;=monetaryQ2, 2,
D924&lt;=monetaryQ3, 3,
TRUE, 4)</f>
        <v>2</v>
      </c>
      <c r="H924" s="18" t="str">
        <f t="shared" si="73"/>
        <v>122</v>
      </c>
      <c r="I924" s="19">
        <f t="shared" si="74"/>
        <v>1.6666666666666667</v>
      </c>
      <c r="J924" s="7" t="str" cm="1">
        <f t="array" ref="J924">_xlfn.IFS(
I924&gt;=Best_Customers, Best_Customers_name,
I924&gt;=Loyal_Customers, Loyal_Customers_name,
I924&gt;=Average_Customers, Average_Customers_name,
TRUE, Lost_Customers_name)</f>
        <v>Average Customers</v>
      </c>
    </row>
    <row r="925" spans="1:10" x14ac:dyDescent="0.25">
      <c r="A925" s="25" t="str">
        <v>CUST_0926</v>
      </c>
      <c r="B925" s="16">
        <f t="shared" si="70"/>
        <v>9</v>
      </c>
      <c r="C925" s="16">
        <f t="shared" si="71"/>
        <v>5</v>
      </c>
      <c r="D925" s="17">
        <f t="shared" si="72"/>
        <v>460.47</v>
      </c>
      <c r="E925" s="18" cm="1">
        <f t="array" ref="E925">_xlfn.IFS(
B925&lt;=recencyQ1, 4,
B925&lt;=recencyQ2, 3,
B925&lt;=recencyQ3, 2,
TRUE, 1
)</f>
        <v>4</v>
      </c>
      <c r="F925" s="18" cm="1">
        <f t="array" ref="F925">_xlfn.IFS(
C925&lt;=frequencyQ1, 1,
C925&lt;=frequencyQ2, 2,
C925&lt;=frequencyQ3, 3,
TRUE, 4)</f>
        <v>2</v>
      </c>
      <c r="G925" s="18" cm="1">
        <f t="array" ref="G925">_xlfn.IFS(
D925&lt;=monetaryQ1, 1,
D925&lt;=monetaryQ2, 2,
D925&lt;=monetaryQ3, 3,
TRUE, 4)</f>
        <v>2</v>
      </c>
      <c r="H925" s="18" t="str">
        <f t="shared" si="73"/>
        <v>422</v>
      </c>
      <c r="I925" s="19">
        <f t="shared" si="74"/>
        <v>2.6666666666666665</v>
      </c>
      <c r="J925" s="7" t="str" cm="1">
        <f t="array" ref="J925">_xlfn.IFS(
I925&gt;=Best_Customers, Best_Customers_name,
I925&gt;=Loyal_Customers, Loyal_Customers_name,
I925&gt;=Average_Customers, Average_Customers_name,
TRUE, Lost_Customers_name)</f>
        <v>Loyal Customers</v>
      </c>
    </row>
    <row r="926" spans="1:10" x14ac:dyDescent="0.25">
      <c r="A926" s="25" t="str">
        <v>CUST_0927</v>
      </c>
      <c r="B926" s="16">
        <f t="shared" si="70"/>
        <v>184</v>
      </c>
      <c r="C926" s="16">
        <f t="shared" si="71"/>
        <v>4</v>
      </c>
      <c r="D926" s="17">
        <f t="shared" si="72"/>
        <v>455.33</v>
      </c>
      <c r="E926" s="18" cm="1">
        <f t="array" ref="E926">_xlfn.IFS(
B926&lt;=recencyQ1, 4,
B926&lt;=recencyQ2, 3,
B926&lt;=recencyQ3, 2,
TRUE, 1
)</f>
        <v>1</v>
      </c>
      <c r="F926" s="18" cm="1">
        <f t="array" ref="F926">_xlfn.IFS(
C926&lt;=frequencyQ1, 1,
C926&lt;=frequencyQ2, 2,
C926&lt;=frequencyQ3, 3,
TRUE, 4)</f>
        <v>2</v>
      </c>
      <c r="G926" s="18" cm="1">
        <f t="array" ref="G926">_xlfn.IFS(
D926&lt;=monetaryQ1, 1,
D926&lt;=monetaryQ2, 2,
D926&lt;=monetaryQ3, 3,
TRUE, 4)</f>
        <v>2</v>
      </c>
      <c r="H926" s="18" t="str">
        <f t="shared" si="73"/>
        <v>122</v>
      </c>
      <c r="I926" s="19">
        <f t="shared" si="74"/>
        <v>1.6666666666666667</v>
      </c>
      <c r="J926" s="7" t="str" cm="1">
        <f t="array" ref="J926">_xlfn.IFS(
I926&gt;=Best_Customers, Best_Customers_name,
I926&gt;=Loyal_Customers, Loyal_Customers_name,
I926&gt;=Average_Customers, Average_Customers_name,
TRUE, Lost_Customers_name)</f>
        <v>Average Customers</v>
      </c>
    </row>
    <row r="927" spans="1:10" x14ac:dyDescent="0.25">
      <c r="A927" s="25" t="str">
        <v>CUST_0928</v>
      </c>
      <c r="B927" s="16">
        <f t="shared" si="70"/>
        <v>21</v>
      </c>
      <c r="C927" s="16">
        <f t="shared" si="71"/>
        <v>12</v>
      </c>
      <c r="D927" s="17">
        <f t="shared" si="72"/>
        <v>1176.71</v>
      </c>
      <c r="E927" s="18" cm="1">
        <f t="array" ref="E927">_xlfn.IFS(
B927&lt;=recencyQ1, 4,
B927&lt;=recencyQ2, 3,
B927&lt;=recencyQ3, 2,
TRUE, 1
)</f>
        <v>3</v>
      </c>
      <c r="F927" s="18" cm="1">
        <f t="array" ref="F927">_xlfn.IFS(
C927&lt;=frequencyQ1, 1,
C927&lt;=frequencyQ2, 2,
C927&lt;=frequencyQ3, 3,
TRUE, 4)</f>
        <v>4</v>
      </c>
      <c r="G927" s="18" cm="1">
        <f t="array" ref="G927">_xlfn.IFS(
D927&lt;=monetaryQ1, 1,
D927&lt;=monetaryQ2, 2,
D927&lt;=monetaryQ3, 3,
TRUE, 4)</f>
        <v>4</v>
      </c>
      <c r="H927" s="18" t="str">
        <f t="shared" si="73"/>
        <v>344</v>
      </c>
      <c r="I927" s="19">
        <f t="shared" si="74"/>
        <v>3.6666666666666665</v>
      </c>
      <c r="J927" s="7" t="str" cm="1">
        <f t="array" ref="J927">_xlfn.IFS(
I927&gt;=Best_Customers, Best_Customers_name,
I927&gt;=Loyal_Customers, Loyal_Customers_name,
I927&gt;=Average_Customers, Average_Customers_name,
TRUE, Lost_Customers_name)</f>
        <v>Best Customers</v>
      </c>
    </row>
    <row r="928" spans="1:10" x14ac:dyDescent="0.25">
      <c r="A928" s="25" t="str">
        <v>CUST_0929</v>
      </c>
      <c r="B928" s="16">
        <f t="shared" si="70"/>
        <v>53</v>
      </c>
      <c r="C928" s="16">
        <f t="shared" si="71"/>
        <v>6</v>
      </c>
      <c r="D928" s="17">
        <f t="shared" si="72"/>
        <v>470.07999999999993</v>
      </c>
      <c r="E928" s="18" cm="1">
        <f t="array" ref="E928">_xlfn.IFS(
B928&lt;=recencyQ1, 4,
B928&lt;=recencyQ2, 3,
B928&lt;=recencyQ3, 2,
TRUE, 1
)</f>
        <v>2</v>
      </c>
      <c r="F928" s="18" cm="1">
        <f t="array" ref="F928">_xlfn.IFS(
C928&lt;=frequencyQ1, 1,
C928&lt;=frequencyQ2, 2,
C928&lt;=frequencyQ3, 3,
TRUE, 4)</f>
        <v>3</v>
      </c>
      <c r="G928" s="18" cm="1">
        <f t="array" ref="G928">_xlfn.IFS(
D928&lt;=monetaryQ1, 1,
D928&lt;=monetaryQ2, 2,
D928&lt;=monetaryQ3, 3,
TRUE, 4)</f>
        <v>2</v>
      </c>
      <c r="H928" s="18" t="str">
        <f t="shared" si="73"/>
        <v>232</v>
      </c>
      <c r="I928" s="19">
        <f t="shared" si="74"/>
        <v>2.3333333333333335</v>
      </c>
      <c r="J928" s="7" t="str" cm="1">
        <f t="array" ref="J928">_xlfn.IFS(
I928&gt;=Best_Customers, Best_Customers_name,
I928&gt;=Loyal_Customers, Loyal_Customers_name,
I928&gt;=Average_Customers, Average_Customers_name,
TRUE, Lost_Customers_name)</f>
        <v>Average Customers</v>
      </c>
    </row>
    <row r="929" spans="1:10" x14ac:dyDescent="0.25">
      <c r="A929" s="25" t="str">
        <v>CUST_0930</v>
      </c>
      <c r="B929" s="16">
        <f t="shared" si="70"/>
        <v>100</v>
      </c>
      <c r="C929" s="16">
        <f t="shared" si="71"/>
        <v>3</v>
      </c>
      <c r="D929" s="17">
        <f t="shared" si="72"/>
        <v>304.73</v>
      </c>
      <c r="E929" s="18" cm="1">
        <f t="array" ref="E929">_xlfn.IFS(
B929&lt;=recencyQ1, 4,
B929&lt;=recencyQ2, 3,
B929&lt;=recencyQ3, 2,
TRUE, 1
)</f>
        <v>1</v>
      </c>
      <c r="F929" s="18" cm="1">
        <f t="array" ref="F929">_xlfn.IFS(
C929&lt;=frequencyQ1, 1,
C929&lt;=frequencyQ2, 2,
C929&lt;=frequencyQ3, 3,
TRUE, 4)</f>
        <v>1</v>
      </c>
      <c r="G929" s="18" cm="1">
        <f t="array" ref="G929">_xlfn.IFS(
D929&lt;=monetaryQ1, 1,
D929&lt;=monetaryQ2, 2,
D929&lt;=monetaryQ3, 3,
TRUE, 4)</f>
        <v>1</v>
      </c>
      <c r="H929" s="18" t="str">
        <f t="shared" si="73"/>
        <v>111</v>
      </c>
      <c r="I929" s="19">
        <f t="shared" si="74"/>
        <v>1</v>
      </c>
      <c r="J929" s="7" t="str" cm="1">
        <f t="array" ref="J929">_xlfn.IFS(
I929&gt;=Best_Customers, Best_Customers_name,
I929&gt;=Loyal_Customers, Loyal_Customers_name,
I929&gt;=Average_Customers, Average_Customers_name,
TRUE, Lost_Customers_name)</f>
        <v>Lost Customers</v>
      </c>
    </row>
    <row r="930" spans="1:10" x14ac:dyDescent="0.25">
      <c r="A930" s="25" t="str">
        <v>CUST_0931</v>
      </c>
      <c r="B930" s="16">
        <f t="shared" si="70"/>
        <v>88</v>
      </c>
      <c r="C930" s="16">
        <f t="shared" si="71"/>
        <v>5</v>
      </c>
      <c r="D930" s="17">
        <f t="shared" si="72"/>
        <v>581.87</v>
      </c>
      <c r="E930" s="18" cm="1">
        <f t="array" ref="E930">_xlfn.IFS(
B930&lt;=recencyQ1, 4,
B930&lt;=recencyQ2, 3,
B930&lt;=recencyQ3, 2,
TRUE, 1
)</f>
        <v>2</v>
      </c>
      <c r="F930" s="18" cm="1">
        <f t="array" ref="F930">_xlfn.IFS(
C930&lt;=frequencyQ1, 1,
C930&lt;=frequencyQ2, 2,
C930&lt;=frequencyQ3, 3,
TRUE, 4)</f>
        <v>2</v>
      </c>
      <c r="G930" s="18" cm="1">
        <f t="array" ref="G930">_xlfn.IFS(
D930&lt;=monetaryQ1, 1,
D930&lt;=monetaryQ2, 2,
D930&lt;=monetaryQ3, 3,
TRUE, 4)</f>
        <v>3</v>
      </c>
      <c r="H930" s="18" t="str">
        <f t="shared" si="73"/>
        <v>223</v>
      </c>
      <c r="I930" s="19">
        <f t="shared" si="74"/>
        <v>2.3333333333333335</v>
      </c>
      <c r="J930" s="7" t="str" cm="1">
        <f t="array" ref="J930">_xlfn.IFS(
I930&gt;=Best_Customers, Best_Customers_name,
I930&gt;=Loyal_Customers, Loyal_Customers_name,
I930&gt;=Average_Customers, Average_Customers_name,
TRUE, Lost_Customers_name)</f>
        <v>Average Customers</v>
      </c>
    </row>
    <row r="931" spans="1:10" x14ac:dyDescent="0.25">
      <c r="A931" s="25" t="str">
        <v>CUST_0932</v>
      </c>
      <c r="B931" s="16">
        <f t="shared" si="70"/>
        <v>56</v>
      </c>
      <c r="C931" s="16">
        <f t="shared" si="71"/>
        <v>4</v>
      </c>
      <c r="D931" s="17">
        <f t="shared" si="72"/>
        <v>359.46</v>
      </c>
      <c r="E931" s="18" cm="1">
        <f t="array" ref="E931">_xlfn.IFS(
B931&lt;=recencyQ1, 4,
B931&lt;=recencyQ2, 3,
B931&lt;=recencyQ3, 2,
TRUE, 1
)</f>
        <v>2</v>
      </c>
      <c r="F931" s="18" cm="1">
        <f t="array" ref="F931">_xlfn.IFS(
C931&lt;=frequencyQ1, 1,
C931&lt;=frequencyQ2, 2,
C931&lt;=frequencyQ3, 3,
TRUE, 4)</f>
        <v>2</v>
      </c>
      <c r="G931" s="18" cm="1">
        <f t="array" ref="G931">_xlfn.IFS(
D931&lt;=monetaryQ1, 1,
D931&lt;=monetaryQ2, 2,
D931&lt;=monetaryQ3, 3,
TRUE, 4)</f>
        <v>2</v>
      </c>
      <c r="H931" s="18" t="str">
        <f t="shared" si="73"/>
        <v>222</v>
      </c>
      <c r="I931" s="19">
        <f t="shared" si="74"/>
        <v>2</v>
      </c>
      <c r="J931" s="7" t="str" cm="1">
        <f t="array" ref="J931">_xlfn.IFS(
I931&gt;=Best_Customers, Best_Customers_name,
I931&gt;=Loyal_Customers, Loyal_Customers_name,
I931&gt;=Average_Customers, Average_Customers_name,
TRUE, Lost_Customers_name)</f>
        <v>Average Customers</v>
      </c>
    </row>
    <row r="932" spans="1:10" x14ac:dyDescent="0.25">
      <c r="A932" s="25" t="str">
        <v>CUST_0933</v>
      </c>
      <c r="B932" s="16">
        <f t="shared" si="70"/>
        <v>3</v>
      </c>
      <c r="C932" s="16">
        <f t="shared" si="71"/>
        <v>7</v>
      </c>
      <c r="D932" s="17">
        <f t="shared" si="72"/>
        <v>652.9</v>
      </c>
      <c r="E932" s="18" cm="1">
        <f t="array" ref="E932">_xlfn.IFS(
B932&lt;=recencyQ1, 4,
B932&lt;=recencyQ2, 3,
B932&lt;=recencyQ3, 2,
TRUE, 1
)</f>
        <v>4</v>
      </c>
      <c r="F932" s="18" cm="1">
        <f t="array" ref="F932">_xlfn.IFS(
C932&lt;=frequencyQ1, 1,
C932&lt;=frequencyQ2, 2,
C932&lt;=frequencyQ3, 3,
TRUE, 4)</f>
        <v>4</v>
      </c>
      <c r="G932" s="18" cm="1">
        <f t="array" ref="G932">_xlfn.IFS(
D932&lt;=monetaryQ1, 1,
D932&lt;=monetaryQ2, 2,
D932&lt;=monetaryQ3, 3,
TRUE, 4)</f>
        <v>3</v>
      </c>
      <c r="H932" s="18" t="str">
        <f t="shared" si="73"/>
        <v>443</v>
      </c>
      <c r="I932" s="19">
        <f t="shared" si="74"/>
        <v>3.6666666666666665</v>
      </c>
      <c r="J932" s="7" t="str" cm="1">
        <f t="array" ref="J932">_xlfn.IFS(
I932&gt;=Best_Customers, Best_Customers_name,
I932&gt;=Loyal_Customers, Loyal_Customers_name,
I932&gt;=Average_Customers, Average_Customers_name,
TRUE, Lost_Customers_name)</f>
        <v>Best Customers</v>
      </c>
    </row>
    <row r="933" spans="1:10" x14ac:dyDescent="0.25">
      <c r="A933" s="25" t="str">
        <v>CUST_0934</v>
      </c>
      <c r="B933" s="16">
        <f t="shared" si="70"/>
        <v>31</v>
      </c>
      <c r="C933" s="16">
        <f t="shared" si="71"/>
        <v>6</v>
      </c>
      <c r="D933" s="17">
        <f t="shared" si="72"/>
        <v>685.32</v>
      </c>
      <c r="E933" s="18" cm="1">
        <f t="array" ref="E933">_xlfn.IFS(
B933&lt;=recencyQ1, 4,
B933&lt;=recencyQ2, 3,
B933&lt;=recencyQ3, 2,
TRUE, 1
)</f>
        <v>3</v>
      </c>
      <c r="F933" s="18" cm="1">
        <f t="array" ref="F933">_xlfn.IFS(
C933&lt;=frequencyQ1, 1,
C933&lt;=frequencyQ2, 2,
C933&lt;=frequencyQ3, 3,
TRUE, 4)</f>
        <v>3</v>
      </c>
      <c r="G933" s="18" cm="1">
        <f t="array" ref="G933">_xlfn.IFS(
D933&lt;=monetaryQ1, 1,
D933&lt;=monetaryQ2, 2,
D933&lt;=monetaryQ3, 3,
TRUE, 4)</f>
        <v>4</v>
      </c>
      <c r="H933" s="18" t="str">
        <f t="shared" si="73"/>
        <v>334</v>
      </c>
      <c r="I933" s="19">
        <f t="shared" si="74"/>
        <v>3.3333333333333335</v>
      </c>
      <c r="J933" s="7" t="str" cm="1">
        <f t="array" ref="J933">_xlfn.IFS(
I933&gt;=Best_Customers, Best_Customers_name,
I933&gt;=Loyal_Customers, Loyal_Customers_name,
I933&gt;=Average_Customers, Average_Customers_name,
TRUE, Lost_Customers_name)</f>
        <v>Loyal Customers</v>
      </c>
    </row>
    <row r="934" spans="1:10" x14ac:dyDescent="0.25">
      <c r="A934" s="25" t="str">
        <v>CUST_0935</v>
      </c>
      <c r="B934" s="16">
        <f t="shared" si="70"/>
        <v>24</v>
      </c>
      <c r="C934" s="16">
        <f t="shared" si="71"/>
        <v>12</v>
      </c>
      <c r="D934" s="17">
        <f t="shared" si="72"/>
        <v>1182.9299999999998</v>
      </c>
      <c r="E934" s="18" cm="1">
        <f t="array" ref="E934">_xlfn.IFS(
B934&lt;=recencyQ1, 4,
B934&lt;=recencyQ2, 3,
B934&lt;=recencyQ3, 2,
TRUE, 1
)</f>
        <v>3</v>
      </c>
      <c r="F934" s="18" cm="1">
        <f t="array" ref="F934">_xlfn.IFS(
C934&lt;=frequencyQ1, 1,
C934&lt;=frequencyQ2, 2,
C934&lt;=frequencyQ3, 3,
TRUE, 4)</f>
        <v>4</v>
      </c>
      <c r="G934" s="18" cm="1">
        <f t="array" ref="G934">_xlfn.IFS(
D934&lt;=monetaryQ1, 1,
D934&lt;=monetaryQ2, 2,
D934&lt;=monetaryQ3, 3,
TRUE, 4)</f>
        <v>4</v>
      </c>
      <c r="H934" s="18" t="str">
        <f t="shared" si="73"/>
        <v>344</v>
      </c>
      <c r="I934" s="19">
        <f t="shared" si="74"/>
        <v>3.6666666666666665</v>
      </c>
      <c r="J934" s="7" t="str" cm="1">
        <f t="array" ref="J934">_xlfn.IFS(
I934&gt;=Best_Customers, Best_Customers_name,
I934&gt;=Loyal_Customers, Loyal_Customers_name,
I934&gt;=Average_Customers, Average_Customers_name,
TRUE, Lost_Customers_name)</f>
        <v>Best Customers</v>
      </c>
    </row>
    <row r="935" spans="1:10" x14ac:dyDescent="0.25">
      <c r="A935" s="25" t="str">
        <v>CUST_0936</v>
      </c>
      <c r="B935" s="16">
        <f t="shared" si="70"/>
        <v>67</v>
      </c>
      <c r="C935" s="16">
        <f t="shared" si="71"/>
        <v>8</v>
      </c>
      <c r="D935" s="17">
        <f t="shared" si="72"/>
        <v>740.92</v>
      </c>
      <c r="E935" s="18" cm="1">
        <f t="array" ref="E935">_xlfn.IFS(
B935&lt;=recencyQ1, 4,
B935&lt;=recencyQ2, 3,
B935&lt;=recencyQ3, 2,
TRUE, 1
)</f>
        <v>2</v>
      </c>
      <c r="F935" s="18" cm="1">
        <f t="array" ref="F935">_xlfn.IFS(
C935&lt;=frequencyQ1, 1,
C935&lt;=frequencyQ2, 2,
C935&lt;=frequencyQ3, 3,
TRUE, 4)</f>
        <v>4</v>
      </c>
      <c r="G935" s="18" cm="1">
        <f t="array" ref="G935">_xlfn.IFS(
D935&lt;=monetaryQ1, 1,
D935&lt;=monetaryQ2, 2,
D935&lt;=monetaryQ3, 3,
TRUE, 4)</f>
        <v>4</v>
      </c>
      <c r="H935" s="18" t="str">
        <f t="shared" si="73"/>
        <v>244</v>
      </c>
      <c r="I935" s="19">
        <f t="shared" si="74"/>
        <v>3.3333333333333335</v>
      </c>
      <c r="J935" s="7" t="str" cm="1">
        <f t="array" ref="J935">_xlfn.IFS(
I935&gt;=Best_Customers, Best_Customers_name,
I935&gt;=Loyal_Customers, Loyal_Customers_name,
I935&gt;=Average_Customers, Average_Customers_name,
TRUE, Lost_Customers_name)</f>
        <v>Loyal Customers</v>
      </c>
    </row>
    <row r="936" spans="1:10" x14ac:dyDescent="0.25">
      <c r="A936" s="25" t="str">
        <v>CUST_0937</v>
      </c>
      <c r="B936" s="16">
        <f t="shared" si="70"/>
        <v>145</v>
      </c>
      <c r="C936" s="16">
        <f t="shared" si="71"/>
        <v>3</v>
      </c>
      <c r="D936" s="17">
        <f t="shared" si="72"/>
        <v>259.83</v>
      </c>
      <c r="E936" s="18" cm="1">
        <f t="array" ref="E936">_xlfn.IFS(
B936&lt;=recencyQ1, 4,
B936&lt;=recencyQ2, 3,
B936&lt;=recencyQ3, 2,
TRUE, 1
)</f>
        <v>1</v>
      </c>
      <c r="F936" s="18" cm="1">
        <f t="array" ref="F936">_xlfn.IFS(
C936&lt;=frequencyQ1, 1,
C936&lt;=frequencyQ2, 2,
C936&lt;=frequencyQ3, 3,
TRUE, 4)</f>
        <v>1</v>
      </c>
      <c r="G936" s="18" cm="1">
        <f t="array" ref="G936">_xlfn.IFS(
D936&lt;=monetaryQ1, 1,
D936&lt;=monetaryQ2, 2,
D936&lt;=monetaryQ3, 3,
TRUE, 4)</f>
        <v>1</v>
      </c>
      <c r="H936" s="18" t="str">
        <f t="shared" si="73"/>
        <v>111</v>
      </c>
      <c r="I936" s="19">
        <f t="shared" si="74"/>
        <v>1</v>
      </c>
      <c r="J936" s="7" t="str" cm="1">
        <f t="array" ref="J936">_xlfn.IFS(
I936&gt;=Best_Customers, Best_Customers_name,
I936&gt;=Loyal_Customers, Loyal_Customers_name,
I936&gt;=Average_Customers, Average_Customers_name,
TRUE, Lost_Customers_name)</f>
        <v>Lost Customers</v>
      </c>
    </row>
    <row r="937" spans="1:10" x14ac:dyDescent="0.25">
      <c r="A937" s="25" t="str">
        <v>CUST_0938</v>
      </c>
      <c r="B937" s="16">
        <f t="shared" si="70"/>
        <v>24</v>
      </c>
      <c r="C937" s="16">
        <f t="shared" si="71"/>
        <v>4</v>
      </c>
      <c r="D937" s="17">
        <f t="shared" si="72"/>
        <v>413.84000000000003</v>
      </c>
      <c r="E937" s="18" cm="1">
        <f t="array" ref="E937">_xlfn.IFS(
B937&lt;=recencyQ1, 4,
B937&lt;=recencyQ2, 3,
B937&lt;=recencyQ3, 2,
TRUE, 1
)</f>
        <v>3</v>
      </c>
      <c r="F937" s="18" cm="1">
        <f t="array" ref="F937">_xlfn.IFS(
C937&lt;=frequencyQ1, 1,
C937&lt;=frequencyQ2, 2,
C937&lt;=frequencyQ3, 3,
TRUE, 4)</f>
        <v>2</v>
      </c>
      <c r="G937" s="18" cm="1">
        <f t="array" ref="G937">_xlfn.IFS(
D937&lt;=monetaryQ1, 1,
D937&lt;=monetaryQ2, 2,
D937&lt;=monetaryQ3, 3,
TRUE, 4)</f>
        <v>2</v>
      </c>
      <c r="H937" s="18" t="str">
        <f t="shared" si="73"/>
        <v>322</v>
      </c>
      <c r="I937" s="19">
        <f t="shared" si="74"/>
        <v>2.3333333333333335</v>
      </c>
      <c r="J937" s="7" t="str" cm="1">
        <f t="array" ref="J937">_xlfn.IFS(
I937&gt;=Best_Customers, Best_Customers_name,
I937&gt;=Loyal_Customers, Loyal_Customers_name,
I937&gt;=Average_Customers, Average_Customers_name,
TRUE, Lost_Customers_name)</f>
        <v>Average Customers</v>
      </c>
    </row>
    <row r="938" spans="1:10" x14ac:dyDescent="0.25">
      <c r="A938" s="25" t="str">
        <v>CUST_0939</v>
      </c>
      <c r="B938" s="16">
        <f t="shared" si="70"/>
        <v>38</v>
      </c>
      <c r="C938" s="16">
        <f t="shared" si="71"/>
        <v>6</v>
      </c>
      <c r="D938" s="17">
        <f t="shared" si="72"/>
        <v>635.58999999999992</v>
      </c>
      <c r="E938" s="18" cm="1">
        <f t="array" ref="E938">_xlfn.IFS(
B938&lt;=recencyQ1, 4,
B938&lt;=recencyQ2, 3,
B938&lt;=recencyQ3, 2,
TRUE, 1
)</f>
        <v>3</v>
      </c>
      <c r="F938" s="18" cm="1">
        <f t="array" ref="F938">_xlfn.IFS(
C938&lt;=frequencyQ1, 1,
C938&lt;=frequencyQ2, 2,
C938&lt;=frequencyQ3, 3,
TRUE, 4)</f>
        <v>3</v>
      </c>
      <c r="G938" s="18" cm="1">
        <f t="array" ref="G938">_xlfn.IFS(
D938&lt;=monetaryQ1, 1,
D938&lt;=monetaryQ2, 2,
D938&lt;=monetaryQ3, 3,
TRUE, 4)</f>
        <v>3</v>
      </c>
      <c r="H938" s="18" t="str">
        <f t="shared" si="73"/>
        <v>333</v>
      </c>
      <c r="I938" s="19">
        <f t="shared" si="74"/>
        <v>3</v>
      </c>
      <c r="J938" s="7" t="str" cm="1">
        <f t="array" ref="J938">_xlfn.IFS(
I938&gt;=Best_Customers, Best_Customers_name,
I938&gt;=Loyal_Customers, Loyal_Customers_name,
I938&gt;=Average_Customers, Average_Customers_name,
TRUE, Lost_Customers_name)</f>
        <v>Loyal Customers</v>
      </c>
    </row>
    <row r="939" spans="1:10" x14ac:dyDescent="0.25">
      <c r="A939" s="25" t="str">
        <v>CUST_0940</v>
      </c>
      <c r="B939" s="16">
        <f t="shared" si="70"/>
        <v>0</v>
      </c>
      <c r="C939" s="16">
        <f t="shared" si="71"/>
        <v>3</v>
      </c>
      <c r="D939" s="17">
        <f t="shared" si="72"/>
        <v>306.94</v>
      </c>
      <c r="E939" s="18" cm="1">
        <f t="array" ref="E939">_xlfn.IFS(
B939&lt;=recencyQ1, 4,
B939&lt;=recencyQ2, 3,
B939&lt;=recencyQ3, 2,
TRUE, 1
)</f>
        <v>4</v>
      </c>
      <c r="F939" s="18" cm="1">
        <f t="array" ref="F939">_xlfn.IFS(
C939&lt;=frequencyQ1, 1,
C939&lt;=frequencyQ2, 2,
C939&lt;=frequencyQ3, 3,
TRUE, 4)</f>
        <v>1</v>
      </c>
      <c r="G939" s="18" cm="1">
        <f t="array" ref="G939">_xlfn.IFS(
D939&lt;=monetaryQ1, 1,
D939&lt;=monetaryQ2, 2,
D939&lt;=monetaryQ3, 3,
TRUE, 4)</f>
        <v>1</v>
      </c>
      <c r="H939" s="18" t="str">
        <f t="shared" si="73"/>
        <v>411</v>
      </c>
      <c r="I939" s="19">
        <f t="shared" si="74"/>
        <v>2</v>
      </c>
      <c r="J939" s="7" t="str" cm="1">
        <f t="array" ref="J939">_xlfn.IFS(
I939&gt;=Best_Customers, Best_Customers_name,
I939&gt;=Loyal_Customers, Loyal_Customers_name,
I939&gt;=Average_Customers, Average_Customers_name,
TRUE, Lost_Customers_name)</f>
        <v>Average Customers</v>
      </c>
    </row>
    <row r="940" spans="1:10" x14ac:dyDescent="0.25">
      <c r="A940" s="25" t="str">
        <v>CUST_0941</v>
      </c>
      <c r="B940" s="16">
        <f t="shared" si="70"/>
        <v>8</v>
      </c>
      <c r="C940" s="16">
        <f t="shared" si="71"/>
        <v>4</v>
      </c>
      <c r="D940" s="17">
        <f t="shared" si="72"/>
        <v>481.34</v>
      </c>
      <c r="E940" s="18" cm="1">
        <f t="array" ref="E940">_xlfn.IFS(
B940&lt;=recencyQ1, 4,
B940&lt;=recencyQ2, 3,
B940&lt;=recencyQ3, 2,
TRUE, 1
)</f>
        <v>4</v>
      </c>
      <c r="F940" s="18" cm="1">
        <f t="array" ref="F940">_xlfn.IFS(
C940&lt;=frequencyQ1, 1,
C940&lt;=frequencyQ2, 2,
C940&lt;=frequencyQ3, 3,
TRUE, 4)</f>
        <v>2</v>
      </c>
      <c r="G940" s="18" cm="1">
        <f t="array" ref="G940">_xlfn.IFS(
D940&lt;=monetaryQ1, 1,
D940&lt;=monetaryQ2, 2,
D940&lt;=monetaryQ3, 3,
TRUE, 4)</f>
        <v>2</v>
      </c>
      <c r="H940" s="18" t="str">
        <f t="shared" si="73"/>
        <v>422</v>
      </c>
      <c r="I940" s="19">
        <f t="shared" si="74"/>
        <v>2.6666666666666665</v>
      </c>
      <c r="J940" s="7" t="str" cm="1">
        <f t="array" ref="J940">_xlfn.IFS(
I940&gt;=Best_Customers, Best_Customers_name,
I940&gt;=Loyal_Customers, Loyal_Customers_name,
I940&gt;=Average_Customers, Average_Customers_name,
TRUE, Lost_Customers_name)</f>
        <v>Loyal Customers</v>
      </c>
    </row>
    <row r="941" spans="1:10" x14ac:dyDescent="0.25">
      <c r="A941" s="25" t="str">
        <v>CUST_0942</v>
      </c>
      <c r="B941" s="16">
        <f t="shared" si="70"/>
        <v>15</v>
      </c>
      <c r="C941" s="16">
        <f t="shared" si="71"/>
        <v>8</v>
      </c>
      <c r="D941" s="17">
        <f t="shared" si="72"/>
        <v>777.93</v>
      </c>
      <c r="E941" s="18" cm="1">
        <f t="array" ref="E941">_xlfn.IFS(
B941&lt;=recencyQ1, 4,
B941&lt;=recencyQ2, 3,
B941&lt;=recencyQ3, 2,
TRUE, 1
)</f>
        <v>4</v>
      </c>
      <c r="F941" s="18" cm="1">
        <f t="array" ref="F941">_xlfn.IFS(
C941&lt;=frequencyQ1, 1,
C941&lt;=frequencyQ2, 2,
C941&lt;=frequencyQ3, 3,
TRUE, 4)</f>
        <v>4</v>
      </c>
      <c r="G941" s="18" cm="1">
        <f t="array" ref="G941">_xlfn.IFS(
D941&lt;=monetaryQ1, 1,
D941&lt;=monetaryQ2, 2,
D941&lt;=monetaryQ3, 3,
TRUE, 4)</f>
        <v>4</v>
      </c>
      <c r="H941" s="18" t="str">
        <f t="shared" si="73"/>
        <v>444</v>
      </c>
      <c r="I941" s="19">
        <f t="shared" si="74"/>
        <v>4</v>
      </c>
      <c r="J941" s="7" t="str" cm="1">
        <f t="array" ref="J941">_xlfn.IFS(
I941&gt;=Best_Customers, Best_Customers_name,
I941&gt;=Loyal_Customers, Loyal_Customers_name,
I941&gt;=Average_Customers, Average_Customers_name,
TRUE, Lost_Customers_name)</f>
        <v>Best Customers</v>
      </c>
    </row>
    <row r="942" spans="1:10" x14ac:dyDescent="0.25">
      <c r="A942" s="25" t="str">
        <v>CUST_0943</v>
      </c>
      <c r="B942" s="16">
        <f t="shared" si="70"/>
        <v>51</v>
      </c>
      <c r="C942" s="16">
        <f t="shared" si="71"/>
        <v>6</v>
      </c>
      <c r="D942" s="17">
        <f t="shared" si="72"/>
        <v>502.67</v>
      </c>
      <c r="E942" s="18" cm="1">
        <f t="array" ref="E942">_xlfn.IFS(
B942&lt;=recencyQ1, 4,
B942&lt;=recencyQ2, 3,
B942&lt;=recencyQ3, 2,
TRUE, 1
)</f>
        <v>2</v>
      </c>
      <c r="F942" s="18" cm="1">
        <f t="array" ref="F942">_xlfn.IFS(
C942&lt;=frequencyQ1, 1,
C942&lt;=frequencyQ2, 2,
C942&lt;=frequencyQ3, 3,
TRUE, 4)</f>
        <v>3</v>
      </c>
      <c r="G942" s="18" cm="1">
        <f t="array" ref="G942">_xlfn.IFS(
D942&lt;=monetaryQ1, 1,
D942&lt;=monetaryQ2, 2,
D942&lt;=monetaryQ3, 3,
TRUE, 4)</f>
        <v>3</v>
      </c>
      <c r="H942" s="18" t="str">
        <f t="shared" si="73"/>
        <v>233</v>
      </c>
      <c r="I942" s="19">
        <f t="shared" si="74"/>
        <v>2.6666666666666665</v>
      </c>
      <c r="J942" s="7" t="str" cm="1">
        <f t="array" ref="J942">_xlfn.IFS(
I942&gt;=Best_Customers, Best_Customers_name,
I942&gt;=Loyal_Customers, Loyal_Customers_name,
I942&gt;=Average_Customers, Average_Customers_name,
TRUE, Lost_Customers_name)</f>
        <v>Loyal Customers</v>
      </c>
    </row>
    <row r="943" spans="1:10" x14ac:dyDescent="0.25">
      <c r="A943" s="25" t="str">
        <v>CUST_0944</v>
      </c>
      <c r="B943" s="16">
        <f t="shared" si="70"/>
        <v>67</v>
      </c>
      <c r="C943" s="16">
        <f t="shared" si="71"/>
        <v>4</v>
      </c>
      <c r="D943" s="17">
        <f t="shared" si="72"/>
        <v>347.05</v>
      </c>
      <c r="E943" s="18" cm="1">
        <f t="array" ref="E943">_xlfn.IFS(
B943&lt;=recencyQ1, 4,
B943&lt;=recencyQ2, 3,
B943&lt;=recencyQ3, 2,
TRUE, 1
)</f>
        <v>2</v>
      </c>
      <c r="F943" s="18" cm="1">
        <f t="array" ref="F943">_xlfn.IFS(
C943&lt;=frequencyQ1, 1,
C943&lt;=frequencyQ2, 2,
C943&lt;=frequencyQ3, 3,
TRUE, 4)</f>
        <v>2</v>
      </c>
      <c r="G943" s="18" cm="1">
        <f t="array" ref="G943">_xlfn.IFS(
D943&lt;=monetaryQ1, 1,
D943&lt;=monetaryQ2, 2,
D943&lt;=monetaryQ3, 3,
TRUE, 4)</f>
        <v>2</v>
      </c>
      <c r="H943" s="18" t="str">
        <f t="shared" si="73"/>
        <v>222</v>
      </c>
      <c r="I943" s="19">
        <f t="shared" si="74"/>
        <v>2</v>
      </c>
      <c r="J943" s="7" t="str" cm="1">
        <f t="array" ref="J943">_xlfn.IFS(
I943&gt;=Best_Customers, Best_Customers_name,
I943&gt;=Loyal_Customers, Loyal_Customers_name,
I943&gt;=Average_Customers, Average_Customers_name,
TRUE, Lost_Customers_name)</f>
        <v>Average Customers</v>
      </c>
    </row>
    <row r="944" spans="1:10" x14ac:dyDescent="0.25">
      <c r="A944" s="25" t="str">
        <v>CUST_0945</v>
      </c>
      <c r="B944" s="16">
        <f t="shared" si="70"/>
        <v>127</v>
      </c>
      <c r="C944" s="16">
        <f t="shared" si="71"/>
        <v>6</v>
      </c>
      <c r="D944" s="17">
        <f t="shared" si="72"/>
        <v>678.6099999999999</v>
      </c>
      <c r="E944" s="18" cm="1">
        <f t="array" ref="E944">_xlfn.IFS(
B944&lt;=recencyQ1, 4,
B944&lt;=recencyQ2, 3,
B944&lt;=recencyQ3, 2,
TRUE, 1
)</f>
        <v>1</v>
      </c>
      <c r="F944" s="18" cm="1">
        <f t="array" ref="F944">_xlfn.IFS(
C944&lt;=frequencyQ1, 1,
C944&lt;=frequencyQ2, 2,
C944&lt;=frequencyQ3, 3,
TRUE, 4)</f>
        <v>3</v>
      </c>
      <c r="G944" s="18" cm="1">
        <f t="array" ref="G944">_xlfn.IFS(
D944&lt;=monetaryQ1, 1,
D944&lt;=monetaryQ2, 2,
D944&lt;=monetaryQ3, 3,
TRUE, 4)</f>
        <v>4</v>
      </c>
      <c r="H944" s="18" t="str">
        <f t="shared" si="73"/>
        <v>134</v>
      </c>
      <c r="I944" s="19">
        <f t="shared" si="74"/>
        <v>2.6666666666666665</v>
      </c>
      <c r="J944" s="7" t="str" cm="1">
        <f t="array" ref="J944">_xlfn.IFS(
I944&gt;=Best_Customers, Best_Customers_name,
I944&gt;=Loyal_Customers, Loyal_Customers_name,
I944&gt;=Average_Customers, Average_Customers_name,
TRUE, Lost_Customers_name)</f>
        <v>Loyal Customers</v>
      </c>
    </row>
    <row r="945" spans="1:10" x14ac:dyDescent="0.25">
      <c r="A945" s="25" t="str">
        <v>CUST_0946</v>
      </c>
      <c r="B945" s="16">
        <f t="shared" si="70"/>
        <v>6</v>
      </c>
      <c r="C945" s="16">
        <f t="shared" si="71"/>
        <v>9</v>
      </c>
      <c r="D945" s="17">
        <f t="shared" si="72"/>
        <v>877.07999999999993</v>
      </c>
      <c r="E945" s="18" cm="1">
        <f t="array" ref="E945">_xlfn.IFS(
B945&lt;=recencyQ1, 4,
B945&lt;=recencyQ2, 3,
B945&lt;=recencyQ3, 2,
TRUE, 1
)</f>
        <v>4</v>
      </c>
      <c r="F945" s="18" cm="1">
        <f t="array" ref="F945">_xlfn.IFS(
C945&lt;=frequencyQ1, 1,
C945&lt;=frequencyQ2, 2,
C945&lt;=frequencyQ3, 3,
TRUE, 4)</f>
        <v>4</v>
      </c>
      <c r="G945" s="18" cm="1">
        <f t="array" ref="G945">_xlfn.IFS(
D945&lt;=monetaryQ1, 1,
D945&lt;=monetaryQ2, 2,
D945&lt;=monetaryQ3, 3,
TRUE, 4)</f>
        <v>4</v>
      </c>
      <c r="H945" s="18" t="str">
        <f t="shared" si="73"/>
        <v>444</v>
      </c>
      <c r="I945" s="19">
        <f t="shared" si="74"/>
        <v>4</v>
      </c>
      <c r="J945" s="7" t="str" cm="1">
        <f t="array" ref="J945">_xlfn.IFS(
I945&gt;=Best_Customers, Best_Customers_name,
I945&gt;=Loyal_Customers, Loyal_Customers_name,
I945&gt;=Average_Customers, Average_Customers_name,
TRUE, Lost_Customers_name)</f>
        <v>Best Customers</v>
      </c>
    </row>
    <row r="946" spans="1:10" x14ac:dyDescent="0.25">
      <c r="A946" s="25" t="str">
        <v>CUST_0947</v>
      </c>
      <c r="B946" s="16">
        <f t="shared" si="70"/>
        <v>87</v>
      </c>
      <c r="C946" s="16">
        <f t="shared" si="71"/>
        <v>4</v>
      </c>
      <c r="D946" s="17">
        <f t="shared" si="72"/>
        <v>431.76</v>
      </c>
      <c r="E946" s="18" cm="1">
        <f t="array" ref="E946">_xlfn.IFS(
B946&lt;=recencyQ1, 4,
B946&lt;=recencyQ2, 3,
B946&lt;=recencyQ3, 2,
TRUE, 1
)</f>
        <v>2</v>
      </c>
      <c r="F946" s="18" cm="1">
        <f t="array" ref="F946">_xlfn.IFS(
C946&lt;=frequencyQ1, 1,
C946&lt;=frequencyQ2, 2,
C946&lt;=frequencyQ3, 3,
TRUE, 4)</f>
        <v>2</v>
      </c>
      <c r="G946" s="18" cm="1">
        <f t="array" ref="G946">_xlfn.IFS(
D946&lt;=monetaryQ1, 1,
D946&lt;=monetaryQ2, 2,
D946&lt;=monetaryQ3, 3,
TRUE, 4)</f>
        <v>2</v>
      </c>
      <c r="H946" s="18" t="str">
        <f t="shared" si="73"/>
        <v>222</v>
      </c>
      <c r="I946" s="19">
        <f t="shared" si="74"/>
        <v>2</v>
      </c>
      <c r="J946" s="7" t="str" cm="1">
        <f t="array" ref="J946">_xlfn.IFS(
I946&gt;=Best_Customers, Best_Customers_name,
I946&gt;=Loyal_Customers, Loyal_Customers_name,
I946&gt;=Average_Customers, Average_Customers_name,
TRUE, Lost_Customers_name)</f>
        <v>Average Customers</v>
      </c>
    </row>
    <row r="947" spans="1:10" x14ac:dyDescent="0.25">
      <c r="A947" s="25" t="str">
        <v>CUST_0948</v>
      </c>
      <c r="B947" s="16">
        <f t="shared" si="70"/>
        <v>100</v>
      </c>
      <c r="C947" s="16">
        <f t="shared" si="71"/>
        <v>4</v>
      </c>
      <c r="D947" s="17">
        <f t="shared" si="72"/>
        <v>363.88</v>
      </c>
      <c r="E947" s="18" cm="1">
        <f t="array" ref="E947">_xlfn.IFS(
B947&lt;=recencyQ1, 4,
B947&lt;=recencyQ2, 3,
B947&lt;=recencyQ3, 2,
TRUE, 1
)</f>
        <v>1</v>
      </c>
      <c r="F947" s="18" cm="1">
        <f t="array" ref="F947">_xlfn.IFS(
C947&lt;=frequencyQ1, 1,
C947&lt;=frequencyQ2, 2,
C947&lt;=frequencyQ3, 3,
TRUE, 4)</f>
        <v>2</v>
      </c>
      <c r="G947" s="18" cm="1">
        <f t="array" ref="G947">_xlfn.IFS(
D947&lt;=monetaryQ1, 1,
D947&lt;=monetaryQ2, 2,
D947&lt;=monetaryQ3, 3,
TRUE, 4)</f>
        <v>2</v>
      </c>
      <c r="H947" s="18" t="str">
        <f t="shared" si="73"/>
        <v>122</v>
      </c>
      <c r="I947" s="19">
        <f t="shared" si="74"/>
        <v>1.6666666666666667</v>
      </c>
      <c r="J947" s="7" t="str" cm="1">
        <f t="array" ref="J947">_xlfn.IFS(
I947&gt;=Best_Customers, Best_Customers_name,
I947&gt;=Loyal_Customers, Loyal_Customers_name,
I947&gt;=Average_Customers, Average_Customers_name,
TRUE, Lost_Customers_name)</f>
        <v>Average Customers</v>
      </c>
    </row>
    <row r="948" spans="1:10" x14ac:dyDescent="0.25">
      <c r="A948" s="25" t="str">
        <v>CUST_0949</v>
      </c>
      <c r="B948" s="16">
        <f t="shared" si="70"/>
        <v>75</v>
      </c>
      <c r="C948" s="16">
        <f t="shared" si="71"/>
        <v>2</v>
      </c>
      <c r="D948" s="17">
        <f t="shared" si="72"/>
        <v>261.23</v>
      </c>
      <c r="E948" s="18" cm="1">
        <f t="array" ref="E948">_xlfn.IFS(
B948&lt;=recencyQ1, 4,
B948&lt;=recencyQ2, 3,
B948&lt;=recencyQ3, 2,
TRUE, 1
)</f>
        <v>2</v>
      </c>
      <c r="F948" s="18" cm="1">
        <f t="array" ref="F948">_xlfn.IFS(
C948&lt;=frequencyQ1, 1,
C948&lt;=frequencyQ2, 2,
C948&lt;=frequencyQ3, 3,
TRUE, 4)</f>
        <v>1</v>
      </c>
      <c r="G948" s="18" cm="1">
        <f t="array" ref="G948">_xlfn.IFS(
D948&lt;=monetaryQ1, 1,
D948&lt;=monetaryQ2, 2,
D948&lt;=monetaryQ3, 3,
TRUE, 4)</f>
        <v>1</v>
      </c>
      <c r="H948" s="18" t="str">
        <f t="shared" si="73"/>
        <v>211</v>
      </c>
      <c r="I948" s="19">
        <f t="shared" si="74"/>
        <v>1.3333333333333333</v>
      </c>
      <c r="J948" s="7" t="str" cm="1">
        <f t="array" ref="J948">_xlfn.IFS(
I948&gt;=Best_Customers, Best_Customers_name,
I948&gt;=Loyal_Customers, Loyal_Customers_name,
I948&gt;=Average_Customers, Average_Customers_name,
TRUE, Lost_Customers_name)</f>
        <v>Lost Customers</v>
      </c>
    </row>
    <row r="949" spans="1:10" x14ac:dyDescent="0.25">
      <c r="A949" s="25" t="str">
        <v>CUST_0950</v>
      </c>
      <c r="B949" s="16">
        <f t="shared" si="70"/>
        <v>92</v>
      </c>
      <c r="C949" s="16">
        <f t="shared" si="71"/>
        <v>4</v>
      </c>
      <c r="D949" s="17">
        <f t="shared" si="72"/>
        <v>420.95000000000005</v>
      </c>
      <c r="E949" s="18" cm="1">
        <f t="array" ref="E949">_xlfn.IFS(
B949&lt;=recencyQ1, 4,
B949&lt;=recencyQ2, 3,
B949&lt;=recencyQ3, 2,
TRUE, 1
)</f>
        <v>2</v>
      </c>
      <c r="F949" s="18" cm="1">
        <f t="array" ref="F949">_xlfn.IFS(
C949&lt;=frequencyQ1, 1,
C949&lt;=frequencyQ2, 2,
C949&lt;=frequencyQ3, 3,
TRUE, 4)</f>
        <v>2</v>
      </c>
      <c r="G949" s="18" cm="1">
        <f t="array" ref="G949">_xlfn.IFS(
D949&lt;=monetaryQ1, 1,
D949&lt;=monetaryQ2, 2,
D949&lt;=monetaryQ3, 3,
TRUE, 4)</f>
        <v>2</v>
      </c>
      <c r="H949" s="18" t="str">
        <f t="shared" si="73"/>
        <v>222</v>
      </c>
      <c r="I949" s="19">
        <f t="shared" si="74"/>
        <v>2</v>
      </c>
      <c r="J949" s="7" t="str" cm="1">
        <f t="array" ref="J949">_xlfn.IFS(
I949&gt;=Best_Customers, Best_Customers_name,
I949&gt;=Loyal_Customers, Loyal_Customers_name,
I949&gt;=Average_Customers, Average_Customers_name,
TRUE, Lost_Customers_name)</f>
        <v>Average Customers</v>
      </c>
    </row>
    <row r="950" spans="1:10" x14ac:dyDescent="0.25">
      <c r="A950" s="25" t="str">
        <v>CUST_0951</v>
      </c>
      <c r="B950" s="16">
        <f t="shared" si="70"/>
        <v>4</v>
      </c>
      <c r="C950" s="16">
        <f t="shared" si="71"/>
        <v>6</v>
      </c>
      <c r="D950" s="17">
        <f t="shared" si="72"/>
        <v>715.37</v>
      </c>
      <c r="E950" s="18" cm="1">
        <f t="array" ref="E950">_xlfn.IFS(
B950&lt;=recencyQ1, 4,
B950&lt;=recencyQ2, 3,
B950&lt;=recencyQ3, 2,
TRUE, 1
)</f>
        <v>4</v>
      </c>
      <c r="F950" s="18" cm="1">
        <f t="array" ref="F950">_xlfn.IFS(
C950&lt;=frequencyQ1, 1,
C950&lt;=frequencyQ2, 2,
C950&lt;=frequencyQ3, 3,
TRUE, 4)</f>
        <v>3</v>
      </c>
      <c r="G950" s="18" cm="1">
        <f t="array" ref="G950">_xlfn.IFS(
D950&lt;=monetaryQ1, 1,
D950&lt;=monetaryQ2, 2,
D950&lt;=monetaryQ3, 3,
TRUE, 4)</f>
        <v>4</v>
      </c>
      <c r="H950" s="18" t="str">
        <f t="shared" si="73"/>
        <v>434</v>
      </c>
      <c r="I950" s="19">
        <f t="shared" si="74"/>
        <v>3.6666666666666665</v>
      </c>
      <c r="J950" s="7" t="str" cm="1">
        <f t="array" ref="J950">_xlfn.IFS(
I950&gt;=Best_Customers, Best_Customers_name,
I950&gt;=Loyal_Customers, Loyal_Customers_name,
I950&gt;=Average_Customers, Average_Customers_name,
TRUE, Lost_Customers_name)</f>
        <v>Best Customers</v>
      </c>
    </row>
    <row r="951" spans="1:10" x14ac:dyDescent="0.25">
      <c r="A951" s="25" t="str">
        <v>CUST_0952</v>
      </c>
      <c r="B951" s="16">
        <f t="shared" si="70"/>
        <v>97</v>
      </c>
      <c r="C951" s="16">
        <f t="shared" si="71"/>
        <v>6</v>
      </c>
      <c r="D951" s="17">
        <f t="shared" si="72"/>
        <v>554.74</v>
      </c>
      <c r="E951" s="18" cm="1">
        <f t="array" ref="E951">_xlfn.IFS(
B951&lt;=recencyQ1, 4,
B951&lt;=recencyQ2, 3,
B951&lt;=recencyQ3, 2,
TRUE, 1
)</f>
        <v>1</v>
      </c>
      <c r="F951" s="18" cm="1">
        <f t="array" ref="F951">_xlfn.IFS(
C951&lt;=frequencyQ1, 1,
C951&lt;=frequencyQ2, 2,
C951&lt;=frequencyQ3, 3,
TRUE, 4)</f>
        <v>3</v>
      </c>
      <c r="G951" s="18" cm="1">
        <f t="array" ref="G951">_xlfn.IFS(
D951&lt;=monetaryQ1, 1,
D951&lt;=monetaryQ2, 2,
D951&lt;=monetaryQ3, 3,
TRUE, 4)</f>
        <v>3</v>
      </c>
      <c r="H951" s="18" t="str">
        <f t="shared" si="73"/>
        <v>133</v>
      </c>
      <c r="I951" s="19">
        <f t="shared" si="74"/>
        <v>2.3333333333333335</v>
      </c>
      <c r="J951" s="7" t="str" cm="1">
        <f t="array" ref="J951">_xlfn.IFS(
I951&gt;=Best_Customers, Best_Customers_name,
I951&gt;=Loyal_Customers, Loyal_Customers_name,
I951&gt;=Average_Customers, Average_Customers_name,
TRUE, Lost_Customers_name)</f>
        <v>Average Customers</v>
      </c>
    </row>
    <row r="952" spans="1:10" x14ac:dyDescent="0.25">
      <c r="A952" s="25" t="str">
        <v>CUST_0953</v>
      </c>
      <c r="B952" s="16">
        <f t="shared" si="70"/>
        <v>13</v>
      </c>
      <c r="C952" s="16">
        <f t="shared" si="71"/>
        <v>3</v>
      </c>
      <c r="D952" s="17">
        <f t="shared" si="72"/>
        <v>214.64999999999998</v>
      </c>
      <c r="E952" s="18" cm="1">
        <f t="array" ref="E952">_xlfn.IFS(
B952&lt;=recencyQ1, 4,
B952&lt;=recencyQ2, 3,
B952&lt;=recencyQ3, 2,
TRUE, 1
)</f>
        <v>4</v>
      </c>
      <c r="F952" s="18" cm="1">
        <f t="array" ref="F952">_xlfn.IFS(
C952&lt;=frequencyQ1, 1,
C952&lt;=frequencyQ2, 2,
C952&lt;=frequencyQ3, 3,
TRUE, 4)</f>
        <v>1</v>
      </c>
      <c r="G952" s="18" cm="1">
        <f t="array" ref="G952">_xlfn.IFS(
D952&lt;=monetaryQ1, 1,
D952&lt;=monetaryQ2, 2,
D952&lt;=monetaryQ3, 3,
TRUE, 4)</f>
        <v>1</v>
      </c>
      <c r="H952" s="18" t="str">
        <f t="shared" si="73"/>
        <v>411</v>
      </c>
      <c r="I952" s="19">
        <f t="shared" si="74"/>
        <v>2</v>
      </c>
      <c r="J952" s="7" t="str" cm="1">
        <f t="array" ref="J952">_xlfn.IFS(
I952&gt;=Best_Customers, Best_Customers_name,
I952&gt;=Loyal_Customers, Loyal_Customers_name,
I952&gt;=Average_Customers, Average_Customers_name,
TRUE, Lost_Customers_name)</f>
        <v>Average Customers</v>
      </c>
    </row>
    <row r="953" spans="1:10" x14ac:dyDescent="0.25">
      <c r="A953" s="25" t="str">
        <v>CUST_0954</v>
      </c>
      <c r="B953" s="16">
        <f t="shared" si="70"/>
        <v>9</v>
      </c>
      <c r="C953" s="16">
        <f t="shared" si="71"/>
        <v>8</v>
      </c>
      <c r="D953" s="17">
        <f t="shared" si="72"/>
        <v>980.90999999999985</v>
      </c>
      <c r="E953" s="18" cm="1">
        <f t="array" ref="E953">_xlfn.IFS(
B953&lt;=recencyQ1, 4,
B953&lt;=recencyQ2, 3,
B953&lt;=recencyQ3, 2,
TRUE, 1
)</f>
        <v>4</v>
      </c>
      <c r="F953" s="18" cm="1">
        <f t="array" ref="F953">_xlfn.IFS(
C953&lt;=frequencyQ1, 1,
C953&lt;=frequencyQ2, 2,
C953&lt;=frequencyQ3, 3,
TRUE, 4)</f>
        <v>4</v>
      </c>
      <c r="G953" s="18" cm="1">
        <f t="array" ref="G953">_xlfn.IFS(
D953&lt;=monetaryQ1, 1,
D953&lt;=monetaryQ2, 2,
D953&lt;=monetaryQ3, 3,
TRUE, 4)</f>
        <v>4</v>
      </c>
      <c r="H953" s="18" t="str">
        <f t="shared" si="73"/>
        <v>444</v>
      </c>
      <c r="I953" s="19">
        <f t="shared" si="74"/>
        <v>4</v>
      </c>
      <c r="J953" s="7" t="str" cm="1">
        <f t="array" ref="J953">_xlfn.IFS(
I953&gt;=Best_Customers, Best_Customers_name,
I953&gt;=Loyal_Customers, Loyal_Customers_name,
I953&gt;=Average_Customers, Average_Customers_name,
TRUE, Lost_Customers_name)</f>
        <v>Best Customers</v>
      </c>
    </row>
    <row r="954" spans="1:10" x14ac:dyDescent="0.25">
      <c r="A954" s="25" t="str">
        <v>CUST_0955</v>
      </c>
      <c r="B954" s="16">
        <f t="shared" si="70"/>
        <v>13</v>
      </c>
      <c r="C954" s="16">
        <f t="shared" si="71"/>
        <v>10</v>
      </c>
      <c r="D954" s="17">
        <f t="shared" si="72"/>
        <v>861.82</v>
      </c>
      <c r="E954" s="18" cm="1">
        <f t="array" ref="E954">_xlfn.IFS(
B954&lt;=recencyQ1, 4,
B954&lt;=recencyQ2, 3,
B954&lt;=recencyQ3, 2,
TRUE, 1
)</f>
        <v>4</v>
      </c>
      <c r="F954" s="18" cm="1">
        <f t="array" ref="F954">_xlfn.IFS(
C954&lt;=frequencyQ1, 1,
C954&lt;=frequencyQ2, 2,
C954&lt;=frequencyQ3, 3,
TRUE, 4)</f>
        <v>4</v>
      </c>
      <c r="G954" s="18" cm="1">
        <f t="array" ref="G954">_xlfn.IFS(
D954&lt;=monetaryQ1, 1,
D954&lt;=monetaryQ2, 2,
D954&lt;=monetaryQ3, 3,
TRUE, 4)</f>
        <v>4</v>
      </c>
      <c r="H954" s="18" t="str">
        <f t="shared" si="73"/>
        <v>444</v>
      </c>
      <c r="I954" s="19">
        <f t="shared" si="74"/>
        <v>4</v>
      </c>
      <c r="J954" s="7" t="str" cm="1">
        <f t="array" ref="J954">_xlfn.IFS(
I954&gt;=Best_Customers, Best_Customers_name,
I954&gt;=Loyal_Customers, Loyal_Customers_name,
I954&gt;=Average_Customers, Average_Customers_name,
TRUE, Lost_Customers_name)</f>
        <v>Best Customers</v>
      </c>
    </row>
    <row r="955" spans="1:10" x14ac:dyDescent="0.25">
      <c r="A955" s="25" t="str">
        <v>CUST_0956</v>
      </c>
      <c r="B955" s="16">
        <f t="shared" si="70"/>
        <v>44</v>
      </c>
      <c r="C955" s="16">
        <f t="shared" si="71"/>
        <v>7</v>
      </c>
      <c r="D955" s="17">
        <f t="shared" si="72"/>
        <v>663.22</v>
      </c>
      <c r="E955" s="18" cm="1">
        <f t="array" ref="E955">_xlfn.IFS(
B955&lt;=recencyQ1, 4,
B955&lt;=recencyQ2, 3,
B955&lt;=recencyQ3, 2,
TRUE, 1
)</f>
        <v>3</v>
      </c>
      <c r="F955" s="18" cm="1">
        <f t="array" ref="F955">_xlfn.IFS(
C955&lt;=frequencyQ1, 1,
C955&lt;=frequencyQ2, 2,
C955&lt;=frequencyQ3, 3,
TRUE, 4)</f>
        <v>4</v>
      </c>
      <c r="G955" s="18" cm="1">
        <f t="array" ref="G955">_xlfn.IFS(
D955&lt;=monetaryQ1, 1,
D955&lt;=monetaryQ2, 2,
D955&lt;=monetaryQ3, 3,
TRUE, 4)</f>
        <v>4</v>
      </c>
      <c r="H955" s="18" t="str">
        <f t="shared" si="73"/>
        <v>344</v>
      </c>
      <c r="I955" s="19">
        <f t="shared" si="74"/>
        <v>3.6666666666666665</v>
      </c>
      <c r="J955" s="7" t="str" cm="1">
        <f t="array" ref="J955">_xlfn.IFS(
I955&gt;=Best_Customers, Best_Customers_name,
I955&gt;=Loyal_Customers, Loyal_Customers_name,
I955&gt;=Average_Customers, Average_Customers_name,
TRUE, Lost_Customers_name)</f>
        <v>Best Customers</v>
      </c>
    </row>
    <row r="956" spans="1:10" x14ac:dyDescent="0.25">
      <c r="A956" s="25" t="str">
        <v>CUST_0957</v>
      </c>
      <c r="B956" s="16">
        <f t="shared" si="70"/>
        <v>20</v>
      </c>
      <c r="C956" s="16">
        <f t="shared" si="71"/>
        <v>12</v>
      </c>
      <c r="D956" s="17">
        <f t="shared" si="72"/>
        <v>1148.71</v>
      </c>
      <c r="E956" s="18" cm="1">
        <f t="array" ref="E956">_xlfn.IFS(
B956&lt;=recencyQ1, 4,
B956&lt;=recencyQ2, 3,
B956&lt;=recencyQ3, 2,
TRUE, 1
)</f>
        <v>3</v>
      </c>
      <c r="F956" s="18" cm="1">
        <f t="array" ref="F956">_xlfn.IFS(
C956&lt;=frequencyQ1, 1,
C956&lt;=frequencyQ2, 2,
C956&lt;=frequencyQ3, 3,
TRUE, 4)</f>
        <v>4</v>
      </c>
      <c r="G956" s="18" cm="1">
        <f t="array" ref="G956">_xlfn.IFS(
D956&lt;=monetaryQ1, 1,
D956&lt;=monetaryQ2, 2,
D956&lt;=monetaryQ3, 3,
TRUE, 4)</f>
        <v>4</v>
      </c>
      <c r="H956" s="18" t="str">
        <f t="shared" si="73"/>
        <v>344</v>
      </c>
      <c r="I956" s="19">
        <f t="shared" si="74"/>
        <v>3.6666666666666665</v>
      </c>
      <c r="J956" s="7" t="str" cm="1">
        <f t="array" ref="J956">_xlfn.IFS(
I956&gt;=Best_Customers, Best_Customers_name,
I956&gt;=Loyal_Customers, Loyal_Customers_name,
I956&gt;=Average_Customers, Average_Customers_name,
TRUE, Lost_Customers_name)</f>
        <v>Best Customers</v>
      </c>
    </row>
    <row r="957" spans="1:10" x14ac:dyDescent="0.25">
      <c r="A957" s="25" t="str">
        <v>CUST_0958</v>
      </c>
      <c r="B957" s="16">
        <f t="shared" si="70"/>
        <v>19</v>
      </c>
      <c r="C957" s="16">
        <f t="shared" si="71"/>
        <v>6</v>
      </c>
      <c r="D957" s="17">
        <f t="shared" si="72"/>
        <v>504.15</v>
      </c>
      <c r="E957" s="18" cm="1">
        <f t="array" ref="E957">_xlfn.IFS(
B957&lt;=recencyQ1, 4,
B957&lt;=recencyQ2, 3,
B957&lt;=recencyQ3, 2,
TRUE, 1
)</f>
        <v>3</v>
      </c>
      <c r="F957" s="18" cm="1">
        <f t="array" ref="F957">_xlfn.IFS(
C957&lt;=frequencyQ1, 1,
C957&lt;=frequencyQ2, 2,
C957&lt;=frequencyQ3, 3,
TRUE, 4)</f>
        <v>3</v>
      </c>
      <c r="G957" s="18" cm="1">
        <f t="array" ref="G957">_xlfn.IFS(
D957&lt;=monetaryQ1, 1,
D957&lt;=monetaryQ2, 2,
D957&lt;=monetaryQ3, 3,
TRUE, 4)</f>
        <v>3</v>
      </c>
      <c r="H957" s="18" t="str">
        <f t="shared" si="73"/>
        <v>333</v>
      </c>
      <c r="I957" s="19">
        <f t="shared" si="74"/>
        <v>3</v>
      </c>
      <c r="J957" s="7" t="str" cm="1">
        <f t="array" ref="J957">_xlfn.IFS(
I957&gt;=Best_Customers, Best_Customers_name,
I957&gt;=Loyal_Customers, Loyal_Customers_name,
I957&gt;=Average_Customers, Average_Customers_name,
TRUE, Lost_Customers_name)</f>
        <v>Loyal Customers</v>
      </c>
    </row>
    <row r="958" spans="1:10" x14ac:dyDescent="0.25">
      <c r="A958" s="25" t="str">
        <v>CUST_0959</v>
      </c>
      <c r="B958" s="16">
        <f t="shared" si="70"/>
        <v>87</v>
      </c>
      <c r="C958" s="16">
        <f t="shared" si="71"/>
        <v>3</v>
      </c>
      <c r="D958" s="17">
        <f t="shared" si="72"/>
        <v>398.73</v>
      </c>
      <c r="E958" s="18" cm="1">
        <f t="array" ref="E958">_xlfn.IFS(
B958&lt;=recencyQ1, 4,
B958&lt;=recencyQ2, 3,
B958&lt;=recencyQ3, 2,
TRUE, 1
)</f>
        <v>2</v>
      </c>
      <c r="F958" s="18" cm="1">
        <f t="array" ref="F958">_xlfn.IFS(
C958&lt;=frequencyQ1, 1,
C958&lt;=frequencyQ2, 2,
C958&lt;=frequencyQ3, 3,
TRUE, 4)</f>
        <v>1</v>
      </c>
      <c r="G958" s="18" cm="1">
        <f t="array" ref="G958">_xlfn.IFS(
D958&lt;=monetaryQ1, 1,
D958&lt;=monetaryQ2, 2,
D958&lt;=monetaryQ3, 3,
TRUE, 4)</f>
        <v>2</v>
      </c>
      <c r="H958" s="18" t="str">
        <f t="shared" si="73"/>
        <v>212</v>
      </c>
      <c r="I958" s="19">
        <f t="shared" si="74"/>
        <v>1.6666666666666667</v>
      </c>
      <c r="J958" s="7" t="str" cm="1">
        <f t="array" ref="J958">_xlfn.IFS(
I958&gt;=Best_Customers, Best_Customers_name,
I958&gt;=Loyal_Customers, Loyal_Customers_name,
I958&gt;=Average_Customers, Average_Customers_name,
TRUE, Lost_Customers_name)</f>
        <v>Average Customers</v>
      </c>
    </row>
    <row r="959" spans="1:10" x14ac:dyDescent="0.25">
      <c r="A959" s="25" t="str">
        <v>CUST_0960</v>
      </c>
      <c r="B959" s="16">
        <f t="shared" si="70"/>
        <v>346</v>
      </c>
      <c r="C959" s="16">
        <f t="shared" si="71"/>
        <v>2</v>
      </c>
      <c r="D959" s="17">
        <f t="shared" si="72"/>
        <v>156.08000000000001</v>
      </c>
      <c r="E959" s="18" cm="1">
        <f t="array" ref="E959">_xlfn.IFS(
B959&lt;=recencyQ1, 4,
B959&lt;=recencyQ2, 3,
B959&lt;=recencyQ3, 2,
TRUE, 1
)</f>
        <v>1</v>
      </c>
      <c r="F959" s="18" cm="1">
        <f t="array" ref="F959">_xlfn.IFS(
C959&lt;=frequencyQ1, 1,
C959&lt;=frequencyQ2, 2,
C959&lt;=frequencyQ3, 3,
TRUE, 4)</f>
        <v>1</v>
      </c>
      <c r="G959" s="18" cm="1">
        <f t="array" ref="G959">_xlfn.IFS(
D959&lt;=monetaryQ1, 1,
D959&lt;=monetaryQ2, 2,
D959&lt;=monetaryQ3, 3,
TRUE, 4)</f>
        <v>1</v>
      </c>
      <c r="H959" s="18" t="str">
        <f t="shared" si="73"/>
        <v>111</v>
      </c>
      <c r="I959" s="19">
        <f t="shared" si="74"/>
        <v>1</v>
      </c>
      <c r="J959" s="7" t="str" cm="1">
        <f t="array" ref="J959">_xlfn.IFS(
I959&gt;=Best_Customers, Best_Customers_name,
I959&gt;=Loyal_Customers, Loyal_Customers_name,
I959&gt;=Average_Customers, Average_Customers_name,
TRUE, Lost_Customers_name)</f>
        <v>Lost Customers</v>
      </c>
    </row>
    <row r="960" spans="1:10" x14ac:dyDescent="0.25">
      <c r="A960" s="25" t="str">
        <v>CUST_0961</v>
      </c>
      <c r="B960" s="16">
        <f t="shared" si="70"/>
        <v>18</v>
      </c>
      <c r="C960" s="16">
        <f t="shared" si="71"/>
        <v>9</v>
      </c>
      <c r="D960" s="17">
        <f t="shared" si="72"/>
        <v>961.84999999999991</v>
      </c>
      <c r="E960" s="18" cm="1">
        <f t="array" ref="E960">_xlfn.IFS(
B960&lt;=recencyQ1, 4,
B960&lt;=recencyQ2, 3,
B960&lt;=recencyQ3, 2,
TRUE, 1
)</f>
        <v>4</v>
      </c>
      <c r="F960" s="18" cm="1">
        <f t="array" ref="F960">_xlfn.IFS(
C960&lt;=frequencyQ1, 1,
C960&lt;=frequencyQ2, 2,
C960&lt;=frequencyQ3, 3,
TRUE, 4)</f>
        <v>4</v>
      </c>
      <c r="G960" s="18" cm="1">
        <f t="array" ref="G960">_xlfn.IFS(
D960&lt;=monetaryQ1, 1,
D960&lt;=monetaryQ2, 2,
D960&lt;=monetaryQ3, 3,
TRUE, 4)</f>
        <v>4</v>
      </c>
      <c r="H960" s="18" t="str">
        <f t="shared" si="73"/>
        <v>444</v>
      </c>
      <c r="I960" s="19">
        <f t="shared" si="74"/>
        <v>4</v>
      </c>
      <c r="J960" s="7" t="str" cm="1">
        <f t="array" ref="J960">_xlfn.IFS(
I960&gt;=Best_Customers, Best_Customers_name,
I960&gt;=Loyal_Customers, Loyal_Customers_name,
I960&gt;=Average_Customers, Average_Customers_name,
TRUE, Lost_Customers_name)</f>
        <v>Best Customers</v>
      </c>
    </row>
    <row r="961" spans="1:10" x14ac:dyDescent="0.25">
      <c r="A961" s="25" t="str">
        <v>CUST_0962</v>
      </c>
      <c r="B961" s="16">
        <f t="shared" si="70"/>
        <v>52</v>
      </c>
      <c r="C961" s="16">
        <f t="shared" si="71"/>
        <v>5</v>
      </c>
      <c r="D961" s="17">
        <f t="shared" si="72"/>
        <v>485.82</v>
      </c>
      <c r="E961" s="18" cm="1">
        <f t="array" ref="E961">_xlfn.IFS(
B961&lt;=recencyQ1, 4,
B961&lt;=recencyQ2, 3,
B961&lt;=recencyQ3, 2,
TRUE, 1
)</f>
        <v>2</v>
      </c>
      <c r="F961" s="18" cm="1">
        <f t="array" ref="F961">_xlfn.IFS(
C961&lt;=frequencyQ1, 1,
C961&lt;=frequencyQ2, 2,
C961&lt;=frequencyQ3, 3,
TRUE, 4)</f>
        <v>2</v>
      </c>
      <c r="G961" s="18" cm="1">
        <f t="array" ref="G961">_xlfn.IFS(
D961&lt;=monetaryQ1, 1,
D961&lt;=monetaryQ2, 2,
D961&lt;=monetaryQ3, 3,
TRUE, 4)</f>
        <v>3</v>
      </c>
      <c r="H961" s="18" t="str">
        <f t="shared" si="73"/>
        <v>223</v>
      </c>
      <c r="I961" s="19">
        <f t="shared" si="74"/>
        <v>2.3333333333333335</v>
      </c>
      <c r="J961" s="7" t="str" cm="1">
        <f t="array" ref="J961">_xlfn.IFS(
I961&gt;=Best_Customers, Best_Customers_name,
I961&gt;=Loyal_Customers, Loyal_Customers_name,
I961&gt;=Average_Customers, Average_Customers_name,
TRUE, Lost_Customers_name)</f>
        <v>Average Customers</v>
      </c>
    </row>
    <row r="962" spans="1:10" x14ac:dyDescent="0.25">
      <c r="A962" s="25" t="str">
        <v>CUST_0963</v>
      </c>
      <c r="B962" s="16">
        <f t="shared" si="70"/>
        <v>44</v>
      </c>
      <c r="C962" s="16">
        <f t="shared" si="71"/>
        <v>4</v>
      </c>
      <c r="D962" s="17">
        <f t="shared" si="72"/>
        <v>291.88</v>
      </c>
      <c r="E962" s="18" cm="1">
        <f t="array" ref="E962">_xlfn.IFS(
B962&lt;=recencyQ1, 4,
B962&lt;=recencyQ2, 3,
B962&lt;=recencyQ3, 2,
TRUE, 1
)</f>
        <v>3</v>
      </c>
      <c r="F962" s="18" cm="1">
        <f t="array" ref="F962">_xlfn.IFS(
C962&lt;=frequencyQ1, 1,
C962&lt;=frequencyQ2, 2,
C962&lt;=frequencyQ3, 3,
TRUE, 4)</f>
        <v>2</v>
      </c>
      <c r="G962" s="18" cm="1">
        <f t="array" ref="G962">_xlfn.IFS(
D962&lt;=monetaryQ1, 1,
D962&lt;=monetaryQ2, 2,
D962&lt;=monetaryQ3, 3,
TRUE, 4)</f>
        <v>1</v>
      </c>
      <c r="H962" s="18" t="str">
        <f t="shared" si="73"/>
        <v>321</v>
      </c>
      <c r="I962" s="19">
        <f t="shared" si="74"/>
        <v>2</v>
      </c>
      <c r="J962" s="7" t="str" cm="1">
        <f t="array" ref="J962">_xlfn.IFS(
I962&gt;=Best_Customers, Best_Customers_name,
I962&gt;=Loyal_Customers, Loyal_Customers_name,
I962&gt;=Average_Customers, Average_Customers_name,
TRUE, Lost_Customers_name)</f>
        <v>Average Customers</v>
      </c>
    </row>
    <row r="963" spans="1:10" x14ac:dyDescent="0.25">
      <c r="A963" s="25" t="str">
        <v>CUST_0964</v>
      </c>
      <c r="B963" s="16">
        <f t="shared" si="70"/>
        <v>43</v>
      </c>
      <c r="C963" s="16">
        <f t="shared" si="71"/>
        <v>1</v>
      </c>
      <c r="D963" s="17">
        <f t="shared" si="72"/>
        <v>124.08</v>
      </c>
      <c r="E963" s="18" cm="1">
        <f t="array" ref="E963">_xlfn.IFS(
B963&lt;=recencyQ1, 4,
B963&lt;=recencyQ2, 3,
B963&lt;=recencyQ3, 2,
TRUE, 1
)</f>
        <v>3</v>
      </c>
      <c r="F963" s="18" cm="1">
        <f t="array" ref="F963">_xlfn.IFS(
C963&lt;=frequencyQ1, 1,
C963&lt;=frequencyQ2, 2,
C963&lt;=frequencyQ3, 3,
TRUE, 4)</f>
        <v>1</v>
      </c>
      <c r="G963" s="18" cm="1">
        <f t="array" ref="G963">_xlfn.IFS(
D963&lt;=monetaryQ1, 1,
D963&lt;=monetaryQ2, 2,
D963&lt;=monetaryQ3, 3,
TRUE, 4)</f>
        <v>1</v>
      </c>
      <c r="H963" s="18" t="str">
        <f t="shared" si="73"/>
        <v>311</v>
      </c>
      <c r="I963" s="19">
        <f t="shared" si="74"/>
        <v>1.6666666666666667</v>
      </c>
      <c r="J963" s="7" t="str" cm="1">
        <f t="array" ref="J963">_xlfn.IFS(
I963&gt;=Best_Customers, Best_Customers_name,
I963&gt;=Loyal_Customers, Loyal_Customers_name,
I963&gt;=Average_Customers, Average_Customers_name,
TRUE, Lost_Customers_name)</f>
        <v>Average Customers</v>
      </c>
    </row>
    <row r="964" spans="1:10" x14ac:dyDescent="0.25">
      <c r="A964" s="25" t="str">
        <v>CUST_0965</v>
      </c>
      <c r="B964" s="16">
        <f t="shared" si="70"/>
        <v>14</v>
      </c>
      <c r="C964" s="16">
        <f t="shared" si="71"/>
        <v>6</v>
      </c>
      <c r="D964" s="17">
        <f t="shared" si="72"/>
        <v>551.92999999999995</v>
      </c>
      <c r="E964" s="18" cm="1">
        <f t="array" ref="E964">_xlfn.IFS(
B964&lt;=recencyQ1, 4,
B964&lt;=recencyQ2, 3,
B964&lt;=recencyQ3, 2,
TRUE, 1
)</f>
        <v>4</v>
      </c>
      <c r="F964" s="18" cm="1">
        <f t="array" ref="F964">_xlfn.IFS(
C964&lt;=frequencyQ1, 1,
C964&lt;=frequencyQ2, 2,
C964&lt;=frequencyQ3, 3,
TRUE, 4)</f>
        <v>3</v>
      </c>
      <c r="G964" s="18" cm="1">
        <f t="array" ref="G964">_xlfn.IFS(
D964&lt;=monetaryQ1, 1,
D964&lt;=monetaryQ2, 2,
D964&lt;=monetaryQ3, 3,
TRUE, 4)</f>
        <v>3</v>
      </c>
      <c r="H964" s="18" t="str">
        <f t="shared" si="73"/>
        <v>433</v>
      </c>
      <c r="I964" s="19">
        <f t="shared" si="74"/>
        <v>3.3333333333333335</v>
      </c>
      <c r="J964" s="7" t="str" cm="1">
        <f t="array" ref="J964">_xlfn.IFS(
I964&gt;=Best_Customers, Best_Customers_name,
I964&gt;=Loyal_Customers, Loyal_Customers_name,
I964&gt;=Average_Customers, Average_Customers_name,
TRUE, Lost_Customers_name)</f>
        <v>Loyal Customers</v>
      </c>
    </row>
    <row r="965" spans="1:10" x14ac:dyDescent="0.25">
      <c r="A965" s="25" t="str">
        <v>CUST_0966</v>
      </c>
      <c r="B965" s="16">
        <f t="shared" si="70"/>
        <v>183</v>
      </c>
      <c r="C965" s="16">
        <f t="shared" si="71"/>
        <v>2</v>
      </c>
      <c r="D965" s="17">
        <f t="shared" si="72"/>
        <v>180.87</v>
      </c>
      <c r="E965" s="18" cm="1">
        <f t="array" ref="E965">_xlfn.IFS(
B965&lt;=recencyQ1, 4,
B965&lt;=recencyQ2, 3,
B965&lt;=recencyQ3, 2,
TRUE, 1
)</f>
        <v>1</v>
      </c>
      <c r="F965" s="18" cm="1">
        <f t="array" ref="F965">_xlfn.IFS(
C965&lt;=frequencyQ1, 1,
C965&lt;=frequencyQ2, 2,
C965&lt;=frequencyQ3, 3,
TRUE, 4)</f>
        <v>1</v>
      </c>
      <c r="G965" s="18" cm="1">
        <f t="array" ref="G965">_xlfn.IFS(
D965&lt;=monetaryQ1, 1,
D965&lt;=monetaryQ2, 2,
D965&lt;=monetaryQ3, 3,
TRUE, 4)</f>
        <v>1</v>
      </c>
      <c r="H965" s="18" t="str">
        <f t="shared" si="73"/>
        <v>111</v>
      </c>
      <c r="I965" s="19">
        <f t="shared" si="74"/>
        <v>1</v>
      </c>
      <c r="J965" s="7" t="str" cm="1">
        <f t="array" ref="J965">_xlfn.IFS(
I965&gt;=Best_Customers, Best_Customers_name,
I965&gt;=Loyal_Customers, Loyal_Customers_name,
I965&gt;=Average_Customers, Average_Customers_name,
TRUE, Lost_Customers_name)</f>
        <v>Lost Customers</v>
      </c>
    </row>
    <row r="966" spans="1:10" x14ac:dyDescent="0.25">
      <c r="A966" s="25" t="str">
        <v>CUST_0967</v>
      </c>
      <c r="B966" s="16">
        <f t="shared" si="70"/>
        <v>63</v>
      </c>
      <c r="C966" s="16">
        <f t="shared" si="71"/>
        <v>6</v>
      </c>
      <c r="D966" s="17">
        <f t="shared" si="72"/>
        <v>580.91999999999996</v>
      </c>
      <c r="E966" s="18" cm="1">
        <f t="array" ref="E966">_xlfn.IFS(
B966&lt;=recencyQ1, 4,
B966&lt;=recencyQ2, 3,
B966&lt;=recencyQ3, 2,
TRUE, 1
)</f>
        <v>2</v>
      </c>
      <c r="F966" s="18" cm="1">
        <f t="array" ref="F966">_xlfn.IFS(
C966&lt;=frequencyQ1, 1,
C966&lt;=frequencyQ2, 2,
C966&lt;=frequencyQ3, 3,
TRUE, 4)</f>
        <v>3</v>
      </c>
      <c r="G966" s="18" cm="1">
        <f t="array" ref="G966">_xlfn.IFS(
D966&lt;=monetaryQ1, 1,
D966&lt;=monetaryQ2, 2,
D966&lt;=monetaryQ3, 3,
TRUE, 4)</f>
        <v>3</v>
      </c>
      <c r="H966" s="18" t="str">
        <f t="shared" si="73"/>
        <v>233</v>
      </c>
      <c r="I966" s="19">
        <f t="shared" si="74"/>
        <v>2.6666666666666665</v>
      </c>
      <c r="J966" s="7" t="str" cm="1">
        <f t="array" ref="J966">_xlfn.IFS(
I966&gt;=Best_Customers, Best_Customers_name,
I966&gt;=Loyal_Customers, Loyal_Customers_name,
I966&gt;=Average_Customers, Average_Customers_name,
TRUE, Lost_Customers_name)</f>
        <v>Loyal Customers</v>
      </c>
    </row>
    <row r="967" spans="1:10" x14ac:dyDescent="0.25">
      <c r="A967" s="25" t="str">
        <v>CUST_0968</v>
      </c>
      <c r="B967" s="16">
        <f t="shared" si="70"/>
        <v>0</v>
      </c>
      <c r="C967" s="16">
        <f t="shared" si="71"/>
        <v>5</v>
      </c>
      <c r="D967" s="17">
        <f t="shared" si="72"/>
        <v>404.42</v>
      </c>
      <c r="E967" s="18" cm="1">
        <f t="array" ref="E967">_xlfn.IFS(
B967&lt;=recencyQ1, 4,
B967&lt;=recencyQ2, 3,
B967&lt;=recencyQ3, 2,
TRUE, 1
)</f>
        <v>4</v>
      </c>
      <c r="F967" s="18" cm="1">
        <f t="array" ref="F967">_xlfn.IFS(
C967&lt;=frequencyQ1, 1,
C967&lt;=frequencyQ2, 2,
C967&lt;=frequencyQ3, 3,
TRUE, 4)</f>
        <v>2</v>
      </c>
      <c r="G967" s="18" cm="1">
        <f t="array" ref="G967">_xlfn.IFS(
D967&lt;=monetaryQ1, 1,
D967&lt;=monetaryQ2, 2,
D967&lt;=monetaryQ3, 3,
TRUE, 4)</f>
        <v>2</v>
      </c>
      <c r="H967" s="18" t="str">
        <f t="shared" si="73"/>
        <v>422</v>
      </c>
      <c r="I967" s="19">
        <f t="shared" si="74"/>
        <v>2.6666666666666665</v>
      </c>
      <c r="J967" s="7" t="str" cm="1">
        <f t="array" ref="J967">_xlfn.IFS(
I967&gt;=Best_Customers, Best_Customers_name,
I967&gt;=Loyal_Customers, Loyal_Customers_name,
I967&gt;=Average_Customers, Average_Customers_name,
TRUE, Lost_Customers_name)</f>
        <v>Loyal Customers</v>
      </c>
    </row>
    <row r="968" spans="1:10" x14ac:dyDescent="0.25">
      <c r="A968" s="25" t="str">
        <v>CUST_0969</v>
      </c>
      <c r="B968" s="16">
        <f t="shared" si="70"/>
        <v>74</v>
      </c>
      <c r="C968" s="16">
        <f t="shared" si="71"/>
        <v>4</v>
      </c>
      <c r="D968" s="17">
        <f t="shared" si="72"/>
        <v>470.90000000000003</v>
      </c>
      <c r="E968" s="18" cm="1">
        <f t="array" ref="E968">_xlfn.IFS(
B968&lt;=recencyQ1, 4,
B968&lt;=recencyQ2, 3,
B968&lt;=recencyQ3, 2,
TRUE, 1
)</f>
        <v>2</v>
      </c>
      <c r="F968" s="18" cm="1">
        <f t="array" ref="F968">_xlfn.IFS(
C968&lt;=frequencyQ1, 1,
C968&lt;=frequencyQ2, 2,
C968&lt;=frequencyQ3, 3,
TRUE, 4)</f>
        <v>2</v>
      </c>
      <c r="G968" s="18" cm="1">
        <f t="array" ref="G968">_xlfn.IFS(
D968&lt;=monetaryQ1, 1,
D968&lt;=monetaryQ2, 2,
D968&lt;=monetaryQ3, 3,
TRUE, 4)</f>
        <v>2</v>
      </c>
      <c r="H968" s="18" t="str">
        <f t="shared" si="73"/>
        <v>222</v>
      </c>
      <c r="I968" s="19">
        <f t="shared" si="74"/>
        <v>2</v>
      </c>
      <c r="J968" s="7" t="str" cm="1">
        <f t="array" ref="J968">_xlfn.IFS(
I968&gt;=Best_Customers, Best_Customers_name,
I968&gt;=Loyal_Customers, Loyal_Customers_name,
I968&gt;=Average_Customers, Average_Customers_name,
TRUE, Lost_Customers_name)</f>
        <v>Average Customers</v>
      </c>
    </row>
    <row r="969" spans="1:10" x14ac:dyDescent="0.25">
      <c r="A969" s="25" t="str">
        <v>CUST_0970</v>
      </c>
      <c r="B969" s="16">
        <f t="shared" si="70"/>
        <v>109</v>
      </c>
      <c r="C969" s="16">
        <f t="shared" si="71"/>
        <v>8</v>
      </c>
      <c r="D969" s="17">
        <f t="shared" si="72"/>
        <v>755.16000000000008</v>
      </c>
      <c r="E969" s="18" cm="1">
        <f t="array" ref="E969">_xlfn.IFS(
B969&lt;=recencyQ1, 4,
B969&lt;=recencyQ2, 3,
B969&lt;=recencyQ3, 2,
TRUE, 1
)</f>
        <v>1</v>
      </c>
      <c r="F969" s="18" cm="1">
        <f t="array" ref="F969">_xlfn.IFS(
C969&lt;=frequencyQ1, 1,
C969&lt;=frequencyQ2, 2,
C969&lt;=frequencyQ3, 3,
TRUE, 4)</f>
        <v>4</v>
      </c>
      <c r="G969" s="18" cm="1">
        <f t="array" ref="G969">_xlfn.IFS(
D969&lt;=monetaryQ1, 1,
D969&lt;=monetaryQ2, 2,
D969&lt;=monetaryQ3, 3,
TRUE, 4)</f>
        <v>4</v>
      </c>
      <c r="H969" s="18" t="str">
        <f t="shared" si="73"/>
        <v>144</v>
      </c>
      <c r="I969" s="19">
        <f t="shared" si="74"/>
        <v>3</v>
      </c>
      <c r="J969" s="7" t="str" cm="1">
        <f t="array" ref="J969">_xlfn.IFS(
I969&gt;=Best_Customers, Best_Customers_name,
I969&gt;=Loyal_Customers, Loyal_Customers_name,
I969&gt;=Average_Customers, Average_Customers_name,
TRUE, Lost_Customers_name)</f>
        <v>Loyal Customers</v>
      </c>
    </row>
    <row r="970" spans="1:10" x14ac:dyDescent="0.25">
      <c r="A970" s="25" t="str">
        <v>CUST_0971</v>
      </c>
      <c r="B970" s="16">
        <f t="shared" ref="B970:B1033" si="75">analysis_date-_xlfn.MAXIFS(transaction_date,customer_id,A970,included,1)</f>
        <v>246</v>
      </c>
      <c r="C970" s="16">
        <f t="shared" ref="C970:C998" si="76">COUNTIFS(customer_id,A970,included,1)</f>
        <v>3</v>
      </c>
      <c r="D970" s="17">
        <f t="shared" ref="D970:D998" si="77">SUMIFS(transaction_amount,customer_id,A970,included,1)</f>
        <v>365.73</v>
      </c>
      <c r="E970" s="18" cm="1">
        <f t="array" ref="E970">_xlfn.IFS(
B970&lt;=recencyQ1, 4,
B970&lt;=recencyQ2, 3,
B970&lt;=recencyQ3, 2,
TRUE, 1
)</f>
        <v>1</v>
      </c>
      <c r="F970" s="18" cm="1">
        <f t="array" ref="F970">_xlfn.IFS(
C970&lt;=frequencyQ1, 1,
C970&lt;=frequencyQ2, 2,
C970&lt;=frequencyQ3, 3,
TRUE, 4)</f>
        <v>1</v>
      </c>
      <c r="G970" s="18" cm="1">
        <f t="array" ref="G970">_xlfn.IFS(
D970&lt;=monetaryQ1, 1,
D970&lt;=monetaryQ2, 2,
D970&lt;=monetaryQ3, 3,
TRUE, 4)</f>
        <v>2</v>
      </c>
      <c r="H970" s="18" t="str">
        <f t="shared" ref="H970:H998" si="78">E970&amp;F970&amp;G970</f>
        <v>112</v>
      </c>
      <c r="I970" s="19">
        <f t="shared" ref="I970:I998" si="79">AVERAGE(E970:G970)</f>
        <v>1.3333333333333333</v>
      </c>
      <c r="J970" s="7" t="str" cm="1">
        <f t="array" ref="J970">_xlfn.IFS(
I970&gt;=Best_Customers, Best_Customers_name,
I970&gt;=Loyal_Customers, Loyal_Customers_name,
I970&gt;=Average_Customers, Average_Customers_name,
TRUE, Lost_Customers_name)</f>
        <v>Lost Customers</v>
      </c>
    </row>
    <row r="971" spans="1:10" x14ac:dyDescent="0.25">
      <c r="A971" s="25" t="str">
        <v>CUST_0972</v>
      </c>
      <c r="B971" s="16">
        <f t="shared" si="75"/>
        <v>35</v>
      </c>
      <c r="C971" s="16">
        <f t="shared" si="76"/>
        <v>9</v>
      </c>
      <c r="D971" s="17">
        <f t="shared" si="77"/>
        <v>895.09</v>
      </c>
      <c r="E971" s="18" cm="1">
        <f t="array" ref="E971">_xlfn.IFS(
B971&lt;=recencyQ1, 4,
B971&lt;=recencyQ2, 3,
B971&lt;=recencyQ3, 2,
TRUE, 1
)</f>
        <v>3</v>
      </c>
      <c r="F971" s="18" cm="1">
        <f t="array" ref="F971">_xlfn.IFS(
C971&lt;=frequencyQ1, 1,
C971&lt;=frequencyQ2, 2,
C971&lt;=frequencyQ3, 3,
TRUE, 4)</f>
        <v>4</v>
      </c>
      <c r="G971" s="18" cm="1">
        <f t="array" ref="G971">_xlfn.IFS(
D971&lt;=monetaryQ1, 1,
D971&lt;=monetaryQ2, 2,
D971&lt;=monetaryQ3, 3,
TRUE, 4)</f>
        <v>4</v>
      </c>
      <c r="H971" s="18" t="str">
        <f t="shared" si="78"/>
        <v>344</v>
      </c>
      <c r="I971" s="19">
        <f t="shared" si="79"/>
        <v>3.6666666666666665</v>
      </c>
      <c r="J971" s="7" t="str" cm="1">
        <f t="array" ref="J971">_xlfn.IFS(
I971&gt;=Best_Customers, Best_Customers_name,
I971&gt;=Loyal_Customers, Loyal_Customers_name,
I971&gt;=Average_Customers, Average_Customers_name,
TRUE, Lost_Customers_name)</f>
        <v>Best Customers</v>
      </c>
    </row>
    <row r="972" spans="1:10" x14ac:dyDescent="0.25">
      <c r="A972" s="25" t="str">
        <v>CUST_0973</v>
      </c>
      <c r="B972" s="16">
        <f t="shared" si="75"/>
        <v>20</v>
      </c>
      <c r="C972" s="16">
        <f t="shared" si="76"/>
        <v>7</v>
      </c>
      <c r="D972" s="17">
        <f t="shared" si="77"/>
        <v>746.49</v>
      </c>
      <c r="E972" s="18" cm="1">
        <f t="array" ref="E972">_xlfn.IFS(
B972&lt;=recencyQ1, 4,
B972&lt;=recencyQ2, 3,
B972&lt;=recencyQ3, 2,
TRUE, 1
)</f>
        <v>3</v>
      </c>
      <c r="F972" s="18" cm="1">
        <f t="array" ref="F972">_xlfn.IFS(
C972&lt;=frequencyQ1, 1,
C972&lt;=frequencyQ2, 2,
C972&lt;=frequencyQ3, 3,
TRUE, 4)</f>
        <v>4</v>
      </c>
      <c r="G972" s="18" cm="1">
        <f t="array" ref="G972">_xlfn.IFS(
D972&lt;=monetaryQ1, 1,
D972&lt;=monetaryQ2, 2,
D972&lt;=monetaryQ3, 3,
TRUE, 4)</f>
        <v>4</v>
      </c>
      <c r="H972" s="18" t="str">
        <f t="shared" si="78"/>
        <v>344</v>
      </c>
      <c r="I972" s="19">
        <f t="shared" si="79"/>
        <v>3.6666666666666665</v>
      </c>
      <c r="J972" s="7" t="str" cm="1">
        <f t="array" ref="J972">_xlfn.IFS(
I972&gt;=Best_Customers, Best_Customers_name,
I972&gt;=Loyal_Customers, Loyal_Customers_name,
I972&gt;=Average_Customers, Average_Customers_name,
TRUE, Lost_Customers_name)</f>
        <v>Best Customers</v>
      </c>
    </row>
    <row r="973" spans="1:10" x14ac:dyDescent="0.25">
      <c r="A973" s="25" t="str">
        <v>CUST_0974</v>
      </c>
      <c r="B973" s="16">
        <f t="shared" si="75"/>
        <v>230</v>
      </c>
      <c r="C973" s="16">
        <f t="shared" si="76"/>
        <v>5</v>
      </c>
      <c r="D973" s="17">
        <f t="shared" si="77"/>
        <v>495.01</v>
      </c>
      <c r="E973" s="18" cm="1">
        <f t="array" ref="E973">_xlfn.IFS(
B973&lt;=recencyQ1, 4,
B973&lt;=recencyQ2, 3,
B973&lt;=recencyQ3, 2,
TRUE, 1
)</f>
        <v>1</v>
      </c>
      <c r="F973" s="18" cm="1">
        <f t="array" ref="F973">_xlfn.IFS(
C973&lt;=frequencyQ1, 1,
C973&lt;=frequencyQ2, 2,
C973&lt;=frequencyQ3, 3,
TRUE, 4)</f>
        <v>2</v>
      </c>
      <c r="G973" s="18" cm="1">
        <f t="array" ref="G973">_xlfn.IFS(
D973&lt;=monetaryQ1, 1,
D973&lt;=monetaryQ2, 2,
D973&lt;=monetaryQ3, 3,
TRUE, 4)</f>
        <v>3</v>
      </c>
      <c r="H973" s="18" t="str">
        <f t="shared" si="78"/>
        <v>123</v>
      </c>
      <c r="I973" s="19">
        <f t="shared" si="79"/>
        <v>2</v>
      </c>
      <c r="J973" s="7" t="str" cm="1">
        <f t="array" ref="J973">_xlfn.IFS(
I973&gt;=Best_Customers, Best_Customers_name,
I973&gt;=Loyal_Customers, Loyal_Customers_name,
I973&gt;=Average_Customers, Average_Customers_name,
TRUE, Lost_Customers_name)</f>
        <v>Average Customers</v>
      </c>
    </row>
    <row r="974" spans="1:10" x14ac:dyDescent="0.25">
      <c r="A974" s="25" t="str">
        <v>CUST_0975</v>
      </c>
      <c r="B974" s="16">
        <f t="shared" si="75"/>
        <v>74</v>
      </c>
      <c r="C974" s="16">
        <f t="shared" si="76"/>
        <v>5</v>
      </c>
      <c r="D974" s="17">
        <f t="shared" si="77"/>
        <v>522.03</v>
      </c>
      <c r="E974" s="18" cm="1">
        <f t="array" ref="E974">_xlfn.IFS(
B974&lt;=recencyQ1, 4,
B974&lt;=recencyQ2, 3,
B974&lt;=recencyQ3, 2,
TRUE, 1
)</f>
        <v>2</v>
      </c>
      <c r="F974" s="18" cm="1">
        <f t="array" ref="F974">_xlfn.IFS(
C974&lt;=frequencyQ1, 1,
C974&lt;=frequencyQ2, 2,
C974&lt;=frequencyQ3, 3,
TRUE, 4)</f>
        <v>2</v>
      </c>
      <c r="G974" s="18" cm="1">
        <f t="array" ref="G974">_xlfn.IFS(
D974&lt;=monetaryQ1, 1,
D974&lt;=monetaryQ2, 2,
D974&lt;=monetaryQ3, 3,
TRUE, 4)</f>
        <v>3</v>
      </c>
      <c r="H974" s="18" t="str">
        <f t="shared" si="78"/>
        <v>223</v>
      </c>
      <c r="I974" s="19">
        <f t="shared" si="79"/>
        <v>2.3333333333333335</v>
      </c>
      <c r="J974" s="7" t="str" cm="1">
        <f t="array" ref="J974">_xlfn.IFS(
I974&gt;=Best_Customers, Best_Customers_name,
I974&gt;=Loyal_Customers, Loyal_Customers_name,
I974&gt;=Average_Customers, Average_Customers_name,
TRUE, Lost_Customers_name)</f>
        <v>Average Customers</v>
      </c>
    </row>
    <row r="975" spans="1:10" x14ac:dyDescent="0.25">
      <c r="A975" s="25" t="str">
        <v>CUST_0976</v>
      </c>
      <c r="B975" s="16">
        <f t="shared" si="75"/>
        <v>5</v>
      </c>
      <c r="C975" s="16">
        <f t="shared" si="76"/>
        <v>5</v>
      </c>
      <c r="D975" s="17">
        <f t="shared" si="77"/>
        <v>505.60999999999996</v>
      </c>
      <c r="E975" s="18" cm="1">
        <f t="array" ref="E975">_xlfn.IFS(
B975&lt;=recencyQ1, 4,
B975&lt;=recencyQ2, 3,
B975&lt;=recencyQ3, 2,
TRUE, 1
)</f>
        <v>4</v>
      </c>
      <c r="F975" s="18" cm="1">
        <f t="array" ref="F975">_xlfn.IFS(
C975&lt;=frequencyQ1, 1,
C975&lt;=frequencyQ2, 2,
C975&lt;=frequencyQ3, 3,
TRUE, 4)</f>
        <v>2</v>
      </c>
      <c r="G975" s="18" cm="1">
        <f t="array" ref="G975">_xlfn.IFS(
D975&lt;=monetaryQ1, 1,
D975&lt;=monetaryQ2, 2,
D975&lt;=monetaryQ3, 3,
TRUE, 4)</f>
        <v>3</v>
      </c>
      <c r="H975" s="18" t="str">
        <f t="shared" si="78"/>
        <v>423</v>
      </c>
      <c r="I975" s="19">
        <f t="shared" si="79"/>
        <v>3</v>
      </c>
      <c r="J975" s="7" t="str" cm="1">
        <f t="array" ref="J975">_xlfn.IFS(
I975&gt;=Best_Customers, Best_Customers_name,
I975&gt;=Loyal_Customers, Loyal_Customers_name,
I975&gt;=Average_Customers, Average_Customers_name,
TRUE, Lost_Customers_name)</f>
        <v>Loyal Customers</v>
      </c>
    </row>
    <row r="976" spans="1:10" x14ac:dyDescent="0.25">
      <c r="A976" s="25" t="str">
        <v>CUST_0977</v>
      </c>
      <c r="B976" s="16">
        <f t="shared" si="75"/>
        <v>40</v>
      </c>
      <c r="C976" s="16">
        <f t="shared" si="76"/>
        <v>7</v>
      </c>
      <c r="D976" s="17">
        <f t="shared" si="77"/>
        <v>647.86</v>
      </c>
      <c r="E976" s="18" cm="1">
        <f t="array" ref="E976">_xlfn.IFS(
B976&lt;=recencyQ1, 4,
B976&lt;=recencyQ2, 3,
B976&lt;=recencyQ3, 2,
TRUE, 1
)</f>
        <v>3</v>
      </c>
      <c r="F976" s="18" cm="1">
        <f t="array" ref="F976">_xlfn.IFS(
C976&lt;=frequencyQ1, 1,
C976&lt;=frequencyQ2, 2,
C976&lt;=frequencyQ3, 3,
TRUE, 4)</f>
        <v>4</v>
      </c>
      <c r="G976" s="18" cm="1">
        <f t="array" ref="G976">_xlfn.IFS(
D976&lt;=monetaryQ1, 1,
D976&lt;=monetaryQ2, 2,
D976&lt;=monetaryQ3, 3,
TRUE, 4)</f>
        <v>3</v>
      </c>
      <c r="H976" s="18" t="str">
        <f t="shared" si="78"/>
        <v>343</v>
      </c>
      <c r="I976" s="19">
        <f t="shared" si="79"/>
        <v>3.3333333333333335</v>
      </c>
      <c r="J976" s="7" t="str" cm="1">
        <f t="array" ref="J976">_xlfn.IFS(
I976&gt;=Best_Customers, Best_Customers_name,
I976&gt;=Loyal_Customers, Loyal_Customers_name,
I976&gt;=Average_Customers, Average_Customers_name,
TRUE, Lost_Customers_name)</f>
        <v>Loyal Customers</v>
      </c>
    </row>
    <row r="977" spans="1:10" x14ac:dyDescent="0.25">
      <c r="A977" s="25" t="str">
        <v>CUST_0978</v>
      </c>
      <c r="B977" s="16">
        <f t="shared" si="75"/>
        <v>90</v>
      </c>
      <c r="C977" s="16">
        <f t="shared" si="76"/>
        <v>1</v>
      </c>
      <c r="D977" s="17">
        <f t="shared" si="77"/>
        <v>98.33</v>
      </c>
      <c r="E977" s="18" cm="1">
        <f t="array" ref="E977">_xlfn.IFS(
B977&lt;=recencyQ1, 4,
B977&lt;=recencyQ2, 3,
B977&lt;=recencyQ3, 2,
TRUE, 1
)</f>
        <v>2</v>
      </c>
      <c r="F977" s="18" cm="1">
        <f t="array" ref="F977">_xlfn.IFS(
C977&lt;=frequencyQ1, 1,
C977&lt;=frequencyQ2, 2,
C977&lt;=frequencyQ3, 3,
TRUE, 4)</f>
        <v>1</v>
      </c>
      <c r="G977" s="18" cm="1">
        <f t="array" ref="G977">_xlfn.IFS(
D977&lt;=monetaryQ1, 1,
D977&lt;=monetaryQ2, 2,
D977&lt;=monetaryQ3, 3,
TRUE, 4)</f>
        <v>1</v>
      </c>
      <c r="H977" s="18" t="str">
        <f t="shared" si="78"/>
        <v>211</v>
      </c>
      <c r="I977" s="19">
        <f t="shared" si="79"/>
        <v>1.3333333333333333</v>
      </c>
      <c r="J977" s="7" t="str" cm="1">
        <f t="array" ref="J977">_xlfn.IFS(
I977&gt;=Best_Customers, Best_Customers_name,
I977&gt;=Loyal_Customers, Loyal_Customers_name,
I977&gt;=Average_Customers, Average_Customers_name,
TRUE, Lost_Customers_name)</f>
        <v>Lost Customers</v>
      </c>
    </row>
    <row r="978" spans="1:10" x14ac:dyDescent="0.25">
      <c r="A978" s="25" t="str">
        <v>CUST_0979</v>
      </c>
      <c r="B978" s="16">
        <f t="shared" si="75"/>
        <v>108</v>
      </c>
      <c r="C978" s="16">
        <f t="shared" si="76"/>
        <v>6</v>
      </c>
      <c r="D978" s="17">
        <f t="shared" si="77"/>
        <v>535.68000000000006</v>
      </c>
      <c r="E978" s="18" cm="1">
        <f t="array" ref="E978">_xlfn.IFS(
B978&lt;=recencyQ1, 4,
B978&lt;=recencyQ2, 3,
B978&lt;=recencyQ3, 2,
TRUE, 1
)</f>
        <v>1</v>
      </c>
      <c r="F978" s="18" cm="1">
        <f t="array" ref="F978">_xlfn.IFS(
C978&lt;=frequencyQ1, 1,
C978&lt;=frequencyQ2, 2,
C978&lt;=frequencyQ3, 3,
TRUE, 4)</f>
        <v>3</v>
      </c>
      <c r="G978" s="18" cm="1">
        <f t="array" ref="G978">_xlfn.IFS(
D978&lt;=monetaryQ1, 1,
D978&lt;=monetaryQ2, 2,
D978&lt;=monetaryQ3, 3,
TRUE, 4)</f>
        <v>3</v>
      </c>
      <c r="H978" s="18" t="str">
        <f t="shared" si="78"/>
        <v>133</v>
      </c>
      <c r="I978" s="19">
        <f t="shared" si="79"/>
        <v>2.3333333333333335</v>
      </c>
      <c r="J978" s="7" t="str" cm="1">
        <f t="array" ref="J978">_xlfn.IFS(
I978&gt;=Best_Customers, Best_Customers_name,
I978&gt;=Loyal_Customers, Loyal_Customers_name,
I978&gt;=Average_Customers, Average_Customers_name,
TRUE, Lost_Customers_name)</f>
        <v>Average Customers</v>
      </c>
    </row>
    <row r="979" spans="1:10" x14ac:dyDescent="0.25">
      <c r="A979" s="25" t="str">
        <v>CUST_0980</v>
      </c>
      <c r="B979" s="16">
        <f t="shared" si="75"/>
        <v>122</v>
      </c>
      <c r="C979" s="16">
        <f t="shared" si="76"/>
        <v>5</v>
      </c>
      <c r="D979" s="17">
        <f t="shared" si="77"/>
        <v>501</v>
      </c>
      <c r="E979" s="18" cm="1">
        <f t="array" ref="E979">_xlfn.IFS(
B979&lt;=recencyQ1, 4,
B979&lt;=recencyQ2, 3,
B979&lt;=recencyQ3, 2,
TRUE, 1
)</f>
        <v>1</v>
      </c>
      <c r="F979" s="18" cm="1">
        <f t="array" ref="F979">_xlfn.IFS(
C979&lt;=frequencyQ1, 1,
C979&lt;=frequencyQ2, 2,
C979&lt;=frequencyQ3, 3,
TRUE, 4)</f>
        <v>2</v>
      </c>
      <c r="G979" s="18" cm="1">
        <f t="array" ref="G979">_xlfn.IFS(
D979&lt;=monetaryQ1, 1,
D979&lt;=monetaryQ2, 2,
D979&lt;=monetaryQ3, 3,
TRUE, 4)</f>
        <v>3</v>
      </c>
      <c r="H979" s="18" t="str">
        <f t="shared" si="78"/>
        <v>123</v>
      </c>
      <c r="I979" s="19">
        <f t="shared" si="79"/>
        <v>2</v>
      </c>
      <c r="J979" s="7" t="str" cm="1">
        <f t="array" ref="J979">_xlfn.IFS(
I979&gt;=Best_Customers, Best_Customers_name,
I979&gt;=Loyal_Customers, Loyal_Customers_name,
I979&gt;=Average_Customers, Average_Customers_name,
TRUE, Lost_Customers_name)</f>
        <v>Average Customers</v>
      </c>
    </row>
    <row r="980" spans="1:10" x14ac:dyDescent="0.25">
      <c r="A980" s="25" t="str">
        <v>CUST_0981</v>
      </c>
      <c r="B980" s="16">
        <f t="shared" si="75"/>
        <v>48</v>
      </c>
      <c r="C980" s="16">
        <f t="shared" si="76"/>
        <v>4</v>
      </c>
      <c r="D980" s="17">
        <f t="shared" si="77"/>
        <v>444.51</v>
      </c>
      <c r="E980" s="18" cm="1">
        <f t="array" ref="E980">_xlfn.IFS(
B980&lt;=recencyQ1, 4,
B980&lt;=recencyQ2, 3,
B980&lt;=recencyQ3, 2,
TRUE, 1
)</f>
        <v>3</v>
      </c>
      <c r="F980" s="18" cm="1">
        <f t="array" ref="F980">_xlfn.IFS(
C980&lt;=frequencyQ1, 1,
C980&lt;=frequencyQ2, 2,
C980&lt;=frequencyQ3, 3,
TRUE, 4)</f>
        <v>2</v>
      </c>
      <c r="G980" s="18" cm="1">
        <f t="array" ref="G980">_xlfn.IFS(
D980&lt;=monetaryQ1, 1,
D980&lt;=monetaryQ2, 2,
D980&lt;=monetaryQ3, 3,
TRUE, 4)</f>
        <v>2</v>
      </c>
      <c r="H980" s="18" t="str">
        <f t="shared" si="78"/>
        <v>322</v>
      </c>
      <c r="I980" s="19">
        <f t="shared" si="79"/>
        <v>2.3333333333333335</v>
      </c>
      <c r="J980" s="7" t="str" cm="1">
        <f t="array" ref="J980">_xlfn.IFS(
I980&gt;=Best_Customers, Best_Customers_name,
I980&gt;=Loyal_Customers, Loyal_Customers_name,
I980&gt;=Average_Customers, Average_Customers_name,
TRUE, Lost_Customers_name)</f>
        <v>Average Customers</v>
      </c>
    </row>
    <row r="981" spans="1:10" x14ac:dyDescent="0.25">
      <c r="A981" s="25" t="str">
        <v>CUST_0982</v>
      </c>
      <c r="B981" s="16">
        <f t="shared" si="75"/>
        <v>168</v>
      </c>
      <c r="C981" s="16">
        <f t="shared" si="76"/>
        <v>7</v>
      </c>
      <c r="D981" s="17">
        <f t="shared" si="77"/>
        <v>774.36</v>
      </c>
      <c r="E981" s="18" cm="1">
        <f t="array" ref="E981">_xlfn.IFS(
B981&lt;=recencyQ1, 4,
B981&lt;=recencyQ2, 3,
B981&lt;=recencyQ3, 2,
TRUE, 1
)</f>
        <v>1</v>
      </c>
      <c r="F981" s="18" cm="1">
        <f t="array" ref="F981">_xlfn.IFS(
C981&lt;=frequencyQ1, 1,
C981&lt;=frequencyQ2, 2,
C981&lt;=frequencyQ3, 3,
TRUE, 4)</f>
        <v>4</v>
      </c>
      <c r="G981" s="18" cm="1">
        <f t="array" ref="G981">_xlfn.IFS(
D981&lt;=monetaryQ1, 1,
D981&lt;=monetaryQ2, 2,
D981&lt;=monetaryQ3, 3,
TRUE, 4)</f>
        <v>4</v>
      </c>
      <c r="H981" s="18" t="str">
        <f t="shared" si="78"/>
        <v>144</v>
      </c>
      <c r="I981" s="19">
        <f t="shared" si="79"/>
        <v>3</v>
      </c>
      <c r="J981" s="7" t="str" cm="1">
        <f t="array" ref="J981">_xlfn.IFS(
I981&gt;=Best_Customers, Best_Customers_name,
I981&gt;=Loyal_Customers, Loyal_Customers_name,
I981&gt;=Average_Customers, Average_Customers_name,
TRUE, Lost_Customers_name)</f>
        <v>Loyal Customers</v>
      </c>
    </row>
    <row r="982" spans="1:10" x14ac:dyDescent="0.25">
      <c r="A982" s="25" t="str">
        <v>CUST_0983</v>
      </c>
      <c r="B982" s="16">
        <f t="shared" si="75"/>
        <v>4</v>
      </c>
      <c r="C982" s="16">
        <f t="shared" si="76"/>
        <v>7</v>
      </c>
      <c r="D982" s="17">
        <f t="shared" si="77"/>
        <v>766.98</v>
      </c>
      <c r="E982" s="18" cm="1">
        <f t="array" ref="E982">_xlfn.IFS(
B982&lt;=recencyQ1, 4,
B982&lt;=recencyQ2, 3,
B982&lt;=recencyQ3, 2,
TRUE, 1
)</f>
        <v>4</v>
      </c>
      <c r="F982" s="18" cm="1">
        <f t="array" ref="F982">_xlfn.IFS(
C982&lt;=frequencyQ1, 1,
C982&lt;=frequencyQ2, 2,
C982&lt;=frequencyQ3, 3,
TRUE, 4)</f>
        <v>4</v>
      </c>
      <c r="G982" s="18" cm="1">
        <f t="array" ref="G982">_xlfn.IFS(
D982&lt;=monetaryQ1, 1,
D982&lt;=monetaryQ2, 2,
D982&lt;=monetaryQ3, 3,
TRUE, 4)</f>
        <v>4</v>
      </c>
      <c r="H982" s="18" t="str">
        <f t="shared" si="78"/>
        <v>444</v>
      </c>
      <c r="I982" s="19">
        <f t="shared" si="79"/>
        <v>4</v>
      </c>
      <c r="J982" s="7" t="str" cm="1">
        <f t="array" ref="J982">_xlfn.IFS(
I982&gt;=Best_Customers, Best_Customers_name,
I982&gt;=Loyal_Customers, Loyal_Customers_name,
I982&gt;=Average_Customers, Average_Customers_name,
TRUE, Lost_Customers_name)</f>
        <v>Best Customers</v>
      </c>
    </row>
    <row r="983" spans="1:10" x14ac:dyDescent="0.25">
      <c r="A983" s="25" t="str">
        <v>CUST_0984</v>
      </c>
      <c r="B983" s="16">
        <f t="shared" si="75"/>
        <v>71</v>
      </c>
      <c r="C983" s="16">
        <f t="shared" si="76"/>
        <v>6</v>
      </c>
      <c r="D983" s="17">
        <f t="shared" si="77"/>
        <v>518.24</v>
      </c>
      <c r="E983" s="18" cm="1">
        <f t="array" ref="E983">_xlfn.IFS(
B983&lt;=recencyQ1, 4,
B983&lt;=recencyQ2, 3,
B983&lt;=recencyQ3, 2,
TRUE, 1
)</f>
        <v>2</v>
      </c>
      <c r="F983" s="18" cm="1">
        <f t="array" ref="F983">_xlfn.IFS(
C983&lt;=frequencyQ1, 1,
C983&lt;=frequencyQ2, 2,
C983&lt;=frequencyQ3, 3,
TRUE, 4)</f>
        <v>3</v>
      </c>
      <c r="G983" s="18" cm="1">
        <f t="array" ref="G983">_xlfn.IFS(
D983&lt;=monetaryQ1, 1,
D983&lt;=monetaryQ2, 2,
D983&lt;=monetaryQ3, 3,
TRUE, 4)</f>
        <v>3</v>
      </c>
      <c r="H983" s="18" t="str">
        <f t="shared" si="78"/>
        <v>233</v>
      </c>
      <c r="I983" s="19">
        <f t="shared" si="79"/>
        <v>2.6666666666666665</v>
      </c>
      <c r="J983" s="7" t="str" cm="1">
        <f t="array" ref="J983">_xlfn.IFS(
I983&gt;=Best_Customers, Best_Customers_name,
I983&gt;=Loyal_Customers, Loyal_Customers_name,
I983&gt;=Average_Customers, Average_Customers_name,
TRUE, Lost_Customers_name)</f>
        <v>Loyal Customers</v>
      </c>
    </row>
    <row r="984" spans="1:10" x14ac:dyDescent="0.25">
      <c r="A984" s="25" t="str">
        <v>CUST_0985</v>
      </c>
      <c r="B984" s="16">
        <f t="shared" si="75"/>
        <v>45</v>
      </c>
      <c r="C984" s="16">
        <f t="shared" si="76"/>
        <v>6</v>
      </c>
      <c r="D984" s="17">
        <f t="shared" si="77"/>
        <v>600.11</v>
      </c>
      <c r="E984" s="18" cm="1">
        <f t="array" ref="E984">_xlfn.IFS(
B984&lt;=recencyQ1, 4,
B984&lt;=recencyQ2, 3,
B984&lt;=recencyQ3, 2,
TRUE, 1
)</f>
        <v>3</v>
      </c>
      <c r="F984" s="18" cm="1">
        <f t="array" ref="F984">_xlfn.IFS(
C984&lt;=frequencyQ1, 1,
C984&lt;=frequencyQ2, 2,
C984&lt;=frequencyQ3, 3,
TRUE, 4)</f>
        <v>3</v>
      </c>
      <c r="G984" s="18" cm="1">
        <f t="array" ref="G984">_xlfn.IFS(
D984&lt;=monetaryQ1, 1,
D984&lt;=monetaryQ2, 2,
D984&lt;=monetaryQ3, 3,
TRUE, 4)</f>
        <v>3</v>
      </c>
      <c r="H984" s="18" t="str">
        <f t="shared" si="78"/>
        <v>333</v>
      </c>
      <c r="I984" s="19">
        <f t="shared" si="79"/>
        <v>3</v>
      </c>
      <c r="J984" s="7" t="str" cm="1">
        <f t="array" ref="J984">_xlfn.IFS(
I984&gt;=Best_Customers, Best_Customers_name,
I984&gt;=Loyal_Customers, Loyal_Customers_name,
I984&gt;=Average_Customers, Average_Customers_name,
TRUE, Lost_Customers_name)</f>
        <v>Loyal Customers</v>
      </c>
    </row>
    <row r="985" spans="1:10" x14ac:dyDescent="0.25">
      <c r="A985" s="25" t="str">
        <v>CUST_0986</v>
      </c>
      <c r="B985" s="16">
        <f t="shared" si="75"/>
        <v>15</v>
      </c>
      <c r="C985" s="16">
        <f t="shared" si="76"/>
        <v>6</v>
      </c>
      <c r="D985" s="17">
        <f t="shared" si="77"/>
        <v>528.26</v>
      </c>
      <c r="E985" s="18" cm="1">
        <f t="array" ref="E985">_xlfn.IFS(
B985&lt;=recencyQ1, 4,
B985&lt;=recencyQ2, 3,
B985&lt;=recencyQ3, 2,
TRUE, 1
)</f>
        <v>4</v>
      </c>
      <c r="F985" s="18" cm="1">
        <f t="array" ref="F985">_xlfn.IFS(
C985&lt;=frequencyQ1, 1,
C985&lt;=frequencyQ2, 2,
C985&lt;=frequencyQ3, 3,
TRUE, 4)</f>
        <v>3</v>
      </c>
      <c r="G985" s="18" cm="1">
        <f t="array" ref="G985">_xlfn.IFS(
D985&lt;=monetaryQ1, 1,
D985&lt;=monetaryQ2, 2,
D985&lt;=monetaryQ3, 3,
TRUE, 4)</f>
        <v>3</v>
      </c>
      <c r="H985" s="18" t="str">
        <f t="shared" si="78"/>
        <v>433</v>
      </c>
      <c r="I985" s="19">
        <f t="shared" si="79"/>
        <v>3.3333333333333335</v>
      </c>
      <c r="J985" s="7" t="str" cm="1">
        <f t="array" ref="J985">_xlfn.IFS(
I985&gt;=Best_Customers, Best_Customers_name,
I985&gt;=Loyal_Customers, Loyal_Customers_name,
I985&gt;=Average_Customers, Average_Customers_name,
TRUE, Lost_Customers_name)</f>
        <v>Loyal Customers</v>
      </c>
    </row>
    <row r="986" spans="1:10" x14ac:dyDescent="0.25">
      <c r="A986" s="25" t="str">
        <v>CUST_0987</v>
      </c>
      <c r="B986" s="16">
        <f t="shared" si="75"/>
        <v>39</v>
      </c>
      <c r="C986" s="16">
        <f t="shared" si="76"/>
        <v>8</v>
      </c>
      <c r="D986" s="17">
        <f t="shared" si="77"/>
        <v>595.42000000000007</v>
      </c>
      <c r="E986" s="18" cm="1">
        <f t="array" ref="E986">_xlfn.IFS(
B986&lt;=recencyQ1, 4,
B986&lt;=recencyQ2, 3,
B986&lt;=recencyQ3, 2,
TRUE, 1
)</f>
        <v>3</v>
      </c>
      <c r="F986" s="18" cm="1">
        <f t="array" ref="F986">_xlfn.IFS(
C986&lt;=frequencyQ1, 1,
C986&lt;=frequencyQ2, 2,
C986&lt;=frequencyQ3, 3,
TRUE, 4)</f>
        <v>4</v>
      </c>
      <c r="G986" s="18" cm="1">
        <f t="array" ref="G986">_xlfn.IFS(
D986&lt;=monetaryQ1, 1,
D986&lt;=monetaryQ2, 2,
D986&lt;=monetaryQ3, 3,
TRUE, 4)</f>
        <v>3</v>
      </c>
      <c r="H986" s="18" t="str">
        <f t="shared" si="78"/>
        <v>343</v>
      </c>
      <c r="I986" s="19">
        <f t="shared" si="79"/>
        <v>3.3333333333333335</v>
      </c>
      <c r="J986" s="7" t="str" cm="1">
        <f t="array" ref="J986">_xlfn.IFS(
I986&gt;=Best_Customers, Best_Customers_name,
I986&gt;=Loyal_Customers, Loyal_Customers_name,
I986&gt;=Average_Customers, Average_Customers_name,
TRUE, Lost_Customers_name)</f>
        <v>Loyal Customers</v>
      </c>
    </row>
    <row r="987" spans="1:10" x14ac:dyDescent="0.25">
      <c r="A987" s="25" t="str">
        <v>CUST_0988</v>
      </c>
      <c r="B987" s="16">
        <f t="shared" si="75"/>
        <v>86</v>
      </c>
      <c r="C987" s="16">
        <f t="shared" si="76"/>
        <v>4</v>
      </c>
      <c r="D987" s="17">
        <f t="shared" si="77"/>
        <v>460.36</v>
      </c>
      <c r="E987" s="18" cm="1">
        <f t="array" ref="E987">_xlfn.IFS(
B987&lt;=recencyQ1, 4,
B987&lt;=recencyQ2, 3,
B987&lt;=recencyQ3, 2,
TRUE, 1
)</f>
        <v>2</v>
      </c>
      <c r="F987" s="18" cm="1">
        <f t="array" ref="F987">_xlfn.IFS(
C987&lt;=frequencyQ1, 1,
C987&lt;=frequencyQ2, 2,
C987&lt;=frequencyQ3, 3,
TRUE, 4)</f>
        <v>2</v>
      </c>
      <c r="G987" s="18" cm="1">
        <f t="array" ref="G987">_xlfn.IFS(
D987&lt;=monetaryQ1, 1,
D987&lt;=monetaryQ2, 2,
D987&lt;=monetaryQ3, 3,
TRUE, 4)</f>
        <v>2</v>
      </c>
      <c r="H987" s="18" t="str">
        <f t="shared" si="78"/>
        <v>222</v>
      </c>
      <c r="I987" s="19">
        <f t="shared" si="79"/>
        <v>2</v>
      </c>
      <c r="J987" s="7" t="str" cm="1">
        <f t="array" ref="J987">_xlfn.IFS(
I987&gt;=Best_Customers, Best_Customers_name,
I987&gt;=Loyal_Customers, Loyal_Customers_name,
I987&gt;=Average_Customers, Average_Customers_name,
TRUE, Lost_Customers_name)</f>
        <v>Average Customers</v>
      </c>
    </row>
    <row r="988" spans="1:10" x14ac:dyDescent="0.25">
      <c r="A988" s="25" t="str">
        <v>CUST_0989</v>
      </c>
      <c r="B988" s="16">
        <f t="shared" si="75"/>
        <v>4</v>
      </c>
      <c r="C988" s="16">
        <f t="shared" si="76"/>
        <v>8</v>
      </c>
      <c r="D988" s="17">
        <f t="shared" si="77"/>
        <v>797.51</v>
      </c>
      <c r="E988" s="18" cm="1">
        <f t="array" ref="E988">_xlfn.IFS(
B988&lt;=recencyQ1, 4,
B988&lt;=recencyQ2, 3,
B988&lt;=recencyQ3, 2,
TRUE, 1
)</f>
        <v>4</v>
      </c>
      <c r="F988" s="18" cm="1">
        <f t="array" ref="F988">_xlfn.IFS(
C988&lt;=frequencyQ1, 1,
C988&lt;=frequencyQ2, 2,
C988&lt;=frequencyQ3, 3,
TRUE, 4)</f>
        <v>4</v>
      </c>
      <c r="G988" s="18" cm="1">
        <f t="array" ref="G988">_xlfn.IFS(
D988&lt;=monetaryQ1, 1,
D988&lt;=monetaryQ2, 2,
D988&lt;=monetaryQ3, 3,
TRUE, 4)</f>
        <v>4</v>
      </c>
      <c r="H988" s="18" t="str">
        <f t="shared" si="78"/>
        <v>444</v>
      </c>
      <c r="I988" s="19">
        <f t="shared" si="79"/>
        <v>4</v>
      </c>
      <c r="J988" s="7" t="str" cm="1">
        <f t="array" ref="J988">_xlfn.IFS(
I988&gt;=Best_Customers, Best_Customers_name,
I988&gt;=Loyal_Customers, Loyal_Customers_name,
I988&gt;=Average_Customers, Average_Customers_name,
TRUE, Lost_Customers_name)</f>
        <v>Best Customers</v>
      </c>
    </row>
    <row r="989" spans="1:10" x14ac:dyDescent="0.25">
      <c r="A989" s="25" t="str">
        <v>CUST_0990</v>
      </c>
      <c r="B989" s="16">
        <f t="shared" si="75"/>
        <v>39</v>
      </c>
      <c r="C989" s="16">
        <f t="shared" si="76"/>
        <v>3</v>
      </c>
      <c r="D989" s="17">
        <f t="shared" si="77"/>
        <v>247.31</v>
      </c>
      <c r="E989" s="18" cm="1">
        <f t="array" ref="E989">_xlfn.IFS(
B989&lt;=recencyQ1, 4,
B989&lt;=recencyQ2, 3,
B989&lt;=recencyQ3, 2,
TRUE, 1
)</f>
        <v>3</v>
      </c>
      <c r="F989" s="18" cm="1">
        <f t="array" ref="F989">_xlfn.IFS(
C989&lt;=frequencyQ1, 1,
C989&lt;=frequencyQ2, 2,
C989&lt;=frequencyQ3, 3,
TRUE, 4)</f>
        <v>1</v>
      </c>
      <c r="G989" s="18" cm="1">
        <f t="array" ref="G989">_xlfn.IFS(
D989&lt;=monetaryQ1, 1,
D989&lt;=monetaryQ2, 2,
D989&lt;=monetaryQ3, 3,
TRUE, 4)</f>
        <v>1</v>
      </c>
      <c r="H989" s="18" t="str">
        <f t="shared" si="78"/>
        <v>311</v>
      </c>
      <c r="I989" s="19">
        <f t="shared" si="79"/>
        <v>1.6666666666666667</v>
      </c>
      <c r="J989" s="7" t="str" cm="1">
        <f t="array" ref="J989">_xlfn.IFS(
I989&gt;=Best_Customers, Best_Customers_name,
I989&gt;=Loyal_Customers, Loyal_Customers_name,
I989&gt;=Average_Customers, Average_Customers_name,
TRUE, Lost_Customers_name)</f>
        <v>Average Customers</v>
      </c>
    </row>
    <row r="990" spans="1:10" x14ac:dyDescent="0.25">
      <c r="A990" s="25" t="str">
        <v>CUST_0991</v>
      </c>
      <c r="B990" s="16">
        <f t="shared" si="75"/>
        <v>174</v>
      </c>
      <c r="C990" s="16">
        <f t="shared" si="76"/>
        <v>3</v>
      </c>
      <c r="D990" s="17">
        <f t="shared" si="77"/>
        <v>314.45999999999998</v>
      </c>
      <c r="E990" s="18" cm="1">
        <f t="array" ref="E990">_xlfn.IFS(
B990&lt;=recencyQ1, 4,
B990&lt;=recencyQ2, 3,
B990&lt;=recencyQ3, 2,
TRUE, 1
)</f>
        <v>1</v>
      </c>
      <c r="F990" s="18" cm="1">
        <f t="array" ref="F990">_xlfn.IFS(
C990&lt;=frequencyQ1, 1,
C990&lt;=frequencyQ2, 2,
C990&lt;=frequencyQ3, 3,
TRUE, 4)</f>
        <v>1</v>
      </c>
      <c r="G990" s="18" cm="1">
        <f t="array" ref="G990">_xlfn.IFS(
D990&lt;=monetaryQ1, 1,
D990&lt;=monetaryQ2, 2,
D990&lt;=monetaryQ3, 3,
TRUE, 4)</f>
        <v>1</v>
      </c>
      <c r="H990" s="18" t="str">
        <f t="shared" si="78"/>
        <v>111</v>
      </c>
      <c r="I990" s="19">
        <f t="shared" si="79"/>
        <v>1</v>
      </c>
      <c r="J990" s="7" t="str" cm="1">
        <f t="array" ref="J990">_xlfn.IFS(
I990&gt;=Best_Customers, Best_Customers_name,
I990&gt;=Loyal_Customers, Loyal_Customers_name,
I990&gt;=Average_Customers, Average_Customers_name,
TRUE, Lost_Customers_name)</f>
        <v>Lost Customers</v>
      </c>
    </row>
    <row r="991" spans="1:10" x14ac:dyDescent="0.25">
      <c r="A991" s="25" t="str">
        <v>CUST_0992</v>
      </c>
      <c r="B991" s="16">
        <f t="shared" si="75"/>
        <v>69</v>
      </c>
      <c r="C991" s="16">
        <f t="shared" si="76"/>
        <v>6</v>
      </c>
      <c r="D991" s="17">
        <f t="shared" si="77"/>
        <v>683.2</v>
      </c>
      <c r="E991" s="18" cm="1">
        <f t="array" ref="E991">_xlfn.IFS(
B991&lt;=recencyQ1, 4,
B991&lt;=recencyQ2, 3,
B991&lt;=recencyQ3, 2,
TRUE, 1
)</f>
        <v>2</v>
      </c>
      <c r="F991" s="18" cm="1">
        <f t="array" ref="F991">_xlfn.IFS(
C991&lt;=frequencyQ1, 1,
C991&lt;=frequencyQ2, 2,
C991&lt;=frequencyQ3, 3,
TRUE, 4)</f>
        <v>3</v>
      </c>
      <c r="G991" s="18" cm="1">
        <f t="array" ref="G991">_xlfn.IFS(
D991&lt;=monetaryQ1, 1,
D991&lt;=monetaryQ2, 2,
D991&lt;=monetaryQ3, 3,
TRUE, 4)</f>
        <v>4</v>
      </c>
      <c r="H991" s="18" t="str">
        <f t="shared" si="78"/>
        <v>234</v>
      </c>
      <c r="I991" s="19">
        <f t="shared" si="79"/>
        <v>3</v>
      </c>
      <c r="J991" s="7" t="str" cm="1">
        <f t="array" ref="J991">_xlfn.IFS(
I991&gt;=Best_Customers, Best_Customers_name,
I991&gt;=Loyal_Customers, Loyal_Customers_name,
I991&gt;=Average_Customers, Average_Customers_name,
TRUE, Lost_Customers_name)</f>
        <v>Loyal Customers</v>
      </c>
    </row>
    <row r="992" spans="1:10" x14ac:dyDescent="0.25">
      <c r="A992" s="25" t="str">
        <v>CUST_0993</v>
      </c>
      <c r="B992" s="16">
        <f t="shared" si="75"/>
        <v>40</v>
      </c>
      <c r="C992" s="16">
        <f t="shared" si="76"/>
        <v>6</v>
      </c>
      <c r="D992" s="17">
        <f t="shared" si="77"/>
        <v>596.20000000000005</v>
      </c>
      <c r="E992" s="18" cm="1">
        <f t="array" ref="E992">_xlfn.IFS(
B992&lt;=recencyQ1, 4,
B992&lt;=recencyQ2, 3,
B992&lt;=recencyQ3, 2,
TRUE, 1
)</f>
        <v>3</v>
      </c>
      <c r="F992" s="18" cm="1">
        <f t="array" ref="F992">_xlfn.IFS(
C992&lt;=frequencyQ1, 1,
C992&lt;=frequencyQ2, 2,
C992&lt;=frequencyQ3, 3,
TRUE, 4)</f>
        <v>3</v>
      </c>
      <c r="G992" s="18" cm="1">
        <f t="array" ref="G992">_xlfn.IFS(
D992&lt;=monetaryQ1, 1,
D992&lt;=monetaryQ2, 2,
D992&lt;=monetaryQ3, 3,
TRUE, 4)</f>
        <v>3</v>
      </c>
      <c r="H992" s="18" t="str">
        <f t="shared" si="78"/>
        <v>333</v>
      </c>
      <c r="I992" s="19">
        <f t="shared" si="79"/>
        <v>3</v>
      </c>
      <c r="J992" s="7" t="str" cm="1">
        <f t="array" ref="J992">_xlfn.IFS(
I992&gt;=Best_Customers, Best_Customers_name,
I992&gt;=Loyal_Customers, Loyal_Customers_name,
I992&gt;=Average_Customers, Average_Customers_name,
TRUE, Lost_Customers_name)</f>
        <v>Loyal Customers</v>
      </c>
    </row>
    <row r="993" spans="1:10" x14ac:dyDescent="0.25">
      <c r="A993" s="25" t="str">
        <v>CUST_0994</v>
      </c>
      <c r="B993" s="16">
        <f t="shared" si="75"/>
        <v>164</v>
      </c>
      <c r="C993" s="16">
        <f t="shared" si="76"/>
        <v>5</v>
      </c>
      <c r="D993" s="17">
        <f t="shared" si="77"/>
        <v>537.43000000000006</v>
      </c>
      <c r="E993" s="18" cm="1">
        <f t="array" ref="E993">_xlfn.IFS(
B993&lt;=recencyQ1, 4,
B993&lt;=recencyQ2, 3,
B993&lt;=recencyQ3, 2,
TRUE, 1
)</f>
        <v>1</v>
      </c>
      <c r="F993" s="18" cm="1">
        <f t="array" ref="F993">_xlfn.IFS(
C993&lt;=frequencyQ1, 1,
C993&lt;=frequencyQ2, 2,
C993&lt;=frequencyQ3, 3,
TRUE, 4)</f>
        <v>2</v>
      </c>
      <c r="G993" s="18" cm="1">
        <f t="array" ref="G993">_xlfn.IFS(
D993&lt;=monetaryQ1, 1,
D993&lt;=monetaryQ2, 2,
D993&lt;=monetaryQ3, 3,
TRUE, 4)</f>
        <v>3</v>
      </c>
      <c r="H993" s="18" t="str">
        <f t="shared" si="78"/>
        <v>123</v>
      </c>
      <c r="I993" s="19">
        <f t="shared" si="79"/>
        <v>2</v>
      </c>
      <c r="J993" s="7" t="str" cm="1">
        <f t="array" ref="J993">_xlfn.IFS(
I993&gt;=Best_Customers, Best_Customers_name,
I993&gt;=Loyal_Customers, Loyal_Customers_name,
I993&gt;=Average_Customers, Average_Customers_name,
TRUE, Lost_Customers_name)</f>
        <v>Average Customers</v>
      </c>
    </row>
    <row r="994" spans="1:10" x14ac:dyDescent="0.25">
      <c r="A994" s="25" t="str">
        <v>CUST_0995</v>
      </c>
      <c r="B994" s="16">
        <f t="shared" si="75"/>
        <v>90</v>
      </c>
      <c r="C994" s="16">
        <f t="shared" si="76"/>
        <v>4</v>
      </c>
      <c r="D994" s="17">
        <f t="shared" si="77"/>
        <v>388.75</v>
      </c>
      <c r="E994" s="18" cm="1">
        <f t="array" ref="E994">_xlfn.IFS(
B994&lt;=recencyQ1, 4,
B994&lt;=recencyQ2, 3,
B994&lt;=recencyQ3, 2,
TRUE, 1
)</f>
        <v>2</v>
      </c>
      <c r="F994" s="18" cm="1">
        <f t="array" ref="F994">_xlfn.IFS(
C994&lt;=frequencyQ1, 1,
C994&lt;=frequencyQ2, 2,
C994&lt;=frequencyQ3, 3,
TRUE, 4)</f>
        <v>2</v>
      </c>
      <c r="G994" s="18" cm="1">
        <f t="array" ref="G994">_xlfn.IFS(
D994&lt;=monetaryQ1, 1,
D994&lt;=monetaryQ2, 2,
D994&lt;=monetaryQ3, 3,
TRUE, 4)</f>
        <v>2</v>
      </c>
      <c r="H994" s="18" t="str">
        <f t="shared" si="78"/>
        <v>222</v>
      </c>
      <c r="I994" s="19">
        <f t="shared" si="79"/>
        <v>2</v>
      </c>
      <c r="J994" s="7" t="str" cm="1">
        <f t="array" ref="J994">_xlfn.IFS(
I994&gt;=Best_Customers, Best_Customers_name,
I994&gt;=Loyal_Customers, Loyal_Customers_name,
I994&gt;=Average_Customers, Average_Customers_name,
TRUE, Lost_Customers_name)</f>
        <v>Average Customers</v>
      </c>
    </row>
    <row r="995" spans="1:10" x14ac:dyDescent="0.25">
      <c r="A995" s="25" t="str">
        <v>CUST_0996</v>
      </c>
      <c r="B995" s="16">
        <f t="shared" si="75"/>
        <v>4</v>
      </c>
      <c r="C995" s="16">
        <f t="shared" si="76"/>
        <v>7</v>
      </c>
      <c r="D995" s="17">
        <f t="shared" si="77"/>
        <v>864.81</v>
      </c>
      <c r="E995" s="18" cm="1">
        <f t="array" ref="E995">_xlfn.IFS(
B995&lt;=recencyQ1, 4,
B995&lt;=recencyQ2, 3,
B995&lt;=recencyQ3, 2,
TRUE, 1
)</f>
        <v>4</v>
      </c>
      <c r="F995" s="18" cm="1">
        <f t="array" ref="F995">_xlfn.IFS(
C995&lt;=frequencyQ1, 1,
C995&lt;=frequencyQ2, 2,
C995&lt;=frequencyQ3, 3,
TRUE, 4)</f>
        <v>4</v>
      </c>
      <c r="G995" s="18" cm="1">
        <f t="array" ref="G995">_xlfn.IFS(
D995&lt;=monetaryQ1, 1,
D995&lt;=monetaryQ2, 2,
D995&lt;=monetaryQ3, 3,
TRUE, 4)</f>
        <v>4</v>
      </c>
      <c r="H995" s="18" t="str">
        <f t="shared" si="78"/>
        <v>444</v>
      </c>
      <c r="I995" s="19">
        <f t="shared" si="79"/>
        <v>4</v>
      </c>
      <c r="J995" s="7" t="str" cm="1">
        <f t="array" ref="J995">_xlfn.IFS(
I995&gt;=Best_Customers, Best_Customers_name,
I995&gt;=Loyal_Customers, Loyal_Customers_name,
I995&gt;=Average_Customers, Average_Customers_name,
TRUE, Lost_Customers_name)</f>
        <v>Best Customers</v>
      </c>
    </row>
    <row r="996" spans="1:10" x14ac:dyDescent="0.25">
      <c r="A996" s="25" t="str">
        <v>CUST_0997</v>
      </c>
      <c r="B996" s="16">
        <f t="shared" si="75"/>
        <v>54</v>
      </c>
      <c r="C996" s="16">
        <f t="shared" si="76"/>
        <v>6</v>
      </c>
      <c r="D996" s="17">
        <f t="shared" si="77"/>
        <v>621.80999999999995</v>
      </c>
      <c r="E996" s="18" cm="1">
        <f t="array" ref="E996">_xlfn.IFS(
B996&lt;=recencyQ1, 4,
B996&lt;=recencyQ2, 3,
B996&lt;=recencyQ3, 2,
TRUE, 1
)</f>
        <v>2</v>
      </c>
      <c r="F996" s="18" cm="1">
        <f t="array" ref="F996">_xlfn.IFS(
C996&lt;=frequencyQ1, 1,
C996&lt;=frequencyQ2, 2,
C996&lt;=frequencyQ3, 3,
TRUE, 4)</f>
        <v>3</v>
      </c>
      <c r="G996" s="18" cm="1">
        <f t="array" ref="G996">_xlfn.IFS(
D996&lt;=monetaryQ1, 1,
D996&lt;=monetaryQ2, 2,
D996&lt;=monetaryQ3, 3,
TRUE, 4)</f>
        <v>3</v>
      </c>
      <c r="H996" s="18" t="str">
        <f t="shared" si="78"/>
        <v>233</v>
      </c>
      <c r="I996" s="19">
        <f t="shared" si="79"/>
        <v>2.6666666666666665</v>
      </c>
      <c r="J996" s="7" t="str" cm="1">
        <f t="array" ref="J996">_xlfn.IFS(
I996&gt;=Best_Customers, Best_Customers_name,
I996&gt;=Loyal_Customers, Loyal_Customers_name,
I996&gt;=Average_Customers, Average_Customers_name,
TRUE, Lost_Customers_name)</f>
        <v>Loyal Customers</v>
      </c>
    </row>
    <row r="997" spans="1:10" x14ac:dyDescent="0.25">
      <c r="A997" s="25" t="str">
        <v>CUST_0998</v>
      </c>
      <c r="B997" s="16">
        <f t="shared" si="75"/>
        <v>121</v>
      </c>
      <c r="C997" s="16">
        <f t="shared" si="76"/>
        <v>5</v>
      </c>
      <c r="D997" s="17">
        <f t="shared" si="77"/>
        <v>560.05999999999995</v>
      </c>
      <c r="E997" s="18" cm="1">
        <f t="array" ref="E997">_xlfn.IFS(
B997&lt;=recencyQ1, 4,
B997&lt;=recencyQ2, 3,
B997&lt;=recencyQ3, 2,
TRUE, 1
)</f>
        <v>1</v>
      </c>
      <c r="F997" s="18" cm="1">
        <f t="array" ref="F997">_xlfn.IFS(
C997&lt;=frequencyQ1, 1,
C997&lt;=frequencyQ2, 2,
C997&lt;=frequencyQ3, 3,
TRUE, 4)</f>
        <v>2</v>
      </c>
      <c r="G997" s="18" cm="1">
        <f t="array" ref="G997">_xlfn.IFS(
D997&lt;=monetaryQ1, 1,
D997&lt;=monetaryQ2, 2,
D997&lt;=monetaryQ3, 3,
TRUE, 4)</f>
        <v>3</v>
      </c>
      <c r="H997" s="18" t="str">
        <f t="shared" si="78"/>
        <v>123</v>
      </c>
      <c r="I997" s="19">
        <f t="shared" si="79"/>
        <v>2</v>
      </c>
      <c r="J997" s="7" t="str" cm="1">
        <f t="array" ref="J997">_xlfn.IFS(
I997&gt;=Best_Customers, Best_Customers_name,
I997&gt;=Loyal_Customers, Loyal_Customers_name,
I997&gt;=Average_Customers, Average_Customers_name,
TRUE, Lost_Customers_name)</f>
        <v>Average Customers</v>
      </c>
    </row>
    <row r="998" spans="1:10" x14ac:dyDescent="0.25">
      <c r="A998" s="25" t="str">
        <v>CUST_0999</v>
      </c>
      <c r="B998" s="16">
        <f t="shared" si="75"/>
        <v>291</v>
      </c>
      <c r="C998" s="16">
        <f t="shared" si="76"/>
        <v>1</v>
      </c>
      <c r="D998" s="17">
        <f t="shared" si="77"/>
        <v>82.44</v>
      </c>
      <c r="E998" s="18" cm="1">
        <f t="array" ref="E998">_xlfn.IFS(
B998&lt;=recencyQ1, 4,
B998&lt;=recencyQ2, 3,
B998&lt;=recencyQ3, 2,
TRUE, 1
)</f>
        <v>1</v>
      </c>
      <c r="F998" s="18" cm="1">
        <f t="array" ref="F998">_xlfn.IFS(
C998&lt;=frequencyQ1, 1,
C998&lt;=frequencyQ2, 2,
C998&lt;=frequencyQ3, 3,
TRUE, 4)</f>
        <v>1</v>
      </c>
      <c r="G998" s="18" cm="1">
        <f t="array" ref="G998">_xlfn.IFS(
D998&lt;=monetaryQ1, 1,
D998&lt;=monetaryQ2, 2,
D998&lt;=monetaryQ3, 3,
TRUE, 4)</f>
        <v>1</v>
      </c>
      <c r="H998" s="18" t="str">
        <f t="shared" si="78"/>
        <v>111</v>
      </c>
      <c r="I998" s="19">
        <f t="shared" si="79"/>
        <v>1</v>
      </c>
      <c r="J998" s="7" t="str" cm="1">
        <f t="array" ref="J998">_xlfn.IFS(
I998&gt;=Best_Customers, Best_Customers_name,
I998&gt;=Loyal_Customers, Loyal_Customers_name,
I998&gt;=Average_Customers, Average_Customers_name,
TRUE, Lost_Customers_name)</f>
        <v>Lost Customers</v>
      </c>
    </row>
  </sheetData>
  <mergeCells count="6">
    <mergeCell ref="A1:I1"/>
    <mergeCell ref="A8:I8"/>
    <mergeCell ref="E3:I3"/>
    <mergeCell ref="E6:I6"/>
    <mergeCell ref="E5:I5"/>
    <mergeCell ref="E4:I4"/>
  </mergeCells>
  <pageMargins left="0.75" right="0.75" top="1" bottom="1" header="0.511811023622047" footer="0.511811023622047"/>
  <pageSetup paperSize="9" orientation="portrait" horizontalDpi="300" verticalDpi="300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"/>
  <sheetViews>
    <sheetView zoomScaleNormal="100" workbookViewId="0">
      <selection activeCell="I33" sqref="I33"/>
    </sheetView>
  </sheetViews>
  <sheetFormatPr defaultColWidth="8.7109375" defaultRowHeight="15" x14ac:dyDescent="0.25"/>
  <cols>
    <col min="1" max="1" width="38" customWidth="1"/>
    <col min="2" max="4" width="16" customWidth="1"/>
  </cols>
  <sheetData>
    <row r="1" spans="1:4" ht="18" x14ac:dyDescent="0.25">
      <c r="A1" s="1" t="s">
        <v>1069</v>
      </c>
    </row>
    <row r="3" spans="1:4" x14ac:dyDescent="0.25">
      <c r="A3" s="5" t="s">
        <v>1070</v>
      </c>
    </row>
    <row r="4" spans="1:4" x14ac:dyDescent="0.25">
      <c r="A4" s="2" t="s">
        <v>1068</v>
      </c>
      <c r="B4" s="2" t="s">
        <v>1071</v>
      </c>
      <c r="C4" s="2" t="s">
        <v>1072</v>
      </c>
    </row>
    <row r="5" spans="1:4" x14ac:dyDescent="0.25">
      <c r="A5" s="12" t="str">
        <f>Best_Customers_name</f>
        <v>Best Customers</v>
      </c>
      <c r="B5" s="12">
        <f>COUNTIF(RFM!$J$10:$J$998,A5)</f>
        <v>169</v>
      </c>
      <c r="C5" s="20">
        <f>B5/$B$9</f>
        <v>0.17087967644084934</v>
      </c>
    </row>
    <row r="6" spans="1:4" x14ac:dyDescent="0.25">
      <c r="A6" s="12" t="str">
        <f>Loyal_Customers_name</f>
        <v>Loyal Customers</v>
      </c>
      <c r="B6" s="12">
        <f>COUNTIF(RFM!$J$10:$J$998,A6)</f>
        <v>311</v>
      </c>
      <c r="C6" s="20">
        <f>B6/$B$9</f>
        <v>0.31445904954499493</v>
      </c>
    </row>
    <row r="7" spans="1:4" x14ac:dyDescent="0.25">
      <c r="A7" s="12" t="str">
        <f>Average_Customers_name</f>
        <v>Average Customers</v>
      </c>
      <c r="B7" s="12">
        <f>COUNTIF(RFM!$J$10:$J$998,A7)</f>
        <v>324</v>
      </c>
      <c r="C7" s="20">
        <f>B7/$B$9</f>
        <v>0.3276036400404449</v>
      </c>
    </row>
    <row r="8" spans="1:4" x14ac:dyDescent="0.25">
      <c r="A8" s="12" t="str">
        <f>Lost_Customers_name</f>
        <v>Lost Customers</v>
      </c>
      <c r="B8" s="12">
        <f>COUNTIF(RFM!$J$10:$J$998,A8)</f>
        <v>185</v>
      </c>
      <c r="C8" s="20">
        <f>B8/$B$9</f>
        <v>0.18705763397371081</v>
      </c>
    </row>
    <row r="9" spans="1:4" x14ac:dyDescent="0.25">
      <c r="A9" s="21" t="s">
        <v>1073</v>
      </c>
      <c r="B9" s="21">
        <f>SUM(B5:B8)</f>
        <v>989</v>
      </c>
      <c r="C9" s="22">
        <f>SUM(C5:C8)</f>
        <v>0.99999999999999989</v>
      </c>
    </row>
    <row r="11" spans="1:4" x14ac:dyDescent="0.25">
      <c r="A11" s="5" t="s">
        <v>1074</v>
      </c>
    </row>
    <row r="12" spans="1:4" x14ac:dyDescent="0.25">
      <c r="A12" s="2" t="s">
        <v>1075</v>
      </c>
      <c r="B12" s="2" t="s">
        <v>52</v>
      </c>
      <c r="C12" s="2" t="s">
        <v>54</v>
      </c>
      <c r="D12" s="2" t="s">
        <v>56</v>
      </c>
    </row>
    <row r="13" spans="1:4" x14ac:dyDescent="0.25">
      <c r="A13" s="10" t="s">
        <v>1071</v>
      </c>
      <c r="B13" s="23">
        <f>COUNT(RFM!$B$10:$B$998)</f>
        <v>989</v>
      </c>
      <c r="C13" s="23">
        <f>COUNT(RFM!$C$10:$C$998)</f>
        <v>989</v>
      </c>
      <c r="D13" s="23">
        <f>COUNT(RFM!$D$10:$D$998)</f>
        <v>989</v>
      </c>
    </row>
    <row r="14" spans="1:4" x14ac:dyDescent="0.25">
      <c r="A14" s="10" t="s">
        <v>1076</v>
      </c>
      <c r="B14" s="11">
        <f>AVERAGE(RFM!$B$10:$B$998)</f>
        <v>68.338725985844292</v>
      </c>
      <c r="C14" s="11">
        <f>AVERAGE(RFM!$C$10:$C$998)</f>
        <v>5.0515672396359959</v>
      </c>
      <c r="D14" s="11">
        <f>AVERAGE(RFM!$D$10:$D$998)</f>
        <v>505.64842264914125</v>
      </c>
    </row>
    <row r="15" spans="1:4" x14ac:dyDescent="0.25">
      <c r="A15" s="10" t="s">
        <v>1077</v>
      </c>
      <c r="B15" s="11">
        <f>STDEV(RFM!$B$10:$B$998)</f>
        <v>66.398072069063915</v>
      </c>
      <c r="C15" s="11">
        <f>STDEV(RFM!$C$10:$C$998)</f>
        <v>2.3249156683975638</v>
      </c>
      <c r="D15" s="11">
        <f>STDEV(RFM!$D$10:$D$998)</f>
        <v>242.6590970708362</v>
      </c>
    </row>
    <row r="16" spans="1:4" x14ac:dyDescent="0.25">
      <c r="A16" s="10" t="s">
        <v>1078</v>
      </c>
      <c r="B16" s="11">
        <f>MIN(RFM!$B$10:$B$998)</f>
        <v>0</v>
      </c>
      <c r="C16" s="11">
        <f>MIN(RFM!$C$10:$C$998)</f>
        <v>1</v>
      </c>
      <c r="D16" s="11">
        <f>MIN(RFM!$D$10:$D$998)</f>
        <v>26.14</v>
      </c>
    </row>
    <row r="17" spans="1:4" x14ac:dyDescent="0.25">
      <c r="A17" s="10" t="s">
        <v>1079</v>
      </c>
      <c r="B17" s="11">
        <f>QUARTILE(RFM!$B$10:$B$998,1)</f>
        <v>18</v>
      </c>
      <c r="C17" s="11">
        <f>QUARTILE(RFM!$C$10:$C$998,1)</f>
        <v>3</v>
      </c>
      <c r="D17" s="11">
        <f>QUARTILE(RFM!$D$10:$D$998,1)</f>
        <v>319.60000000000002</v>
      </c>
    </row>
    <row r="18" spans="1:4" x14ac:dyDescent="0.25">
      <c r="A18" s="10" t="s">
        <v>1080</v>
      </c>
      <c r="B18" s="11">
        <f>QUARTILE(RFM!$B$10:$B$998,2)</f>
        <v>48</v>
      </c>
      <c r="C18" s="11">
        <f>QUARTILE(RFM!$C$10:$C$998,2)</f>
        <v>5</v>
      </c>
      <c r="D18" s="11">
        <f>QUARTILE(RFM!$D$10:$D$998,2)</f>
        <v>485.22999999999996</v>
      </c>
    </row>
    <row r="19" spans="1:4" x14ac:dyDescent="0.25">
      <c r="A19" s="10" t="s">
        <v>1081</v>
      </c>
      <c r="B19" s="11">
        <f>QUARTILE(RFM!$B$10:$B$998,3)</f>
        <v>96</v>
      </c>
      <c r="C19" s="11">
        <f>QUARTILE(RFM!$C$10:$C$998,3)</f>
        <v>6</v>
      </c>
      <c r="D19" s="11">
        <f>QUARTILE(RFM!$D$10:$D$998,3)</f>
        <v>655.72</v>
      </c>
    </row>
    <row r="20" spans="1:4" x14ac:dyDescent="0.25">
      <c r="A20" s="10" t="s">
        <v>1082</v>
      </c>
      <c r="B20" s="11">
        <f>MAX(RFM!$B$10:$B$998)</f>
        <v>346</v>
      </c>
      <c r="C20" s="11">
        <f>MAX(RFM!$C$10:$C$998)</f>
        <v>14</v>
      </c>
      <c r="D20" s="11">
        <f>MAX(RFM!$D$10:$D$998)</f>
        <v>1498.53</v>
      </c>
    </row>
    <row r="22" spans="1:4" x14ac:dyDescent="0.25">
      <c r="A22" s="5" t="s">
        <v>1083</v>
      </c>
    </row>
    <row r="23" spans="1:4" x14ac:dyDescent="0.25">
      <c r="A23" s="7" t="s">
        <v>1084</v>
      </c>
      <c r="B23" s="5">
        <f>SUM(Transaction_DB!$E$2:$E$5001)</f>
        <v>4996</v>
      </c>
    </row>
    <row r="24" spans="1:4" x14ac:dyDescent="0.25">
      <c r="A24" s="7" t="s">
        <v>1085</v>
      </c>
      <c r="B24" s="5">
        <f>SUM(RFM!$C$10:$C$998)</f>
        <v>4996</v>
      </c>
    </row>
    <row r="25" spans="1:4" x14ac:dyDescent="0.25">
      <c r="A25" s="7" t="s">
        <v>1086</v>
      </c>
      <c r="B25" s="5" t="str">
        <f>IF(B23=B24,"OK","ПОМИЛКА")</f>
        <v>OK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zoomScaleNormal="100" workbookViewId="0">
      <selection activeCell="B42" sqref="B42"/>
    </sheetView>
  </sheetViews>
  <sheetFormatPr defaultColWidth="8.7109375" defaultRowHeight="15" x14ac:dyDescent="0.25"/>
  <cols>
    <col min="1" max="1" width="20" customWidth="1"/>
    <col min="2" max="2" width="48" customWidth="1"/>
    <col min="3" max="3" width="90" customWidth="1"/>
  </cols>
  <sheetData>
    <row r="1" spans="1:3" ht="18" x14ac:dyDescent="0.25">
      <c r="A1" s="1" t="s">
        <v>0</v>
      </c>
    </row>
    <row r="3" spans="1:3" x14ac:dyDescent="0.25">
      <c r="A3" s="2" t="s">
        <v>1</v>
      </c>
      <c r="B3" s="2" t="s">
        <v>2</v>
      </c>
      <c r="C3" s="2" t="s">
        <v>3</v>
      </c>
    </row>
    <row r="4" spans="1:3" ht="25.5" x14ac:dyDescent="0.25">
      <c r="A4" s="3" t="s">
        <v>4</v>
      </c>
      <c r="B4" s="4" t="s">
        <v>5</v>
      </c>
      <c r="C4" s="4" t="s">
        <v>6</v>
      </c>
    </row>
    <row r="5" spans="1:3" x14ac:dyDescent="0.25">
      <c r="A5" s="3" t="s">
        <v>7</v>
      </c>
      <c r="B5" s="4" t="s">
        <v>8</v>
      </c>
      <c r="C5" s="4" t="s">
        <v>9</v>
      </c>
    </row>
    <row r="6" spans="1:3" x14ac:dyDescent="0.25">
      <c r="A6" s="3" t="s">
        <v>10</v>
      </c>
      <c r="B6" s="4" t="s">
        <v>11</v>
      </c>
      <c r="C6" s="4" t="s">
        <v>12</v>
      </c>
    </row>
    <row r="7" spans="1:3" x14ac:dyDescent="0.25">
      <c r="A7" s="3" t="s">
        <v>13</v>
      </c>
      <c r="B7" s="4" t="s">
        <v>14</v>
      </c>
      <c r="C7" s="4" t="s">
        <v>15</v>
      </c>
    </row>
    <row r="8" spans="1:3" ht="25.5" x14ac:dyDescent="0.25">
      <c r="A8" s="3" t="s">
        <v>16</v>
      </c>
      <c r="B8" s="4" t="s">
        <v>17</v>
      </c>
      <c r="C8" s="4" t="s">
        <v>18</v>
      </c>
    </row>
    <row r="9" spans="1:3" x14ac:dyDescent="0.25">
      <c r="A9" s="3" t="s">
        <v>19</v>
      </c>
      <c r="B9" s="4" t="s">
        <v>20</v>
      </c>
      <c r="C9" s="4" t="s">
        <v>21</v>
      </c>
    </row>
    <row r="10" spans="1:3" x14ac:dyDescent="0.25">
      <c r="A10" s="3" t="s">
        <v>22</v>
      </c>
      <c r="B10" s="4" t="s">
        <v>23</v>
      </c>
      <c r="C10" s="4" t="s">
        <v>24</v>
      </c>
    </row>
    <row r="11" spans="1:3" x14ac:dyDescent="0.25">
      <c r="A11" s="3" t="s">
        <v>25</v>
      </c>
      <c r="B11" s="4" t="s">
        <v>26</v>
      </c>
      <c r="C11" s="4" t="s">
        <v>27</v>
      </c>
    </row>
    <row r="12" spans="1:3" x14ac:dyDescent="0.25">
      <c r="A12" s="3" t="s">
        <v>28</v>
      </c>
      <c r="B12" s="4" t="s">
        <v>29</v>
      </c>
      <c r="C12" s="4" t="s">
        <v>30</v>
      </c>
    </row>
    <row r="13" spans="1:3" x14ac:dyDescent="0.25">
      <c r="A13" s="3" t="s">
        <v>31</v>
      </c>
      <c r="B13" s="4" t="s">
        <v>32</v>
      </c>
      <c r="C13" s="4" t="s">
        <v>33</v>
      </c>
    </row>
    <row r="15" spans="1:3" x14ac:dyDescent="0.25">
      <c r="A15" s="5" t="s">
        <v>34</v>
      </c>
    </row>
    <row r="16" spans="1:3" x14ac:dyDescent="0.25">
      <c r="A16" s="6" t="s">
        <v>35</v>
      </c>
      <c r="B16" s="7" t="s">
        <v>36</v>
      </c>
    </row>
    <row r="17" spans="1:3" x14ac:dyDescent="0.25">
      <c r="A17" s="7" t="s">
        <v>37</v>
      </c>
      <c r="B17" s="7" t="s">
        <v>38</v>
      </c>
    </row>
    <row r="18" spans="1:3" x14ac:dyDescent="0.25">
      <c r="A18" s="8" t="s">
        <v>39</v>
      </c>
      <c r="B18" s="7" t="s">
        <v>40</v>
      </c>
    </row>
    <row r="20" spans="1:3" x14ac:dyDescent="0.25">
      <c r="A20" s="5" t="s">
        <v>41</v>
      </c>
    </row>
    <row r="21" spans="1:3" ht="48" customHeight="1" x14ac:dyDescent="0.25">
      <c r="A21" s="62" t="s">
        <v>42</v>
      </c>
      <c r="B21" s="62"/>
      <c r="C21" s="62"/>
    </row>
  </sheetData>
  <mergeCells count="1">
    <mergeCell ref="A21:C2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E3029-F758-4989-8659-FCEFA0DA0390}">
  <dimension ref="A1:I48"/>
  <sheetViews>
    <sheetView topLeftCell="A18" workbookViewId="0">
      <selection activeCell="B41" sqref="B41:B48"/>
    </sheetView>
  </sheetViews>
  <sheetFormatPr defaultRowHeight="15" x14ac:dyDescent="0.25"/>
  <cols>
    <col min="1" max="1" width="8" bestFit="1" customWidth="1"/>
    <col min="2" max="2" width="12" customWidth="1"/>
    <col min="3" max="3" width="15.28515625" customWidth="1"/>
    <col min="4" max="4" width="9.28515625" customWidth="1"/>
    <col min="5" max="5" width="9.7109375" bestFit="1" customWidth="1"/>
    <col min="9" max="9" width="129.5703125" bestFit="1" customWidth="1"/>
  </cols>
  <sheetData>
    <row r="1" spans="9:9" x14ac:dyDescent="0.25">
      <c r="I1" s="63" t="s">
        <v>1088</v>
      </c>
    </row>
    <row r="2" spans="9:9" x14ac:dyDescent="0.25">
      <c r="I2" s="64" t="s">
        <v>1089</v>
      </c>
    </row>
    <row r="3" spans="9:9" x14ac:dyDescent="0.25">
      <c r="I3" s="64" t="s">
        <v>1090</v>
      </c>
    </row>
    <row r="4" spans="9:9" x14ac:dyDescent="0.25">
      <c r="I4" s="64" t="s">
        <v>1091</v>
      </c>
    </row>
    <row r="5" spans="9:9" x14ac:dyDescent="0.25">
      <c r="I5" s="65" t="s">
        <v>1092</v>
      </c>
    </row>
    <row r="17" spans="1:5" x14ac:dyDescent="0.25">
      <c r="A17" s="68" t="s">
        <v>1098</v>
      </c>
    </row>
    <row r="18" spans="1:5" s="67" customFormat="1" ht="30" x14ac:dyDescent="0.25">
      <c r="A18" s="67" t="s">
        <v>1093</v>
      </c>
      <c r="B18" s="67" t="s">
        <v>1094</v>
      </c>
      <c r="C18" s="67" t="s">
        <v>1095</v>
      </c>
      <c r="D18" s="67" t="s">
        <v>1096</v>
      </c>
      <c r="E18" s="67" t="s">
        <v>1097</v>
      </c>
    </row>
    <row r="19" spans="1:5" x14ac:dyDescent="0.25">
      <c r="A19">
        <v>1</v>
      </c>
      <c r="B19" s="70">
        <v>658133</v>
      </c>
      <c r="C19">
        <v>1</v>
      </c>
      <c r="D19">
        <v>0</v>
      </c>
      <c r="E19">
        <v>0</v>
      </c>
    </row>
    <row r="20" spans="1:5" x14ac:dyDescent="0.25">
      <c r="A20">
        <v>2</v>
      </c>
      <c r="B20" s="70">
        <v>658149</v>
      </c>
      <c r="C20">
        <v>1</v>
      </c>
      <c r="D20">
        <v>0</v>
      </c>
      <c r="E20">
        <v>0</v>
      </c>
    </row>
    <row r="21" spans="1:5" x14ac:dyDescent="0.25">
      <c r="A21">
        <v>3</v>
      </c>
      <c r="B21" s="70">
        <v>658181</v>
      </c>
      <c r="C21">
        <v>1</v>
      </c>
      <c r="D21">
        <v>0</v>
      </c>
      <c r="E21">
        <v>0</v>
      </c>
    </row>
    <row r="22" spans="1:5" x14ac:dyDescent="0.25">
      <c r="A22">
        <v>4</v>
      </c>
      <c r="B22" s="70">
        <v>658197</v>
      </c>
      <c r="C22">
        <v>1</v>
      </c>
      <c r="D22">
        <v>0</v>
      </c>
      <c r="E22">
        <v>0</v>
      </c>
    </row>
    <row r="23" spans="1:5" x14ac:dyDescent="0.25">
      <c r="A23">
        <v>5</v>
      </c>
      <c r="B23" s="70">
        <v>658213</v>
      </c>
      <c r="C23">
        <v>1</v>
      </c>
      <c r="D23">
        <v>0</v>
      </c>
      <c r="E23">
        <v>0</v>
      </c>
    </row>
    <row r="24" spans="1:5" x14ac:dyDescent="0.25">
      <c r="A24">
        <v>6</v>
      </c>
      <c r="B24" s="70">
        <v>681954</v>
      </c>
      <c r="C24">
        <v>1</v>
      </c>
      <c r="D24">
        <v>0</v>
      </c>
      <c r="E24">
        <v>0</v>
      </c>
    </row>
    <row r="25" spans="1:5" x14ac:dyDescent="0.25">
      <c r="A25">
        <v>7</v>
      </c>
      <c r="B25" s="70">
        <v>670740</v>
      </c>
      <c r="C25">
        <v>1</v>
      </c>
      <c r="D25">
        <v>0</v>
      </c>
      <c r="E25">
        <v>0</v>
      </c>
    </row>
    <row r="26" spans="1:5" x14ac:dyDescent="0.25">
      <c r="A26">
        <v>8</v>
      </c>
      <c r="B26" s="70">
        <v>670772</v>
      </c>
      <c r="C26">
        <v>1</v>
      </c>
      <c r="D26">
        <v>0</v>
      </c>
      <c r="E26">
        <v>0</v>
      </c>
    </row>
    <row r="27" spans="1:5" x14ac:dyDescent="0.25">
      <c r="B27" s="71"/>
    </row>
    <row r="28" spans="1:5" x14ac:dyDescent="0.25">
      <c r="A28" s="68" t="s">
        <v>1101</v>
      </c>
      <c r="B28" s="71"/>
    </row>
    <row r="29" spans="1:5" x14ac:dyDescent="0.25">
      <c r="A29" t="s">
        <v>1093</v>
      </c>
      <c r="B29" s="71" t="s">
        <v>1099</v>
      </c>
      <c r="C29" s="71" t="s">
        <v>1100</v>
      </c>
    </row>
    <row r="30" spans="1:5" x14ac:dyDescent="0.25">
      <c r="A30">
        <v>1</v>
      </c>
      <c r="B30" s="70">
        <v>658069</v>
      </c>
      <c r="C30" s="70">
        <v>3875156546</v>
      </c>
    </row>
    <row r="31" spans="1:5" x14ac:dyDescent="0.25">
      <c r="A31">
        <v>2</v>
      </c>
      <c r="B31" s="70">
        <v>658085</v>
      </c>
      <c r="C31" s="70">
        <v>8966487941</v>
      </c>
    </row>
    <row r="32" spans="1:5" x14ac:dyDescent="0.25">
      <c r="A32">
        <v>3</v>
      </c>
      <c r="B32" s="70">
        <v>658101</v>
      </c>
      <c r="C32" s="70">
        <v>9313310091</v>
      </c>
    </row>
    <row r="33" spans="1:3" x14ac:dyDescent="0.25">
      <c r="A33">
        <v>4</v>
      </c>
      <c r="B33" s="70">
        <v>658117</v>
      </c>
      <c r="C33" s="70">
        <v>7589522695</v>
      </c>
    </row>
    <row r="34" spans="1:3" x14ac:dyDescent="0.25">
      <c r="A34">
        <v>5</v>
      </c>
      <c r="B34" s="70">
        <v>658149</v>
      </c>
      <c r="C34" s="70">
        <v>5112402120</v>
      </c>
    </row>
    <row r="35" spans="1:3" x14ac:dyDescent="0.25">
      <c r="A35">
        <v>6</v>
      </c>
      <c r="B35" s="70">
        <v>658165</v>
      </c>
      <c r="C35" s="70">
        <v>6495878389</v>
      </c>
    </row>
    <row r="36" spans="1:3" x14ac:dyDescent="0.25">
      <c r="A36">
        <v>7</v>
      </c>
      <c r="B36" s="70">
        <v>658181</v>
      </c>
      <c r="C36" s="70">
        <v>1360582398</v>
      </c>
    </row>
    <row r="37" spans="1:3" x14ac:dyDescent="0.25">
      <c r="A37">
        <v>8</v>
      </c>
      <c r="B37" s="70">
        <v>658197</v>
      </c>
      <c r="C37" s="70">
        <v>1361873884</v>
      </c>
    </row>
    <row r="38" spans="1:3" x14ac:dyDescent="0.25">
      <c r="C38" s="71"/>
    </row>
    <row r="39" spans="1:3" x14ac:dyDescent="0.25">
      <c r="A39" s="66" t="s">
        <v>1102</v>
      </c>
      <c r="C39" s="71"/>
    </row>
    <row r="40" spans="1:3" x14ac:dyDescent="0.25">
      <c r="A40" t="s">
        <v>1093</v>
      </c>
      <c r="B40" t="s">
        <v>1103</v>
      </c>
      <c r="C40" s="71" t="s">
        <v>1100</v>
      </c>
    </row>
    <row r="41" spans="1:3" x14ac:dyDescent="0.25">
      <c r="A41">
        <v>1</v>
      </c>
      <c r="B41" s="69">
        <v>44136</v>
      </c>
      <c r="C41" s="70">
        <v>5760483956</v>
      </c>
    </row>
    <row r="42" spans="1:3" x14ac:dyDescent="0.25">
      <c r="A42">
        <v>2</v>
      </c>
      <c r="B42" s="69">
        <v>44136</v>
      </c>
      <c r="C42" s="70">
        <v>7115337200</v>
      </c>
    </row>
    <row r="43" spans="1:3" x14ac:dyDescent="0.25">
      <c r="A43">
        <v>3</v>
      </c>
      <c r="B43" s="69">
        <v>44136</v>
      </c>
      <c r="C43" s="70">
        <v>3978035233</v>
      </c>
    </row>
    <row r="44" spans="1:3" x14ac:dyDescent="0.25">
      <c r="A44">
        <v>4</v>
      </c>
      <c r="B44" s="69">
        <v>44136</v>
      </c>
      <c r="C44" s="70">
        <v>9648986282</v>
      </c>
    </row>
    <row r="45" spans="1:3" x14ac:dyDescent="0.25">
      <c r="A45">
        <v>5</v>
      </c>
      <c r="B45" s="69">
        <v>44136</v>
      </c>
      <c r="C45" s="70">
        <v>4393441533</v>
      </c>
    </row>
    <row r="46" spans="1:3" x14ac:dyDescent="0.25">
      <c r="A46">
        <v>6</v>
      </c>
      <c r="B46" s="69">
        <v>44136</v>
      </c>
      <c r="C46" s="70">
        <v>967742695</v>
      </c>
    </row>
    <row r="47" spans="1:3" x14ac:dyDescent="0.25">
      <c r="A47">
        <v>7</v>
      </c>
      <c r="B47" s="69">
        <v>44136</v>
      </c>
      <c r="C47" s="70">
        <v>1115082532</v>
      </c>
    </row>
    <row r="48" spans="1:3" x14ac:dyDescent="0.25">
      <c r="A48">
        <v>8</v>
      </c>
      <c r="B48" s="69">
        <v>44136</v>
      </c>
      <c r="C48" s="70">
        <v>6586349543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24</vt:i4>
      </vt:variant>
    </vt:vector>
  </HeadingPairs>
  <TitlesOfParts>
    <vt:vector size="29" baseType="lpstr">
      <vt:lpstr>Transaction_DB</vt:lpstr>
      <vt:lpstr>RFM</vt:lpstr>
      <vt:lpstr>Result</vt:lpstr>
      <vt:lpstr>Логіка</vt:lpstr>
      <vt:lpstr>Sheet1</vt:lpstr>
      <vt:lpstr>analysis_date</vt:lpstr>
      <vt:lpstr>Average_Customers</vt:lpstr>
      <vt:lpstr>Average_Customers_name</vt:lpstr>
      <vt:lpstr>Best_Customers</vt:lpstr>
      <vt:lpstr>Best_Customers_name</vt:lpstr>
      <vt:lpstr>customer_id</vt:lpstr>
      <vt:lpstr>frequencyQ1</vt:lpstr>
      <vt:lpstr>frequencyQ2</vt:lpstr>
      <vt:lpstr>frequencyQ3</vt:lpstr>
      <vt:lpstr>included</vt:lpstr>
      <vt:lpstr>Lost_Customers_name</vt:lpstr>
      <vt:lpstr>Loyal_Customers</vt:lpstr>
      <vt:lpstr>Loyal_Customers_name</vt:lpstr>
      <vt:lpstr>monetaryQ1</vt:lpstr>
      <vt:lpstr>monetaryQ2</vt:lpstr>
      <vt:lpstr>monetaryQ3</vt:lpstr>
      <vt:lpstr>recencyQ1</vt:lpstr>
      <vt:lpstr>recencyQ2</vt:lpstr>
      <vt:lpstr>recencyQ3</vt:lpstr>
      <vt:lpstr>rfm_db_frequency</vt:lpstr>
      <vt:lpstr>rfm_db_monetary</vt:lpstr>
      <vt:lpstr>rfm_db_recency</vt:lpstr>
      <vt:lpstr>transaction_amount</vt:lpstr>
      <vt:lpstr>transaction_date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Artem Makovskyi</cp:lastModifiedBy>
  <cp:revision>1</cp:revision>
  <dcterms:created xsi:type="dcterms:W3CDTF">2026-10-20T09:03:34Z</dcterms:created>
  <dcterms:modified xsi:type="dcterms:W3CDTF">2026-10-20T15:08:29Z</dcterms:modified>
  <dc:language>en-US</dc:language>
</cp:coreProperties>
</file>
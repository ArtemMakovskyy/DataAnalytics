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tem\PycharmProjects\DataAnalytics\product\frameworks\cohort\"/>
    </mc:Choice>
  </mc:AlternateContent>
  <xr:revisionPtr revIDLastSave="0" documentId="13_ncr:1_{4AB36BA9-B183-4580-87FA-1EE075EC628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Transactions" sheetId="1" r:id="rId1"/>
    <sheet name="Cohorts" sheetId="2" r:id="rId2"/>
    <sheet name="Retention" sheetId="3" r:id="rId3"/>
    <sheet name="Sheet1" sheetId="4" r:id="rId4"/>
  </sheets>
  <definedNames>
    <definedName name="_xlnm._FilterDatabase" localSheetId="0" hidden="1">Transactions!$A$2:$F$1002</definedName>
    <definedName name="cohortData">Table2[#All]</definedName>
    <definedName name="CohortIndex">Table2[CohortIndex]</definedName>
    <definedName name="CohortMonthYear">Table2[CohortMonth]</definedName>
    <definedName name="sort_column">Sheet1!$C$1</definedName>
    <definedName name="UniqueInPeriod">Table2[UniqueInPeriod]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F3" i="1"/>
  <c r="M15" i="2" a="1"/>
  <c r="M15" i="2" s="1"/>
  <c r="L15" i="2" a="1"/>
  <c r="L15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M14" i="2" a="1"/>
  <c r="M14" i="2" s="1"/>
  <c r="L14" i="2" a="1"/>
  <c r="L14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F12" i="2" a="1"/>
  <c r="F12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M8" i="2" a="1"/>
  <c r="M8" i="2" s="1"/>
  <c r="L8" i="2" a="1"/>
  <c r="L8" i="2" s="1"/>
  <c r="K8" i="2" a="1"/>
  <c r="K8" i="2" s="1"/>
  <c r="J8" i="2" a="1"/>
  <c r="J8" i="2" s="1"/>
  <c r="M7" i="2" a="1"/>
  <c r="M7" i="2" s="1"/>
  <c r="L7" i="2" a="1"/>
  <c r="L7" i="2" s="1"/>
  <c r="K7" i="2" a="1"/>
  <c r="K7" i="2" s="1"/>
  <c r="M6" i="2" a="1"/>
  <c r="M6" i="2" s="1"/>
  <c r="L6" i="2" a="1"/>
  <c r="L6" i="2" s="1"/>
  <c r="M5" i="2" a="1"/>
  <c r="M5" i="2" s="1"/>
  <c r="B20" i="2"/>
  <c r="E20" i="2"/>
  <c r="D20" i="2"/>
  <c r="C20" i="2"/>
  <c r="B26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D24" i="2"/>
  <c r="E24" i="2"/>
  <c r="F24" i="2"/>
  <c r="G24" i="2"/>
  <c r="H24" i="2"/>
  <c r="I24" i="2"/>
  <c r="J24" i="2"/>
  <c r="K24" i="2"/>
  <c r="L24" i="2"/>
  <c r="M24" i="2"/>
  <c r="B25" i="2"/>
  <c r="C25" i="2"/>
  <c r="D25" i="2"/>
  <c r="E25" i="2"/>
  <c r="F25" i="2"/>
  <c r="G25" i="2"/>
  <c r="H25" i="2"/>
  <c r="I25" i="2"/>
  <c r="J25" i="2"/>
  <c r="K25" i="2"/>
  <c r="L25" i="2"/>
  <c r="M25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D28" i="2"/>
  <c r="E28" i="2"/>
  <c r="F28" i="2"/>
  <c r="G28" i="2"/>
  <c r="H28" i="2"/>
  <c r="I28" i="2"/>
  <c r="J28" i="2"/>
  <c r="K28" i="2"/>
  <c r="L28" i="2"/>
  <c r="M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F20" i="2"/>
  <c r="G20" i="2"/>
  <c r="H20" i="2"/>
  <c r="I20" i="2"/>
  <c r="J20" i="2"/>
  <c r="K20" i="2"/>
  <c r="L20" i="2"/>
  <c r="M20" i="2"/>
  <c r="Q20" i="2"/>
  <c r="R20" i="2"/>
  <c r="S20" i="2"/>
  <c r="T20" i="2"/>
  <c r="U20" i="2"/>
  <c r="V20" i="2"/>
  <c r="W20" i="2"/>
  <c r="X20" i="2"/>
  <c r="Y20" i="2"/>
  <c r="Z20" i="2"/>
  <c r="AA20" i="2"/>
  <c r="Q21" i="2"/>
  <c r="R21" i="2"/>
  <c r="S21" i="2"/>
  <c r="T21" i="2"/>
  <c r="U21" i="2"/>
  <c r="V21" i="2"/>
  <c r="W21" i="2"/>
  <c r="X21" i="2"/>
  <c r="Y21" i="2"/>
  <c r="Z21" i="2"/>
  <c r="AA21" i="2"/>
  <c r="Q22" i="2"/>
  <c r="R22" i="2"/>
  <c r="S22" i="2"/>
  <c r="T22" i="2"/>
  <c r="U22" i="2"/>
  <c r="V22" i="2"/>
  <c r="W22" i="2"/>
  <c r="X22" i="2"/>
  <c r="Y22" i="2"/>
  <c r="Z22" i="2"/>
  <c r="AA22" i="2"/>
  <c r="Q23" i="2"/>
  <c r="R23" i="2"/>
  <c r="S23" i="2"/>
  <c r="T23" i="2"/>
  <c r="U23" i="2"/>
  <c r="V23" i="2"/>
  <c r="W23" i="2"/>
  <c r="X23" i="2"/>
  <c r="Y23" i="2"/>
  <c r="Z23" i="2"/>
  <c r="AA23" i="2"/>
  <c r="Q24" i="2"/>
  <c r="R24" i="2"/>
  <c r="S24" i="2"/>
  <c r="T24" i="2"/>
  <c r="U24" i="2"/>
  <c r="V24" i="2"/>
  <c r="W24" i="2"/>
  <c r="X24" i="2"/>
  <c r="Y24" i="2"/>
  <c r="Z24" i="2"/>
  <c r="AA24" i="2"/>
  <c r="Q25" i="2"/>
  <c r="R25" i="2"/>
  <c r="S25" i="2"/>
  <c r="T25" i="2"/>
  <c r="U25" i="2"/>
  <c r="V25" i="2"/>
  <c r="W25" i="2"/>
  <c r="X25" i="2"/>
  <c r="Y25" i="2"/>
  <c r="Z25" i="2"/>
  <c r="AA25" i="2"/>
  <c r="Q26" i="2"/>
  <c r="R26" i="2"/>
  <c r="S26" i="2"/>
  <c r="T26" i="2"/>
  <c r="U26" i="2"/>
  <c r="V26" i="2"/>
  <c r="W26" i="2"/>
  <c r="X26" i="2"/>
  <c r="Y26" i="2"/>
  <c r="Z26" i="2"/>
  <c r="AA26" i="2"/>
  <c r="Q27" i="2"/>
  <c r="R27" i="2"/>
  <c r="S27" i="2"/>
  <c r="T27" i="2"/>
  <c r="U27" i="2"/>
  <c r="V27" i="2"/>
  <c r="W27" i="2"/>
  <c r="X27" i="2"/>
  <c r="Y27" i="2"/>
  <c r="Z27" i="2"/>
  <c r="AA27" i="2"/>
  <c r="Q28" i="2"/>
  <c r="R28" i="2"/>
  <c r="S28" i="2"/>
  <c r="T28" i="2"/>
  <c r="U28" i="2"/>
  <c r="V28" i="2"/>
  <c r="W28" i="2"/>
  <c r="X28" i="2"/>
  <c r="Y28" i="2"/>
  <c r="Z28" i="2"/>
  <c r="AA28" i="2"/>
  <c r="Q29" i="2"/>
  <c r="R29" i="2"/>
  <c r="S29" i="2"/>
  <c r="T29" i="2"/>
  <c r="U29" i="2"/>
  <c r="V29" i="2"/>
  <c r="W29" i="2"/>
  <c r="X29" i="2"/>
  <c r="Y29" i="2"/>
  <c r="Z29" i="2"/>
  <c r="AA29" i="2"/>
  <c r="Q30" i="2"/>
  <c r="R30" i="2"/>
  <c r="S30" i="2"/>
  <c r="T30" i="2"/>
  <c r="U30" i="2"/>
  <c r="V30" i="2"/>
  <c r="W30" i="2"/>
  <c r="X30" i="2"/>
  <c r="Y30" i="2"/>
  <c r="Z30" i="2"/>
  <c r="AA30" i="2"/>
  <c r="Q31" i="2"/>
  <c r="R31" i="2"/>
  <c r="S31" i="2"/>
  <c r="T31" i="2"/>
  <c r="U31" i="2"/>
  <c r="V31" i="2"/>
  <c r="W31" i="2"/>
  <c r="X31" i="2"/>
  <c r="Y31" i="2"/>
  <c r="Z31" i="2"/>
  <c r="AA31" i="2"/>
  <c r="P31" i="2"/>
  <c r="P21" i="2"/>
  <c r="P22" i="2"/>
  <c r="P23" i="2"/>
  <c r="P24" i="2"/>
  <c r="P25" i="2"/>
  <c r="P26" i="2"/>
  <c r="P27" i="2"/>
  <c r="P28" i="2"/>
  <c r="P29" i="2"/>
  <c r="P30" i="2"/>
  <c r="P20" i="2"/>
  <c r="M16" i="3"/>
  <c r="L16" i="3"/>
  <c r="K16" i="3"/>
  <c r="J16" i="3"/>
  <c r="I16" i="3"/>
  <c r="H16" i="3"/>
  <c r="G16" i="3"/>
  <c r="F16" i="3"/>
  <c r="E16" i="3"/>
  <c r="D16" i="3"/>
  <c r="C16" i="3"/>
  <c r="M15" i="3"/>
  <c r="L15" i="3"/>
  <c r="K15" i="3"/>
  <c r="J15" i="3"/>
  <c r="I15" i="3"/>
  <c r="H15" i="3"/>
  <c r="G15" i="3"/>
  <c r="F15" i="3"/>
  <c r="E15" i="3"/>
  <c r="D15" i="3"/>
  <c r="M14" i="3"/>
  <c r="L14" i="3"/>
  <c r="K14" i="3"/>
  <c r="J14" i="3"/>
  <c r="I14" i="3"/>
  <c r="H14" i="3"/>
  <c r="G14" i="3"/>
  <c r="F14" i="3"/>
  <c r="E14" i="3"/>
  <c r="M13" i="3"/>
  <c r="L13" i="3"/>
  <c r="K13" i="3"/>
  <c r="J13" i="3"/>
  <c r="I13" i="3"/>
  <c r="H13" i="3"/>
  <c r="G13" i="3"/>
  <c r="F13" i="3"/>
  <c r="M12" i="3"/>
  <c r="L12" i="3"/>
  <c r="K12" i="3"/>
  <c r="J12" i="3"/>
  <c r="I12" i="3"/>
  <c r="H12" i="3"/>
  <c r="G12" i="3"/>
  <c r="M11" i="3"/>
  <c r="L11" i="3"/>
  <c r="K11" i="3"/>
  <c r="J11" i="3"/>
  <c r="I11" i="3"/>
  <c r="H11" i="3"/>
  <c r="M10" i="3"/>
  <c r="L10" i="3"/>
  <c r="K10" i="3"/>
  <c r="J10" i="3"/>
  <c r="I10" i="3"/>
  <c r="M9" i="3"/>
  <c r="L9" i="3"/>
  <c r="K9" i="3"/>
  <c r="J9" i="3"/>
  <c r="M8" i="3"/>
  <c r="L8" i="3"/>
  <c r="K8" i="3"/>
  <c r="M7" i="3"/>
  <c r="L7" i="3"/>
  <c r="M6" i="3"/>
  <c r="D1002" i="1"/>
  <c r="E1002" i="1" s="1"/>
  <c r="F1002" i="1" s="1"/>
  <c r="G1002" i="1" s="1"/>
  <c r="D1001" i="1"/>
  <c r="D1000" i="1"/>
  <c r="D999" i="1"/>
  <c r="D998" i="1"/>
  <c r="E998" i="1" s="1"/>
  <c r="F998" i="1" s="1"/>
  <c r="G998" i="1" s="1"/>
  <c r="E997" i="1"/>
  <c r="F997" i="1" s="1"/>
  <c r="G997" i="1" s="1"/>
  <c r="D997" i="1"/>
  <c r="D996" i="1"/>
  <c r="D995" i="1"/>
  <c r="E994" i="1"/>
  <c r="F994" i="1" s="1"/>
  <c r="G994" i="1" s="1"/>
  <c r="D994" i="1"/>
  <c r="D993" i="1"/>
  <c r="D992" i="1"/>
  <c r="D991" i="1"/>
  <c r="E991" i="1" s="1"/>
  <c r="F991" i="1" s="1"/>
  <c r="G991" i="1" s="1"/>
  <c r="D990" i="1"/>
  <c r="D989" i="1"/>
  <c r="D988" i="1"/>
  <c r="E987" i="1"/>
  <c r="F987" i="1" s="1"/>
  <c r="G987" i="1" s="1"/>
  <c r="D987" i="1"/>
  <c r="D986" i="1"/>
  <c r="E986" i="1" s="1"/>
  <c r="F986" i="1" s="1"/>
  <c r="G986" i="1" s="1"/>
  <c r="D985" i="1"/>
  <c r="E985" i="1" s="1"/>
  <c r="F985" i="1" s="1"/>
  <c r="G985" i="1" s="1"/>
  <c r="D984" i="1"/>
  <c r="D983" i="1"/>
  <c r="D982" i="1"/>
  <c r="D981" i="1"/>
  <c r="E981" i="1" s="1"/>
  <c r="F981" i="1" s="1"/>
  <c r="G981" i="1" s="1"/>
  <c r="D980" i="1"/>
  <c r="D979" i="1"/>
  <c r="D978" i="1"/>
  <c r="E978" i="1" s="1"/>
  <c r="F978" i="1" s="1"/>
  <c r="G978" i="1" s="1"/>
  <c r="D977" i="1"/>
  <c r="E976" i="1"/>
  <c r="F976" i="1" s="1"/>
  <c r="G976" i="1" s="1"/>
  <c r="D976" i="1"/>
  <c r="D975" i="1"/>
  <c r="E975" i="1" s="1"/>
  <c r="F975" i="1" s="1"/>
  <c r="G975" i="1" s="1"/>
  <c r="D974" i="1"/>
  <c r="D973" i="1"/>
  <c r="E973" i="1" s="1"/>
  <c r="F973" i="1" s="1"/>
  <c r="G973" i="1" s="1"/>
  <c r="D972" i="1"/>
  <c r="D971" i="1"/>
  <c r="D970" i="1"/>
  <c r="E983" i="1" s="1"/>
  <c r="F983" i="1" s="1"/>
  <c r="E969" i="1"/>
  <c r="F969" i="1" s="1"/>
  <c r="G969" i="1" s="1"/>
  <c r="D969" i="1"/>
  <c r="E968" i="1"/>
  <c r="F968" i="1" s="1"/>
  <c r="G968" i="1" s="1"/>
  <c r="D968" i="1"/>
  <c r="D967" i="1"/>
  <c r="D966" i="1"/>
  <c r="D965" i="1"/>
  <c r="D964" i="1"/>
  <c r="D963" i="1"/>
  <c r="D962" i="1"/>
  <c r="D961" i="1"/>
  <c r="D960" i="1"/>
  <c r="E960" i="1" s="1"/>
  <c r="F960" i="1" s="1"/>
  <c r="G960" i="1" s="1"/>
  <c r="D959" i="1"/>
  <c r="D958" i="1"/>
  <c r="E958" i="1" s="1"/>
  <c r="F958" i="1" s="1"/>
  <c r="G958" i="1" s="1"/>
  <c r="D957" i="1"/>
  <c r="D956" i="1"/>
  <c r="D955" i="1"/>
  <c r="E955" i="1" s="1"/>
  <c r="F955" i="1" s="1"/>
  <c r="G955" i="1" s="1"/>
  <c r="D954" i="1"/>
  <c r="E953" i="1"/>
  <c r="F953" i="1" s="1"/>
  <c r="G953" i="1" s="1"/>
  <c r="D953" i="1"/>
  <c r="D952" i="1"/>
  <c r="D951" i="1"/>
  <c r="E951" i="1" s="1"/>
  <c r="F951" i="1" s="1"/>
  <c r="G951" i="1" s="1"/>
  <c r="D950" i="1"/>
  <c r="F949" i="1"/>
  <c r="G949" i="1" s="1"/>
  <c r="D949" i="1"/>
  <c r="E949" i="1" s="1"/>
  <c r="D948" i="1"/>
  <c r="D947" i="1"/>
  <c r="D946" i="1"/>
  <c r="D945" i="1"/>
  <c r="D944" i="1"/>
  <c r="E924" i="1" s="1"/>
  <c r="F924" i="1" s="1"/>
  <c r="G924" i="1" s="1"/>
  <c r="D943" i="1"/>
  <c r="D942" i="1"/>
  <c r="D941" i="1"/>
  <c r="D940" i="1"/>
  <c r="D939" i="1"/>
  <c r="D938" i="1"/>
  <c r="E938" i="1" s="1"/>
  <c r="F938" i="1" s="1"/>
  <c r="G938" i="1" s="1"/>
  <c r="D937" i="1"/>
  <c r="D936" i="1"/>
  <c r="D935" i="1"/>
  <c r="D934" i="1"/>
  <c r="D933" i="1"/>
  <c r="E933" i="1" s="1"/>
  <c r="F933" i="1" s="1"/>
  <c r="G933" i="1" s="1"/>
  <c r="G932" i="1"/>
  <c r="E932" i="1"/>
  <c r="F932" i="1" s="1"/>
  <c r="D932" i="1"/>
  <c r="D931" i="1"/>
  <c r="D930" i="1"/>
  <c r="D929" i="1"/>
  <c r="D928" i="1"/>
  <c r="E928" i="1" s="1"/>
  <c r="F928" i="1" s="1"/>
  <c r="G928" i="1" s="1"/>
  <c r="D927" i="1"/>
  <c r="D926" i="1"/>
  <c r="D925" i="1"/>
  <c r="E925" i="1" s="1"/>
  <c r="F925" i="1" s="1"/>
  <c r="G925" i="1" s="1"/>
  <c r="D924" i="1"/>
  <c r="D923" i="1"/>
  <c r="E923" i="1" s="1"/>
  <c r="F923" i="1" s="1"/>
  <c r="G923" i="1" s="1"/>
  <c r="D922" i="1"/>
  <c r="E922" i="1" s="1"/>
  <c r="F922" i="1" s="1"/>
  <c r="G922" i="1" s="1"/>
  <c r="D921" i="1"/>
  <c r="E995" i="1" s="1"/>
  <c r="F995" i="1" s="1"/>
  <c r="D920" i="1"/>
  <c r="D919" i="1"/>
  <c r="D918" i="1"/>
  <c r="D917" i="1"/>
  <c r="D916" i="1"/>
  <c r="D915" i="1"/>
  <c r="D914" i="1"/>
  <c r="E914" i="1" s="1"/>
  <c r="F914" i="1" s="1"/>
  <c r="G914" i="1" s="1"/>
  <c r="D913" i="1"/>
  <c r="D912" i="1"/>
  <c r="E912" i="1" s="1"/>
  <c r="F912" i="1" s="1"/>
  <c r="G912" i="1" s="1"/>
  <c r="D911" i="1"/>
  <c r="D910" i="1"/>
  <c r="D909" i="1"/>
  <c r="E909" i="1" s="1"/>
  <c r="F909" i="1" s="1"/>
  <c r="G909" i="1" s="1"/>
  <c r="D908" i="1"/>
  <c r="F907" i="1"/>
  <c r="G907" i="1" s="1"/>
  <c r="D907" i="1"/>
  <c r="E907" i="1" s="1"/>
  <c r="D906" i="1"/>
  <c r="D905" i="1"/>
  <c r="D904" i="1"/>
  <c r="D903" i="1"/>
  <c r="D902" i="1"/>
  <c r="D901" i="1"/>
  <c r="D900" i="1"/>
  <c r="E900" i="1" s="1"/>
  <c r="F900" i="1" s="1"/>
  <c r="G900" i="1" s="1"/>
  <c r="D899" i="1"/>
  <c r="D898" i="1"/>
  <c r="E898" i="1" s="1"/>
  <c r="F898" i="1" s="1"/>
  <c r="G898" i="1" s="1"/>
  <c r="D897" i="1"/>
  <c r="E897" i="1" s="1"/>
  <c r="F897" i="1" s="1"/>
  <c r="G897" i="1" s="1"/>
  <c r="D896" i="1"/>
  <c r="D895" i="1"/>
  <c r="D894" i="1"/>
  <c r="D893" i="1"/>
  <c r="D892" i="1"/>
  <c r="D891" i="1"/>
  <c r="D890" i="1"/>
  <c r="D889" i="1"/>
  <c r="D888" i="1"/>
  <c r="D887" i="1"/>
  <c r="E919" i="1" s="1"/>
  <c r="F919" i="1" s="1"/>
  <c r="D886" i="1"/>
  <c r="E886" i="1" s="1"/>
  <c r="F886" i="1" s="1"/>
  <c r="G886" i="1" s="1"/>
  <c r="D885" i="1"/>
  <c r="E885" i="1" s="1"/>
  <c r="F885" i="1" s="1"/>
  <c r="G885" i="1" s="1"/>
  <c r="D884" i="1"/>
  <c r="D883" i="1"/>
  <c r="E883" i="1" s="1"/>
  <c r="F883" i="1" s="1"/>
  <c r="G883" i="1" s="1"/>
  <c r="D882" i="1"/>
  <c r="D881" i="1"/>
  <c r="E881" i="1" s="1"/>
  <c r="F881" i="1" s="1"/>
  <c r="G881" i="1" s="1"/>
  <c r="D880" i="1"/>
  <c r="E880" i="1" s="1"/>
  <c r="F880" i="1" s="1"/>
  <c r="G880" i="1" s="1"/>
  <c r="D879" i="1"/>
  <c r="D878" i="1"/>
  <c r="E878" i="1" s="1"/>
  <c r="F878" i="1" s="1"/>
  <c r="G878" i="1" s="1"/>
  <c r="D877" i="1"/>
  <c r="D876" i="1"/>
  <c r="D875" i="1"/>
  <c r="D874" i="1"/>
  <c r="D873" i="1"/>
  <c r="D872" i="1"/>
  <c r="E872" i="1" s="1"/>
  <c r="F872" i="1" s="1"/>
  <c r="G872" i="1" s="1"/>
  <c r="D871" i="1"/>
  <c r="E871" i="1" s="1"/>
  <c r="F871" i="1" s="1"/>
  <c r="G871" i="1" s="1"/>
  <c r="D870" i="1"/>
  <c r="E870" i="1" s="1"/>
  <c r="F870" i="1" s="1"/>
  <c r="G870" i="1" s="1"/>
  <c r="D869" i="1"/>
  <c r="E869" i="1" s="1"/>
  <c r="F869" i="1" s="1"/>
  <c r="G869" i="1" s="1"/>
  <c r="D868" i="1"/>
  <c r="D867" i="1"/>
  <c r="E867" i="1" s="1"/>
  <c r="F867" i="1" s="1"/>
  <c r="G867" i="1" s="1"/>
  <c r="D866" i="1"/>
  <c r="D865" i="1"/>
  <c r="E864" i="1"/>
  <c r="F864" i="1" s="1"/>
  <c r="G864" i="1" s="1"/>
  <c r="D864" i="1"/>
  <c r="D863" i="1"/>
  <c r="D862" i="1"/>
  <c r="E862" i="1" s="1"/>
  <c r="F862" i="1" s="1"/>
  <c r="G862" i="1" s="1"/>
  <c r="D861" i="1"/>
  <c r="D860" i="1"/>
  <c r="E860" i="1" s="1"/>
  <c r="F860" i="1" s="1"/>
  <c r="G860" i="1" s="1"/>
  <c r="D859" i="1"/>
  <c r="D858" i="1"/>
  <c r="E858" i="1" s="1"/>
  <c r="F858" i="1" s="1"/>
  <c r="G858" i="1" s="1"/>
  <c r="D857" i="1"/>
  <c r="D856" i="1"/>
  <c r="E856" i="1" s="1"/>
  <c r="F856" i="1" s="1"/>
  <c r="G856" i="1" s="1"/>
  <c r="D855" i="1"/>
  <c r="E855" i="1" s="1"/>
  <c r="F855" i="1" s="1"/>
  <c r="G855" i="1" s="1"/>
  <c r="E854" i="1"/>
  <c r="F854" i="1" s="1"/>
  <c r="G854" i="1" s="1"/>
  <c r="D854" i="1"/>
  <c r="D853" i="1"/>
  <c r="E853" i="1" s="1"/>
  <c r="F853" i="1" s="1"/>
  <c r="G853" i="1" s="1"/>
  <c r="D852" i="1"/>
  <c r="D851" i="1"/>
  <c r="D850" i="1"/>
  <c r="D849" i="1"/>
  <c r="D848" i="1"/>
  <c r="E848" i="1" s="1"/>
  <c r="F848" i="1" s="1"/>
  <c r="G848" i="1" s="1"/>
  <c r="D847" i="1"/>
  <c r="D846" i="1"/>
  <c r="E888" i="1" s="1"/>
  <c r="F888" i="1" s="1"/>
  <c r="E845" i="1"/>
  <c r="F845" i="1" s="1"/>
  <c r="G845" i="1" s="1"/>
  <c r="D845" i="1"/>
  <c r="D844" i="1"/>
  <c r="E844" i="1" s="1"/>
  <c r="F844" i="1" s="1"/>
  <c r="G844" i="1" s="1"/>
  <c r="D843" i="1"/>
  <c r="D842" i="1"/>
  <c r="D841" i="1"/>
  <c r="E841" i="1" s="1"/>
  <c r="F841" i="1" s="1"/>
  <c r="G841" i="1" s="1"/>
  <c r="D840" i="1"/>
  <c r="D839" i="1"/>
  <c r="E839" i="1" s="1"/>
  <c r="F839" i="1" s="1"/>
  <c r="G839" i="1" s="1"/>
  <c r="D838" i="1"/>
  <c r="E838" i="1" s="1"/>
  <c r="F838" i="1" s="1"/>
  <c r="G838" i="1" s="1"/>
  <c r="D837" i="1"/>
  <c r="D836" i="1"/>
  <c r="E836" i="1" s="1"/>
  <c r="F836" i="1" s="1"/>
  <c r="G836" i="1" s="1"/>
  <c r="D835" i="1"/>
  <c r="D834" i="1"/>
  <c r="E834" i="1" s="1"/>
  <c r="F834" i="1" s="1"/>
  <c r="G834" i="1" s="1"/>
  <c r="E833" i="1"/>
  <c r="F833" i="1" s="1"/>
  <c r="G833" i="1" s="1"/>
  <c r="D833" i="1"/>
  <c r="E832" i="1"/>
  <c r="F832" i="1" s="1"/>
  <c r="G832" i="1" s="1"/>
  <c r="D832" i="1"/>
  <c r="D831" i="1"/>
  <c r="E831" i="1" s="1"/>
  <c r="F831" i="1" s="1"/>
  <c r="G831" i="1" s="1"/>
  <c r="D830" i="1"/>
  <c r="D829" i="1"/>
  <c r="D828" i="1"/>
  <c r="E828" i="1" s="1"/>
  <c r="F828" i="1" s="1"/>
  <c r="G828" i="1" s="1"/>
  <c r="D827" i="1"/>
  <c r="D826" i="1"/>
  <c r="D825" i="1"/>
  <c r="D824" i="1"/>
  <c r="E824" i="1" s="1"/>
  <c r="F824" i="1" s="1"/>
  <c r="G824" i="1" s="1"/>
  <c r="F823" i="1"/>
  <c r="G823" i="1" s="1"/>
  <c r="D823" i="1"/>
  <c r="E823" i="1" s="1"/>
  <c r="D822" i="1"/>
  <c r="E822" i="1" s="1"/>
  <c r="F822" i="1" s="1"/>
  <c r="G822" i="1" s="1"/>
  <c r="D821" i="1"/>
  <c r="E821" i="1" s="1"/>
  <c r="F821" i="1" s="1"/>
  <c r="G821" i="1" s="1"/>
  <c r="D820" i="1"/>
  <c r="E820" i="1" s="1"/>
  <c r="F820" i="1" s="1"/>
  <c r="G820" i="1" s="1"/>
  <c r="D819" i="1"/>
  <c r="D818" i="1"/>
  <c r="E818" i="1" s="1"/>
  <c r="F818" i="1" s="1"/>
  <c r="G818" i="1" s="1"/>
  <c r="D817" i="1"/>
  <c r="D816" i="1"/>
  <c r="D815" i="1"/>
  <c r="D814" i="1"/>
  <c r="E814" i="1" s="1"/>
  <c r="F814" i="1" s="1"/>
  <c r="G814" i="1" s="1"/>
  <c r="D813" i="1"/>
  <c r="E813" i="1" s="1"/>
  <c r="F813" i="1" s="1"/>
  <c r="G813" i="1" s="1"/>
  <c r="F812" i="1"/>
  <c r="G812" i="1" s="1"/>
  <c r="D812" i="1"/>
  <c r="E812" i="1" s="1"/>
  <c r="D811" i="1"/>
  <c r="E811" i="1" s="1"/>
  <c r="F811" i="1" s="1"/>
  <c r="G811" i="1" s="1"/>
  <c r="D810" i="1"/>
  <c r="E810" i="1" s="1"/>
  <c r="F810" i="1" s="1"/>
  <c r="G810" i="1" s="1"/>
  <c r="D809" i="1"/>
  <c r="D808" i="1"/>
  <c r="D807" i="1"/>
  <c r="D806" i="1"/>
  <c r="D805" i="1"/>
  <c r="D804" i="1"/>
  <c r="D803" i="1"/>
  <c r="D802" i="1"/>
  <c r="E802" i="1" s="1"/>
  <c r="F802" i="1" s="1"/>
  <c r="G802" i="1" s="1"/>
  <c r="D801" i="1"/>
  <c r="D800" i="1"/>
  <c r="E800" i="1" s="1"/>
  <c r="F800" i="1" s="1"/>
  <c r="G800" i="1" s="1"/>
  <c r="D799" i="1"/>
  <c r="D798" i="1"/>
  <c r="E798" i="1" s="1"/>
  <c r="F798" i="1" s="1"/>
  <c r="G798" i="1" s="1"/>
  <c r="D797" i="1"/>
  <c r="D796" i="1"/>
  <c r="E795" i="1"/>
  <c r="F795" i="1" s="1"/>
  <c r="G795" i="1" s="1"/>
  <c r="D795" i="1"/>
  <c r="D794" i="1"/>
  <c r="D793" i="1"/>
  <c r="E793" i="1" s="1"/>
  <c r="F793" i="1" s="1"/>
  <c r="G793" i="1" s="1"/>
  <c r="D792" i="1"/>
  <c r="D791" i="1"/>
  <c r="E876" i="1" s="1"/>
  <c r="F876" i="1" s="1"/>
  <c r="D790" i="1"/>
  <c r="E809" i="1" s="1"/>
  <c r="F809" i="1" s="1"/>
  <c r="D789" i="1"/>
  <c r="D788" i="1"/>
  <c r="E788" i="1" s="1"/>
  <c r="F788" i="1" s="1"/>
  <c r="G788" i="1" s="1"/>
  <c r="D787" i="1"/>
  <c r="E787" i="1" s="1"/>
  <c r="F787" i="1" s="1"/>
  <c r="G787" i="1" s="1"/>
  <c r="D786" i="1"/>
  <c r="D785" i="1"/>
  <c r="D784" i="1"/>
  <c r="D783" i="1"/>
  <c r="E748" i="1" s="1"/>
  <c r="F748" i="1" s="1"/>
  <c r="G748" i="1" s="1"/>
  <c r="D782" i="1"/>
  <c r="E782" i="1" s="1"/>
  <c r="F782" i="1" s="1"/>
  <c r="G782" i="1" s="1"/>
  <c r="D781" i="1"/>
  <c r="E781" i="1" s="1"/>
  <c r="F781" i="1" s="1"/>
  <c r="G781" i="1" s="1"/>
  <c r="D780" i="1"/>
  <c r="E780" i="1" s="1"/>
  <c r="F780" i="1" s="1"/>
  <c r="G780" i="1" s="1"/>
  <c r="D779" i="1"/>
  <c r="E778" i="1"/>
  <c r="F778" i="1" s="1"/>
  <c r="G778" i="1" s="1"/>
  <c r="D778" i="1"/>
  <c r="D777" i="1"/>
  <c r="D776" i="1"/>
  <c r="E776" i="1" s="1"/>
  <c r="F776" i="1" s="1"/>
  <c r="G776" i="1" s="1"/>
  <c r="D775" i="1"/>
  <c r="D774" i="1"/>
  <c r="D773" i="1"/>
  <c r="E773" i="1" s="1"/>
  <c r="F773" i="1" s="1"/>
  <c r="G773" i="1" s="1"/>
  <c r="D772" i="1"/>
  <c r="D771" i="1"/>
  <c r="E771" i="1" s="1"/>
  <c r="F771" i="1" s="1"/>
  <c r="G771" i="1" s="1"/>
  <c r="D770" i="1"/>
  <c r="D769" i="1"/>
  <c r="D768" i="1"/>
  <c r="E376" i="1" s="1"/>
  <c r="F376" i="1" s="1"/>
  <c r="G376" i="1" s="1"/>
  <c r="D767" i="1"/>
  <c r="D766" i="1"/>
  <c r="D765" i="1"/>
  <c r="D764" i="1"/>
  <c r="D763" i="1"/>
  <c r="D762" i="1"/>
  <c r="D761" i="1"/>
  <c r="E761" i="1" s="1"/>
  <c r="F761" i="1" s="1"/>
  <c r="G761" i="1" s="1"/>
  <c r="E760" i="1"/>
  <c r="F760" i="1" s="1"/>
  <c r="G760" i="1" s="1"/>
  <c r="D760" i="1"/>
  <c r="D759" i="1"/>
  <c r="D758" i="1"/>
  <c r="E758" i="1" s="1"/>
  <c r="F758" i="1" s="1"/>
  <c r="G758" i="1" s="1"/>
  <c r="D757" i="1"/>
  <c r="D756" i="1"/>
  <c r="D755" i="1"/>
  <c r="D754" i="1"/>
  <c r="E754" i="1" s="1"/>
  <c r="F754" i="1" s="1"/>
  <c r="G754" i="1" s="1"/>
  <c r="D753" i="1"/>
  <c r="E753" i="1" s="1"/>
  <c r="F753" i="1" s="1"/>
  <c r="G753" i="1" s="1"/>
  <c r="D752" i="1"/>
  <c r="E752" i="1" s="1"/>
  <c r="F752" i="1" s="1"/>
  <c r="G752" i="1" s="1"/>
  <c r="D751" i="1"/>
  <c r="D750" i="1"/>
  <c r="E750" i="1" s="1"/>
  <c r="F750" i="1" s="1"/>
  <c r="G750" i="1" s="1"/>
  <c r="D749" i="1"/>
  <c r="D748" i="1"/>
  <c r="D747" i="1"/>
  <c r="D746" i="1"/>
  <c r="E746" i="1" s="1"/>
  <c r="F746" i="1" s="1"/>
  <c r="G746" i="1" s="1"/>
  <c r="E745" i="1"/>
  <c r="F745" i="1" s="1"/>
  <c r="G745" i="1" s="1"/>
  <c r="D745" i="1"/>
  <c r="D744" i="1"/>
  <c r="E744" i="1" s="1"/>
  <c r="F744" i="1" s="1"/>
  <c r="G744" i="1" s="1"/>
  <c r="D743" i="1"/>
  <c r="D742" i="1"/>
  <c r="F741" i="1"/>
  <c r="G741" i="1" s="1"/>
  <c r="D741" i="1"/>
  <c r="E741" i="1" s="1"/>
  <c r="D740" i="1"/>
  <c r="E740" i="1" s="1"/>
  <c r="F740" i="1" s="1"/>
  <c r="G740" i="1" s="1"/>
  <c r="D739" i="1"/>
  <c r="D738" i="1"/>
  <c r="D737" i="1"/>
  <c r="E737" i="1" s="1"/>
  <c r="F737" i="1" s="1"/>
  <c r="G737" i="1" s="1"/>
  <c r="E736" i="1"/>
  <c r="F736" i="1" s="1"/>
  <c r="G736" i="1" s="1"/>
  <c r="D736" i="1"/>
  <c r="F735" i="1"/>
  <c r="G735" i="1" s="1"/>
  <c r="D735" i="1"/>
  <c r="E735" i="1" s="1"/>
  <c r="E734" i="1"/>
  <c r="F734" i="1" s="1"/>
  <c r="G734" i="1" s="1"/>
  <c r="D734" i="1"/>
  <c r="D733" i="1"/>
  <c r="E733" i="1" s="1"/>
  <c r="F733" i="1" s="1"/>
  <c r="G733" i="1" s="1"/>
  <c r="D732" i="1"/>
  <c r="D731" i="1"/>
  <c r="E731" i="1" s="1"/>
  <c r="F731" i="1" s="1"/>
  <c r="G731" i="1" s="1"/>
  <c r="D730" i="1"/>
  <c r="D729" i="1"/>
  <c r="D728" i="1"/>
  <c r="E728" i="1" s="1"/>
  <c r="F728" i="1" s="1"/>
  <c r="G728" i="1" s="1"/>
  <c r="D727" i="1"/>
  <c r="D726" i="1"/>
  <c r="D725" i="1"/>
  <c r="D724" i="1"/>
  <c r="D723" i="1"/>
  <c r="E38" i="1" s="1"/>
  <c r="F38" i="1" s="1"/>
  <c r="G38" i="1" s="1"/>
  <c r="D722" i="1"/>
  <c r="D721" i="1"/>
  <c r="D720" i="1"/>
  <c r="D719" i="1"/>
  <c r="E950" i="1" s="1"/>
  <c r="F950" i="1" s="1"/>
  <c r="D718" i="1"/>
  <c r="E718" i="1" s="1"/>
  <c r="F718" i="1" s="1"/>
  <c r="G718" i="1" s="1"/>
  <c r="D717" i="1"/>
  <c r="E717" i="1" s="1"/>
  <c r="F717" i="1" s="1"/>
  <c r="D716" i="1"/>
  <c r="D715" i="1"/>
  <c r="E715" i="1" s="1"/>
  <c r="F715" i="1" s="1"/>
  <c r="G715" i="1" s="1"/>
  <c r="D714" i="1"/>
  <c r="E714" i="1" s="1"/>
  <c r="F714" i="1" s="1"/>
  <c r="G714" i="1" s="1"/>
  <c r="D713" i="1"/>
  <c r="E847" i="1" s="1"/>
  <c r="F847" i="1" s="1"/>
  <c r="E712" i="1"/>
  <c r="F712" i="1" s="1"/>
  <c r="G712" i="1" s="1"/>
  <c r="D712" i="1"/>
  <c r="D711" i="1"/>
  <c r="E711" i="1" s="1"/>
  <c r="F711" i="1" s="1"/>
  <c r="G711" i="1" s="1"/>
  <c r="D710" i="1"/>
  <c r="E710" i="1" s="1"/>
  <c r="F710" i="1" s="1"/>
  <c r="G710" i="1" s="1"/>
  <c r="D709" i="1"/>
  <c r="D708" i="1"/>
  <c r="E707" i="1"/>
  <c r="F707" i="1" s="1"/>
  <c r="G707" i="1" s="1"/>
  <c r="D707" i="1"/>
  <c r="D706" i="1"/>
  <c r="D705" i="1"/>
  <c r="D704" i="1"/>
  <c r="D703" i="1"/>
  <c r="E703" i="1" s="1"/>
  <c r="F703" i="1" s="1"/>
  <c r="G703" i="1" s="1"/>
  <c r="D702" i="1"/>
  <c r="D701" i="1"/>
  <c r="D700" i="1"/>
  <c r="E700" i="1" s="1"/>
  <c r="F700" i="1" s="1"/>
  <c r="G700" i="1" s="1"/>
  <c r="E699" i="1"/>
  <c r="F699" i="1" s="1"/>
  <c r="D699" i="1"/>
  <c r="D698" i="1"/>
  <c r="D697" i="1"/>
  <c r="D696" i="1"/>
  <c r="D695" i="1"/>
  <c r="D694" i="1"/>
  <c r="D693" i="1"/>
  <c r="D692" i="1"/>
  <c r="D691" i="1"/>
  <c r="E691" i="1" s="1"/>
  <c r="F691" i="1" s="1"/>
  <c r="G691" i="1" s="1"/>
  <c r="D690" i="1"/>
  <c r="F689" i="1"/>
  <c r="G689" i="1" s="1"/>
  <c r="D689" i="1"/>
  <c r="E689" i="1" s="1"/>
  <c r="D688" i="1"/>
  <c r="D687" i="1"/>
  <c r="E687" i="1" s="1"/>
  <c r="F687" i="1" s="1"/>
  <c r="G687" i="1" s="1"/>
  <c r="D686" i="1"/>
  <c r="E685" i="1"/>
  <c r="F685" i="1" s="1"/>
  <c r="G685" i="1" s="1"/>
  <c r="D685" i="1"/>
  <c r="D684" i="1"/>
  <c r="D683" i="1"/>
  <c r="D682" i="1"/>
  <c r="D681" i="1"/>
  <c r="D680" i="1"/>
  <c r="E680" i="1" s="1"/>
  <c r="F680" i="1" s="1"/>
  <c r="D679" i="1"/>
  <c r="E679" i="1" s="1"/>
  <c r="F679" i="1" s="1"/>
  <c r="G679" i="1" s="1"/>
  <c r="D678" i="1"/>
  <c r="E826" i="1" s="1"/>
  <c r="F826" i="1" s="1"/>
  <c r="D677" i="1"/>
  <c r="E677" i="1" s="1"/>
  <c r="F677" i="1" s="1"/>
  <c r="G677" i="1" s="1"/>
  <c r="D676" i="1"/>
  <c r="D675" i="1"/>
  <c r="D674" i="1"/>
  <c r="D673" i="1"/>
  <c r="E673" i="1" s="1"/>
  <c r="F673" i="1" s="1"/>
  <c r="G673" i="1" s="1"/>
  <c r="E672" i="1"/>
  <c r="F672" i="1" s="1"/>
  <c r="G672" i="1" s="1"/>
  <c r="D672" i="1"/>
  <c r="D671" i="1"/>
  <c r="D670" i="1"/>
  <c r="E670" i="1" s="1"/>
  <c r="F670" i="1" s="1"/>
  <c r="G670" i="1" s="1"/>
  <c r="D669" i="1"/>
  <c r="E669" i="1" s="1"/>
  <c r="F669" i="1" s="1"/>
  <c r="G669" i="1" s="1"/>
  <c r="D668" i="1"/>
  <c r="D667" i="1"/>
  <c r="D666" i="1"/>
  <c r="D665" i="1"/>
  <c r="E789" i="1" s="1"/>
  <c r="F789" i="1" s="1"/>
  <c r="D664" i="1"/>
  <c r="D663" i="1"/>
  <c r="E663" i="1" s="1"/>
  <c r="F663" i="1" s="1"/>
  <c r="G663" i="1" s="1"/>
  <c r="E662" i="1"/>
  <c r="F662" i="1" s="1"/>
  <c r="G662" i="1" s="1"/>
  <c r="D662" i="1"/>
  <c r="D661" i="1"/>
  <c r="D660" i="1"/>
  <c r="D659" i="1"/>
  <c r="E659" i="1" s="1"/>
  <c r="F659" i="1" s="1"/>
  <c r="G659" i="1" s="1"/>
  <c r="D658" i="1"/>
  <c r="E658" i="1" s="1"/>
  <c r="F658" i="1" s="1"/>
  <c r="G658" i="1" s="1"/>
  <c r="D657" i="1"/>
  <c r="D656" i="1"/>
  <c r="D655" i="1"/>
  <c r="D654" i="1"/>
  <c r="E654" i="1" s="1"/>
  <c r="F654" i="1" s="1"/>
  <c r="G654" i="1" s="1"/>
  <c r="D653" i="1"/>
  <c r="E589" i="1" s="1"/>
  <c r="F589" i="1" s="1"/>
  <c r="G589" i="1" s="1"/>
  <c r="G652" i="1"/>
  <c r="E652" i="1"/>
  <c r="F652" i="1" s="1"/>
  <c r="D652" i="1"/>
  <c r="D651" i="1"/>
  <c r="D650" i="1"/>
  <c r="E650" i="1" s="1"/>
  <c r="F650" i="1" s="1"/>
  <c r="G650" i="1" s="1"/>
  <c r="D649" i="1"/>
  <c r="E649" i="1" s="1"/>
  <c r="F649" i="1" s="1"/>
  <c r="G649" i="1" s="1"/>
  <c r="D648" i="1"/>
  <c r="E648" i="1" s="1"/>
  <c r="F648" i="1" s="1"/>
  <c r="G648" i="1" s="1"/>
  <c r="D647" i="1"/>
  <c r="D646" i="1"/>
  <c r="D645" i="1"/>
  <c r="E645" i="1" s="1"/>
  <c r="F645" i="1" s="1"/>
  <c r="G645" i="1" s="1"/>
  <c r="D644" i="1"/>
  <c r="E643" i="1"/>
  <c r="F643" i="1" s="1"/>
  <c r="G643" i="1" s="1"/>
  <c r="D643" i="1"/>
  <c r="D642" i="1"/>
  <c r="D641" i="1"/>
  <c r="D640" i="1"/>
  <c r="D639" i="1"/>
  <c r="E638" i="1"/>
  <c r="F638" i="1" s="1"/>
  <c r="G638" i="1" s="1"/>
  <c r="D638" i="1"/>
  <c r="E637" i="1"/>
  <c r="F637" i="1" s="1"/>
  <c r="G637" i="1" s="1"/>
  <c r="D637" i="1"/>
  <c r="E636" i="1"/>
  <c r="F636" i="1" s="1"/>
  <c r="G636" i="1" s="1"/>
  <c r="D636" i="1"/>
  <c r="D635" i="1"/>
  <c r="D634" i="1"/>
  <c r="D633" i="1"/>
  <c r="E633" i="1" s="1"/>
  <c r="F633" i="1" s="1"/>
  <c r="G633" i="1" s="1"/>
  <c r="E632" i="1"/>
  <c r="F632" i="1" s="1"/>
  <c r="G632" i="1" s="1"/>
  <c r="D632" i="1"/>
  <c r="D631" i="1"/>
  <c r="D630" i="1"/>
  <c r="E806" i="1" s="1"/>
  <c r="F806" i="1" s="1"/>
  <c r="F629" i="1"/>
  <c r="G629" i="1" s="1"/>
  <c r="D629" i="1"/>
  <c r="E629" i="1" s="1"/>
  <c r="D628" i="1"/>
  <c r="E628" i="1" s="1"/>
  <c r="F628" i="1" s="1"/>
  <c r="G628" i="1" s="1"/>
  <c r="D627" i="1"/>
  <c r="E626" i="1"/>
  <c r="F626" i="1" s="1"/>
  <c r="G626" i="1" s="1"/>
  <c r="D626" i="1"/>
  <c r="E625" i="1"/>
  <c r="F625" i="1" s="1"/>
  <c r="G625" i="1" s="1"/>
  <c r="D625" i="1"/>
  <c r="D624" i="1"/>
  <c r="D623" i="1"/>
  <c r="D622" i="1"/>
  <c r="E622" i="1" s="1"/>
  <c r="F622" i="1" s="1"/>
  <c r="D621" i="1"/>
  <c r="D620" i="1"/>
  <c r="E941" i="1" s="1"/>
  <c r="F941" i="1" s="1"/>
  <c r="D619" i="1"/>
  <c r="E852" i="1" s="1"/>
  <c r="F852" i="1" s="1"/>
  <c r="D618" i="1"/>
  <c r="D617" i="1"/>
  <c r="D616" i="1"/>
  <c r="D615" i="1"/>
  <c r="D614" i="1"/>
  <c r="E614" i="1" s="1"/>
  <c r="F614" i="1" s="1"/>
  <c r="G614" i="1" s="1"/>
  <c r="D613" i="1"/>
  <c r="E613" i="1" s="1"/>
  <c r="F613" i="1" s="1"/>
  <c r="G613" i="1" s="1"/>
  <c r="D612" i="1"/>
  <c r="D611" i="1"/>
  <c r="D610" i="1"/>
  <c r="E610" i="1" s="1"/>
  <c r="F610" i="1" s="1"/>
  <c r="G610" i="1" s="1"/>
  <c r="E609" i="1"/>
  <c r="F609" i="1" s="1"/>
  <c r="G609" i="1" s="1"/>
  <c r="D609" i="1"/>
  <c r="D608" i="1"/>
  <c r="D607" i="1"/>
  <c r="E607" i="1" s="1"/>
  <c r="F607" i="1" s="1"/>
  <c r="G607" i="1" s="1"/>
  <c r="D606" i="1"/>
  <c r="D605" i="1"/>
  <c r="E605" i="1" s="1"/>
  <c r="F605" i="1" s="1"/>
  <c r="G605" i="1" s="1"/>
  <c r="D604" i="1"/>
  <c r="E875" i="1" s="1"/>
  <c r="F875" i="1" s="1"/>
  <c r="E603" i="1"/>
  <c r="F603" i="1" s="1"/>
  <c r="G603" i="1" s="1"/>
  <c r="D603" i="1"/>
  <c r="D602" i="1"/>
  <c r="D601" i="1"/>
  <c r="E601" i="1" s="1"/>
  <c r="F601" i="1" s="1"/>
  <c r="G601" i="1" s="1"/>
  <c r="D600" i="1"/>
  <c r="D599" i="1"/>
  <c r="D598" i="1"/>
  <c r="D597" i="1"/>
  <c r="E597" i="1" s="1"/>
  <c r="F597" i="1" s="1"/>
  <c r="G597" i="1" s="1"/>
  <c r="E596" i="1"/>
  <c r="F596" i="1" s="1"/>
  <c r="G596" i="1" s="1"/>
  <c r="D596" i="1"/>
  <c r="D595" i="1"/>
  <c r="E595" i="1" s="1"/>
  <c r="F595" i="1" s="1"/>
  <c r="G595" i="1" s="1"/>
  <c r="E594" i="1"/>
  <c r="F594" i="1" s="1"/>
  <c r="G594" i="1" s="1"/>
  <c r="D594" i="1"/>
  <c r="D593" i="1"/>
  <c r="D592" i="1"/>
  <c r="D591" i="1"/>
  <c r="E591" i="1" s="1"/>
  <c r="F591" i="1" s="1"/>
  <c r="G591" i="1" s="1"/>
  <c r="D590" i="1"/>
  <c r="D589" i="1"/>
  <c r="E653" i="1" s="1"/>
  <c r="F653" i="1" s="1"/>
  <c r="D588" i="1"/>
  <c r="E588" i="1" s="1"/>
  <c r="F588" i="1" s="1"/>
  <c r="G588" i="1" s="1"/>
  <c r="D587" i="1"/>
  <c r="D586" i="1"/>
  <c r="E586" i="1" s="1"/>
  <c r="F586" i="1" s="1"/>
  <c r="G586" i="1" s="1"/>
  <c r="D585" i="1"/>
  <c r="E585" i="1" s="1"/>
  <c r="F585" i="1" s="1"/>
  <c r="G585" i="1" s="1"/>
  <c r="D584" i="1"/>
  <c r="E584" i="1" s="1"/>
  <c r="F584" i="1" s="1"/>
  <c r="G584" i="1" s="1"/>
  <c r="D583" i="1"/>
  <c r="E739" i="1" s="1"/>
  <c r="F739" i="1" s="1"/>
  <c r="D582" i="1"/>
  <c r="D581" i="1"/>
  <c r="D580" i="1"/>
  <c r="D579" i="1"/>
  <c r="D578" i="1"/>
  <c r="D577" i="1"/>
  <c r="E577" i="1" s="1"/>
  <c r="F577" i="1" s="1"/>
  <c r="G577" i="1" s="1"/>
  <c r="D576" i="1"/>
  <c r="D575" i="1"/>
  <c r="E574" i="1"/>
  <c r="F574" i="1" s="1"/>
  <c r="G574" i="1" s="1"/>
  <c r="D574" i="1"/>
  <c r="D573" i="1"/>
  <c r="D572" i="1"/>
  <c r="D571" i="1"/>
  <c r="E571" i="1" s="1"/>
  <c r="F571" i="1" s="1"/>
  <c r="G571" i="1" s="1"/>
  <c r="D570" i="1"/>
  <c r="D569" i="1"/>
  <c r="D568" i="1"/>
  <c r="D567" i="1"/>
  <c r="E567" i="1" s="1"/>
  <c r="F567" i="1" s="1"/>
  <c r="G567" i="1" s="1"/>
  <c r="D566" i="1"/>
  <c r="D565" i="1"/>
  <c r="D564" i="1"/>
  <c r="E564" i="1" s="1"/>
  <c r="F564" i="1" s="1"/>
  <c r="G564" i="1" s="1"/>
  <c r="D563" i="1"/>
  <c r="E563" i="1" s="1"/>
  <c r="F563" i="1" s="1"/>
  <c r="G563" i="1" s="1"/>
  <c r="D562" i="1"/>
  <c r="D561" i="1"/>
  <c r="D560" i="1"/>
  <c r="D559" i="1"/>
  <c r="E559" i="1" s="1"/>
  <c r="F559" i="1" s="1"/>
  <c r="G559" i="1" s="1"/>
  <c r="D558" i="1"/>
  <c r="E558" i="1" s="1"/>
  <c r="F558" i="1" s="1"/>
  <c r="G558" i="1" s="1"/>
  <c r="D557" i="1"/>
  <c r="E556" i="1"/>
  <c r="F556" i="1" s="1"/>
  <c r="G556" i="1" s="1"/>
  <c r="D556" i="1"/>
  <c r="E977" i="1" s="1"/>
  <c r="F977" i="1" s="1"/>
  <c r="D555" i="1"/>
  <c r="E554" i="1"/>
  <c r="F554" i="1" s="1"/>
  <c r="G554" i="1" s="1"/>
  <c r="D554" i="1"/>
  <c r="D553" i="1"/>
  <c r="E553" i="1" s="1"/>
  <c r="F553" i="1" s="1"/>
  <c r="G553" i="1" s="1"/>
  <c r="D552" i="1"/>
  <c r="E552" i="1" s="1"/>
  <c r="F552" i="1" s="1"/>
  <c r="G552" i="1" s="1"/>
  <c r="D551" i="1"/>
  <c r="E550" i="1"/>
  <c r="F550" i="1" s="1"/>
  <c r="G550" i="1" s="1"/>
  <c r="D550" i="1"/>
  <c r="E939" i="1" s="1"/>
  <c r="F939" i="1" s="1"/>
  <c r="D549" i="1"/>
  <c r="D548" i="1"/>
  <c r="D547" i="1"/>
  <c r="E956" i="1" s="1"/>
  <c r="F956" i="1" s="1"/>
  <c r="D546" i="1"/>
  <c r="E546" i="1" s="1"/>
  <c r="F546" i="1" s="1"/>
  <c r="G546" i="1" s="1"/>
  <c r="D545" i="1"/>
  <c r="E545" i="1" s="1"/>
  <c r="F545" i="1" s="1"/>
  <c r="G545" i="1" s="1"/>
  <c r="D544" i="1"/>
  <c r="E466" i="1" s="1"/>
  <c r="F466" i="1" s="1"/>
  <c r="G466" i="1" s="1"/>
  <c r="D543" i="1"/>
  <c r="D542" i="1"/>
  <c r="E542" i="1" s="1"/>
  <c r="F542" i="1" s="1"/>
  <c r="G542" i="1" s="1"/>
  <c r="D541" i="1"/>
  <c r="E541" i="1" s="1"/>
  <c r="F541" i="1" s="1"/>
  <c r="G541" i="1" s="1"/>
  <c r="D540" i="1"/>
  <c r="E917" i="1" s="1"/>
  <c r="F917" i="1" s="1"/>
  <c r="D539" i="1"/>
  <c r="E538" i="1"/>
  <c r="F538" i="1" s="1"/>
  <c r="G538" i="1" s="1"/>
  <c r="D538" i="1"/>
  <c r="D537" i="1"/>
  <c r="D536" i="1"/>
  <c r="D535" i="1"/>
  <c r="E535" i="1" s="1"/>
  <c r="F535" i="1" s="1"/>
  <c r="G535" i="1" s="1"/>
  <c r="D534" i="1"/>
  <c r="E533" i="1"/>
  <c r="F533" i="1" s="1"/>
  <c r="G533" i="1" s="1"/>
  <c r="D533" i="1"/>
  <c r="E957" i="1" s="1"/>
  <c r="F957" i="1" s="1"/>
  <c r="D532" i="1"/>
  <c r="D531" i="1"/>
  <c r="E531" i="1" s="1"/>
  <c r="F531" i="1" s="1"/>
  <c r="G531" i="1" s="1"/>
  <c r="D530" i="1"/>
  <c r="E590" i="1" s="1"/>
  <c r="F590" i="1" s="1"/>
  <c r="D529" i="1"/>
  <c r="E529" i="1" s="1"/>
  <c r="F529" i="1" s="1"/>
  <c r="G529" i="1" s="1"/>
  <c r="D528" i="1"/>
  <c r="D527" i="1"/>
  <c r="D526" i="1"/>
  <c r="D525" i="1"/>
  <c r="D524" i="1"/>
  <c r="E524" i="1" s="1"/>
  <c r="F524" i="1" s="1"/>
  <c r="G524" i="1" s="1"/>
  <c r="D523" i="1"/>
  <c r="E523" i="1" s="1"/>
  <c r="F523" i="1" s="1"/>
  <c r="G523" i="1" s="1"/>
  <c r="E522" i="1"/>
  <c r="F522" i="1" s="1"/>
  <c r="G522" i="1" s="1"/>
  <c r="D522" i="1"/>
  <c r="D521" i="1"/>
  <c r="D520" i="1"/>
  <c r="D519" i="1"/>
  <c r="D518" i="1"/>
  <c r="E518" i="1" s="1"/>
  <c r="F518" i="1" s="1"/>
  <c r="G518" i="1" s="1"/>
  <c r="D517" i="1"/>
  <c r="E517" i="1" s="1"/>
  <c r="F517" i="1" s="1"/>
  <c r="G517" i="1" s="1"/>
  <c r="D516" i="1"/>
  <c r="D515" i="1"/>
  <c r="D514" i="1"/>
  <c r="E514" i="1" s="1"/>
  <c r="F514" i="1" s="1"/>
  <c r="G514" i="1" s="1"/>
  <c r="D513" i="1"/>
  <c r="E513" i="1" s="1"/>
  <c r="F513" i="1" s="1"/>
  <c r="G513" i="1" s="1"/>
  <c r="E512" i="1"/>
  <c r="F512" i="1" s="1"/>
  <c r="G512" i="1" s="1"/>
  <c r="D512" i="1"/>
  <c r="D511" i="1"/>
  <c r="E765" i="1" s="1"/>
  <c r="F765" i="1" s="1"/>
  <c r="D510" i="1"/>
  <c r="D509" i="1"/>
  <c r="D508" i="1"/>
  <c r="E508" i="1" s="1"/>
  <c r="F508" i="1" s="1"/>
  <c r="G508" i="1" s="1"/>
  <c r="D507" i="1"/>
  <c r="D506" i="1"/>
  <c r="E505" i="1"/>
  <c r="F505" i="1" s="1"/>
  <c r="G505" i="1" s="1"/>
  <c r="D505" i="1"/>
  <c r="D504" i="1"/>
  <c r="D503" i="1"/>
  <c r="D502" i="1"/>
  <c r="E566" i="1" s="1"/>
  <c r="F566" i="1" s="1"/>
  <c r="D501" i="1"/>
  <c r="D500" i="1"/>
  <c r="D499" i="1"/>
  <c r="E499" i="1" s="1"/>
  <c r="F499" i="1" s="1"/>
  <c r="G499" i="1" s="1"/>
  <c r="E498" i="1"/>
  <c r="F498" i="1" s="1"/>
  <c r="G498" i="1" s="1"/>
  <c r="D498" i="1"/>
  <c r="D497" i="1"/>
  <c r="E497" i="1" s="1"/>
  <c r="F497" i="1" s="1"/>
  <c r="G497" i="1" s="1"/>
  <c r="D496" i="1"/>
  <c r="D495" i="1"/>
  <c r="D494" i="1"/>
  <c r="D493" i="1"/>
  <c r="E493" i="1" s="1"/>
  <c r="F493" i="1" s="1"/>
  <c r="G493" i="1" s="1"/>
  <c r="D492" i="1"/>
  <c r="E492" i="1" s="1"/>
  <c r="F492" i="1" s="1"/>
  <c r="G492" i="1" s="1"/>
  <c r="D491" i="1"/>
  <c r="E491" i="1" s="1"/>
  <c r="F491" i="1" s="1"/>
  <c r="G491" i="1" s="1"/>
  <c r="D490" i="1"/>
  <c r="D489" i="1"/>
  <c r="E906" i="1" s="1"/>
  <c r="F906" i="1" s="1"/>
  <c r="D488" i="1"/>
  <c r="E488" i="1" s="1"/>
  <c r="F488" i="1" s="1"/>
  <c r="G488" i="1" s="1"/>
  <c r="D487" i="1"/>
  <c r="D486" i="1"/>
  <c r="D485" i="1"/>
  <c r="D484" i="1"/>
  <c r="D483" i="1"/>
  <c r="E483" i="1" s="1"/>
  <c r="F483" i="1" s="1"/>
  <c r="G483" i="1" s="1"/>
  <c r="D482" i="1"/>
  <c r="D481" i="1"/>
  <c r="D480" i="1"/>
  <c r="D479" i="1"/>
  <c r="D478" i="1"/>
  <c r="D477" i="1"/>
  <c r="D476" i="1"/>
  <c r="D475" i="1"/>
  <c r="D474" i="1"/>
  <c r="E474" i="1" s="1"/>
  <c r="F474" i="1" s="1"/>
  <c r="G474" i="1" s="1"/>
  <c r="D473" i="1"/>
  <c r="D472" i="1"/>
  <c r="E472" i="1" s="1"/>
  <c r="F472" i="1" s="1"/>
  <c r="G472" i="1" s="1"/>
  <c r="D471" i="1"/>
  <c r="D470" i="1"/>
  <c r="E470" i="1" s="1"/>
  <c r="F470" i="1" s="1"/>
  <c r="G470" i="1" s="1"/>
  <c r="D469" i="1"/>
  <c r="D468" i="1"/>
  <c r="E468" i="1" s="1"/>
  <c r="F468" i="1" s="1"/>
  <c r="G468" i="1" s="1"/>
  <c r="D467" i="1"/>
  <c r="E467" i="1" s="1"/>
  <c r="F467" i="1" s="1"/>
  <c r="G467" i="1" s="1"/>
  <c r="D466" i="1"/>
  <c r="E465" i="1"/>
  <c r="F465" i="1" s="1"/>
  <c r="G465" i="1" s="1"/>
  <c r="D465" i="1"/>
  <c r="D464" i="1"/>
  <c r="D463" i="1"/>
  <c r="D462" i="1"/>
  <c r="E686" i="1" s="1"/>
  <c r="F686" i="1" s="1"/>
  <c r="D461" i="1"/>
  <c r="D460" i="1"/>
  <c r="D459" i="1"/>
  <c r="D458" i="1"/>
  <c r="D457" i="1"/>
  <c r="E457" i="1" s="1"/>
  <c r="F457" i="1" s="1"/>
  <c r="G457" i="1" s="1"/>
  <c r="E456" i="1"/>
  <c r="F456" i="1" s="1"/>
  <c r="G456" i="1" s="1"/>
  <c r="D456" i="1"/>
  <c r="D455" i="1"/>
  <c r="D454" i="1"/>
  <c r="E454" i="1" s="1"/>
  <c r="F454" i="1" s="1"/>
  <c r="G454" i="1" s="1"/>
  <c r="D453" i="1"/>
  <c r="D452" i="1"/>
  <c r="D451" i="1"/>
  <c r="D450" i="1"/>
  <c r="E450" i="1" s="1"/>
  <c r="F450" i="1" s="1"/>
  <c r="G450" i="1" s="1"/>
  <c r="D449" i="1"/>
  <c r="E449" i="1" s="1"/>
  <c r="F449" i="1" s="1"/>
  <c r="G449" i="1" s="1"/>
  <c r="D448" i="1"/>
  <c r="D447" i="1"/>
  <c r="D446" i="1"/>
  <c r="E446" i="1" s="1"/>
  <c r="F446" i="1" s="1"/>
  <c r="G446" i="1" s="1"/>
  <c r="D445" i="1"/>
  <c r="D444" i="1"/>
  <c r="D443" i="1"/>
  <c r="D442" i="1"/>
  <c r="E442" i="1" s="1"/>
  <c r="F442" i="1" s="1"/>
  <c r="G442" i="1" s="1"/>
  <c r="E441" i="1"/>
  <c r="F441" i="1" s="1"/>
  <c r="G441" i="1" s="1"/>
  <c r="D441" i="1"/>
  <c r="D440" i="1"/>
  <c r="E655" i="1" s="1"/>
  <c r="F655" i="1" s="1"/>
  <c r="D439" i="1"/>
  <c r="D438" i="1"/>
  <c r="E438" i="1" s="1"/>
  <c r="F438" i="1" s="1"/>
  <c r="G438" i="1" s="1"/>
  <c r="D437" i="1"/>
  <c r="E437" i="1" s="1"/>
  <c r="F437" i="1" s="1"/>
  <c r="G437" i="1" s="1"/>
  <c r="D436" i="1"/>
  <c r="D435" i="1"/>
  <c r="D434" i="1"/>
  <c r="D433" i="1"/>
  <c r="E433" i="1" s="1"/>
  <c r="F433" i="1" s="1"/>
  <c r="G433" i="1" s="1"/>
  <c r="D432" i="1"/>
  <c r="D431" i="1"/>
  <c r="D430" i="1"/>
  <c r="D429" i="1"/>
  <c r="E429" i="1" s="1"/>
  <c r="F429" i="1" s="1"/>
  <c r="G429" i="1" s="1"/>
  <c r="D428" i="1"/>
  <c r="D427" i="1"/>
  <c r="D426" i="1"/>
  <c r="D425" i="1"/>
  <c r="E425" i="1" s="1"/>
  <c r="F425" i="1" s="1"/>
  <c r="G425" i="1" s="1"/>
  <c r="D424" i="1"/>
  <c r="E424" i="1" s="1"/>
  <c r="F424" i="1" s="1"/>
  <c r="G424" i="1" s="1"/>
  <c r="D423" i="1"/>
  <c r="D422" i="1"/>
  <c r="D421" i="1"/>
  <c r="D420" i="1"/>
  <c r="E420" i="1" s="1"/>
  <c r="F420" i="1" s="1"/>
  <c r="G420" i="1" s="1"/>
  <c r="F419" i="1"/>
  <c r="G419" i="1" s="1"/>
  <c r="D419" i="1"/>
  <c r="E419" i="1" s="1"/>
  <c r="D418" i="1"/>
  <c r="D417" i="1"/>
  <c r="D416" i="1"/>
  <c r="E416" i="1" s="1"/>
  <c r="F416" i="1" s="1"/>
  <c r="G416" i="1" s="1"/>
  <c r="D415" i="1"/>
  <c r="D414" i="1"/>
  <c r="D413" i="1"/>
  <c r="E829" i="1" s="1"/>
  <c r="F829" i="1" s="1"/>
  <c r="D412" i="1"/>
  <c r="D411" i="1"/>
  <c r="E411" i="1" s="1"/>
  <c r="F411" i="1" s="1"/>
  <c r="G411" i="1" s="1"/>
  <c r="D410" i="1"/>
  <c r="D409" i="1"/>
  <c r="E409" i="1" s="1"/>
  <c r="F409" i="1" s="1"/>
  <c r="G409" i="1" s="1"/>
  <c r="D408" i="1"/>
  <c r="E407" i="1"/>
  <c r="F407" i="1" s="1"/>
  <c r="G407" i="1" s="1"/>
  <c r="D407" i="1"/>
  <c r="D406" i="1"/>
  <c r="D405" i="1"/>
  <c r="E405" i="1" s="1"/>
  <c r="F405" i="1" s="1"/>
  <c r="G405" i="1" s="1"/>
  <c r="D404" i="1"/>
  <c r="D403" i="1"/>
  <c r="D402" i="1"/>
  <c r="D401" i="1"/>
  <c r="E401" i="1" s="1"/>
  <c r="F401" i="1" s="1"/>
  <c r="G401" i="1" s="1"/>
  <c r="D400" i="1"/>
  <c r="D399" i="1"/>
  <c r="D398" i="1"/>
  <c r="E397" i="1"/>
  <c r="F397" i="1" s="1"/>
  <c r="G397" i="1" s="1"/>
  <c r="D397" i="1"/>
  <c r="D396" i="1"/>
  <c r="D395" i="1"/>
  <c r="D394" i="1"/>
  <c r="E954" i="1" s="1"/>
  <c r="F954" i="1" s="1"/>
  <c r="D393" i="1"/>
  <c r="D392" i="1"/>
  <c r="E392" i="1" s="1"/>
  <c r="F392" i="1" s="1"/>
  <c r="G392" i="1" s="1"/>
  <c r="D391" i="1"/>
  <c r="D390" i="1"/>
  <c r="E755" i="1" s="1"/>
  <c r="F755" i="1" s="1"/>
  <c r="D389" i="1"/>
  <c r="E389" i="1" s="1"/>
  <c r="F389" i="1" s="1"/>
  <c r="G389" i="1" s="1"/>
  <c r="D388" i="1"/>
  <c r="E602" i="1" s="1"/>
  <c r="F602" i="1" s="1"/>
  <c r="D387" i="1"/>
  <c r="D386" i="1"/>
  <c r="E386" i="1" s="1"/>
  <c r="F386" i="1" s="1"/>
  <c r="G386" i="1" s="1"/>
  <c r="D385" i="1"/>
  <c r="E385" i="1" s="1"/>
  <c r="F385" i="1" s="1"/>
  <c r="G385" i="1" s="1"/>
  <c r="D384" i="1"/>
  <c r="D383" i="1"/>
  <c r="E383" i="1" s="1"/>
  <c r="F383" i="1" s="1"/>
  <c r="G383" i="1" s="1"/>
  <c r="D382" i="1"/>
  <c r="D381" i="1"/>
  <c r="D380" i="1"/>
  <c r="D379" i="1"/>
  <c r="D378" i="1"/>
  <c r="D377" i="1"/>
  <c r="D376" i="1"/>
  <c r="D375" i="1"/>
  <c r="D374" i="1"/>
  <c r="E374" i="1" s="1"/>
  <c r="F374" i="1" s="1"/>
  <c r="G374" i="1" s="1"/>
  <c r="D373" i="1"/>
  <c r="D372" i="1"/>
  <c r="E372" i="1" s="1"/>
  <c r="F372" i="1" s="1"/>
  <c r="G372" i="1" s="1"/>
  <c r="D371" i="1"/>
  <c r="E631" i="1" s="1"/>
  <c r="F631" i="1" s="1"/>
  <c r="D370" i="1"/>
  <c r="E369" i="1"/>
  <c r="F369" i="1" s="1"/>
  <c r="G369" i="1" s="1"/>
  <c r="D369" i="1"/>
  <c r="D368" i="1"/>
  <c r="E579" i="1" s="1"/>
  <c r="F579" i="1" s="1"/>
  <c r="D367" i="1"/>
  <c r="E367" i="1" s="1"/>
  <c r="F367" i="1" s="1"/>
  <c r="G367" i="1" s="1"/>
  <c r="D366" i="1"/>
  <c r="D365" i="1"/>
  <c r="D364" i="1"/>
  <c r="D363" i="1"/>
  <c r="E363" i="1" s="1"/>
  <c r="F363" i="1" s="1"/>
  <c r="G363" i="1" s="1"/>
  <c r="D362" i="1"/>
  <c r="E362" i="1" s="1"/>
  <c r="F362" i="1" s="1"/>
  <c r="G362" i="1" s="1"/>
  <c r="D361" i="1"/>
  <c r="E361" i="1" s="1"/>
  <c r="F361" i="1" s="1"/>
  <c r="G361" i="1" s="1"/>
  <c r="D360" i="1"/>
  <c r="E360" i="1" s="1"/>
  <c r="F360" i="1" s="1"/>
  <c r="G360" i="1" s="1"/>
  <c r="D359" i="1"/>
  <c r="D358" i="1"/>
  <c r="D357" i="1"/>
  <c r="D356" i="1"/>
  <c r="D355" i="1"/>
  <c r="E224" i="1" s="1"/>
  <c r="F224" i="1" s="1"/>
  <c r="G224" i="1" s="1"/>
  <c r="D354" i="1"/>
  <c r="D353" i="1"/>
  <c r="E353" i="1" s="1"/>
  <c r="F353" i="1" s="1"/>
  <c r="G353" i="1" s="1"/>
  <c r="D352" i="1"/>
  <c r="E617" i="1" s="1"/>
  <c r="F617" i="1" s="1"/>
  <c r="D351" i="1"/>
  <c r="D350" i="1"/>
  <c r="D349" i="1"/>
  <c r="D348" i="1"/>
  <c r="D347" i="1"/>
  <c r="D346" i="1"/>
  <c r="D345" i="1"/>
  <c r="E345" i="1" s="1"/>
  <c r="F345" i="1" s="1"/>
  <c r="G345" i="1" s="1"/>
  <c r="D344" i="1"/>
  <c r="E344" i="1" s="1"/>
  <c r="F344" i="1" s="1"/>
  <c r="G344" i="1" s="1"/>
  <c r="D343" i="1"/>
  <c r="E343" i="1" s="1"/>
  <c r="F343" i="1" s="1"/>
  <c r="G343" i="1" s="1"/>
  <c r="D342" i="1"/>
  <c r="D341" i="1"/>
  <c r="E341" i="1" s="1"/>
  <c r="F341" i="1" s="1"/>
  <c r="G341" i="1" s="1"/>
  <c r="D340" i="1"/>
  <c r="E340" i="1" s="1"/>
  <c r="F340" i="1" s="1"/>
  <c r="G340" i="1" s="1"/>
  <c r="D339" i="1"/>
  <c r="D338" i="1"/>
  <c r="D337" i="1"/>
  <c r="D336" i="1"/>
  <c r="D335" i="1"/>
  <c r="D334" i="1"/>
  <c r="D333" i="1"/>
  <c r="D332" i="1"/>
  <c r="D331" i="1"/>
  <c r="E331" i="1" s="1"/>
  <c r="F331" i="1" s="1"/>
  <c r="G331" i="1" s="1"/>
  <c r="D330" i="1"/>
  <c r="D329" i="1"/>
  <c r="E329" i="1" s="1"/>
  <c r="F329" i="1" s="1"/>
  <c r="G329" i="1" s="1"/>
  <c r="D328" i="1"/>
  <c r="E328" i="1" s="1"/>
  <c r="F328" i="1" s="1"/>
  <c r="G328" i="1" s="1"/>
  <c r="E327" i="1"/>
  <c r="F327" i="1" s="1"/>
  <c r="G327" i="1" s="1"/>
  <c r="D327" i="1"/>
  <c r="D326" i="1"/>
  <c r="E326" i="1" s="1"/>
  <c r="F326" i="1" s="1"/>
  <c r="G326" i="1" s="1"/>
  <c r="D325" i="1"/>
  <c r="D324" i="1"/>
  <c r="D323" i="1"/>
  <c r="E322" i="1"/>
  <c r="F322" i="1" s="1"/>
  <c r="G322" i="1" s="1"/>
  <c r="D322" i="1"/>
  <c r="E984" i="1" s="1"/>
  <c r="F984" i="1" s="1"/>
  <c r="D321" i="1"/>
  <c r="E320" i="1"/>
  <c r="F320" i="1" s="1"/>
  <c r="G320" i="1" s="1"/>
  <c r="D320" i="1"/>
  <c r="D319" i="1"/>
  <c r="E319" i="1" s="1"/>
  <c r="F319" i="1" s="1"/>
  <c r="G319" i="1" s="1"/>
  <c r="D318" i="1"/>
  <c r="E318" i="1" s="1"/>
  <c r="F318" i="1" s="1"/>
  <c r="G318" i="1" s="1"/>
  <c r="D317" i="1"/>
  <c r="E317" i="1" s="1"/>
  <c r="F317" i="1" s="1"/>
  <c r="G317" i="1" s="1"/>
  <c r="D316" i="1"/>
  <c r="D315" i="1"/>
  <c r="E674" i="1" s="1"/>
  <c r="F674" i="1" s="1"/>
  <c r="D314" i="1"/>
  <c r="D313" i="1"/>
  <c r="E313" i="1" s="1"/>
  <c r="F313" i="1" s="1"/>
  <c r="G313" i="1" s="1"/>
  <c r="D312" i="1"/>
  <c r="D311" i="1"/>
  <c r="E311" i="1" s="1"/>
  <c r="F311" i="1" s="1"/>
  <c r="G311" i="1" s="1"/>
  <c r="D310" i="1"/>
  <c r="E310" i="1" s="1"/>
  <c r="F310" i="1" s="1"/>
  <c r="G310" i="1" s="1"/>
  <c r="D309" i="1"/>
  <c r="E309" i="1" s="1"/>
  <c r="F309" i="1" s="1"/>
  <c r="G309" i="1" s="1"/>
  <c r="E308" i="1"/>
  <c r="F308" i="1" s="1"/>
  <c r="G308" i="1" s="1"/>
  <c r="D308" i="1"/>
  <c r="E926" i="1" s="1"/>
  <c r="F926" i="1" s="1"/>
  <c r="D307" i="1"/>
  <c r="E307" i="1" s="1"/>
  <c r="F307" i="1" s="1"/>
  <c r="G307" i="1" s="1"/>
  <c r="D306" i="1"/>
  <c r="E306" i="1" s="1"/>
  <c r="F306" i="1" s="1"/>
  <c r="G306" i="1" s="1"/>
  <c r="D305" i="1"/>
  <c r="E640" i="1" s="1"/>
  <c r="F640" i="1" s="1"/>
  <c r="D304" i="1"/>
  <c r="E304" i="1" s="1"/>
  <c r="F304" i="1" s="1"/>
  <c r="G304" i="1" s="1"/>
  <c r="E303" i="1"/>
  <c r="F303" i="1" s="1"/>
  <c r="D303" i="1"/>
  <c r="D302" i="1"/>
  <c r="D301" i="1"/>
  <c r="D300" i="1"/>
  <c r="D299" i="1"/>
  <c r="D298" i="1"/>
  <c r="E298" i="1" s="1"/>
  <c r="F298" i="1" s="1"/>
  <c r="G298" i="1" s="1"/>
  <c r="D297" i="1"/>
  <c r="D296" i="1"/>
  <c r="D295" i="1"/>
  <c r="E241" i="1" s="1"/>
  <c r="F241" i="1" s="1"/>
  <c r="G241" i="1" s="1"/>
  <c r="D294" i="1"/>
  <c r="D293" i="1"/>
  <c r="E292" i="1"/>
  <c r="F292" i="1" s="1"/>
  <c r="G292" i="1" s="1"/>
  <c r="D292" i="1"/>
  <c r="E646" i="1" s="1"/>
  <c r="F646" i="1" s="1"/>
  <c r="D291" i="1"/>
  <c r="E291" i="1" s="1"/>
  <c r="F291" i="1" s="1"/>
  <c r="G291" i="1" s="1"/>
  <c r="D290" i="1"/>
  <c r="D289" i="1"/>
  <c r="D288" i="1"/>
  <c r="E288" i="1" s="1"/>
  <c r="F288" i="1" s="1"/>
  <c r="G288" i="1" s="1"/>
  <c r="D287" i="1"/>
  <c r="D286" i="1"/>
  <c r="D285" i="1"/>
  <c r="D284" i="1"/>
  <c r="D283" i="1"/>
  <c r="E283" i="1" s="1"/>
  <c r="F283" i="1" s="1"/>
  <c r="G283" i="1" s="1"/>
  <c r="D282" i="1"/>
  <c r="D281" i="1"/>
  <c r="D280" i="1"/>
  <c r="D279" i="1"/>
  <c r="D278" i="1"/>
  <c r="D277" i="1"/>
  <c r="E277" i="1" s="1"/>
  <c r="F277" i="1" s="1"/>
  <c r="G277" i="1" s="1"/>
  <c r="D276" i="1"/>
  <c r="D275" i="1"/>
  <c r="D274" i="1"/>
  <c r="E201" i="1" s="1"/>
  <c r="F201" i="1" s="1"/>
  <c r="G201" i="1" s="1"/>
  <c r="D273" i="1"/>
  <c r="E272" i="1"/>
  <c r="F272" i="1" s="1"/>
  <c r="G272" i="1" s="1"/>
  <c r="D272" i="1"/>
  <c r="E481" i="1" s="1"/>
  <c r="F481" i="1" s="1"/>
  <c r="D271" i="1"/>
  <c r="D270" i="1"/>
  <c r="D269" i="1"/>
  <c r="E569" i="1" s="1"/>
  <c r="F569" i="1" s="1"/>
  <c r="D268" i="1"/>
  <c r="D267" i="1"/>
  <c r="D266" i="1"/>
  <c r="E683" i="1" s="1"/>
  <c r="F683" i="1" s="1"/>
  <c r="D265" i="1"/>
  <c r="D264" i="1"/>
  <c r="E264" i="1" s="1"/>
  <c r="F264" i="1" s="1"/>
  <c r="G264" i="1" s="1"/>
  <c r="E263" i="1"/>
  <c r="F263" i="1" s="1"/>
  <c r="G263" i="1" s="1"/>
  <c r="D263" i="1"/>
  <c r="D262" i="1"/>
  <c r="E262" i="1" s="1"/>
  <c r="F262" i="1" s="1"/>
  <c r="G262" i="1" s="1"/>
  <c r="D261" i="1"/>
  <c r="D260" i="1"/>
  <c r="D259" i="1"/>
  <c r="E259" i="1" s="1"/>
  <c r="F259" i="1" s="1"/>
  <c r="G259" i="1" s="1"/>
  <c r="D258" i="1"/>
  <c r="D257" i="1"/>
  <c r="D256" i="1"/>
  <c r="E256" i="1" s="1"/>
  <c r="F256" i="1" s="1"/>
  <c r="G256" i="1" s="1"/>
  <c r="D255" i="1"/>
  <c r="E255" i="1" s="1"/>
  <c r="F255" i="1" s="1"/>
  <c r="G255" i="1" s="1"/>
  <c r="D254" i="1"/>
  <c r="E254" i="1" s="1"/>
  <c r="F254" i="1" s="1"/>
  <c r="G254" i="1" s="1"/>
  <c r="D253" i="1"/>
  <c r="E253" i="1" s="1"/>
  <c r="F253" i="1" s="1"/>
  <c r="G253" i="1" s="1"/>
  <c r="D252" i="1"/>
  <c r="E251" i="1"/>
  <c r="F251" i="1" s="1"/>
  <c r="G251" i="1" s="1"/>
  <c r="D251" i="1"/>
  <c r="D250" i="1"/>
  <c r="E250" i="1" s="1"/>
  <c r="F250" i="1" s="1"/>
  <c r="G250" i="1" s="1"/>
  <c r="D249" i="1"/>
  <c r="E945" i="1" s="1"/>
  <c r="F945" i="1" s="1"/>
  <c r="D248" i="1"/>
  <c r="D247" i="1"/>
  <c r="E902" i="1" s="1"/>
  <c r="F902" i="1" s="1"/>
  <c r="D246" i="1"/>
  <c r="D245" i="1"/>
  <c r="E245" i="1" s="1"/>
  <c r="F245" i="1" s="1"/>
  <c r="G245" i="1" s="1"/>
  <c r="D244" i="1"/>
  <c r="D243" i="1"/>
  <c r="D242" i="1"/>
  <c r="E242" i="1" s="1"/>
  <c r="F242" i="1" s="1"/>
  <c r="G242" i="1" s="1"/>
  <c r="D241" i="1"/>
  <c r="D240" i="1"/>
  <c r="D239" i="1"/>
  <c r="D238" i="1"/>
  <c r="D237" i="1"/>
  <c r="E356" i="1" s="1"/>
  <c r="F356" i="1" s="1"/>
  <c r="D236" i="1"/>
  <c r="E236" i="1" s="1"/>
  <c r="F236" i="1" s="1"/>
  <c r="G236" i="1" s="1"/>
  <c r="D235" i="1"/>
  <c r="E803" i="1" s="1"/>
  <c r="F803" i="1" s="1"/>
  <c r="D234" i="1"/>
  <c r="E234" i="1" s="1"/>
  <c r="F234" i="1" s="1"/>
  <c r="G234" i="1" s="1"/>
  <c r="D233" i="1"/>
  <c r="D232" i="1"/>
  <c r="D231" i="1"/>
  <c r="D230" i="1"/>
  <c r="D229" i="1"/>
  <c r="E228" i="1"/>
  <c r="F228" i="1" s="1"/>
  <c r="G228" i="1" s="1"/>
  <c r="D228" i="1"/>
  <c r="D227" i="1"/>
  <c r="E156" i="1" s="1"/>
  <c r="F156" i="1" s="1"/>
  <c r="G156" i="1" s="1"/>
  <c r="D226" i="1"/>
  <c r="D225" i="1"/>
  <c r="E225" i="1" s="1"/>
  <c r="F225" i="1" s="1"/>
  <c r="G225" i="1" s="1"/>
  <c r="D224" i="1"/>
  <c r="D223" i="1"/>
  <c r="D222" i="1"/>
  <c r="E222" i="1" s="1"/>
  <c r="F222" i="1" s="1"/>
  <c r="G222" i="1" s="1"/>
  <c r="D221" i="1"/>
  <c r="D220" i="1"/>
  <c r="E220" i="1" s="1"/>
  <c r="F220" i="1" s="1"/>
  <c r="G220" i="1" s="1"/>
  <c r="D219" i="1"/>
  <c r="D218" i="1"/>
  <c r="D217" i="1"/>
  <c r="E217" i="1" s="1"/>
  <c r="F217" i="1" s="1"/>
  <c r="G217" i="1" s="1"/>
  <c r="D216" i="1"/>
  <c r="E285" i="1" s="1"/>
  <c r="F285" i="1" s="1"/>
  <c r="D215" i="1"/>
  <c r="D214" i="1"/>
  <c r="E214" i="1" s="1"/>
  <c r="F214" i="1" s="1"/>
  <c r="G214" i="1" s="1"/>
  <c r="D213" i="1"/>
  <c r="E213" i="1" s="1"/>
  <c r="F213" i="1" s="1"/>
  <c r="G213" i="1" s="1"/>
  <c r="D212" i="1"/>
  <c r="F211" i="1"/>
  <c r="G211" i="1" s="1"/>
  <c r="D211" i="1"/>
  <c r="E211" i="1" s="1"/>
  <c r="D210" i="1"/>
  <c r="E210" i="1" s="1"/>
  <c r="F210" i="1" s="1"/>
  <c r="G210" i="1" s="1"/>
  <c r="D209" i="1"/>
  <c r="E209" i="1" s="1"/>
  <c r="F209" i="1" s="1"/>
  <c r="G209" i="1" s="1"/>
  <c r="D208" i="1"/>
  <c r="D207" i="1"/>
  <c r="E154" i="1" s="1"/>
  <c r="F154" i="1" s="1"/>
  <c r="G154" i="1" s="1"/>
  <c r="D206" i="1"/>
  <c r="D205" i="1"/>
  <c r="D204" i="1"/>
  <c r="D203" i="1"/>
  <c r="E203" i="1" s="1"/>
  <c r="F203" i="1" s="1"/>
  <c r="G203" i="1" s="1"/>
  <c r="D202" i="1"/>
  <c r="D201" i="1"/>
  <c r="D200" i="1"/>
  <c r="E200" i="1" s="1"/>
  <c r="F200" i="1" s="1"/>
  <c r="G200" i="1" s="1"/>
  <c r="D199" i="1"/>
  <c r="E199" i="1" s="1"/>
  <c r="F199" i="1" s="1"/>
  <c r="G199" i="1" s="1"/>
  <c r="D198" i="1"/>
  <c r="E342" i="1" s="1"/>
  <c r="F342" i="1" s="1"/>
  <c r="D197" i="1"/>
  <c r="E561" i="1" s="1"/>
  <c r="F561" i="1" s="1"/>
  <c r="D196" i="1"/>
  <c r="E706" i="1" s="1"/>
  <c r="F706" i="1" s="1"/>
  <c r="D195" i="1"/>
  <c r="D194" i="1"/>
  <c r="E476" i="1" s="1"/>
  <c r="F476" i="1" s="1"/>
  <c r="D193" i="1"/>
  <c r="E193" i="1" s="1"/>
  <c r="F193" i="1" s="1"/>
  <c r="G193" i="1" s="1"/>
  <c r="D192" i="1"/>
  <c r="D191" i="1"/>
  <c r="D190" i="1"/>
  <c r="E190" i="1" s="1"/>
  <c r="F190" i="1" s="1"/>
  <c r="G190" i="1" s="1"/>
  <c r="D189" i="1"/>
  <c r="E189" i="1" s="1"/>
  <c r="F189" i="1" s="1"/>
  <c r="G189" i="1" s="1"/>
  <c r="D188" i="1"/>
  <c r="E851" i="1" s="1"/>
  <c r="F851" i="1" s="1"/>
  <c r="E187" i="1"/>
  <c r="F187" i="1" s="1"/>
  <c r="G187" i="1" s="1"/>
  <c r="D187" i="1"/>
  <c r="D186" i="1"/>
  <c r="D185" i="1"/>
  <c r="E185" i="1" s="1"/>
  <c r="F185" i="1" s="1"/>
  <c r="G185" i="1" s="1"/>
  <c r="D184" i="1"/>
  <c r="D183" i="1"/>
  <c r="D182" i="1"/>
  <c r="E581" i="1" s="1"/>
  <c r="F581" i="1" s="1"/>
  <c r="D181" i="1"/>
  <c r="D180" i="1"/>
  <c r="E180" i="1" s="1"/>
  <c r="F180" i="1" s="1"/>
  <c r="G180" i="1" s="1"/>
  <c r="D179" i="1"/>
  <c r="D178" i="1"/>
  <c r="D177" i="1"/>
  <c r="E177" i="1" s="1"/>
  <c r="F177" i="1" s="1"/>
  <c r="G177" i="1" s="1"/>
  <c r="D176" i="1"/>
  <c r="D175" i="1"/>
  <c r="E175" i="1" s="1"/>
  <c r="F175" i="1" s="1"/>
  <c r="G175" i="1" s="1"/>
  <c r="D174" i="1"/>
  <c r="E174" i="1" s="1"/>
  <c r="F174" i="1" s="1"/>
  <c r="G174" i="1" s="1"/>
  <c r="D173" i="1"/>
  <c r="E173" i="1" s="1"/>
  <c r="F173" i="1" s="1"/>
  <c r="G173" i="1" s="1"/>
  <c r="D172" i="1"/>
  <c r="E172" i="1" s="1"/>
  <c r="F172" i="1" s="1"/>
  <c r="G172" i="1" s="1"/>
  <c r="D171" i="1"/>
  <c r="D170" i="1"/>
  <c r="E170" i="1" s="1"/>
  <c r="F170" i="1" s="1"/>
  <c r="G170" i="1" s="1"/>
  <c r="D169" i="1"/>
  <c r="D168" i="1"/>
  <c r="E168" i="1" s="1"/>
  <c r="F168" i="1" s="1"/>
  <c r="G168" i="1" s="1"/>
  <c r="D167" i="1"/>
  <c r="E167" i="1" s="1"/>
  <c r="F167" i="1" s="1"/>
  <c r="G167" i="1" s="1"/>
  <c r="D166" i="1"/>
  <c r="E223" i="1" s="1"/>
  <c r="F223" i="1" s="1"/>
  <c r="D165" i="1"/>
  <c r="D164" i="1"/>
  <c r="D163" i="1"/>
  <c r="E163" i="1" s="1"/>
  <c r="F163" i="1" s="1"/>
  <c r="G163" i="1" s="1"/>
  <c r="D162" i="1"/>
  <c r="D161" i="1"/>
  <c r="E161" i="1" s="1"/>
  <c r="F161" i="1" s="1"/>
  <c r="G161" i="1" s="1"/>
  <c r="E160" i="1"/>
  <c r="F160" i="1" s="1"/>
  <c r="G160" i="1" s="1"/>
  <c r="D160" i="1"/>
  <c r="D159" i="1"/>
  <c r="E159" i="1" s="1"/>
  <c r="F159" i="1" s="1"/>
  <c r="G159" i="1" s="1"/>
  <c r="D158" i="1"/>
  <c r="E157" i="1"/>
  <c r="F157" i="1" s="1"/>
  <c r="G157" i="1" s="1"/>
  <c r="D157" i="1"/>
  <c r="D156" i="1"/>
  <c r="D155" i="1"/>
  <c r="D154" i="1"/>
  <c r="D153" i="1"/>
  <c r="D152" i="1"/>
  <c r="E152" i="1" s="1"/>
  <c r="F152" i="1" s="1"/>
  <c r="G152" i="1" s="1"/>
  <c r="E151" i="1"/>
  <c r="F151" i="1" s="1"/>
  <c r="G151" i="1" s="1"/>
  <c r="D151" i="1"/>
  <c r="D150" i="1"/>
  <c r="D149" i="1"/>
  <c r="E149" i="1" s="1"/>
  <c r="F149" i="1" s="1"/>
  <c r="G149" i="1" s="1"/>
  <c r="D148" i="1"/>
  <c r="D147" i="1"/>
  <c r="E427" i="1" s="1"/>
  <c r="F427" i="1" s="1"/>
  <c r="D146" i="1"/>
  <c r="E146" i="1" s="1"/>
  <c r="F146" i="1" s="1"/>
  <c r="G146" i="1" s="1"/>
  <c r="D145" i="1"/>
  <c r="D144" i="1"/>
  <c r="E144" i="1" s="1"/>
  <c r="F144" i="1" s="1"/>
  <c r="G144" i="1" s="1"/>
  <c r="D143" i="1"/>
  <c r="E143" i="1" s="1"/>
  <c r="F143" i="1" s="1"/>
  <c r="G143" i="1" s="1"/>
  <c r="D142" i="1"/>
  <c r="D141" i="1"/>
  <c r="E140" i="1"/>
  <c r="F140" i="1" s="1"/>
  <c r="G140" i="1" s="1"/>
  <c r="D140" i="1"/>
  <c r="D139" i="1"/>
  <c r="D138" i="1"/>
  <c r="E138" i="1" s="1"/>
  <c r="F138" i="1" s="1"/>
  <c r="G138" i="1" s="1"/>
  <c r="D137" i="1"/>
  <c r="E215" i="1" s="1"/>
  <c r="F215" i="1" s="1"/>
  <c r="D136" i="1"/>
  <c r="D135" i="1"/>
  <c r="E135" i="1" s="1"/>
  <c r="F135" i="1" s="1"/>
  <c r="G135" i="1" s="1"/>
  <c r="D134" i="1"/>
  <c r="E134" i="1" s="1"/>
  <c r="F134" i="1" s="1"/>
  <c r="G134" i="1" s="1"/>
  <c r="D133" i="1"/>
  <c r="D132" i="1"/>
  <c r="E132" i="1" s="1"/>
  <c r="F132" i="1" s="1"/>
  <c r="G132" i="1" s="1"/>
  <c r="D131" i="1"/>
  <c r="D130" i="1"/>
  <c r="D129" i="1"/>
  <c r="E702" i="1" s="1"/>
  <c r="F702" i="1" s="1"/>
  <c r="D128" i="1"/>
  <c r="E128" i="1" s="1"/>
  <c r="F128" i="1" s="1"/>
  <c r="G128" i="1" s="1"/>
  <c r="D127" i="1"/>
  <c r="D126" i="1"/>
  <c r="D125" i="1"/>
  <c r="D124" i="1"/>
  <c r="D123" i="1"/>
  <c r="D122" i="1"/>
  <c r="D121" i="1"/>
  <c r="D120" i="1"/>
  <c r="D119" i="1"/>
  <c r="D118" i="1"/>
  <c r="E118" i="1" s="1"/>
  <c r="F118" i="1" s="1"/>
  <c r="G118" i="1" s="1"/>
  <c r="E117" i="1"/>
  <c r="F117" i="1" s="1"/>
  <c r="G117" i="1" s="1"/>
  <c r="D117" i="1"/>
  <c r="D116" i="1"/>
  <c r="E116" i="1" s="1"/>
  <c r="F116" i="1" s="1"/>
  <c r="G116" i="1" s="1"/>
  <c r="D115" i="1"/>
  <c r="D114" i="1"/>
  <c r="E114" i="1" s="1"/>
  <c r="F114" i="1" s="1"/>
  <c r="G114" i="1" s="1"/>
  <c r="D113" i="1"/>
  <c r="D112" i="1"/>
  <c r="D111" i="1"/>
  <c r="D110" i="1"/>
  <c r="D109" i="1"/>
  <c r="E109" i="1" s="1"/>
  <c r="F109" i="1" s="1"/>
  <c r="G109" i="1" s="1"/>
  <c r="D108" i="1"/>
  <c r="E108" i="1" s="1"/>
  <c r="F108" i="1" s="1"/>
  <c r="G108" i="1" s="1"/>
  <c r="D107" i="1"/>
  <c r="D106" i="1"/>
  <c r="D105" i="1"/>
  <c r="E105" i="1" s="1"/>
  <c r="F105" i="1" s="1"/>
  <c r="G105" i="1" s="1"/>
  <c r="D104" i="1"/>
  <c r="E104" i="1" s="1"/>
  <c r="F104" i="1" s="1"/>
  <c r="G104" i="1" s="1"/>
  <c r="D103" i="1"/>
  <c r="D102" i="1"/>
  <c r="E301" i="1" s="1"/>
  <c r="F301" i="1" s="1"/>
  <c r="E101" i="1"/>
  <c r="F101" i="1" s="1"/>
  <c r="G101" i="1" s="1"/>
  <c r="D101" i="1"/>
  <c r="E934" i="1" s="1"/>
  <c r="F934" i="1" s="1"/>
  <c r="D100" i="1"/>
  <c r="E100" i="1" s="1"/>
  <c r="F100" i="1" s="1"/>
  <c r="G100" i="1" s="1"/>
  <c r="D99" i="1"/>
  <c r="D98" i="1"/>
  <c r="D97" i="1"/>
  <c r="E97" i="1" s="1"/>
  <c r="F97" i="1" s="1"/>
  <c r="G97" i="1" s="1"/>
  <c r="D96" i="1"/>
  <c r="E598" i="1" s="1"/>
  <c r="F598" i="1" s="1"/>
  <c r="D95" i="1"/>
  <c r="D94" i="1"/>
  <c r="E94" i="1" s="1"/>
  <c r="F94" i="1" s="1"/>
  <c r="G94" i="1" s="1"/>
  <c r="D93" i="1"/>
  <c r="D92" i="1"/>
  <c r="D91" i="1"/>
  <c r="D90" i="1"/>
  <c r="E90" i="1" s="1"/>
  <c r="F90" i="1" s="1"/>
  <c r="G90" i="1" s="1"/>
  <c r="D89" i="1"/>
  <c r="E335" i="1" s="1"/>
  <c r="F335" i="1" s="1"/>
  <c r="D88" i="1"/>
  <c r="D87" i="1"/>
  <c r="E87" i="1" s="1"/>
  <c r="F87" i="1" s="1"/>
  <c r="G87" i="1" s="1"/>
  <c r="D86" i="1"/>
  <c r="E726" i="1" s="1"/>
  <c r="F726" i="1" s="1"/>
  <c r="D85" i="1"/>
  <c r="D84" i="1"/>
  <c r="D83" i="1"/>
  <c r="E83" i="1" s="1"/>
  <c r="F83" i="1" s="1"/>
  <c r="G83" i="1" s="1"/>
  <c r="E82" i="1"/>
  <c r="F82" i="1" s="1"/>
  <c r="G82" i="1" s="1"/>
  <c r="D82" i="1"/>
  <c r="D81" i="1"/>
  <c r="E796" i="1" s="1"/>
  <c r="F796" i="1" s="1"/>
  <c r="D80" i="1"/>
  <c r="E79" i="1"/>
  <c r="F79" i="1" s="1"/>
  <c r="G79" i="1" s="1"/>
  <c r="D79" i="1"/>
  <c r="D78" i="1"/>
  <c r="D77" i="1"/>
  <c r="E230" i="1" s="1"/>
  <c r="F230" i="1" s="1"/>
  <c r="D76" i="1"/>
  <c r="D75" i="1"/>
  <c r="E815" i="1" s="1"/>
  <c r="F815" i="1" s="1"/>
  <c r="D74" i="1"/>
  <c r="E74" i="1" s="1"/>
  <c r="F74" i="1" s="1"/>
  <c r="G74" i="1" s="1"/>
  <c r="E73" i="1"/>
  <c r="F73" i="1" s="1"/>
  <c r="G73" i="1" s="1"/>
  <c r="D73" i="1"/>
  <c r="D72" i="1"/>
  <c r="E1001" i="1" s="1"/>
  <c r="F1001" i="1" s="1"/>
  <c r="D71" i="1"/>
  <c r="E71" i="1" s="1"/>
  <c r="F71" i="1" s="1"/>
  <c r="G71" i="1" s="1"/>
  <c r="E70" i="1"/>
  <c r="F70" i="1" s="1"/>
  <c r="G70" i="1" s="1"/>
  <c r="D70" i="1"/>
  <c r="E967" i="1" s="1"/>
  <c r="F967" i="1" s="1"/>
  <c r="D69" i="1"/>
  <c r="E627" i="1" s="1"/>
  <c r="F627" i="1" s="1"/>
  <c r="D68" i="1"/>
  <c r="E92" i="1" s="1"/>
  <c r="F92" i="1" s="1"/>
  <c r="E67" i="1"/>
  <c r="F67" i="1" s="1"/>
  <c r="G67" i="1" s="1"/>
  <c r="D67" i="1"/>
  <c r="D66" i="1"/>
  <c r="D65" i="1"/>
  <c r="E65" i="1" s="1"/>
  <c r="F65" i="1" s="1"/>
  <c r="G65" i="1" s="1"/>
  <c r="D64" i="1"/>
  <c r="D63" i="1"/>
  <c r="E63" i="1" s="1"/>
  <c r="F63" i="1" s="1"/>
  <c r="G63" i="1" s="1"/>
  <c r="D62" i="1"/>
  <c r="E258" i="1" s="1"/>
  <c r="F258" i="1" s="1"/>
  <c r="D61" i="1"/>
  <c r="D60" i="1"/>
  <c r="D59" i="1"/>
  <c r="E905" i="1" s="1"/>
  <c r="F905" i="1" s="1"/>
  <c r="D58" i="1"/>
  <c r="E58" i="1" s="1"/>
  <c r="F58" i="1" s="1"/>
  <c r="G58" i="1" s="1"/>
  <c r="D57" i="1"/>
  <c r="E57" i="1" s="1"/>
  <c r="F57" i="1" s="1"/>
  <c r="G57" i="1" s="1"/>
  <c r="D56" i="1"/>
  <c r="E56" i="1" s="1"/>
  <c r="F56" i="1" s="1"/>
  <c r="G56" i="1" s="1"/>
  <c r="D55" i="1"/>
  <c r="E877" i="1" s="1"/>
  <c r="F877" i="1" s="1"/>
  <c r="D54" i="1"/>
  <c r="D53" i="1"/>
  <c r="D52" i="1"/>
  <c r="E52" i="1" s="1"/>
  <c r="F52" i="1" s="1"/>
  <c r="G52" i="1" s="1"/>
  <c r="D51" i="1"/>
  <c r="D50" i="1"/>
  <c r="D49" i="1"/>
  <c r="D48" i="1"/>
  <c r="E48" i="1" s="1"/>
  <c r="F48" i="1" s="1"/>
  <c r="G48" i="1" s="1"/>
  <c r="B15" i="2" s="1" a="1"/>
  <c r="B15" i="2" s="1"/>
  <c r="D47" i="1"/>
  <c r="E46" i="1"/>
  <c r="F46" i="1" s="1"/>
  <c r="G46" i="1" s="1"/>
  <c r="D46" i="1"/>
  <c r="E894" i="1" s="1"/>
  <c r="F894" i="1" s="1"/>
  <c r="D45" i="1"/>
  <c r="D44" i="1"/>
  <c r="D43" i="1"/>
  <c r="E43" i="1" s="1"/>
  <c r="F43" i="1" s="1"/>
  <c r="G43" i="1" s="1"/>
  <c r="D42" i="1"/>
  <c r="D41" i="1"/>
  <c r="E41" i="1" s="1"/>
  <c r="F41" i="1" s="1"/>
  <c r="G41" i="1" s="1"/>
  <c r="D40" i="1"/>
  <c r="D39" i="1"/>
  <c r="E39" i="1" s="1"/>
  <c r="F39" i="1" s="1"/>
  <c r="G39" i="1" s="1"/>
  <c r="D38" i="1"/>
  <c r="D37" i="1"/>
  <c r="D36" i="1"/>
  <c r="D35" i="1"/>
  <c r="E434" i="1" s="1"/>
  <c r="F434" i="1" s="1"/>
  <c r="D34" i="1"/>
  <c r="D33" i="1"/>
  <c r="D32" i="1"/>
  <c r="E80" i="1" s="1"/>
  <c r="F80" i="1" s="1"/>
  <c r="D31" i="1"/>
  <c r="D30" i="1"/>
  <c r="E29" i="1"/>
  <c r="F29" i="1" s="1"/>
  <c r="G29" i="1" s="1"/>
  <c r="D29" i="1"/>
  <c r="D28" i="1"/>
  <c r="E28" i="1" s="1"/>
  <c r="F28" i="1" s="1"/>
  <c r="G28" i="1" s="1"/>
  <c r="D27" i="1"/>
  <c r="D26" i="1"/>
  <c r="D25" i="1"/>
  <c r="E25" i="1" s="1"/>
  <c r="F25" i="1" s="1"/>
  <c r="G25" i="1" s="1"/>
  <c r="D24" i="1"/>
  <c r="E24" i="1" s="1"/>
  <c r="F24" i="1" s="1"/>
  <c r="G24" i="1" s="1"/>
  <c r="D23" i="1"/>
  <c r="E23" i="1" s="1"/>
  <c r="F23" i="1" s="1"/>
  <c r="G23" i="1" s="1"/>
  <c r="D22" i="1"/>
  <c r="D21" i="1"/>
  <c r="D20" i="1"/>
  <c r="D19" i="1"/>
  <c r="E675" i="1" s="1"/>
  <c r="F675" i="1" s="1"/>
  <c r="D18" i="1"/>
  <c r="D17" i="1"/>
  <c r="E17" i="1" s="1"/>
  <c r="F17" i="1" s="1"/>
  <c r="G17" i="1" s="1"/>
  <c r="D16" i="1"/>
  <c r="E16" i="1" s="1"/>
  <c r="F16" i="1" s="1"/>
  <c r="G16" i="1" s="1"/>
  <c r="B14" i="2" s="1" a="1"/>
  <c r="B14" i="2" s="1"/>
  <c r="D15" i="1"/>
  <c r="D14" i="1"/>
  <c r="D13" i="1"/>
  <c r="E13" i="1" s="1"/>
  <c r="F13" i="1" s="1"/>
  <c r="G13" i="1" s="1"/>
  <c r="D12" i="1"/>
  <c r="D11" i="1"/>
  <c r="E11" i="1" s="1"/>
  <c r="F11" i="1" s="1"/>
  <c r="G11" i="1" s="1"/>
  <c r="D10" i="1"/>
  <c r="E64" i="1" s="1"/>
  <c r="F64" i="1" s="1"/>
  <c r="D9" i="1"/>
  <c r="E9" i="1" s="1"/>
  <c r="F9" i="1" s="1"/>
  <c r="G9" i="1" s="1"/>
  <c r="D8" i="1"/>
  <c r="E8" i="1" s="1"/>
  <c r="F8" i="1" s="1"/>
  <c r="G8" i="1" s="1"/>
  <c r="D7" i="1"/>
  <c r="E7" i="1" s="1"/>
  <c r="F7" i="1" s="1"/>
  <c r="G7" i="1" s="1"/>
  <c r="D6" i="1"/>
  <c r="D5" i="1"/>
  <c r="D4" i="1"/>
  <c r="E4" i="1" s="1"/>
  <c r="F4" i="1" s="1"/>
  <c r="G4" i="1" s="1"/>
  <c r="D3" i="1"/>
  <c r="G653" i="1" l="1"/>
  <c r="E583" i="1"/>
  <c r="F583" i="1" s="1"/>
  <c r="G583" i="1" s="1"/>
  <c r="E791" i="1"/>
  <c r="F791" i="1" s="1"/>
  <c r="G791" i="1" s="1"/>
  <c r="E377" i="1"/>
  <c r="F377" i="1" s="1"/>
  <c r="E489" i="1"/>
  <c r="F489" i="1" s="1"/>
  <c r="G489" i="1" s="1"/>
  <c r="E630" i="1"/>
  <c r="F630" i="1" s="1"/>
  <c r="G630" i="1" s="1"/>
  <c r="E769" i="1"/>
  <c r="F769" i="1" s="1"/>
  <c r="E197" i="1"/>
  <c r="F197" i="1" s="1"/>
  <c r="G197" i="1" s="1"/>
  <c r="E305" i="1"/>
  <c r="F305" i="1" s="1"/>
  <c r="G305" i="1" s="1"/>
  <c r="E312" i="1"/>
  <c r="F312" i="1" s="1"/>
  <c r="G312" i="1" s="1"/>
  <c r="E352" i="1"/>
  <c r="F352" i="1" s="1"/>
  <c r="G352" i="1" s="1"/>
  <c r="E390" i="1"/>
  <c r="F390" i="1" s="1"/>
  <c r="G390" i="1" s="1"/>
  <c r="E944" i="1"/>
  <c r="F944" i="1" s="1"/>
  <c r="G944" i="1" s="1"/>
  <c r="E103" i="1"/>
  <c r="F103" i="1" s="1"/>
  <c r="G103" i="1" s="1"/>
  <c r="E237" i="1"/>
  <c r="F237" i="1" s="1"/>
  <c r="G237" i="1" s="1"/>
  <c r="E381" i="1"/>
  <c r="F381" i="1" s="1"/>
  <c r="G381" i="1" s="1"/>
  <c r="E560" i="1"/>
  <c r="F560" i="1" s="1"/>
  <c r="G560" i="1" s="1"/>
  <c r="E139" i="1"/>
  <c r="F139" i="1" s="1"/>
  <c r="E439" i="1"/>
  <c r="F439" i="1" s="1"/>
  <c r="E551" i="1"/>
  <c r="F551" i="1" s="1"/>
  <c r="E249" i="1"/>
  <c r="F249" i="1" s="1"/>
  <c r="G249" i="1" s="1"/>
  <c r="E720" i="1"/>
  <c r="F720" i="1" s="1"/>
  <c r="E240" i="1"/>
  <c r="F240" i="1" s="1"/>
  <c r="G240" i="1" s="1"/>
  <c r="E284" i="1"/>
  <c r="F284" i="1" s="1"/>
  <c r="G284" i="1" s="1"/>
  <c r="E412" i="1"/>
  <c r="F412" i="1" s="1"/>
  <c r="E334" i="1"/>
  <c r="F334" i="1" s="1"/>
  <c r="E164" i="1"/>
  <c r="F164" i="1" s="1"/>
  <c r="G164" i="1" s="1"/>
  <c r="E231" i="1"/>
  <c r="F231" i="1" s="1"/>
  <c r="G231" i="1" s="1"/>
  <c r="E315" i="1"/>
  <c r="F315" i="1" s="1"/>
  <c r="G315" i="1" s="1"/>
  <c r="E399" i="1"/>
  <c r="F399" i="1" s="1"/>
  <c r="E403" i="1"/>
  <c r="F403" i="1" s="1"/>
  <c r="E762" i="1"/>
  <c r="F762" i="1" s="1"/>
  <c r="E568" i="1"/>
  <c r="F568" i="1" s="1"/>
  <c r="G568" i="1" s="1"/>
  <c r="E346" i="1"/>
  <c r="F346" i="1" s="1"/>
  <c r="G346" i="1" s="1"/>
  <c r="E358" i="1"/>
  <c r="F358" i="1" s="1"/>
  <c r="G358" i="1" s="1"/>
  <c r="E202" i="1"/>
  <c r="F202" i="1" s="1"/>
  <c r="G202" i="1" s="1"/>
  <c r="E295" i="1"/>
  <c r="F295" i="1" s="1"/>
  <c r="G295" i="1" s="1"/>
  <c r="E286" i="1"/>
  <c r="F286" i="1" s="1"/>
  <c r="E751" i="1"/>
  <c r="F751" i="1" s="1"/>
  <c r="G751" i="1" s="1"/>
  <c r="E186" i="1"/>
  <c r="F186" i="1" s="1"/>
  <c r="G186" i="1" s="1"/>
  <c r="E690" i="1"/>
  <c r="F690" i="1" s="1"/>
  <c r="E676" i="1"/>
  <c r="F676" i="1" s="1"/>
  <c r="E375" i="1"/>
  <c r="F375" i="1" s="1"/>
  <c r="G375" i="1" s="1"/>
  <c r="E19" i="1"/>
  <c r="F19" i="1" s="1"/>
  <c r="G19" i="1" s="1"/>
  <c r="E40" i="1"/>
  <c r="F40" i="1" s="1"/>
  <c r="G40" i="1" s="1"/>
  <c r="E166" i="1"/>
  <c r="F166" i="1" s="1"/>
  <c r="G166" i="1" s="1"/>
  <c r="E757" i="1"/>
  <c r="F757" i="1" s="1"/>
  <c r="E194" i="1"/>
  <c r="F194" i="1" s="1"/>
  <c r="G194" i="1" s="1"/>
  <c r="E112" i="1"/>
  <c r="F112" i="1" s="1"/>
  <c r="G112" i="1" s="1"/>
  <c r="E519" i="1"/>
  <c r="F519" i="1" s="1"/>
  <c r="E248" i="1"/>
  <c r="F248" i="1" s="1"/>
  <c r="G248" i="1" s="1"/>
  <c r="E807" i="1"/>
  <c r="F807" i="1" s="1"/>
  <c r="E779" i="1"/>
  <c r="F779" i="1" s="1"/>
  <c r="E790" i="1"/>
  <c r="F790" i="1" s="1"/>
  <c r="G790" i="1" s="1"/>
  <c r="E725" i="1"/>
  <c r="F725" i="1" s="1"/>
  <c r="G725" i="1" s="1"/>
  <c r="E205" i="1"/>
  <c r="F205" i="1" s="1"/>
  <c r="E61" i="1"/>
  <c r="F61" i="1" s="1"/>
  <c r="G61" i="1" s="1"/>
  <c r="E413" i="1"/>
  <c r="F413" i="1" s="1"/>
  <c r="G413" i="1" s="1"/>
  <c r="E502" i="1"/>
  <c r="F502" i="1" s="1"/>
  <c r="G502" i="1" s="1"/>
  <c r="E843" i="1"/>
  <c r="F843" i="1" s="1"/>
  <c r="E443" i="1"/>
  <c r="F443" i="1" s="1"/>
  <c r="G443" i="1" s="1"/>
  <c r="E123" i="1"/>
  <c r="F123" i="1" s="1"/>
  <c r="G123" i="1" s="1"/>
  <c r="E119" i="1"/>
  <c r="F119" i="1" s="1"/>
  <c r="G119" i="1" s="1"/>
  <c r="E414" i="1"/>
  <c r="F414" i="1" s="1"/>
  <c r="E797" i="1"/>
  <c r="F797" i="1" s="1"/>
  <c r="E219" i="1"/>
  <c r="F219" i="1" s="1"/>
  <c r="G219" i="1" s="1"/>
  <c r="E435" i="1"/>
  <c r="F435" i="1" s="1"/>
  <c r="E738" i="1"/>
  <c r="F738" i="1" s="1"/>
  <c r="E537" i="1"/>
  <c r="F537" i="1" s="1"/>
  <c r="G537" i="1" s="1"/>
  <c r="E37" i="1"/>
  <c r="F37" i="1" s="1"/>
  <c r="G37" i="1" s="1"/>
  <c r="E722" i="1"/>
  <c r="F722" i="1" s="1"/>
  <c r="E76" i="1"/>
  <c r="F76" i="1" s="1"/>
  <c r="G76" i="1" s="1"/>
  <c r="E226" i="1"/>
  <c r="F226" i="1" s="1"/>
  <c r="E235" i="1"/>
  <c r="F235" i="1" s="1"/>
  <c r="G235" i="1" s="1"/>
  <c r="E486" i="1"/>
  <c r="F486" i="1" s="1"/>
  <c r="G486" i="1" s="1"/>
  <c r="E887" i="1"/>
  <c r="F887" i="1" s="1"/>
  <c r="G887" i="1" s="1"/>
  <c r="E972" i="1"/>
  <c r="F972" i="1" s="1"/>
  <c r="E10" i="1"/>
  <c r="F10" i="1" s="1"/>
  <c r="G10" i="1" s="1"/>
  <c r="E136" i="1"/>
  <c r="F136" i="1" s="1"/>
  <c r="G136" i="1" s="1"/>
  <c r="E47" i="1"/>
  <c r="F47" i="1" s="1"/>
  <c r="G47" i="1" s="1"/>
  <c r="E55" i="1"/>
  <c r="F55" i="1" s="1"/>
  <c r="G55" i="1" s="1"/>
  <c r="E804" i="1"/>
  <c r="F804" i="1" s="1"/>
  <c r="E86" i="1"/>
  <c r="F86" i="1" s="1"/>
  <c r="G86" i="1" s="1"/>
  <c r="E95" i="1"/>
  <c r="F95" i="1" s="1"/>
  <c r="G95" i="1" s="1"/>
  <c r="E131" i="1"/>
  <c r="F131" i="1" s="1"/>
  <c r="G131" i="1" s="1"/>
  <c r="E270" i="1"/>
  <c r="F270" i="1" s="1"/>
  <c r="G270" i="1" s="1"/>
  <c r="E462" i="1"/>
  <c r="F462" i="1" s="1"/>
  <c r="G462" i="1" s="1"/>
  <c r="E619" i="1"/>
  <c r="F619" i="1" s="1"/>
  <c r="G619" i="1" s="1"/>
  <c r="E485" i="1"/>
  <c r="F485" i="1" s="1"/>
  <c r="E572" i="1"/>
  <c r="F572" i="1" s="1"/>
  <c r="E247" i="1"/>
  <c r="F247" i="1" s="1"/>
  <c r="G247" i="1" s="1"/>
  <c r="E850" i="1"/>
  <c r="F850" i="1" s="1"/>
  <c r="E661" i="1"/>
  <c r="F661" i="1" s="1"/>
  <c r="G661" i="1" s="1"/>
  <c r="E827" i="1"/>
  <c r="F827" i="1" s="1"/>
  <c r="E921" i="1"/>
  <c r="F921" i="1" s="1"/>
  <c r="G921" i="1" s="1"/>
  <c r="E929" i="1"/>
  <c r="F929" i="1" s="1"/>
  <c r="G356" i="1"/>
  <c r="E147" i="1"/>
  <c r="F147" i="1" s="1"/>
  <c r="G147" i="1" s="1"/>
  <c r="E155" i="1"/>
  <c r="F155" i="1" s="1"/>
  <c r="E891" i="1"/>
  <c r="F891" i="1" s="1"/>
  <c r="E371" i="1"/>
  <c r="F371" i="1" s="1"/>
  <c r="G631" i="1" s="1"/>
  <c r="E162" i="1"/>
  <c r="F162" i="1" s="1"/>
  <c r="G162" i="1" s="1"/>
  <c r="E49" i="1"/>
  <c r="F49" i="1" s="1"/>
  <c r="G49" i="1" s="1"/>
  <c r="E88" i="1"/>
  <c r="F88" i="1" s="1"/>
  <c r="G88" i="1" s="1"/>
  <c r="E227" i="1"/>
  <c r="F227" i="1" s="1"/>
  <c r="G227" i="1" s="1"/>
  <c r="E184" i="1"/>
  <c r="F184" i="1" s="1"/>
  <c r="G184" i="1" s="1"/>
  <c r="E477" i="1"/>
  <c r="F477" i="1" s="1"/>
  <c r="E269" i="1"/>
  <c r="F269" i="1" s="1"/>
  <c r="G269" i="1" s="1"/>
  <c r="E297" i="1"/>
  <c r="F297" i="1" s="1"/>
  <c r="G297" i="1" s="1"/>
  <c r="G640" i="1"/>
  <c r="E357" i="1"/>
  <c r="F357" i="1" s="1"/>
  <c r="G357" i="1" s="1"/>
  <c r="E387" i="1"/>
  <c r="F387" i="1" s="1"/>
  <c r="G387" i="1" s="1"/>
  <c r="E394" i="1"/>
  <c r="F394" i="1" s="1"/>
  <c r="G394" i="1" s="1"/>
  <c r="E528" i="1"/>
  <c r="F528" i="1" s="1"/>
  <c r="G528" i="1" s="1"/>
  <c r="E966" i="1"/>
  <c r="F966" i="1" s="1"/>
  <c r="G966" i="1" s="1"/>
  <c r="E678" i="1"/>
  <c r="F678" i="1" s="1"/>
  <c r="G678" i="1" s="1"/>
  <c r="E692" i="1"/>
  <c r="F692" i="1" s="1"/>
  <c r="G692" i="1" s="1"/>
  <c r="E889" i="1"/>
  <c r="F889" i="1" s="1"/>
  <c r="G889" i="1" s="1"/>
  <c r="E882" i="1"/>
  <c r="F882" i="1" s="1"/>
  <c r="G882" i="1" s="1"/>
  <c r="E799" i="1"/>
  <c r="F799" i="1" s="1"/>
  <c r="E742" i="1"/>
  <c r="F742" i="1" s="1"/>
  <c r="E947" i="1"/>
  <c r="F947" i="1" s="1"/>
  <c r="E634" i="1"/>
  <c r="F634" i="1" s="1"/>
  <c r="G634" i="1" s="1"/>
  <c r="E783" i="1"/>
  <c r="F783" i="1" s="1"/>
  <c r="G783" i="1" s="1"/>
  <c r="G427" i="1"/>
  <c r="E22" i="1"/>
  <c r="F22" i="1" s="1"/>
  <c r="G22" i="1" s="1"/>
  <c r="E732" i="1"/>
  <c r="F732" i="1" s="1"/>
  <c r="E830" i="1"/>
  <c r="F830" i="1" s="1"/>
  <c r="G830" i="1" s="1"/>
  <c r="E53" i="1"/>
  <c r="F53" i="1" s="1"/>
  <c r="E98" i="1"/>
  <c r="F98" i="1" s="1"/>
  <c r="G98" i="1" s="1"/>
  <c r="E125" i="1"/>
  <c r="F125" i="1" s="1"/>
  <c r="G125" i="1" s="1"/>
  <c r="E206" i="1"/>
  <c r="F206" i="1" s="1"/>
  <c r="E20" i="1"/>
  <c r="F20" i="1" s="1"/>
  <c r="G20" i="1" s="1"/>
  <c r="E192" i="1"/>
  <c r="F192" i="1" s="1"/>
  <c r="G192" i="1" s="1"/>
  <c r="E431" i="1"/>
  <c r="F431" i="1" s="1"/>
  <c r="E612" i="1"/>
  <c r="F612" i="1" s="1"/>
  <c r="E816" i="1"/>
  <c r="F816" i="1" s="1"/>
  <c r="G816" i="1" s="1"/>
  <c r="E365" i="1"/>
  <c r="F365" i="1" s="1"/>
  <c r="E544" i="1"/>
  <c r="F544" i="1" s="1"/>
  <c r="E484" i="1"/>
  <c r="F484" i="1" s="1"/>
  <c r="G484" i="1" s="1"/>
  <c r="E500" i="1"/>
  <c r="F500" i="1" s="1"/>
  <c r="G500" i="1" s="1"/>
  <c r="E507" i="1"/>
  <c r="F507" i="1" s="1"/>
  <c r="G507" i="1" s="1"/>
  <c r="E549" i="1"/>
  <c r="F549" i="1" s="1"/>
  <c r="G549" i="1" s="1"/>
  <c r="E428" i="1"/>
  <c r="F428" i="1" s="1"/>
  <c r="G428" i="1" s="1"/>
  <c r="E179" i="1"/>
  <c r="F179" i="1" s="1"/>
  <c r="G481" i="1"/>
  <c r="E282" i="1"/>
  <c r="F282" i="1" s="1"/>
  <c r="G282" i="1" s="1"/>
  <c r="E475" i="1"/>
  <c r="F475" i="1" s="1"/>
  <c r="G809" i="1"/>
  <c r="G919" i="1"/>
  <c r="E970" i="1"/>
  <c r="F970" i="1" s="1"/>
  <c r="G970" i="1" s="1"/>
  <c r="E543" i="1"/>
  <c r="F543" i="1" s="1"/>
  <c r="E990" i="1"/>
  <c r="F990" i="1" s="1"/>
  <c r="G990" i="1" s="1"/>
  <c r="E580" i="1"/>
  <c r="F580" i="1" s="1"/>
  <c r="G580" i="1" s="1"/>
  <c r="G779" i="1"/>
  <c r="E398" i="1"/>
  <c r="F398" i="1" s="1"/>
  <c r="G398" i="1" s="1"/>
  <c r="E604" i="1"/>
  <c r="F604" i="1" s="1"/>
  <c r="G604" i="1" s="1"/>
  <c r="G807" i="1"/>
  <c r="E719" i="1"/>
  <c r="F719" i="1" s="1"/>
  <c r="G719" i="1" s="1"/>
  <c r="E963" i="1"/>
  <c r="F963" i="1" s="1"/>
  <c r="G963" i="1" s="1"/>
  <c r="E785" i="1"/>
  <c r="F785" i="1" s="1"/>
  <c r="G785" i="1" s="1"/>
  <c r="E846" i="1"/>
  <c r="F846" i="1" s="1"/>
  <c r="G846" i="1" s="1"/>
  <c r="E509" i="1"/>
  <c r="F509" i="1" s="1"/>
  <c r="E302" i="1"/>
  <c r="F302" i="1" s="1"/>
  <c r="E296" i="1"/>
  <c r="F296" i="1" s="1"/>
  <c r="G296" i="1" s="1"/>
  <c r="E496" i="1"/>
  <c r="F496" i="1" s="1"/>
  <c r="G496" i="1" s="1"/>
  <c r="E616" i="1"/>
  <c r="F616" i="1" s="1"/>
  <c r="G616" i="1" s="1"/>
  <c r="E32" i="1"/>
  <c r="F32" i="1" s="1"/>
  <c r="G32" i="1" s="1"/>
  <c r="E961" i="1"/>
  <c r="F961" i="1" s="1"/>
  <c r="G961" i="1" s="1"/>
  <c r="E12" i="1"/>
  <c r="F12" i="1" s="1"/>
  <c r="G12" i="1" s="1"/>
  <c r="E989" i="1"/>
  <c r="F989" i="1" s="1"/>
  <c r="E842" i="1"/>
  <c r="F842" i="1" s="1"/>
  <c r="E723" i="1"/>
  <c r="F723" i="1" s="1"/>
  <c r="E490" i="1"/>
  <c r="F490" i="1" s="1"/>
  <c r="G490" i="1" s="1"/>
  <c r="E608" i="1"/>
  <c r="F608" i="1" s="1"/>
  <c r="E337" i="1"/>
  <c r="F337" i="1" s="1"/>
  <c r="G337" i="1" s="1"/>
  <c r="E366" i="1"/>
  <c r="F366" i="1" s="1"/>
  <c r="G366" i="1" s="1"/>
  <c r="E113" i="1"/>
  <c r="F113" i="1" s="1"/>
  <c r="G113" i="1" s="1"/>
  <c r="E868" i="1"/>
  <c r="F868" i="1" s="1"/>
  <c r="E774" i="1"/>
  <c r="F774" i="1" s="1"/>
  <c r="E126" i="1"/>
  <c r="F126" i="1" s="1"/>
  <c r="G126" i="1" s="1"/>
  <c r="E539" i="1"/>
  <c r="F539" i="1" s="1"/>
  <c r="E212" i="1"/>
  <c r="F212" i="1" s="1"/>
  <c r="G212" i="1" s="1"/>
  <c r="E89" i="1"/>
  <c r="F89" i="1" s="1"/>
  <c r="G89" i="1" s="1"/>
  <c r="G934" i="1"/>
  <c r="E417" i="1"/>
  <c r="F417" i="1" s="1"/>
  <c r="E107" i="1"/>
  <c r="F107" i="1" s="1"/>
  <c r="G107" i="1" s="1"/>
  <c r="E208" i="1"/>
  <c r="F208" i="1" s="1"/>
  <c r="E120" i="1"/>
  <c r="F120" i="1" s="1"/>
  <c r="G120" i="1" s="1"/>
  <c r="E133" i="1"/>
  <c r="F133" i="1" s="1"/>
  <c r="G133" i="1" s="1"/>
  <c r="E191" i="1"/>
  <c r="F191" i="1" s="1"/>
  <c r="G191" i="1" s="1"/>
  <c r="G334" i="1"/>
  <c r="G435" i="1"/>
  <c r="E111" i="1"/>
  <c r="F111" i="1" s="1"/>
  <c r="E6" i="1"/>
  <c r="F6" i="1" s="1"/>
  <c r="G6" i="1" s="1"/>
  <c r="E68" i="1"/>
  <c r="F68" i="1" s="1"/>
  <c r="G68" i="1" s="1"/>
  <c r="E943" i="1"/>
  <c r="F943" i="1" s="1"/>
  <c r="E290" i="1"/>
  <c r="F290" i="1" s="1"/>
  <c r="G290" i="1" s="1"/>
  <c r="E501" i="1"/>
  <c r="F501" i="1" s="1"/>
  <c r="E959" i="1"/>
  <c r="F959" i="1" s="1"/>
  <c r="E942" i="1"/>
  <c r="F942" i="1" s="1"/>
  <c r="E473" i="1"/>
  <c r="F473" i="1" s="1"/>
  <c r="E18" i="1"/>
  <c r="F18" i="1" s="1"/>
  <c r="G18" i="1" s="1"/>
  <c r="E494" i="1"/>
  <c r="F494" i="1" s="1"/>
  <c r="E418" i="1"/>
  <c r="F418" i="1" s="1"/>
  <c r="E866" i="1"/>
  <c r="F866" i="1" s="1"/>
  <c r="E339" i="1"/>
  <c r="F339" i="1" s="1"/>
  <c r="E321" i="1"/>
  <c r="F321" i="1" s="1"/>
  <c r="E445" i="1"/>
  <c r="F445" i="1" s="1"/>
  <c r="E54" i="1"/>
  <c r="F54" i="1" s="1"/>
  <c r="G54" i="1" s="1"/>
  <c r="E59" i="1"/>
  <c r="F59" i="1" s="1"/>
  <c r="G59" i="1" s="1"/>
  <c r="G675" i="1"/>
  <c r="E34" i="1"/>
  <c r="F34" i="1" s="1"/>
  <c r="G34" i="1" s="1"/>
  <c r="E44" i="1"/>
  <c r="F44" i="1" s="1"/>
  <c r="G44" i="1" s="1"/>
  <c r="G726" i="1"/>
  <c r="E448" i="1"/>
  <c r="F448" i="1" s="1"/>
  <c r="E243" i="1"/>
  <c r="F243" i="1" s="1"/>
  <c r="G243" i="1" s="1"/>
  <c r="E840" i="1"/>
  <c r="F840" i="1" s="1"/>
  <c r="E27" i="1"/>
  <c r="F27" i="1" s="1"/>
  <c r="G27" i="1" s="1"/>
  <c r="E766" i="1"/>
  <c r="F766" i="1" s="1"/>
  <c r="E239" i="1"/>
  <c r="F239" i="1" s="1"/>
  <c r="E562" i="1"/>
  <c r="F562" i="1" s="1"/>
  <c r="E904" i="1"/>
  <c r="F904" i="1" s="1"/>
  <c r="E515" i="1"/>
  <c r="F515" i="1" s="1"/>
  <c r="E153" i="1"/>
  <c r="F153" i="1" s="1"/>
  <c r="G153" i="1" s="1"/>
  <c r="E14" i="1"/>
  <c r="F14" i="1" s="1"/>
  <c r="G14" i="1" s="1"/>
  <c r="E570" i="1"/>
  <c r="F570" i="1" s="1"/>
  <c r="E527" i="1"/>
  <c r="F527" i="1" s="1"/>
  <c r="E221" i="1"/>
  <c r="F221" i="1" s="1"/>
  <c r="E45" i="1"/>
  <c r="F45" i="1" s="1"/>
  <c r="G45" i="1" s="1"/>
  <c r="E50" i="1"/>
  <c r="F50" i="1" s="1"/>
  <c r="G50" i="1" s="1"/>
  <c r="E129" i="1"/>
  <c r="F129" i="1" s="1"/>
  <c r="G129" i="1" s="1"/>
  <c r="E351" i="1"/>
  <c r="F351" i="1" s="1"/>
  <c r="E504" i="1"/>
  <c r="F504" i="1" s="1"/>
  <c r="E171" i="1"/>
  <c r="F171" i="1" s="1"/>
  <c r="E91" i="1"/>
  <c r="F91" i="1" s="1"/>
  <c r="G91" i="1" s="1"/>
  <c r="E516" i="1"/>
  <c r="F516" i="1" s="1"/>
  <c r="E278" i="1"/>
  <c r="F278" i="1" s="1"/>
  <c r="E30" i="1"/>
  <c r="F30" i="1" s="1"/>
  <c r="G30" i="1" s="1"/>
  <c r="E35" i="1"/>
  <c r="F35" i="1" s="1"/>
  <c r="G35" i="1" s="1"/>
  <c r="E879" i="1"/>
  <c r="F879" i="1" s="1"/>
  <c r="E66" i="1"/>
  <c r="F66" i="1" s="1"/>
  <c r="G66" i="1" s="1"/>
  <c r="G412" i="1"/>
  <c r="E142" i="1"/>
  <c r="F142" i="1" s="1"/>
  <c r="G142" i="1" s="1"/>
  <c r="E267" i="1"/>
  <c r="F267" i="1" s="1"/>
  <c r="E696" i="1"/>
  <c r="F696" i="1" s="1"/>
  <c r="E42" i="1"/>
  <c r="F42" i="1" s="1"/>
  <c r="G42" i="1" s="1"/>
  <c r="E233" i="1"/>
  <c r="F233" i="1" s="1"/>
  <c r="E15" i="1"/>
  <c r="F15" i="1" s="1"/>
  <c r="G15" i="1" s="1"/>
  <c r="E756" i="1"/>
  <c r="F756" i="1" s="1"/>
  <c r="E464" i="1"/>
  <c r="F464" i="1" s="1"/>
  <c r="E423" i="1"/>
  <c r="F423" i="1" s="1"/>
  <c r="E382" i="1"/>
  <c r="F382" i="1" s="1"/>
  <c r="E460" i="1"/>
  <c r="F460" i="1" s="1"/>
  <c r="E110" i="1"/>
  <c r="F110" i="1" s="1"/>
  <c r="G110" i="1" s="1"/>
  <c r="E660" i="1"/>
  <c r="F660" i="1" s="1"/>
  <c r="E183" i="1"/>
  <c r="F183" i="1" s="1"/>
  <c r="G183" i="1" s="1"/>
  <c r="E324" i="1"/>
  <c r="F324" i="1" s="1"/>
  <c r="G324" i="1" s="1"/>
  <c r="E453" i="1"/>
  <c r="F453" i="1" s="1"/>
  <c r="E582" i="1"/>
  <c r="F582" i="1" s="1"/>
  <c r="E3" i="1"/>
  <c r="E31" i="1"/>
  <c r="F31" i="1" s="1"/>
  <c r="G31" i="1" s="1"/>
  <c r="E565" i="1"/>
  <c r="F565" i="1" s="1"/>
  <c r="E36" i="1"/>
  <c r="F36" i="1" s="1"/>
  <c r="G36" i="1" s="1"/>
  <c r="E77" i="1"/>
  <c r="F77" i="1" s="1"/>
  <c r="G77" i="1" s="1"/>
  <c r="E384" i="1"/>
  <c r="F384" i="1" s="1"/>
  <c r="E60" i="1"/>
  <c r="F60" i="1" s="1"/>
  <c r="E451" i="1"/>
  <c r="F451" i="1" s="1"/>
  <c r="E749" i="1"/>
  <c r="F749" i="1" s="1"/>
  <c r="E422" i="1"/>
  <c r="F422" i="1" s="1"/>
  <c r="E33" i="1"/>
  <c r="F33" i="1" s="1"/>
  <c r="G33" i="1" s="1"/>
  <c r="E639" i="1"/>
  <c r="F639" i="1" s="1"/>
  <c r="E406" i="1"/>
  <c r="F406" i="1" s="1"/>
  <c r="E656" i="1"/>
  <c r="F656" i="1" s="1"/>
  <c r="E106" i="1"/>
  <c r="F106" i="1" s="1"/>
  <c r="E232" i="1"/>
  <c r="F232" i="1" s="1"/>
  <c r="E51" i="1"/>
  <c r="F51" i="1" s="1"/>
  <c r="G51" i="1" s="1"/>
  <c r="E244" i="1"/>
  <c r="F244" i="1" s="1"/>
  <c r="E5" i="1"/>
  <c r="F5" i="1" s="1"/>
  <c r="G5" i="1" s="1"/>
  <c r="E764" i="1"/>
  <c r="F764" i="1" s="1"/>
  <c r="E698" i="1"/>
  <c r="F698" i="1" s="1"/>
  <c r="E261" i="1"/>
  <c r="F261" i="1" s="1"/>
  <c r="E21" i="1"/>
  <c r="F21" i="1" s="1"/>
  <c r="G21" i="1" s="1"/>
  <c r="E26" i="1"/>
  <c r="F26" i="1" s="1"/>
  <c r="G26" i="1" s="1"/>
  <c r="E62" i="1"/>
  <c r="F62" i="1" s="1"/>
  <c r="G62" i="1" s="1"/>
  <c r="E178" i="1"/>
  <c r="F178" i="1" s="1"/>
  <c r="E85" i="1"/>
  <c r="F85" i="1" s="1"/>
  <c r="G85" i="1" s="1"/>
  <c r="E578" i="1"/>
  <c r="F578" i="1" s="1"/>
  <c r="G578" i="1" s="1"/>
  <c r="E299" i="1"/>
  <c r="F299" i="1" s="1"/>
  <c r="G299" i="1" s="1"/>
  <c r="E982" i="1"/>
  <c r="F982" i="1" s="1"/>
  <c r="E195" i="1"/>
  <c r="F195" i="1" s="1"/>
  <c r="G195" i="1" s="1"/>
  <c r="E480" i="1"/>
  <c r="F480" i="1" s="1"/>
  <c r="E330" i="1"/>
  <c r="F330" i="1" s="1"/>
  <c r="G330" i="1" s="1"/>
  <c r="G617" i="1"/>
  <c r="E380" i="1"/>
  <c r="F380" i="1" s="1"/>
  <c r="E936" i="1"/>
  <c r="F936" i="1" s="1"/>
  <c r="E792" i="1"/>
  <c r="F792" i="1" s="1"/>
  <c r="E268" i="1"/>
  <c r="F268" i="1" s="1"/>
  <c r="G268" i="1" s="1"/>
  <c r="E379" i="1"/>
  <c r="F379" i="1" s="1"/>
  <c r="E901" i="1"/>
  <c r="F901" i="1" s="1"/>
  <c r="E279" i="1"/>
  <c r="F279" i="1" s="1"/>
  <c r="G279" i="1" s="1"/>
  <c r="E890" i="1"/>
  <c r="F890" i="1" s="1"/>
  <c r="E469" i="1"/>
  <c r="F469" i="1" s="1"/>
  <c r="E651" i="1"/>
  <c r="F651" i="1" s="1"/>
  <c r="E289" i="1"/>
  <c r="F289" i="1" s="1"/>
  <c r="G289" i="1" s="1"/>
  <c r="E479" i="1"/>
  <c r="F479" i="1" s="1"/>
  <c r="E314" i="1"/>
  <c r="F314" i="1" s="1"/>
  <c r="G314" i="1" s="1"/>
  <c r="G403" i="1"/>
  <c r="E705" i="1"/>
  <c r="F705" i="1" s="1"/>
  <c r="E415" i="1"/>
  <c r="F415" i="1" s="1"/>
  <c r="G415" i="1" s="1"/>
  <c r="E743" i="1"/>
  <c r="F743" i="1" s="1"/>
  <c r="E130" i="1"/>
  <c r="F130" i="1" s="1"/>
  <c r="G130" i="1" s="1"/>
  <c r="E666" i="1"/>
  <c r="F666" i="1" s="1"/>
  <c r="G666" i="1" s="1"/>
  <c r="E150" i="1"/>
  <c r="F150" i="1" s="1"/>
  <c r="G150" i="1" s="1"/>
  <c r="E238" i="1"/>
  <c r="F238" i="1" s="1"/>
  <c r="E207" i="1"/>
  <c r="F207" i="1" s="1"/>
  <c r="G207" i="1" s="1"/>
  <c r="E165" i="1"/>
  <c r="F165" i="1" s="1"/>
  <c r="G165" i="1" s="1"/>
  <c r="E176" i="1"/>
  <c r="F176" i="1" s="1"/>
  <c r="G176" i="1" s="1"/>
  <c r="E188" i="1"/>
  <c r="F188" i="1" s="1"/>
  <c r="G188" i="1" s="1"/>
  <c r="E1000" i="1"/>
  <c r="F1000" i="1" s="1"/>
  <c r="E777" i="1"/>
  <c r="F777" i="1" s="1"/>
  <c r="E452" i="1"/>
  <c r="F452" i="1" s="1"/>
  <c r="G452" i="1" s="1"/>
  <c r="E294" i="1"/>
  <c r="F294" i="1" s="1"/>
  <c r="G569" i="1"/>
  <c r="E931" i="1"/>
  <c r="F931" i="1" s="1"/>
  <c r="E681" i="1"/>
  <c r="F681" i="1" s="1"/>
  <c r="E600" i="1"/>
  <c r="F600" i="1" s="1"/>
  <c r="E461" i="1"/>
  <c r="F461" i="1" s="1"/>
  <c r="G461" i="1" s="1"/>
  <c r="E861" i="1"/>
  <c r="F861" i="1" s="1"/>
  <c r="E444" i="1"/>
  <c r="F444" i="1" s="1"/>
  <c r="G444" i="1" s="1"/>
  <c r="E730" i="1"/>
  <c r="F730" i="1" s="1"/>
  <c r="E447" i="1"/>
  <c r="F447" i="1" s="1"/>
  <c r="E287" i="1"/>
  <c r="F287" i="1" s="1"/>
  <c r="E370" i="1"/>
  <c r="F370" i="1" s="1"/>
  <c r="E471" i="1"/>
  <c r="F471" i="1" s="1"/>
  <c r="G471" i="1" s="1"/>
  <c r="E526" i="1"/>
  <c r="F526" i="1" s="1"/>
  <c r="E927" i="1"/>
  <c r="F927" i="1" s="1"/>
  <c r="E364" i="1"/>
  <c r="F364" i="1" s="1"/>
  <c r="E127" i="1"/>
  <c r="F127" i="1" s="1"/>
  <c r="G127" i="1" s="1"/>
  <c r="E668" i="1"/>
  <c r="F668" i="1" s="1"/>
  <c r="E204" i="1"/>
  <c r="F204" i="1" s="1"/>
  <c r="G204" i="1" s="1"/>
  <c r="E682" i="1"/>
  <c r="F682" i="1" s="1"/>
  <c r="E273" i="1"/>
  <c r="F273" i="1" s="1"/>
  <c r="G273" i="1" s="1"/>
  <c r="E893" i="1"/>
  <c r="F893" i="1" s="1"/>
  <c r="E332" i="1"/>
  <c r="F332" i="1" s="1"/>
  <c r="G332" i="1" s="1"/>
  <c r="E979" i="1"/>
  <c r="F979" i="1" s="1"/>
  <c r="E158" i="1"/>
  <c r="F158" i="1" s="1"/>
  <c r="G158" i="1" s="1"/>
  <c r="E325" i="1"/>
  <c r="F325" i="1" s="1"/>
  <c r="E808" i="1"/>
  <c r="F808" i="1" s="1"/>
  <c r="E759" i="1"/>
  <c r="F759" i="1" s="1"/>
  <c r="E404" i="1"/>
  <c r="F404" i="1" s="1"/>
  <c r="E69" i="1"/>
  <c r="F69" i="1" s="1"/>
  <c r="G69" i="1" s="1"/>
  <c r="E72" i="1"/>
  <c r="F72" i="1" s="1"/>
  <c r="G72" i="1" s="1"/>
  <c r="E75" i="1"/>
  <c r="F75" i="1" s="1"/>
  <c r="G75" i="1" s="1"/>
  <c r="E78" i="1"/>
  <c r="F78" i="1" s="1"/>
  <c r="G78" i="1" s="1"/>
  <c r="E81" i="1"/>
  <c r="F81" i="1" s="1"/>
  <c r="G81" i="1" s="1"/>
  <c r="E84" i="1"/>
  <c r="F84" i="1" s="1"/>
  <c r="G84" i="1" s="1"/>
  <c r="E93" i="1"/>
  <c r="F93" i="1" s="1"/>
  <c r="G93" i="1" s="1"/>
  <c r="E96" i="1"/>
  <c r="F96" i="1" s="1"/>
  <c r="G96" i="1" s="1"/>
  <c r="E99" i="1"/>
  <c r="F99" i="1" s="1"/>
  <c r="G99" i="1" s="1"/>
  <c r="E102" i="1"/>
  <c r="F102" i="1" s="1"/>
  <c r="G102" i="1" s="1"/>
  <c r="E688" i="1"/>
  <c r="F688" i="1" s="1"/>
  <c r="E124" i="1"/>
  <c r="F124" i="1" s="1"/>
  <c r="G124" i="1" s="1"/>
  <c r="E506" i="1"/>
  <c r="F506" i="1" s="1"/>
  <c r="E137" i="1"/>
  <c r="F137" i="1" s="1"/>
  <c r="G137" i="1" s="1"/>
  <c r="E432" i="1"/>
  <c r="F432" i="1" s="1"/>
  <c r="G432" i="1" s="1"/>
  <c r="E169" i="1"/>
  <c r="F169" i="1" s="1"/>
  <c r="G169" i="1" s="1"/>
  <c r="E575" i="1"/>
  <c r="F575" i="1" s="1"/>
  <c r="E708" i="1"/>
  <c r="F708" i="1" s="1"/>
  <c r="E684" i="1"/>
  <c r="F684" i="1" s="1"/>
  <c r="E181" i="1"/>
  <c r="F181" i="1" s="1"/>
  <c r="G181" i="1" s="1"/>
  <c r="E849" i="1"/>
  <c r="F849" i="1" s="1"/>
  <c r="E521" i="1"/>
  <c r="F521" i="1" s="1"/>
  <c r="G521" i="1" s="1"/>
  <c r="E615" i="1"/>
  <c r="F615" i="1" s="1"/>
  <c r="E196" i="1"/>
  <c r="F196" i="1" s="1"/>
  <c r="G196" i="1" s="1"/>
  <c r="E348" i="1"/>
  <c r="F348" i="1" s="1"/>
  <c r="G348" i="1" s="1"/>
  <c r="E693" i="1"/>
  <c r="F693" i="1" s="1"/>
  <c r="E354" i="1"/>
  <c r="F354" i="1" s="1"/>
  <c r="G354" i="1" s="1"/>
  <c r="E410" i="1"/>
  <c r="F410" i="1" s="1"/>
  <c r="E121" i="1"/>
  <c r="F121" i="1" s="1"/>
  <c r="G121" i="1" s="1"/>
  <c r="E350" i="1"/>
  <c r="F350" i="1" s="1"/>
  <c r="G561" i="1"/>
  <c r="E801" i="1"/>
  <c r="F801" i="1" s="1"/>
  <c r="E274" i="1"/>
  <c r="F274" i="1" s="1"/>
  <c r="G274" i="1" s="1"/>
  <c r="E647" i="1"/>
  <c r="F647" i="1" s="1"/>
  <c r="E218" i="1"/>
  <c r="F218" i="1" s="1"/>
  <c r="G218" i="1" s="1"/>
  <c r="E391" i="1"/>
  <c r="F391" i="1" s="1"/>
  <c r="E246" i="1"/>
  <c r="F246" i="1" s="1"/>
  <c r="G246" i="1" s="1"/>
  <c r="E280" i="1"/>
  <c r="F280" i="1" s="1"/>
  <c r="G280" i="1" s="1"/>
  <c r="E587" i="1"/>
  <c r="F587" i="1" s="1"/>
  <c r="E316" i="1"/>
  <c r="F316" i="1" s="1"/>
  <c r="G316" i="1" s="1"/>
  <c r="E768" i="1"/>
  <c r="F768" i="1" s="1"/>
  <c r="E478" i="1"/>
  <c r="F478" i="1" s="1"/>
  <c r="G478" i="1" s="1"/>
  <c r="E393" i="1"/>
  <c r="F393" i="1" s="1"/>
  <c r="G393" i="1" s="1"/>
  <c r="G598" i="1"/>
  <c r="E727" i="1"/>
  <c r="F727" i="1" s="1"/>
  <c r="E555" i="1"/>
  <c r="F555" i="1" s="1"/>
  <c r="G555" i="1" s="1"/>
  <c r="E859" i="1"/>
  <c r="F859" i="1" s="1"/>
  <c r="E965" i="1"/>
  <c r="F965" i="1" s="1"/>
  <c r="E918" i="1"/>
  <c r="F918" i="1" s="1"/>
  <c r="E265" i="1"/>
  <c r="F265" i="1" s="1"/>
  <c r="G265" i="1" s="1"/>
  <c r="E709" i="1"/>
  <c r="F709" i="1" s="1"/>
  <c r="E275" i="1"/>
  <c r="F275" i="1" s="1"/>
  <c r="G275" i="1" s="1"/>
  <c r="E896" i="1"/>
  <c r="F896" i="1" s="1"/>
  <c r="E920" i="1"/>
  <c r="F920" i="1" s="1"/>
  <c r="E459" i="1"/>
  <c r="F459" i="1" s="1"/>
  <c r="G459" i="1" s="1"/>
  <c r="G894" i="1"/>
  <c r="G967" i="1"/>
  <c r="G722" i="1"/>
  <c r="G804" i="1"/>
  <c r="E916" i="1"/>
  <c r="F916" i="1" s="1"/>
  <c r="E716" i="1"/>
  <c r="F716" i="1" s="1"/>
  <c r="E229" i="1"/>
  <c r="F229" i="1" s="1"/>
  <c r="G229" i="1" s="1"/>
  <c r="E895" i="1"/>
  <c r="F895" i="1" s="1"/>
  <c r="E252" i="1"/>
  <c r="F252" i="1" s="1"/>
  <c r="G252" i="1" s="1"/>
  <c r="E873" i="1"/>
  <c r="F873" i="1" s="1"/>
  <c r="E115" i="1"/>
  <c r="F115" i="1" s="1"/>
  <c r="G115" i="1" s="1"/>
  <c r="E141" i="1"/>
  <c r="F141" i="1" s="1"/>
  <c r="G141" i="1" s="1"/>
  <c r="E988" i="1"/>
  <c r="F988" i="1" s="1"/>
  <c r="E463" i="1"/>
  <c r="F463" i="1" s="1"/>
  <c r="G463" i="1" s="1"/>
  <c r="E182" i="1"/>
  <c r="F182" i="1" s="1"/>
  <c r="G182" i="1" s="1"/>
  <c r="E825" i="1"/>
  <c r="F825" i="1" s="1"/>
  <c r="G825" i="1" s="1"/>
  <c r="E421" i="1"/>
  <c r="F421" i="1" s="1"/>
  <c r="G421" i="1" s="1"/>
  <c r="E948" i="1"/>
  <c r="F948" i="1" s="1"/>
  <c r="E355" i="1"/>
  <c r="F355" i="1" s="1"/>
  <c r="G355" i="1" s="1"/>
  <c r="E281" i="1"/>
  <c r="F281" i="1" s="1"/>
  <c r="G281" i="1" s="1"/>
  <c r="E333" i="1"/>
  <c r="F333" i="1" s="1"/>
  <c r="G333" i="1" s="1"/>
  <c r="G371" i="1"/>
  <c r="E388" i="1"/>
  <c r="F388" i="1" s="1"/>
  <c r="G388" i="1" s="1"/>
  <c r="E701" i="1"/>
  <c r="F701" i="1" s="1"/>
  <c r="E148" i="1"/>
  <c r="F148" i="1" s="1"/>
  <c r="G148" i="1" s="1"/>
  <c r="E402" i="1"/>
  <c r="F402" i="1" s="1"/>
  <c r="G377" i="1"/>
  <c r="E992" i="1"/>
  <c r="F992" i="1" s="1"/>
  <c r="E436" i="1"/>
  <c r="F436" i="1" s="1"/>
  <c r="G436" i="1" s="1"/>
  <c r="E548" i="1"/>
  <c r="F548" i="1" s="1"/>
  <c r="G548" i="1" s="1"/>
  <c r="E455" i="1"/>
  <c r="F455" i="1" s="1"/>
  <c r="G342" i="1"/>
  <c r="E122" i="1"/>
  <c r="F122" i="1" s="1"/>
  <c r="G122" i="1" s="1"/>
  <c r="E724" i="1"/>
  <c r="F724" i="1" s="1"/>
  <c r="E145" i="1"/>
  <c r="F145" i="1" s="1"/>
  <c r="G145" i="1" s="1"/>
  <c r="E198" i="1"/>
  <c r="F198" i="1" s="1"/>
  <c r="G198" i="1" s="1"/>
  <c r="G477" i="1"/>
  <c r="E266" i="1"/>
  <c r="F266" i="1" s="1"/>
  <c r="G266" i="1" s="1"/>
  <c r="E276" i="1"/>
  <c r="F276" i="1" s="1"/>
  <c r="G276" i="1" s="1"/>
  <c r="E952" i="1"/>
  <c r="F952" i="1" s="1"/>
  <c r="E767" i="1"/>
  <c r="F767" i="1" s="1"/>
  <c r="E293" i="1"/>
  <c r="F293" i="1" s="1"/>
  <c r="G293" i="1" s="1"/>
  <c r="G303" i="1"/>
  <c r="E837" i="1"/>
  <c r="F837" i="1" s="1"/>
  <c r="E378" i="1"/>
  <c r="F378" i="1" s="1"/>
  <c r="G378" i="1" s="1"/>
  <c r="E697" i="1"/>
  <c r="F697" i="1" s="1"/>
  <c r="G697" i="1" s="1"/>
  <c r="E695" i="1"/>
  <c r="F695" i="1" s="1"/>
  <c r="G695" i="1" s="1"/>
  <c r="G646" i="1"/>
  <c r="E336" i="1"/>
  <c r="F336" i="1" s="1"/>
  <c r="G336" i="1" s="1"/>
  <c r="E664" i="1"/>
  <c r="F664" i="1" s="1"/>
  <c r="E349" i="1"/>
  <c r="F349" i="1" s="1"/>
  <c r="G349" i="1" s="1"/>
  <c r="E373" i="1"/>
  <c r="F373" i="1" s="1"/>
  <c r="G373" i="1" s="1"/>
  <c r="E667" i="1"/>
  <c r="F667" i="1" s="1"/>
  <c r="G954" i="1"/>
  <c r="E993" i="1"/>
  <c r="F993" i="1" s="1"/>
  <c r="E495" i="1"/>
  <c r="F495" i="1" s="1"/>
  <c r="G495" i="1" s="1"/>
  <c r="E557" i="1"/>
  <c r="F557" i="1" s="1"/>
  <c r="E510" i="1"/>
  <c r="F510" i="1" s="1"/>
  <c r="G510" i="1" s="1"/>
  <c r="E819" i="1"/>
  <c r="F819" i="1" s="1"/>
  <c r="E884" i="1"/>
  <c r="F884" i="1" s="1"/>
  <c r="E525" i="1"/>
  <c r="F525" i="1" s="1"/>
  <c r="G525" i="1" s="1"/>
  <c r="E775" i="1"/>
  <c r="F775" i="1" s="1"/>
  <c r="E530" i="1"/>
  <c r="F530" i="1" s="1"/>
  <c r="G530" i="1" s="1"/>
  <c r="G544" i="1"/>
  <c r="G519" i="1"/>
  <c r="G622" i="1"/>
  <c r="G676" i="1"/>
  <c r="G769" i="1"/>
  <c r="E300" i="1"/>
  <c r="F300" i="1" s="1"/>
  <c r="E260" i="1"/>
  <c r="F260" i="1" s="1"/>
  <c r="G260" i="1" s="1"/>
  <c r="C8" i="2" s="1" a="1"/>
  <c r="C8" i="2" s="1"/>
  <c r="G674" i="1"/>
  <c r="G984" i="1"/>
  <c r="E641" i="1"/>
  <c r="F641" i="1" s="1"/>
  <c r="E338" i="1"/>
  <c r="F338" i="1" s="1"/>
  <c r="G338" i="1" s="1"/>
  <c r="E503" i="1"/>
  <c r="F503" i="1" s="1"/>
  <c r="G503" i="1" s="1"/>
  <c r="E511" i="1"/>
  <c r="F511" i="1" s="1"/>
  <c r="G511" i="1" s="1"/>
  <c r="E540" i="1"/>
  <c r="F540" i="1" s="1"/>
  <c r="G540" i="1" s="1"/>
  <c r="E573" i="1"/>
  <c r="F573" i="1" s="1"/>
  <c r="G573" i="1" s="1"/>
  <c r="E747" i="1"/>
  <c r="F747" i="1" s="1"/>
  <c r="E395" i="1"/>
  <c r="F395" i="1" s="1"/>
  <c r="G395" i="1" s="1"/>
  <c r="E721" i="1"/>
  <c r="F721" i="1" s="1"/>
  <c r="E482" i="1"/>
  <c r="F482" i="1" s="1"/>
  <c r="G482" i="1" s="1"/>
  <c r="E576" i="1"/>
  <c r="F576" i="1" s="1"/>
  <c r="E487" i="1"/>
  <c r="F487" i="1" s="1"/>
  <c r="G487" i="1" s="1"/>
  <c r="E536" i="1"/>
  <c r="F536" i="1" s="1"/>
  <c r="G536" i="1" s="1"/>
  <c r="E257" i="1"/>
  <c r="F257" i="1" s="1"/>
  <c r="G257" i="1" s="1"/>
  <c r="E694" i="1"/>
  <c r="F694" i="1" s="1"/>
  <c r="E408" i="1"/>
  <c r="F408" i="1" s="1"/>
  <c r="G408" i="1" s="1"/>
  <c r="E271" i="1"/>
  <c r="F271" i="1" s="1"/>
  <c r="G271" i="1" s="1"/>
  <c r="E817" i="1"/>
  <c r="F817" i="1" s="1"/>
  <c r="E805" i="1"/>
  <c r="F805" i="1" s="1"/>
  <c r="E323" i="1"/>
  <c r="F323" i="1" s="1"/>
  <c r="G323" i="1" s="1"/>
  <c r="E592" i="1"/>
  <c r="F592" i="1" s="1"/>
  <c r="E347" i="1"/>
  <c r="F347" i="1" s="1"/>
  <c r="G347" i="1" s="1"/>
  <c r="E874" i="1"/>
  <c r="F874" i="1" s="1"/>
  <c r="E940" i="1"/>
  <c r="F940" i="1" s="1"/>
  <c r="E359" i="1"/>
  <c r="F359" i="1" s="1"/>
  <c r="G359" i="1" s="1"/>
  <c r="E657" i="1"/>
  <c r="F657" i="1" s="1"/>
  <c r="E458" i="1"/>
  <c r="F458" i="1" s="1"/>
  <c r="G458" i="1" s="1"/>
  <c r="E857" i="1"/>
  <c r="F857" i="1" s="1"/>
  <c r="E396" i="1"/>
  <c r="F396" i="1" s="1"/>
  <c r="G396" i="1" s="1"/>
  <c r="E930" i="1"/>
  <c r="F930" i="1" s="1"/>
  <c r="G930" i="1" s="1"/>
  <c r="E400" i="1"/>
  <c r="F400" i="1" s="1"/>
  <c r="G400" i="1" s="1"/>
  <c r="E426" i="1"/>
  <c r="F426" i="1" s="1"/>
  <c r="E430" i="1"/>
  <c r="F430" i="1" s="1"/>
  <c r="G430" i="1" s="1"/>
  <c r="E996" i="1"/>
  <c r="F996" i="1" s="1"/>
  <c r="G996" i="1" s="1"/>
  <c r="E532" i="1"/>
  <c r="F532" i="1" s="1"/>
  <c r="G532" i="1" s="1"/>
  <c r="E974" i="1"/>
  <c r="F974" i="1" s="1"/>
  <c r="E635" i="1"/>
  <c r="F635" i="1" s="1"/>
  <c r="G635" i="1" s="1"/>
  <c r="G742" i="1"/>
  <c r="G956" i="1"/>
  <c r="E913" i="1"/>
  <c r="F913" i="1" s="1"/>
  <c r="E611" i="1"/>
  <c r="F611" i="1" s="1"/>
  <c r="G611" i="1" s="1"/>
  <c r="E763" i="1"/>
  <c r="F763" i="1" s="1"/>
  <c r="E623" i="1"/>
  <c r="F623" i="1" s="1"/>
  <c r="E786" i="1"/>
  <c r="F786" i="1" s="1"/>
  <c r="E216" i="1"/>
  <c r="F216" i="1" s="1"/>
  <c r="G216" i="1" s="1"/>
  <c r="E368" i="1"/>
  <c r="F368" i="1" s="1"/>
  <c r="G368" i="1" s="1"/>
  <c r="E440" i="1"/>
  <c r="F440" i="1" s="1"/>
  <c r="G440" i="1" s="1"/>
  <c r="D12" i="2" s="1" a="1"/>
  <c r="D12" i="2" s="1"/>
  <c r="G957" i="1"/>
  <c r="E547" i="1"/>
  <c r="F547" i="1" s="1"/>
  <c r="G547" i="1" s="1"/>
  <c r="E980" i="1"/>
  <c r="F980" i="1" s="1"/>
  <c r="E704" i="1"/>
  <c r="F704" i="1" s="1"/>
  <c r="E911" i="1"/>
  <c r="F911" i="1" s="1"/>
  <c r="E599" i="1"/>
  <c r="F599" i="1" s="1"/>
  <c r="G599" i="1" s="1"/>
  <c r="G799" i="1"/>
  <c r="E620" i="1"/>
  <c r="F620" i="1" s="1"/>
  <c r="G620" i="1" s="1"/>
  <c r="E624" i="1"/>
  <c r="F624" i="1" s="1"/>
  <c r="G624" i="1" s="1"/>
  <c r="G762" i="1"/>
  <c r="E520" i="1"/>
  <c r="F520" i="1" s="1"/>
  <c r="E794" i="1"/>
  <c r="F794" i="1" s="1"/>
  <c r="E642" i="1"/>
  <c r="F642" i="1" s="1"/>
  <c r="G642" i="1" s="1"/>
  <c r="E835" i="1"/>
  <c r="F835" i="1" s="1"/>
  <c r="E621" i="1"/>
  <c r="F621" i="1" s="1"/>
  <c r="G621" i="1" s="1"/>
  <c r="E772" i="1"/>
  <c r="F772" i="1" s="1"/>
  <c r="E534" i="1"/>
  <c r="F534" i="1" s="1"/>
  <c r="G534" i="1" s="1"/>
  <c r="E903" i="1"/>
  <c r="F903" i="1" s="1"/>
  <c r="G903" i="1" s="1"/>
  <c r="E962" i="1"/>
  <c r="F962" i="1" s="1"/>
  <c r="G945" i="1"/>
  <c r="D11" i="2" s="1" a="1"/>
  <c r="D11" i="2" s="1"/>
  <c r="G926" i="1"/>
  <c r="E593" i="1"/>
  <c r="F593" i="1" s="1"/>
  <c r="G593" i="1" s="1"/>
  <c r="G947" i="1"/>
  <c r="G806" i="1"/>
  <c r="G739" i="1"/>
  <c r="G843" i="1"/>
  <c r="E671" i="1"/>
  <c r="F671" i="1" s="1"/>
  <c r="G671" i="1" s="1"/>
  <c r="G906" i="1"/>
  <c r="E946" i="1"/>
  <c r="F946" i="1" s="1"/>
  <c r="G946" i="1" s="1"/>
  <c r="E644" i="1"/>
  <c r="F644" i="1" s="1"/>
  <c r="G644" i="1" s="1"/>
  <c r="E892" i="1"/>
  <c r="F892" i="1" s="1"/>
  <c r="E915" i="1"/>
  <c r="F915" i="1" s="1"/>
  <c r="E606" i="1"/>
  <c r="F606" i="1" s="1"/>
  <c r="G606" i="1" s="1"/>
  <c r="E618" i="1"/>
  <c r="F618" i="1" s="1"/>
  <c r="G717" i="1"/>
  <c r="E964" i="1"/>
  <c r="F964" i="1" s="1"/>
  <c r="E729" i="1"/>
  <c r="F729" i="1" s="1"/>
  <c r="G729" i="1" s="1"/>
  <c r="G852" i="1"/>
  <c r="G929" i="1"/>
  <c r="G827" i="1"/>
  <c r="G977" i="1"/>
  <c r="E935" i="1"/>
  <c r="F935" i="1" s="1"/>
  <c r="G935" i="1" s="1"/>
  <c r="E713" i="1"/>
  <c r="F713" i="1" s="1"/>
  <c r="G713" i="1" s="1"/>
  <c r="G950" i="1"/>
  <c r="E770" i="1"/>
  <c r="F770" i="1" s="1"/>
  <c r="G770" i="1" s="1"/>
  <c r="E908" i="1"/>
  <c r="F908" i="1" s="1"/>
  <c r="G908" i="1" s="1"/>
  <c r="E910" i="1"/>
  <c r="F910" i="1" s="1"/>
  <c r="G910" i="1" s="1"/>
  <c r="E999" i="1"/>
  <c r="F999" i="1" s="1"/>
  <c r="G999" i="1" s="1"/>
  <c r="E971" i="1"/>
  <c r="F971" i="1" s="1"/>
  <c r="G971" i="1" s="1"/>
  <c r="E863" i="1"/>
  <c r="F863" i="1" s="1"/>
  <c r="E784" i="1"/>
  <c r="F784" i="1" s="1"/>
  <c r="G784" i="1" s="1"/>
  <c r="G876" i="1"/>
  <c r="E899" i="1"/>
  <c r="F899" i="1" s="1"/>
  <c r="G899" i="1" s="1"/>
  <c r="G939" i="1"/>
  <c r="E937" i="1"/>
  <c r="F937" i="1" s="1"/>
  <c r="G937" i="1" s="1"/>
  <c r="E865" i="1"/>
  <c r="F865" i="1" s="1"/>
  <c r="G865" i="1" s="1"/>
  <c r="E665" i="1"/>
  <c r="F665" i="1" s="1"/>
  <c r="G665" i="1" s="1"/>
  <c r="G7" i="2" l="1" a="1"/>
  <c r="G7" i="2" s="1"/>
  <c r="K4" i="2" a="1"/>
  <c r="K4" i="2" s="1"/>
  <c r="J4" i="2" a="1"/>
  <c r="J4" i="2" s="1"/>
  <c r="G623" i="1"/>
  <c r="G747" i="1"/>
  <c r="G993" i="1"/>
  <c r="G660" i="1"/>
  <c r="G476" i="1"/>
  <c r="G829" i="1"/>
  <c r="D13" i="2" s="1" a="1"/>
  <c r="D13" i="2" s="1"/>
  <c r="G566" i="1"/>
  <c r="G768" i="1"/>
  <c r="G777" i="1"/>
  <c r="G755" i="1"/>
  <c r="G704" i="1"/>
  <c r="G916" i="1"/>
  <c r="G1000" i="1"/>
  <c r="C5" i="2" s="1" a="1"/>
  <c r="C5" i="2" s="1"/>
  <c r="G106" i="1"/>
  <c r="E4" i="2" s="1" a="1"/>
  <c r="E4" i="2" s="1"/>
  <c r="G205" i="1"/>
  <c r="D9" i="2" s="1" a="1"/>
  <c r="D9" i="2" s="1"/>
  <c r="G817" i="1"/>
  <c r="G911" i="1"/>
  <c r="G941" i="1"/>
  <c r="G851" i="1"/>
  <c r="G439" i="1"/>
  <c r="D8" i="2" s="1" a="1"/>
  <c r="D8" i="2" s="1"/>
  <c r="G406" i="1"/>
  <c r="G641" i="1"/>
  <c r="G581" i="1"/>
  <c r="G861" i="1"/>
  <c r="G448" i="1"/>
  <c r="G774" i="1"/>
  <c r="G223" i="1"/>
  <c r="C13" i="2" s="1" a="1"/>
  <c r="C13" i="2" s="1"/>
  <c r="G520" i="1"/>
  <c r="G877" i="1"/>
  <c r="G261" i="1"/>
  <c r="K6" i="2" s="1" a="1"/>
  <c r="K6" i="2" s="1"/>
  <c r="G422" i="1"/>
  <c r="J5" i="2" s="1" a="1"/>
  <c r="J5" i="2" s="1"/>
  <c r="G453" i="1"/>
  <c r="G572" i="1"/>
  <c r="G915" i="1"/>
  <c r="G592" i="1"/>
  <c r="G721" i="1"/>
  <c r="G335" i="1"/>
  <c r="H8" i="2" s="1" a="1"/>
  <c r="H8" i="2" s="1"/>
  <c r="G826" i="1"/>
  <c r="G258" i="1"/>
  <c r="G835" i="1"/>
  <c r="G657" i="1"/>
  <c r="F9" i="2" s="1" a="1"/>
  <c r="F9" i="2" s="1"/>
  <c r="G694" i="1"/>
  <c r="G917" i="1"/>
  <c r="F7" i="2" s="1" a="1"/>
  <c r="F7" i="2" s="1"/>
  <c r="G727" i="1"/>
  <c r="G706" i="1"/>
  <c r="G460" i="1"/>
  <c r="G723" i="1"/>
  <c r="C7" i="2" s="1" a="1"/>
  <c r="C7" i="2" s="1"/>
  <c r="G612" i="1"/>
  <c r="G455" i="1"/>
  <c r="G600" i="1"/>
  <c r="G565" i="1"/>
  <c r="G382" i="1"/>
  <c r="G842" i="1"/>
  <c r="J7" i="2" s="1" a="1"/>
  <c r="J7" i="2" s="1"/>
  <c r="G699" i="1"/>
  <c r="G794" i="1"/>
  <c r="G895" i="1"/>
  <c r="G801" i="1"/>
  <c r="G983" i="1"/>
  <c r="G964" i="1"/>
  <c r="G480" i="1"/>
  <c r="G139" i="1"/>
  <c r="K5" i="2" s="1" a="1"/>
  <c r="K5" i="2" s="1"/>
  <c r="G230" i="1"/>
  <c r="D7" i="2" s="1" a="1"/>
  <c r="D7" i="2" s="1"/>
  <c r="G155" i="1"/>
  <c r="G690" i="1"/>
  <c r="G972" i="1"/>
  <c r="F8" i="2" s="1" a="1"/>
  <c r="F8" i="2" s="1"/>
  <c r="G890" i="1"/>
  <c r="B15" i="3"/>
  <c r="B16" i="3"/>
  <c r="G686" i="1"/>
  <c r="G64" i="1"/>
  <c r="G888" i="1"/>
  <c r="G414" i="1"/>
  <c r="G786" i="1"/>
  <c r="G884" i="1"/>
  <c r="G587" i="1"/>
  <c r="E6" i="2" s="1" a="1"/>
  <c r="E6" i="2" s="1"/>
  <c r="G575" i="1"/>
  <c r="G370" i="1"/>
  <c r="G868" i="1"/>
  <c r="G720" i="1"/>
  <c r="G738" i="1"/>
  <c r="G819" i="1"/>
  <c r="I7" i="2" s="1" a="1"/>
  <c r="I7" i="2" s="1"/>
  <c r="G683" i="1"/>
  <c r="G285" i="1"/>
  <c r="H4" i="2" s="1" a="1"/>
  <c r="H4" i="2" s="1"/>
  <c r="G410" i="1"/>
  <c r="G757" i="1"/>
  <c r="G60" i="1"/>
  <c r="B8" i="2" s="1" a="1"/>
  <c r="B8" i="2" s="1"/>
  <c r="G233" i="1"/>
  <c r="B9" i="2" s="1" a="1"/>
  <c r="B9" i="2" s="1"/>
  <c r="G473" i="1"/>
  <c r="I8" i="2" s="1" a="1"/>
  <c r="I8" i="2" s="1"/>
  <c r="G226" i="1"/>
  <c r="B10" i="2" s="1" a="1"/>
  <c r="B10" i="2" s="1"/>
  <c r="G875" i="1"/>
  <c r="E11" i="2" s="1" a="1"/>
  <c r="E11" i="2" s="1"/>
  <c r="G244" i="1"/>
  <c r="G384" i="1"/>
  <c r="G701" i="1"/>
  <c r="G965" i="1"/>
  <c r="G693" i="1"/>
  <c r="G682" i="1"/>
  <c r="G730" i="1"/>
  <c r="G696" i="1"/>
  <c r="G504" i="1"/>
  <c r="G904" i="1"/>
  <c r="F5" i="2" s="1" a="1"/>
  <c r="F5" i="2" s="1"/>
  <c r="G797" i="1"/>
  <c r="C10" i="2" s="1" a="1"/>
  <c r="C10" i="2" s="1"/>
  <c r="G913" i="1"/>
  <c r="G857" i="1"/>
  <c r="G902" i="1"/>
  <c r="G724" i="1"/>
  <c r="G732" i="1"/>
  <c r="G391" i="1"/>
  <c r="G506" i="1"/>
  <c r="G562" i="1"/>
  <c r="G501" i="1"/>
  <c r="D4" i="2" s="1" a="1"/>
  <c r="D4" i="2" s="1"/>
  <c r="G608" i="1"/>
  <c r="G850" i="1"/>
  <c r="G995" i="1"/>
  <c r="G892" i="1"/>
  <c r="G974" i="1"/>
  <c r="G940" i="1"/>
  <c r="G859" i="1"/>
  <c r="G796" i="1"/>
  <c r="G294" i="1"/>
  <c r="G982" i="1"/>
  <c r="G698" i="1"/>
  <c r="G749" i="1"/>
  <c r="G942" i="1"/>
  <c r="G539" i="1"/>
  <c r="G989" i="1"/>
  <c r="G962" i="1"/>
  <c r="G874" i="1"/>
  <c r="G765" i="1"/>
  <c r="G837" i="1"/>
  <c r="G873" i="1"/>
  <c r="G893" i="1"/>
  <c r="G287" i="1"/>
  <c r="G743" i="1"/>
  <c r="G901" i="1"/>
  <c r="G764" i="1"/>
  <c r="G451" i="1"/>
  <c r="G423" i="1"/>
  <c r="C9" i="2" s="1" a="1"/>
  <c r="C9" i="2" s="1"/>
  <c r="G879" i="1"/>
  <c r="G8" i="2" s="1" a="1"/>
  <c r="G8" i="2" s="1"/>
  <c r="G239" i="1"/>
  <c r="B5" i="2" s="1" a="1"/>
  <c r="B5" i="2" s="1"/>
  <c r="G959" i="1"/>
  <c r="G667" i="1"/>
  <c r="G680" i="1"/>
  <c r="G447" i="1"/>
  <c r="G379" i="1"/>
  <c r="G766" i="1"/>
  <c r="D5" i="2" s="1" a="1"/>
  <c r="D5" i="2" s="1"/>
  <c r="G464" i="1"/>
  <c r="G9" i="2" s="1" a="1"/>
  <c r="G9" i="2" s="1"/>
  <c r="G221" i="1"/>
  <c r="G208" i="1"/>
  <c r="B12" i="2" s="1" a="1"/>
  <c r="B12" i="2" s="1"/>
  <c r="G772" i="1"/>
  <c r="G763" i="1"/>
  <c r="G426" i="1"/>
  <c r="G576" i="1"/>
  <c r="G775" i="1"/>
  <c r="G767" i="1"/>
  <c r="G948" i="1"/>
  <c r="G920" i="1"/>
  <c r="G590" i="1"/>
  <c r="E9" i="2" s="1" a="1"/>
  <c r="E9" i="2" s="1"/>
  <c r="G647" i="1"/>
  <c r="B13" i="2" s="1" a="1"/>
  <c r="B13" i="2" s="1"/>
  <c r="G404" i="1"/>
  <c r="G551" i="1"/>
  <c r="G705" i="1"/>
  <c r="G792" i="1"/>
  <c r="G178" i="1"/>
  <c r="G302" i="1"/>
  <c r="G10" i="2" s="1" a="1"/>
  <c r="G10" i="2" s="1"/>
  <c r="G756" i="1"/>
  <c r="G278" i="1"/>
  <c r="G527" i="1"/>
  <c r="G445" i="1"/>
  <c r="G943" i="1"/>
  <c r="G863" i="1"/>
  <c r="G980" i="1"/>
  <c r="G805" i="1"/>
  <c r="G664" i="1"/>
  <c r="G952" i="1"/>
  <c r="G992" i="1"/>
  <c r="G716" i="1"/>
  <c r="G896" i="1"/>
  <c r="G399" i="1"/>
  <c r="G615" i="1"/>
  <c r="G688" i="1"/>
  <c r="G759" i="1"/>
  <c r="G668" i="1"/>
  <c r="G936" i="1"/>
  <c r="G232" i="1"/>
  <c r="G516" i="1"/>
  <c r="G570" i="1"/>
  <c r="G840" i="1"/>
  <c r="G321" i="1"/>
  <c r="G417" i="1"/>
  <c r="G543" i="1"/>
  <c r="G92" i="1"/>
  <c r="B7" i="2" s="1" a="1"/>
  <c r="B7" i="2" s="1"/>
  <c r="G808" i="1"/>
  <c r="G475" i="1"/>
  <c r="G5" i="2" s="1" a="1"/>
  <c r="G5" i="2" s="1"/>
  <c r="G286" i="1"/>
  <c r="G4" i="2" s="1" a="1"/>
  <c r="G4" i="2" s="1"/>
  <c r="G339" i="1"/>
  <c r="B4" i="2" s="1" a="1"/>
  <c r="B4" i="2" s="1"/>
  <c r="G179" i="1"/>
  <c r="C6" i="2" s="1" a="1"/>
  <c r="C6" i="2" s="1"/>
  <c r="G891" i="1"/>
  <c r="G847" i="1"/>
  <c r="G300" i="1"/>
  <c r="G402" i="1"/>
  <c r="D6" i="2" s="1" a="1"/>
  <c r="D6" i="2" s="1"/>
  <c r="G709" i="1"/>
  <c r="G849" i="1"/>
  <c r="G325" i="1"/>
  <c r="M4" i="2" s="1" a="1"/>
  <c r="M4" i="2" s="1"/>
  <c r="G479" i="1"/>
  <c r="G380" i="1"/>
  <c r="E5" i="2" s="1" a="1"/>
  <c r="E5" i="2" s="1"/>
  <c r="G656" i="1"/>
  <c r="G1001" i="1"/>
  <c r="G171" i="1"/>
  <c r="H9" i="2" s="1" a="1"/>
  <c r="H9" i="2" s="1"/>
  <c r="G602" i="1"/>
  <c r="G866" i="1"/>
  <c r="G111" i="1"/>
  <c r="C4" i="2" s="1" a="1"/>
  <c r="C4" i="2" s="1"/>
  <c r="G509" i="1"/>
  <c r="F10" i="2" s="1" a="1"/>
  <c r="F10" i="2" s="1"/>
  <c r="G206" i="1"/>
  <c r="G655" i="1"/>
  <c r="G803" i="1"/>
  <c r="C12" i="2" s="1" a="1"/>
  <c r="C12" i="2" s="1"/>
  <c r="G364" i="1"/>
  <c r="G418" i="1"/>
  <c r="H7" i="2" s="1" a="1"/>
  <c r="H7" i="2" s="1"/>
  <c r="G431" i="1"/>
  <c r="F11" i="2" s="1" a="1"/>
  <c r="F11" i="2" s="1"/>
  <c r="G627" i="1"/>
  <c r="G53" i="1"/>
  <c r="G618" i="1"/>
  <c r="G579" i="1"/>
  <c r="E8" i="2" s="1" a="1"/>
  <c r="E8" i="2" s="1"/>
  <c r="G789" i="1"/>
  <c r="G557" i="1"/>
  <c r="G988" i="1"/>
  <c r="G918" i="1"/>
  <c r="E10" i="2" s="1" a="1"/>
  <c r="E10" i="2" s="1"/>
  <c r="G350" i="1"/>
  <c r="G684" i="1"/>
  <c r="B11" i="2" s="1" a="1"/>
  <c r="B11" i="2" s="1"/>
  <c r="G979" i="1"/>
  <c r="G927" i="1"/>
  <c r="G6" i="2" s="1" a="1"/>
  <c r="G6" i="2" s="1"/>
  <c r="G681" i="1"/>
  <c r="G238" i="1"/>
  <c r="L5" i="2" s="1" a="1"/>
  <c r="L5" i="2" s="1"/>
  <c r="G651" i="1"/>
  <c r="G639" i="1"/>
  <c r="G485" i="1"/>
  <c r="G267" i="1"/>
  <c r="C11" i="2" s="1" a="1"/>
  <c r="C11" i="2" s="1"/>
  <c r="G351" i="1"/>
  <c r="G515" i="1"/>
  <c r="G494" i="1"/>
  <c r="G365" i="1"/>
  <c r="I6" i="2" s="1" a="1"/>
  <c r="I6" i="2" s="1"/>
  <c r="G905" i="1"/>
  <c r="G80" i="1"/>
  <c r="I5" i="2" s="1" a="1"/>
  <c r="I5" i="2" s="1"/>
  <c r="G708" i="1"/>
  <c r="G301" i="1"/>
  <c r="G526" i="1"/>
  <c r="H6" i="2" s="1" a="1"/>
  <c r="H6" i="2" s="1"/>
  <c r="G931" i="1"/>
  <c r="G469" i="1"/>
  <c r="G434" i="1"/>
  <c r="G702" i="1"/>
  <c r="G815" i="1"/>
  <c r="G215" i="1"/>
  <c r="E7" i="2" s="1" a="1"/>
  <c r="E7" i="2" s="1"/>
  <c r="E12" i="2" l="1" a="1"/>
  <c r="E12" i="2" s="1"/>
  <c r="F6" i="2" a="1"/>
  <c r="F6" i="2" s="1"/>
  <c r="L4" i="2" a="1"/>
  <c r="L4" i="2" s="1"/>
  <c r="D10" i="2" a="1"/>
  <c r="D10" i="2" s="1"/>
  <c r="I4" i="2" a="1"/>
  <c r="I4" i="2" s="1"/>
  <c r="H5" i="2" a="1"/>
  <c r="H5" i="2" s="1"/>
  <c r="H6" i="3" s="1"/>
  <c r="F4" i="2" a="1"/>
  <c r="F4" i="2" s="1"/>
  <c r="B13" i="3"/>
  <c r="B6" i="2" a="1"/>
  <c r="B6" i="2" s="1"/>
  <c r="B7" i="3" s="1"/>
  <c r="B6" i="3"/>
  <c r="B11" i="3"/>
  <c r="H10" i="3"/>
  <c r="B33" i="2"/>
  <c r="J6" i="3"/>
  <c r="B14" i="3"/>
  <c r="G10" i="3"/>
  <c r="B10" i="3"/>
  <c r="E10" i="3"/>
  <c r="D6" i="3"/>
  <c r="B9" i="3"/>
  <c r="E6" i="3"/>
  <c r="G6" i="3"/>
  <c r="B12" i="3"/>
  <c r="B8" i="3"/>
  <c r="E11" i="3"/>
  <c r="F10" i="3"/>
  <c r="C15" i="3"/>
  <c r="C10" i="3"/>
  <c r="F6" i="3"/>
  <c r="C8" i="3"/>
  <c r="C13" i="3"/>
  <c r="E13" i="3"/>
  <c r="D13" i="3"/>
  <c r="E12" i="3"/>
  <c r="D12" i="3"/>
  <c r="D5" i="3"/>
  <c r="C6" i="3"/>
  <c r="D14" i="3"/>
  <c r="G582" i="1"/>
  <c r="I7" i="3" l="1"/>
  <c r="A3" i="4" a="1"/>
  <c r="A3" i="4" s="1"/>
  <c r="J6" i="2" a="1"/>
  <c r="J6" i="2" s="1"/>
  <c r="J7" i="3" s="1"/>
  <c r="J8" i="3"/>
  <c r="I9" i="3"/>
  <c r="F9" i="3"/>
  <c r="H8" i="3"/>
  <c r="C11" i="3"/>
  <c r="H9" i="3"/>
  <c r="D9" i="3"/>
  <c r="C12" i="3"/>
  <c r="G9" i="3"/>
  <c r="C7" i="3"/>
  <c r="F12" i="3"/>
  <c r="G11" i="3"/>
  <c r="E8" i="3"/>
  <c r="E9" i="3"/>
  <c r="K6" i="3"/>
  <c r="F8" i="3"/>
  <c r="D11" i="3"/>
  <c r="F11" i="3"/>
  <c r="I6" i="3"/>
  <c r="D10" i="3"/>
  <c r="F7" i="3"/>
  <c r="C14" i="3"/>
  <c r="C9" i="3"/>
  <c r="D8" i="3"/>
  <c r="G8" i="3"/>
  <c r="L6" i="3"/>
  <c r="I8" i="3"/>
  <c r="C5" i="3"/>
  <c r="B5" i="3"/>
  <c r="F5" i="3"/>
  <c r="D7" i="3"/>
  <c r="G5" i="3"/>
  <c r="K7" i="3"/>
  <c r="J5" i="3"/>
  <c r="E7" i="3"/>
  <c r="I5" i="3"/>
  <c r="K5" i="3"/>
  <c r="E5" i="3"/>
  <c r="M5" i="3"/>
  <c r="G7" i="3"/>
  <c r="L5" i="3"/>
  <c r="H7" i="3"/>
  <c r="H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<sst xmlns="http://schemas.openxmlformats.org/spreadsheetml/2006/main" count="33" uniqueCount="24">
  <si>
    <t>Raw transactions from cohort_analysis_data.csv (columns A:C exact copy, D:F computed by formulas)</t>
  </si>
  <si>
    <t>CustomerID</t>
  </si>
  <si>
    <t>TransactionDate</t>
  </si>
  <si>
    <t>Sales</t>
  </si>
  <si>
    <t>OrderMonth</t>
  </si>
  <si>
    <t>CohortMonth</t>
  </si>
  <si>
    <t>CohortIndex</t>
  </si>
  <si>
    <t>UniqueInPeriod</t>
  </si>
  <si>
    <t>Unique customers per cohort/period - ALL cells are formulas over Transactions sheet</t>
  </si>
  <si>
    <t>Cohort Analysis: Customer Retention (%) - formulas over Cohorts sheet</t>
  </si>
  <si>
    <t>Cell = Cohorts count / cohort size (Period 0). Chart reads this table.</t>
  </si>
  <si>
    <t>Period 0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</si>
  <si>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</si>
  <si>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</si>
  <si>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</si>
  <si>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</si>
  <si>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</si>
  <si>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</si>
  <si>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</si>
  <si>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</si>
  <si>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</si>
  <si>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</si>
  <si>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</si>
  <si>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Колонка для сортування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</si>
</sst>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"/>
  </numFmts>
  <fonts count="6" x14ac:knownFonts="1">
    <font>
      <sz val="11"/>
      <color theme="1"/>
      <name val="Calibri"/>
      <family val="2"/>
      <charset val="1"/>
    </font>
    <font>
      <b/>
      <sz val="11"/>
      <color rgb="FF333333"/>
      <name val="Calibri"/>
      <charset val="1"/>
    </font>
    <font>
      <b/>
      <sz val="11"/>
      <name val="Calibri"/>
      <charset val="1"/>
    </font>
    <font>
      <b/>
      <sz val="14"/>
      <name val="Calibri"/>
      <charset val="1"/>
    </font>
    <font>
      <i/>
      <sz val="10"/>
      <color rgb="FF555555"/>
      <name val="Calibri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2" fillId="0" borderId="0" xfId="0" applyFont="1"/>
    <xf numFmtId="165" fontId="2" fillId="0" borderId="0" xfId="0" applyNumberFormat="1" applyFont="1"/>
    <xf numFmtId="1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2" fontId="0" fillId="0" borderId="0" xfId="0" applyNumberFormat="1"/>
    <xf numFmtId="0" fontId="5" fillId="0" borderId="0" xfId="0" applyFont="1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left" vertical="bottom" textRotation="0" wrapText="0" indent="0" justifyLastLine="0" shrinkToFit="0" readingOrder="0"/>
    </dxf>
    <dxf>
      <numFmt numFmtId="165" formatCode="yyyy\-mm"/>
    </dxf>
    <dxf>
      <numFmt numFmtId="165" formatCode="yyyy\-mm"/>
    </dxf>
    <dxf>
      <numFmt numFmtId="164" formatCode="yyyy\-mm\-dd\ hh:mm:ss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8EA5CA"/>
      <rgbColor rgb="FFAA433F"/>
      <rgbColor rgb="FFFFFF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BFD2"/>
      <rgbColor rgb="FFFF99CC"/>
      <rgbColor rgb="FFCC99FF"/>
      <rgbColor rgb="FFF5B08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Retention curves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Retention!$A$5</c:f>
              <c:strCache>
                <c:ptCount val="1"/>
                <c:pt idx="0">
                  <c:v>2024-01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Retention!$B$5:$M$5</c:f>
              <c:numCache>
                <c:formatCode>0%</c:formatCode>
                <c:ptCount val="12"/>
                <c:pt idx="0">
                  <c:v>1</c:v>
                </c:pt>
                <c:pt idx="1">
                  <c:v>4.7619047619047616E-2</c:v>
                </c:pt>
                <c:pt idx="2">
                  <c:v>5.9523809523809521E-2</c:v>
                </c:pt>
                <c:pt idx="3">
                  <c:v>4.7619047619047616E-2</c:v>
                </c:pt>
                <c:pt idx="4">
                  <c:v>8.3333333333333329E-2</c:v>
                </c:pt>
                <c:pt idx="5">
                  <c:v>7.1428571428571425E-2</c:v>
                </c:pt>
                <c:pt idx="6">
                  <c:v>5.9523809523809521E-2</c:v>
                </c:pt>
                <c:pt idx="7">
                  <c:v>7.1428571428571425E-2</c:v>
                </c:pt>
                <c:pt idx="8">
                  <c:v>5.9523809523809521E-2</c:v>
                </c:pt>
                <c:pt idx="9">
                  <c:v>0.11904761904761904</c:v>
                </c:pt>
                <c:pt idx="10">
                  <c:v>0.11904761904761904</c:v>
                </c:pt>
                <c:pt idx="11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2-4E8A-836A-FAD6B88814EF}"/>
            </c:ext>
          </c:extLst>
        </c:ser>
        <c:ser>
          <c:idx val="1"/>
          <c:order val="1"/>
          <c:tx>
            <c:strRef>
              <c:f>Retention!$A$6</c:f>
              <c:strCache>
                <c:ptCount val="1"/>
                <c:pt idx="0">
                  <c:v>2024-02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Retention!$B$6:$L$6</c:f>
              <c:numCache>
                <c:formatCode>0%</c:formatCode>
                <c:ptCount val="11"/>
                <c:pt idx="0">
                  <c:v>1</c:v>
                </c:pt>
                <c:pt idx="1">
                  <c:v>5.128205128205128E-2</c:v>
                </c:pt>
                <c:pt idx="2">
                  <c:v>8.9743589743589744E-2</c:v>
                </c:pt>
                <c:pt idx="3">
                  <c:v>8.9743589743589744E-2</c:v>
                </c:pt>
                <c:pt idx="4">
                  <c:v>0.10256410256410256</c:v>
                </c:pt>
                <c:pt idx="5">
                  <c:v>3.8461538461538464E-2</c:v>
                </c:pt>
                <c:pt idx="6">
                  <c:v>6.4102564102564097E-2</c:v>
                </c:pt>
                <c:pt idx="7">
                  <c:v>8.9743589743589744E-2</c:v>
                </c:pt>
                <c:pt idx="8">
                  <c:v>0.10256410256410256</c:v>
                </c:pt>
                <c:pt idx="9">
                  <c:v>7.6923076923076927E-2</c:v>
                </c:pt>
                <c:pt idx="10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2-4E8A-836A-FAD6B88814EF}"/>
            </c:ext>
          </c:extLst>
        </c:ser>
        <c:ser>
          <c:idx val="2"/>
          <c:order val="2"/>
          <c:tx>
            <c:strRef>
              <c:f>Retention!$A$7</c:f>
              <c:strCache>
                <c:ptCount val="1"/>
                <c:pt idx="0">
                  <c:v>2024-03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Retention!$B$7:$K$7</c:f>
              <c:numCache>
                <c:formatCode>0%</c:formatCode>
                <c:ptCount val="10"/>
                <c:pt idx="0">
                  <c:v>1</c:v>
                </c:pt>
                <c:pt idx="1">
                  <c:v>0.13043478260869565</c:v>
                </c:pt>
                <c:pt idx="2">
                  <c:v>0.10144927536231885</c:v>
                </c:pt>
                <c:pt idx="3">
                  <c:v>7.2463768115942032E-2</c:v>
                </c:pt>
                <c:pt idx="4">
                  <c:v>5.7971014492753624E-2</c:v>
                </c:pt>
                <c:pt idx="5">
                  <c:v>8.6956521739130432E-2</c:v>
                </c:pt>
                <c:pt idx="6">
                  <c:v>7.2463768115942032E-2</c:v>
                </c:pt>
                <c:pt idx="7">
                  <c:v>0.11594202898550725</c:v>
                </c:pt>
                <c:pt idx="8">
                  <c:v>8.6956521739130432E-2</c:v>
                </c:pt>
                <c:pt idx="9">
                  <c:v>4.3478260869565216E-2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2-4E8A-836A-FAD6B88814EF}"/>
            </c:ext>
          </c:extLst>
        </c:ser>
        <c:ser>
          <c:idx val="3"/>
          <c:order val="3"/>
          <c:tx>
            <c:strRef>
              <c:f>Retention!$A$8</c:f>
              <c:strCache>
                <c:ptCount val="1"/>
                <c:pt idx="0">
                  <c:v>2024-04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Retention!$B$8:$J$8</c:f>
              <c:numCache>
                <c:formatCode>0%</c:formatCode>
                <c:ptCount val="9"/>
                <c:pt idx="0">
                  <c:v>1</c:v>
                </c:pt>
                <c:pt idx="1">
                  <c:v>9.8360655737704916E-2</c:v>
                </c:pt>
                <c:pt idx="2">
                  <c:v>8.1967213114754092E-2</c:v>
                </c:pt>
                <c:pt idx="3">
                  <c:v>9.8360655737704916E-2</c:v>
                </c:pt>
                <c:pt idx="4">
                  <c:v>6.5573770491803282E-2</c:v>
                </c:pt>
                <c:pt idx="5">
                  <c:v>3.2786885245901641E-2</c:v>
                </c:pt>
                <c:pt idx="6">
                  <c:v>9.8360655737704916E-2</c:v>
                </c:pt>
                <c:pt idx="7">
                  <c:v>4.9180327868852458E-2</c:v>
                </c:pt>
                <c:pt idx="8">
                  <c:v>8.1967213114754092E-2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C2-4E8A-836A-FAD6B88814EF}"/>
            </c:ext>
          </c:extLst>
        </c:ser>
        <c:ser>
          <c:idx val="4"/>
          <c:order val="4"/>
          <c:tx>
            <c:strRef>
              <c:f>Retention!$A$9</c:f>
              <c:strCache>
                <c:ptCount val="1"/>
                <c:pt idx="0">
                  <c:v>2024-05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Retention!$B$9:$I$9</c:f>
              <c:numCache>
                <c:formatCode>0%</c:formatCode>
                <c:ptCount val="8"/>
                <c:pt idx="0">
                  <c:v>1</c:v>
                </c:pt>
                <c:pt idx="1">
                  <c:v>4.9180327868852458E-2</c:v>
                </c:pt>
                <c:pt idx="2">
                  <c:v>9.8360655737704916E-2</c:v>
                </c:pt>
                <c:pt idx="3">
                  <c:v>4.9180327868852458E-2</c:v>
                </c:pt>
                <c:pt idx="4">
                  <c:v>4.9180327868852458E-2</c:v>
                </c:pt>
                <c:pt idx="5">
                  <c:v>9.8360655737704916E-2</c:v>
                </c:pt>
                <c:pt idx="6">
                  <c:v>0.11475409836065574</c:v>
                </c:pt>
                <c:pt idx="7">
                  <c:v>6.5573770491803282E-2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C2-4E8A-836A-FAD6B88814EF}"/>
            </c:ext>
          </c:extLst>
        </c:ser>
        <c:ser>
          <c:idx val="5"/>
          <c:order val="5"/>
          <c:tx>
            <c:strRef>
              <c:f>Retention!$A$10</c:f>
              <c:strCache>
                <c:ptCount val="1"/>
                <c:pt idx="0">
                  <c:v>2024-06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Retention!$B$10:$H$10</c:f>
              <c:numCache>
                <c:formatCode>0%</c:formatCode>
                <c:ptCount val="7"/>
                <c:pt idx="0">
                  <c:v>1</c:v>
                </c:pt>
                <c:pt idx="1">
                  <c:v>0.15</c:v>
                </c:pt>
                <c:pt idx="2">
                  <c:v>0.125</c:v>
                </c:pt>
                <c:pt idx="3">
                  <c:v>0.05</c:v>
                </c:pt>
                <c:pt idx="4">
                  <c:v>0.1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C2-4E8A-836A-FAD6B88814EF}"/>
            </c:ext>
          </c:extLst>
        </c:ser>
        <c:ser>
          <c:idx val="6"/>
          <c:order val="6"/>
          <c:tx>
            <c:strRef>
              <c:f>Retention!$A$11</c:f>
              <c:strCache>
                <c:ptCount val="1"/>
                <c:pt idx="0">
                  <c:v>2024-07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Retention!$B$11:$G$11</c:f>
              <c:numCache>
                <c:formatCode>0%</c:formatCode>
                <c:ptCount val="6"/>
                <c:pt idx="0">
                  <c:v>1</c:v>
                </c:pt>
                <c:pt idx="1">
                  <c:v>7.6923076923076927E-2</c:v>
                </c:pt>
                <c:pt idx="2">
                  <c:v>5.7692307692307696E-2</c:v>
                </c:pt>
                <c:pt idx="3">
                  <c:v>5.7692307692307696E-2</c:v>
                </c:pt>
                <c:pt idx="4">
                  <c:v>5.7692307692307696E-2</c:v>
                </c:pt>
                <c:pt idx="5">
                  <c:v>0.17307692307692307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C2-4E8A-836A-FAD6B88814EF}"/>
            </c:ext>
          </c:extLst>
        </c:ser>
        <c:ser>
          <c:idx val="7"/>
          <c:order val="7"/>
          <c:tx>
            <c:strRef>
              <c:f>Retention!$A$12</c:f>
              <c:strCache>
                <c:ptCount val="1"/>
                <c:pt idx="0">
                  <c:v>2024-08</c:v>
                </c:pt>
              </c:strCache>
            </c:strRef>
          </c:tx>
          <c:spPr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Retention!$B$12:$F$12</c:f>
              <c:numCache>
                <c:formatCode>0%</c:formatCode>
                <c:ptCount val="5"/>
                <c:pt idx="0">
                  <c:v>1</c:v>
                </c:pt>
                <c:pt idx="1">
                  <c:v>0.15555555555555556</c:v>
                </c:pt>
                <c:pt idx="2">
                  <c:v>2.2222222222222223E-2</c:v>
                </c:pt>
                <c:pt idx="3">
                  <c:v>0.13333333333333333</c:v>
                </c:pt>
                <c:pt idx="4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C2-4E8A-836A-FAD6B88814EF}"/>
            </c:ext>
          </c:extLst>
        </c:ser>
        <c:ser>
          <c:idx val="8"/>
          <c:order val="8"/>
          <c:tx>
            <c:strRef>
              <c:f>Retention!$A$13</c:f>
              <c:strCache>
                <c:ptCount val="1"/>
                <c:pt idx="0">
                  <c:v>2024-09</c:v>
                </c:pt>
              </c:strCache>
            </c:strRef>
          </c:tx>
          <c:spPr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Retention!$B$13:$E$13</c:f>
              <c:numCache>
                <c:formatCode>0%</c:formatCode>
                <c:ptCount val="4"/>
                <c:pt idx="0">
                  <c:v>1</c:v>
                </c:pt>
                <c:pt idx="1">
                  <c:v>9.5238095238095233E-2</c:v>
                </c:pt>
                <c:pt idx="2">
                  <c:v>7.1428571428571425E-2</c:v>
                </c:pt>
                <c:pt idx="3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C2-4E8A-836A-FAD6B88814EF}"/>
            </c:ext>
          </c:extLst>
        </c:ser>
        <c:ser>
          <c:idx val="9"/>
          <c:order val="9"/>
          <c:tx>
            <c:strRef>
              <c:f>Retention!$A$14</c:f>
              <c:strCache>
                <c:ptCount val="1"/>
                <c:pt idx="0">
                  <c:v>2024-10</c:v>
                </c:pt>
              </c:strCache>
            </c:strRef>
          </c:tx>
          <c:spPr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Retention!$B$14:$D$14</c:f>
              <c:numCache>
                <c:formatCode>0%</c:formatCode>
                <c:ptCount val="3"/>
                <c:pt idx="0">
                  <c:v>1</c:v>
                </c:pt>
                <c:pt idx="1">
                  <c:v>0.17647058823529413</c:v>
                </c:pt>
                <c:pt idx="2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C2-4E8A-836A-FAD6B88814EF}"/>
            </c:ext>
          </c:extLst>
        </c:ser>
        <c:ser>
          <c:idx val="10"/>
          <c:order val="10"/>
          <c:tx>
            <c:strRef>
              <c:f>Retention!$A$15</c:f>
              <c:strCache>
                <c:ptCount val="1"/>
                <c:pt idx="0">
                  <c:v>2024-11</c:v>
                </c:pt>
              </c:strCache>
            </c:strRef>
          </c:tx>
          <c:spPr>
            <a:ln w="2844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Retention!$B$15:$C$15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C2-4E8A-836A-FAD6B88814EF}"/>
            </c:ext>
          </c:extLst>
        </c:ser>
        <c:ser>
          <c:idx val="11"/>
          <c:order val="11"/>
          <c:tx>
            <c:strRef>
              <c:f>Retention!$A$16</c:f>
              <c:strCache>
                <c:ptCount val="1"/>
                <c:pt idx="0">
                  <c:v>2024-12</c:v>
                </c:pt>
              </c:strCache>
            </c:strRef>
          </c:tx>
          <c:spPr>
            <a:ln w="2844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Retention!$B$4:$M$4</c:f>
              <c:strCache>
                <c:ptCount val="12"/>
                <c:pt idx="0">
                  <c:v>Period 0</c:v>
                </c:pt>
                <c:pt idx="1">
                  <c:v>Period 1</c:v>
                </c:pt>
                <c:pt idx="2">
                  <c:v>Period 2</c:v>
                </c:pt>
                <c:pt idx="3">
                  <c:v>Period 3</c:v>
                </c:pt>
                <c:pt idx="4">
                  <c:v>Period 4</c:v>
                </c:pt>
                <c:pt idx="5">
                  <c:v>Period 5</c:v>
                </c:pt>
                <c:pt idx="6">
                  <c:v>Period 6</c:v>
                </c:pt>
                <c:pt idx="7">
                  <c:v>Period 7</c:v>
                </c:pt>
                <c:pt idx="8">
                  <c:v>Period 8</c:v>
                </c:pt>
                <c:pt idx="9">
                  <c:v>Period 9</c:v>
                </c:pt>
                <c:pt idx="10">
                  <c:v>Period 10</c:v>
                </c:pt>
                <c:pt idx="11">
                  <c:v>Period 11</c:v>
                </c:pt>
              </c:strCache>
            </c:strRef>
          </c:cat>
          <c:val>
            <c:numRef>
              <c:f>Retention!$B$16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C2-4E8A-836A-FAD6B8881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770683"/>
        <c:axId val="37768940"/>
      </c:lineChart>
      <c:catAx>
        <c:axId val="25770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 (months since first purchase)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UA"/>
          </a:p>
        </c:txPr>
        <c:crossAx val="37768940"/>
        <c:crosses val="autoZero"/>
        <c:auto val="1"/>
        <c:lblAlgn val="ctr"/>
        <c:lblOffset val="100"/>
        <c:noMultiLvlLbl val="0"/>
      </c:catAx>
      <c:valAx>
        <c:axId val="3776894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Retention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UA"/>
          </a:p>
        </c:txPr>
        <c:crossAx val="25770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U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7</xdr:col>
      <xdr:colOff>488520</xdr:colOff>
      <xdr:row>35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D88F90-C362-4C1E-B558-B7726C9F4676}" name="Table2" displayName="Table2" ref="A2:G1002" totalsRowShown="0" headerRowDxfId="0">
  <autoFilter ref="A2:G1002" xr:uid="{E4D88F90-C362-4C1E-B558-B7726C9F4676}"/>
  <tableColumns count="7">
    <tableColumn id="1" xr3:uid="{B3C8FBAF-FC1D-4DFF-93E8-E6A5AE5B37E9}" name="CustomerID"/>
    <tableColumn id="2" xr3:uid="{49BF848C-E1A2-4D0E-A1A5-4AFEF118B3A6}" name="TransactionDate" dataDxfId="3"/>
    <tableColumn id="3" xr3:uid="{901FF0EE-6713-4F55-9A54-C807D6B34902}" name="Sales"/>
    <tableColumn id="4" xr3:uid="{4F1B663B-97F5-4109-9A56-94B9BE9AFC4B}" name="OrderMonth" dataDxfId="2">
      <calculatedColumnFormula>EOMONTH(B3,-1)+1</calculatedColumnFormula>
    </tableColumn>
    <tableColumn id="5" xr3:uid="{1A49C637-A54A-4B7F-AAC1-EAE521B5FA3E}" name="CohortMonth" dataDxfId="1">
      <calculatedColumnFormula>_xlfn.MINIFS(D$3:D$1002,A$3:A$1002,A3)</calculatedColumnFormula>
    </tableColumn>
    <tableColumn id="6" xr3:uid="{44AB28C8-BE22-4B12-AECF-CB23E37A0BCD}" name="CohortIndex">
      <calculatedColumnFormula>DATEDIF(E3,D3,"M")</calculatedColumnFormula>
    </tableColumn>
    <tableColumn id="7" xr3:uid="{81947D87-3DAF-4E2B-9CA6-80F133C442DA}" name="UniqueInPeriod">
      <calculatedColumnFormula>IF(COUNTIFS(A$3:A3,A3,F$3:F3,F3)=1,1,0)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zoomScaleNormal="100" workbookViewId="0">
      <pane ySplit="2" topLeftCell="A3" activePane="bottomLeft" state="frozen"/>
      <selection pane="bottomLeft" activeCell="A8" sqref="A8"/>
    </sheetView>
  </sheetViews>
  <sheetFormatPr defaultColWidth="8.7109375" defaultRowHeight="15" x14ac:dyDescent="0.25"/>
  <cols>
    <col min="1" max="1" width="19.5703125" customWidth="1"/>
    <col min="2" max="2" width="20" customWidth="1"/>
    <col min="3" max="3" width="14" customWidth="1"/>
    <col min="4" max="4" width="20.42578125" customWidth="1"/>
    <col min="5" max="5" width="17.28515625" customWidth="1"/>
    <col min="6" max="6" width="15.140625" customWidth="1"/>
    <col min="7" max="7" width="17.28515625" customWidth="1"/>
  </cols>
  <sheetData>
    <row r="1" spans="1:7" x14ac:dyDescent="0.25">
      <c r="A1" s="1" t="s">
        <v>0</v>
      </c>
    </row>
    <row r="2" spans="1:7" x14ac:dyDescent="0.25">
      <c r="A2" s="2" t="s">
        <v>1</v>
      </c>
      <c r="B2" s="2" t="s">
        <v>2</v>
      </c>
      <c r="C2" s="13" t="s">
        <v>3</v>
      </c>
      <c r="D2" s="13" t="s">
        <v>4</v>
      </c>
      <c r="E2" s="19" t="s">
        <v>5</v>
      </c>
      <c r="F2" s="19" t="s">
        <v>6</v>
      </c>
      <c r="G2" s="19" t="s">
        <v>7</v>
      </c>
    </row>
    <row r="3" spans="1:7" x14ac:dyDescent="0.25">
      <c r="A3">
        <v>103</v>
      </c>
      <c r="B3" s="3">
        <v>45355.367279618098</v>
      </c>
      <c r="C3">
        <v>642</v>
      </c>
      <c r="D3" s="4">
        <f t="shared" ref="D3:D66" si="0">EOMONTH(B3,-1)+1</f>
        <v>45352</v>
      </c>
      <c r="E3" s="4">
        <f t="shared" ref="E3:E66" si="1">_xlfn.MINIFS(D$3:D$1002,A$3:A$1002,A3)</f>
        <v>45352</v>
      </c>
      <c r="F3" s="5">
        <f>DATEDIF(E3,D3,"M")</f>
        <v>0</v>
      </c>
      <c r="G3" s="5">
        <f>IF(COUNTIFS(A$3:A3,A3,F$3:F3,F3)=1,1,0)</f>
        <v>1</v>
      </c>
    </row>
    <row r="4" spans="1:7" x14ac:dyDescent="0.25">
      <c r="A4">
        <v>436</v>
      </c>
      <c r="B4" s="3">
        <v>45500.454965682897</v>
      </c>
      <c r="C4">
        <v>295</v>
      </c>
      <c r="D4" s="4">
        <f t="shared" si="0"/>
        <v>45474</v>
      </c>
      <c r="E4" s="4">
        <f t="shared" si="1"/>
        <v>45474</v>
      </c>
      <c r="F4" s="5">
        <f t="shared" ref="F3:F66" si="2">DATEDIF(E4,D4,"M")</f>
        <v>0</v>
      </c>
      <c r="G4" s="5">
        <f>IF(COUNTIFS(A$3:A4,A4,F$3:F4,F4)=1,1,0)</f>
        <v>1</v>
      </c>
    </row>
    <row r="5" spans="1:7" x14ac:dyDescent="0.25">
      <c r="A5">
        <v>861</v>
      </c>
      <c r="B5" s="3">
        <v>45604.433457777799</v>
      </c>
      <c r="C5">
        <v>158</v>
      </c>
      <c r="D5" s="4">
        <f t="shared" si="0"/>
        <v>45597</v>
      </c>
      <c r="E5" s="4">
        <f t="shared" si="1"/>
        <v>45323</v>
      </c>
      <c r="F5" s="5">
        <f t="shared" si="2"/>
        <v>9</v>
      </c>
      <c r="G5" s="5">
        <f>IF(COUNTIFS(A$3:A5,A5,F$3:F5,F5)=1,1,0)</f>
        <v>1</v>
      </c>
    </row>
    <row r="6" spans="1:7" x14ac:dyDescent="0.25">
      <c r="A6">
        <v>271</v>
      </c>
      <c r="B6" s="3">
        <v>45293.377594872698</v>
      </c>
      <c r="C6">
        <v>93</v>
      </c>
      <c r="D6" s="4">
        <f t="shared" si="0"/>
        <v>45292</v>
      </c>
      <c r="E6" s="4">
        <f t="shared" si="1"/>
        <v>45292</v>
      </c>
      <c r="F6" s="5">
        <f t="shared" si="2"/>
        <v>0</v>
      </c>
      <c r="G6" s="5">
        <f>IF(COUNTIFS(A$3:A6,A6,F$3:F6,F6)=1,1,0)</f>
        <v>1</v>
      </c>
    </row>
    <row r="7" spans="1:7" x14ac:dyDescent="0.25">
      <c r="A7">
        <v>107</v>
      </c>
      <c r="B7" s="3">
        <v>45494.402719189799</v>
      </c>
      <c r="C7">
        <v>975</v>
      </c>
      <c r="D7" s="4">
        <f t="shared" si="0"/>
        <v>45474</v>
      </c>
      <c r="E7" s="4">
        <f t="shared" si="1"/>
        <v>45474</v>
      </c>
      <c r="F7" s="5">
        <f t="shared" si="2"/>
        <v>0</v>
      </c>
      <c r="G7" s="5">
        <f>IF(COUNTIFS(A$3:A7,A7,F$3:F7,F7)=1,1,0)</f>
        <v>1</v>
      </c>
    </row>
    <row r="8" spans="1:7" x14ac:dyDescent="0.25">
      <c r="A8">
        <v>72</v>
      </c>
      <c r="B8" s="3">
        <v>45297.608132511603</v>
      </c>
      <c r="C8">
        <v>415</v>
      </c>
      <c r="D8" s="4">
        <f t="shared" si="0"/>
        <v>45292</v>
      </c>
      <c r="E8" s="4">
        <f t="shared" si="1"/>
        <v>45292</v>
      </c>
      <c r="F8" s="5">
        <f t="shared" si="2"/>
        <v>0</v>
      </c>
      <c r="G8" s="5">
        <f>IF(COUNTIFS(A$3:A8,A8,F$3:F8,F8)=1,1,0)</f>
        <v>1</v>
      </c>
    </row>
    <row r="9" spans="1:7" x14ac:dyDescent="0.25">
      <c r="A9">
        <v>701</v>
      </c>
      <c r="B9" s="3">
        <v>45373.284082905098</v>
      </c>
      <c r="C9">
        <v>987</v>
      </c>
      <c r="D9" s="4">
        <f t="shared" si="0"/>
        <v>45352</v>
      </c>
      <c r="E9" s="4">
        <f t="shared" si="1"/>
        <v>45352</v>
      </c>
      <c r="F9" s="5">
        <f t="shared" si="2"/>
        <v>0</v>
      </c>
      <c r="G9" s="5">
        <f>IF(COUNTIFS(A$3:A9,A9,F$3:F9,F9)=1,1,0)</f>
        <v>1</v>
      </c>
    </row>
    <row r="10" spans="1:7" x14ac:dyDescent="0.25">
      <c r="A10">
        <v>21</v>
      </c>
      <c r="B10" s="3">
        <v>45298.722339294</v>
      </c>
      <c r="C10">
        <v>465</v>
      </c>
      <c r="D10" s="4">
        <f t="shared" si="0"/>
        <v>45292</v>
      </c>
      <c r="E10" s="4">
        <f t="shared" si="1"/>
        <v>45292</v>
      </c>
      <c r="F10" s="5">
        <f t="shared" si="2"/>
        <v>0</v>
      </c>
      <c r="G10" s="5">
        <f>IF(COUNTIFS(A$3:A10,A10,F$3:F10,F10)=1,1,0)</f>
        <v>1</v>
      </c>
    </row>
    <row r="11" spans="1:7" x14ac:dyDescent="0.25">
      <c r="A11">
        <v>615</v>
      </c>
      <c r="B11" s="3">
        <v>45540.603336597203</v>
      </c>
      <c r="C11">
        <v>752</v>
      </c>
      <c r="D11" s="4">
        <f t="shared" si="0"/>
        <v>45536</v>
      </c>
      <c r="E11" s="4">
        <f t="shared" si="1"/>
        <v>45536</v>
      </c>
      <c r="F11" s="5">
        <f t="shared" si="2"/>
        <v>0</v>
      </c>
      <c r="G11" s="5">
        <f>IF(COUNTIFS(A$3:A11,A11,F$3:F11,F11)=1,1,0)</f>
        <v>1</v>
      </c>
    </row>
    <row r="12" spans="1:7" x14ac:dyDescent="0.25">
      <c r="A12">
        <v>122</v>
      </c>
      <c r="B12" s="3">
        <v>45360.758974976903</v>
      </c>
      <c r="C12">
        <v>809</v>
      </c>
      <c r="D12" s="4">
        <f t="shared" si="0"/>
        <v>45352</v>
      </c>
      <c r="E12" s="4">
        <f t="shared" si="1"/>
        <v>45323</v>
      </c>
      <c r="F12" s="5">
        <f t="shared" si="2"/>
        <v>1</v>
      </c>
      <c r="G12" s="5">
        <f>IF(COUNTIFS(A$3:A12,A12,F$3:F12,F12)=1,1,0)</f>
        <v>1</v>
      </c>
    </row>
    <row r="13" spans="1:7" x14ac:dyDescent="0.25">
      <c r="A13">
        <v>467</v>
      </c>
      <c r="B13" s="3">
        <v>45385.532261562497</v>
      </c>
      <c r="C13">
        <v>170</v>
      </c>
      <c r="D13" s="4">
        <f t="shared" si="0"/>
        <v>45383</v>
      </c>
      <c r="E13" s="4">
        <f t="shared" si="1"/>
        <v>45383</v>
      </c>
      <c r="F13" s="5">
        <f t="shared" si="2"/>
        <v>0</v>
      </c>
      <c r="G13" s="5">
        <f>IF(COUNTIFS(A$3:A13,A13,F$3:F13,F13)=1,1,0)</f>
        <v>1</v>
      </c>
    </row>
    <row r="14" spans="1:7" x14ac:dyDescent="0.25">
      <c r="A14">
        <v>215</v>
      </c>
      <c r="B14" s="3">
        <v>45453.622906875004</v>
      </c>
      <c r="C14">
        <v>793</v>
      </c>
      <c r="D14" s="4">
        <f t="shared" si="0"/>
        <v>45444</v>
      </c>
      <c r="E14" s="4">
        <f t="shared" si="1"/>
        <v>45444</v>
      </c>
      <c r="F14" s="5">
        <f t="shared" si="2"/>
        <v>0</v>
      </c>
      <c r="G14" s="5">
        <f>IF(COUNTIFS(A$3:A14,A14,F$3:F14,F14)=1,1,0)</f>
        <v>1</v>
      </c>
    </row>
    <row r="15" spans="1:7" x14ac:dyDescent="0.25">
      <c r="A15">
        <v>331</v>
      </c>
      <c r="B15" s="3">
        <v>45652.394636666701</v>
      </c>
      <c r="C15">
        <v>469</v>
      </c>
      <c r="D15" s="4">
        <f t="shared" si="0"/>
        <v>45627</v>
      </c>
      <c r="E15" s="4">
        <f t="shared" si="1"/>
        <v>45444</v>
      </c>
      <c r="F15" s="5">
        <f t="shared" si="2"/>
        <v>6</v>
      </c>
      <c r="G15" s="5">
        <f>IF(COUNTIFS(A$3:A15,A15,F$3:F15,F15)=1,1,0)</f>
        <v>1</v>
      </c>
    </row>
    <row r="16" spans="1:7" x14ac:dyDescent="0.25">
      <c r="A16">
        <v>459</v>
      </c>
      <c r="B16" s="3">
        <v>45599.6853771065</v>
      </c>
      <c r="C16">
        <v>559</v>
      </c>
      <c r="D16" s="4">
        <f t="shared" si="0"/>
        <v>45597</v>
      </c>
      <c r="E16" s="4">
        <f t="shared" si="1"/>
        <v>45597</v>
      </c>
      <c r="F16" s="5">
        <f t="shared" si="2"/>
        <v>0</v>
      </c>
      <c r="G16" s="5">
        <f>IF(COUNTIFS(A$3:A16,A16,F$3:F16,F16)=1,1,0)</f>
        <v>1</v>
      </c>
    </row>
    <row r="17" spans="1:7" x14ac:dyDescent="0.25">
      <c r="A17">
        <v>88</v>
      </c>
      <c r="B17" s="3">
        <v>45377.617018148201</v>
      </c>
      <c r="C17">
        <v>509</v>
      </c>
      <c r="D17" s="4">
        <f t="shared" si="0"/>
        <v>45352</v>
      </c>
      <c r="E17" s="4">
        <f t="shared" si="1"/>
        <v>45352</v>
      </c>
      <c r="F17" s="5">
        <f t="shared" si="2"/>
        <v>0</v>
      </c>
      <c r="G17" s="5">
        <f>IF(COUNTIFS(A$3:A17,A17,F$3:F17,F17)=1,1,0)</f>
        <v>1</v>
      </c>
    </row>
    <row r="18" spans="1:7" x14ac:dyDescent="0.25">
      <c r="A18">
        <v>373</v>
      </c>
      <c r="B18" s="3">
        <v>45648.7224234491</v>
      </c>
      <c r="C18">
        <v>747</v>
      </c>
      <c r="D18" s="4">
        <f t="shared" si="0"/>
        <v>45627</v>
      </c>
      <c r="E18" s="4">
        <f t="shared" si="1"/>
        <v>45413</v>
      </c>
      <c r="F18" s="5">
        <f t="shared" si="2"/>
        <v>7</v>
      </c>
      <c r="G18" s="5">
        <f>IF(COUNTIFS(A$3:A18,A18,F$3:F18,F18)=1,1,0)</f>
        <v>1</v>
      </c>
    </row>
    <row r="19" spans="1:7" x14ac:dyDescent="0.25">
      <c r="A19">
        <v>100</v>
      </c>
      <c r="B19" s="3">
        <v>45407.950094375003</v>
      </c>
      <c r="C19">
        <v>518</v>
      </c>
      <c r="D19" s="4">
        <f t="shared" si="0"/>
        <v>45383</v>
      </c>
      <c r="E19" s="4">
        <f t="shared" si="1"/>
        <v>45383</v>
      </c>
      <c r="F19" s="5">
        <f t="shared" si="2"/>
        <v>0</v>
      </c>
      <c r="G19" s="5">
        <f>IF(COUNTIFS(A$3:A19,A19,F$3:F19,F19)=1,1,0)</f>
        <v>1</v>
      </c>
    </row>
    <row r="20" spans="1:7" x14ac:dyDescent="0.25">
      <c r="A20">
        <v>872</v>
      </c>
      <c r="B20" s="3">
        <v>45450.890952314803</v>
      </c>
      <c r="C20">
        <v>663</v>
      </c>
      <c r="D20" s="4">
        <f t="shared" si="0"/>
        <v>45444</v>
      </c>
      <c r="E20" s="4">
        <f t="shared" si="1"/>
        <v>45444</v>
      </c>
      <c r="F20" s="5">
        <f t="shared" si="2"/>
        <v>0</v>
      </c>
      <c r="G20" s="5">
        <f>IF(COUNTIFS(A$3:A20,A20,F$3:F20,F20)=1,1,0)</f>
        <v>1</v>
      </c>
    </row>
    <row r="21" spans="1:7" x14ac:dyDescent="0.25">
      <c r="A21">
        <v>664</v>
      </c>
      <c r="B21" s="3">
        <v>45592.888145682897</v>
      </c>
      <c r="C21">
        <v>813</v>
      </c>
      <c r="D21" s="4">
        <f t="shared" si="0"/>
        <v>45566</v>
      </c>
      <c r="E21" s="4">
        <f t="shared" si="1"/>
        <v>45352</v>
      </c>
      <c r="F21" s="5">
        <f t="shared" si="2"/>
        <v>7</v>
      </c>
      <c r="G21" s="5">
        <f>IF(COUNTIFS(A$3:A21,A21,F$3:F21,F21)=1,1,0)</f>
        <v>1</v>
      </c>
    </row>
    <row r="22" spans="1:7" x14ac:dyDescent="0.25">
      <c r="A22">
        <v>131</v>
      </c>
      <c r="B22" s="3">
        <v>45592.261400138901</v>
      </c>
      <c r="C22">
        <v>490</v>
      </c>
      <c r="D22" s="4">
        <f t="shared" si="0"/>
        <v>45566</v>
      </c>
      <c r="E22" s="4">
        <f t="shared" si="1"/>
        <v>45413</v>
      </c>
      <c r="F22" s="5">
        <f t="shared" si="2"/>
        <v>5</v>
      </c>
      <c r="G22" s="5">
        <f>IF(COUNTIFS(A$3:A22,A22,F$3:F22,F22)=1,1,0)</f>
        <v>1</v>
      </c>
    </row>
    <row r="23" spans="1:7" x14ac:dyDescent="0.25">
      <c r="A23">
        <v>662</v>
      </c>
      <c r="B23" s="3">
        <v>45300.116363634297</v>
      </c>
      <c r="C23">
        <v>672</v>
      </c>
      <c r="D23" s="4">
        <f t="shared" si="0"/>
        <v>45292</v>
      </c>
      <c r="E23" s="4">
        <f t="shared" si="1"/>
        <v>45292</v>
      </c>
      <c r="F23" s="5">
        <f t="shared" si="2"/>
        <v>0</v>
      </c>
      <c r="G23" s="5">
        <f>IF(COUNTIFS(A$3:A23,A23,F$3:F23,F23)=1,1,0)</f>
        <v>1</v>
      </c>
    </row>
    <row r="24" spans="1:7" x14ac:dyDescent="0.25">
      <c r="A24">
        <v>309</v>
      </c>
      <c r="B24" s="3">
        <v>45559.809516273199</v>
      </c>
      <c r="C24">
        <v>123</v>
      </c>
      <c r="D24" s="4">
        <f t="shared" si="0"/>
        <v>45536</v>
      </c>
      <c r="E24" s="4">
        <f t="shared" si="1"/>
        <v>45536</v>
      </c>
      <c r="F24" s="5">
        <f t="shared" si="2"/>
        <v>0</v>
      </c>
      <c r="G24" s="5">
        <f>IF(COUNTIFS(A$3:A24,A24,F$3:F24,F24)=1,1,0)</f>
        <v>1</v>
      </c>
    </row>
    <row r="25" spans="1:7" x14ac:dyDescent="0.25">
      <c r="A25">
        <v>770</v>
      </c>
      <c r="B25" s="3">
        <v>45574.975372083303</v>
      </c>
      <c r="C25">
        <v>758</v>
      </c>
      <c r="D25" s="4">
        <f t="shared" si="0"/>
        <v>45566</v>
      </c>
      <c r="E25" s="4">
        <f t="shared" si="1"/>
        <v>45566</v>
      </c>
      <c r="F25" s="5">
        <f t="shared" si="2"/>
        <v>0</v>
      </c>
      <c r="G25" s="5">
        <f>IF(COUNTIFS(A$3:A25,A25,F$3:F25,F25)=1,1,0)</f>
        <v>1</v>
      </c>
    </row>
    <row r="26" spans="1:7" x14ac:dyDescent="0.25">
      <c r="A26">
        <v>344</v>
      </c>
      <c r="B26" s="3">
        <v>45346.052026794001</v>
      </c>
      <c r="C26">
        <v>587</v>
      </c>
      <c r="D26" s="4">
        <f t="shared" si="0"/>
        <v>45323</v>
      </c>
      <c r="E26" s="4">
        <f t="shared" si="1"/>
        <v>45323</v>
      </c>
      <c r="F26" s="5">
        <f t="shared" si="2"/>
        <v>0</v>
      </c>
      <c r="G26" s="5">
        <f>IF(COUNTIFS(A$3:A26,A26,F$3:F26,F26)=1,1,0)</f>
        <v>1</v>
      </c>
    </row>
    <row r="27" spans="1:7" x14ac:dyDescent="0.25">
      <c r="A27">
        <v>492</v>
      </c>
      <c r="B27" s="3">
        <v>45489.710978900497</v>
      </c>
      <c r="C27">
        <v>370</v>
      </c>
      <c r="D27" s="4">
        <f t="shared" si="0"/>
        <v>45474</v>
      </c>
      <c r="E27" s="4">
        <f t="shared" si="1"/>
        <v>45444</v>
      </c>
      <c r="F27" s="5">
        <f t="shared" si="2"/>
        <v>1</v>
      </c>
      <c r="G27" s="5">
        <f>IF(COUNTIFS(A$3:A27,A27,F$3:F27,F27)=1,1,0)</f>
        <v>1</v>
      </c>
    </row>
    <row r="28" spans="1:7" x14ac:dyDescent="0.25">
      <c r="A28">
        <v>414</v>
      </c>
      <c r="B28" s="3">
        <v>45442.7094185069</v>
      </c>
      <c r="C28">
        <v>350</v>
      </c>
      <c r="D28" s="4">
        <f t="shared" si="0"/>
        <v>45413</v>
      </c>
      <c r="E28" s="4">
        <f t="shared" si="1"/>
        <v>45413</v>
      </c>
      <c r="F28" s="5">
        <f t="shared" si="2"/>
        <v>0</v>
      </c>
      <c r="G28" s="5">
        <f>IF(COUNTIFS(A$3:A28,A28,F$3:F28,F28)=1,1,0)</f>
        <v>1</v>
      </c>
    </row>
    <row r="29" spans="1:7" x14ac:dyDescent="0.25">
      <c r="A29">
        <v>806</v>
      </c>
      <c r="B29" s="3">
        <v>45319.153632210699</v>
      </c>
      <c r="C29">
        <v>779</v>
      </c>
      <c r="D29" s="4">
        <f t="shared" si="0"/>
        <v>45292</v>
      </c>
      <c r="E29" s="4">
        <f t="shared" si="1"/>
        <v>45292</v>
      </c>
      <c r="F29" s="5">
        <f t="shared" si="2"/>
        <v>0</v>
      </c>
      <c r="G29" s="5">
        <f>IF(COUNTIFS(A$3:A29,A29,F$3:F29,F29)=1,1,0)</f>
        <v>1</v>
      </c>
    </row>
    <row r="30" spans="1:7" x14ac:dyDescent="0.25">
      <c r="A30">
        <v>386</v>
      </c>
      <c r="B30" s="3">
        <v>45492.853302858799</v>
      </c>
      <c r="C30">
        <v>996</v>
      </c>
      <c r="D30" s="4">
        <f t="shared" si="0"/>
        <v>45474</v>
      </c>
      <c r="E30" s="4">
        <f t="shared" si="1"/>
        <v>45474</v>
      </c>
      <c r="F30" s="5">
        <f t="shared" si="2"/>
        <v>0</v>
      </c>
      <c r="G30" s="5">
        <f>IF(COUNTIFS(A$3:A30,A30,F$3:F30,F30)=1,1,0)</f>
        <v>1</v>
      </c>
    </row>
    <row r="31" spans="1:7" x14ac:dyDescent="0.25">
      <c r="A31">
        <v>192</v>
      </c>
      <c r="B31" s="3">
        <v>45450.173865949102</v>
      </c>
      <c r="C31">
        <v>770</v>
      </c>
      <c r="D31" s="4">
        <f t="shared" si="0"/>
        <v>45444</v>
      </c>
      <c r="E31" s="4">
        <f t="shared" si="1"/>
        <v>45444</v>
      </c>
      <c r="F31" s="5">
        <f t="shared" si="2"/>
        <v>0</v>
      </c>
      <c r="G31" s="5">
        <f>IF(COUNTIFS(A$3:A31,A31,F$3:F31,F31)=1,1,0)</f>
        <v>1</v>
      </c>
    </row>
    <row r="32" spans="1:7" x14ac:dyDescent="0.25">
      <c r="A32">
        <v>956</v>
      </c>
      <c r="B32" s="3">
        <v>45351.000473888897</v>
      </c>
      <c r="C32">
        <v>978</v>
      </c>
      <c r="D32" s="4">
        <f t="shared" si="0"/>
        <v>45323</v>
      </c>
      <c r="E32" s="4">
        <f t="shared" si="1"/>
        <v>45323</v>
      </c>
      <c r="F32" s="5">
        <f t="shared" si="2"/>
        <v>0</v>
      </c>
      <c r="G32" s="5">
        <f>IF(COUNTIFS(A$3:A32,A32,F$3:F32,F32)=1,1,0)</f>
        <v>1</v>
      </c>
    </row>
    <row r="33" spans="1:7" x14ac:dyDescent="0.25">
      <c r="A33">
        <v>277</v>
      </c>
      <c r="B33" s="3">
        <v>45644.563997754602</v>
      </c>
      <c r="C33">
        <v>458</v>
      </c>
      <c r="D33" s="4">
        <f t="shared" si="0"/>
        <v>45627</v>
      </c>
      <c r="E33" s="4">
        <f t="shared" si="1"/>
        <v>45323</v>
      </c>
      <c r="F33" s="5">
        <f t="shared" si="2"/>
        <v>10</v>
      </c>
      <c r="G33" s="5">
        <f>IF(COUNTIFS(A$3:A33,A33,F$3:F33,F33)=1,1,0)</f>
        <v>1</v>
      </c>
    </row>
    <row r="34" spans="1:7" x14ac:dyDescent="0.25">
      <c r="A34">
        <v>161</v>
      </c>
      <c r="B34" s="3">
        <v>45457.774675902801</v>
      </c>
      <c r="C34">
        <v>852</v>
      </c>
      <c r="D34" s="4">
        <f t="shared" si="0"/>
        <v>45444</v>
      </c>
      <c r="E34" s="4">
        <f t="shared" si="1"/>
        <v>45383</v>
      </c>
      <c r="F34" s="5">
        <f t="shared" si="2"/>
        <v>2</v>
      </c>
      <c r="G34" s="5">
        <f>IF(COUNTIFS(A$3:A34,A34,F$3:F34,F34)=1,1,0)</f>
        <v>1</v>
      </c>
    </row>
    <row r="35" spans="1:7" x14ac:dyDescent="0.25">
      <c r="A35">
        <v>460</v>
      </c>
      <c r="B35" s="3">
        <v>45470.065657152802</v>
      </c>
      <c r="C35">
        <v>844</v>
      </c>
      <c r="D35" s="4">
        <f t="shared" si="0"/>
        <v>45444</v>
      </c>
      <c r="E35" s="4">
        <f t="shared" si="1"/>
        <v>45444</v>
      </c>
      <c r="F35" s="5">
        <f t="shared" si="2"/>
        <v>0</v>
      </c>
      <c r="G35" s="5">
        <f>IF(COUNTIFS(A$3:A35,A35,F$3:F35,F35)=1,1,0)</f>
        <v>1</v>
      </c>
    </row>
    <row r="36" spans="1:7" x14ac:dyDescent="0.25">
      <c r="A36">
        <v>314</v>
      </c>
      <c r="B36" s="3">
        <v>45426.988948425897</v>
      </c>
      <c r="C36">
        <v>189</v>
      </c>
      <c r="D36" s="4">
        <f t="shared" si="0"/>
        <v>45413</v>
      </c>
      <c r="E36" s="4">
        <f t="shared" si="1"/>
        <v>45383</v>
      </c>
      <c r="F36" s="5">
        <f t="shared" si="2"/>
        <v>1</v>
      </c>
      <c r="G36" s="5">
        <f>IF(COUNTIFS(A$3:A36,A36,F$3:F36,F36)=1,1,0)</f>
        <v>1</v>
      </c>
    </row>
    <row r="37" spans="1:7" x14ac:dyDescent="0.25">
      <c r="A37">
        <v>22</v>
      </c>
      <c r="B37" s="3">
        <v>45424.1583218171</v>
      </c>
      <c r="C37">
        <v>711</v>
      </c>
      <c r="D37" s="4">
        <f t="shared" si="0"/>
        <v>45413</v>
      </c>
      <c r="E37" s="4">
        <f t="shared" si="1"/>
        <v>45413</v>
      </c>
      <c r="F37" s="5">
        <f t="shared" si="2"/>
        <v>0</v>
      </c>
      <c r="G37" s="5">
        <f>IF(COUNTIFS(A$3:A37,A37,F$3:F37,F37)=1,1,0)</f>
        <v>1</v>
      </c>
    </row>
    <row r="38" spans="1:7" x14ac:dyDescent="0.25">
      <c r="A38">
        <v>253</v>
      </c>
      <c r="B38" s="3">
        <v>45532.3172380787</v>
      </c>
      <c r="C38">
        <v>416</v>
      </c>
      <c r="D38" s="4">
        <f t="shared" si="0"/>
        <v>45505</v>
      </c>
      <c r="E38" s="4">
        <f t="shared" si="1"/>
        <v>45383</v>
      </c>
      <c r="F38" s="5">
        <f t="shared" si="2"/>
        <v>4</v>
      </c>
      <c r="G38" s="5">
        <f>IF(COUNTIFS(A$3:A38,A38,F$3:F38,F38)=1,1,0)</f>
        <v>1</v>
      </c>
    </row>
    <row r="39" spans="1:7" x14ac:dyDescent="0.25">
      <c r="A39">
        <v>748</v>
      </c>
      <c r="B39" s="3">
        <v>45375.5007303819</v>
      </c>
      <c r="C39">
        <v>675</v>
      </c>
      <c r="D39" s="4">
        <f t="shared" si="0"/>
        <v>45352</v>
      </c>
      <c r="E39" s="4">
        <f t="shared" si="1"/>
        <v>45352</v>
      </c>
      <c r="F39" s="5">
        <f t="shared" si="2"/>
        <v>0</v>
      </c>
      <c r="G39" s="5">
        <f>IF(COUNTIFS(A$3:A39,A39,F$3:F39,F39)=1,1,0)</f>
        <v>1</v>
      </c>
    </row>
    <row r="40" spans="1:7" x14ac:dyDescent="0.25">
      <c r="A40">
        <v>857</v>
      </c>
      <c r="B40" s="3">
        <v>45645.050974143502</v>
      </c>
      <c r="C40">
        <v>205</v>
      </c>
      <c r="D40" s="4">
        <f t="shared" si="0"/>
        <v>45627</v>
      </c>
      <c r="E40" s="4">
        <f t="shared" si="1"/>
        <v>45383</v>
      </c>
      <c r="F40" s="5">
        <f t="shared" si="2"/>
        <v>8</v>
      </c>
      <c r="G40" s="5">
        <f>IF(COUNTIFS(A$3:A40,A40,F$3:F40,F40)=1,1,0)</f>
        <v>1</v>
      </c>
    </row>
    <row r="41" spans="1:7" x14ac:dyDescent="0.25">
      <c r="A41">
        <v>561</v>
      </c>
      <c r="B41" s="3">
        <v>45535.206131597202</v>
      </c>
      <c r="C41">
        <v>475</v>
      </c>
      <c r="D41" s="4">
        <f t="shared" si="0"/>
        <v>45505</v>
      </c>
      <c r="E41" s="4">
        <f t="shared" si="1"/>
        <v>45505</v>
      </c>
      <c r="F41" s="5">
        <f t="shared" si="2"/>
        <v>0</v>
      </c>
      <c r="G41" s="5">
        <f>IF(COUNTIFS(A$3:A41,A41,F$3:F41,F41)=1,1,0)</f>
        <v>1</v>
      </c>
    </row>
    <row r="42" spans="1:7" x14ac:dyDescent="0.25">
      <c r="A42">
        <v>475</v>
      </c>
      <c r="B42" s="3">
        <v>45548.787319768497</v>
      </c>
      <c r="C42">
        <v>320</v>
      </c>
      <c r="D42" s="4">
        <f t="shared" si="0"/>
        <v>45536</v>
      </c>
      <c r="E42" s="4">
        <f t="shared" si="1"/>
        <v>45536</v>
      </c>
      <c r="F42" s="5">
        <f t="shared" si="2"/>
        <v>0</v>
      </c>
      <c r="G42" s="5">
        <f>IF(COUNTIFS(A$3:A42,A42,F$3:F42,F42)=1,1,0)</f>
        <v>1</v>
      </c>
    </row>
    <row r="43" spans="1:7" x14ac:dyDescent="0.25">
      <c r="A43">
        <v>59</v>
      </c>
      <c r="B43" s="3">
        <v>45599.216546076401</v>
      </c>
      <c r="C43">
        <v>271</v>
      </c>
      <c r="D43" s="4">
        <f t="shared" si="0"/>
        <v>45597</v>
      </c>
      <c r="E43" s="4">
        <f t="shared" si="1"/>
        <v>45597</v>
      </c>
      <c r="F43" s="5">
        <f t="shared" si="2"/>
        <v>0</v>
      </c>
      <c r="G43" s="5">
        <f>IF(COUNTIFS(A$3:A43,A43,F$3:F43,F43)=1,1,0)</f>
        <v>1</v>
      </c>
    </row>
    <row r="44" spans="1:7" x14ac:dyDescent="0.25">
      <c r="A44">
        <v>511</v>
      </c>
      <c r="B44" s="3">
        <v>45554.824100347199</v>
      </c>
      <c r="C44">
        <v>428</v>
      </c>
      <c r="D44" s="4">
        <f t="shared" si="0"/>
        <v>45536</v>
      </c>
      <c r="E44" s="4">
        <f t="shared" si="1"/>
        <v>45292</v>
      </c>
      <c r="F44" s="5">
        <f t="shared" si="2"/>
        <v>8</v>
      </c>
      <c r="G44" s="5">
        <f>IF(COUNTIFS(A$3:A44,A44,F$3:F44,F44)=1,1,0)</f>
        <v>1</v>
      </c>
    </row>
    <row r="45" spans="1:7" x14ac:dyDescent="0.25">
      <c r="A45">
        <v>682</v>
      </c>
      <c r="B45" s="3">
        <v>45541.570440463001</v>
      </c>
      <c r="C45">
        <v>415</v>
      </c>
      <c r="D45" s="4">
        <f t="shared" si="0"/>
        <v>45536</v>
      </c>
      <c r="E45" s="4">
        <f t="shared" si="1"/>
        <v>45352</v>
      </c>
      <c r="F45" s="5">
        <f t="shared" si="2"/>
        <v>6</v>
      </c>
      <c r="G45" s="5">
        <f>IF(COUNTIFS(A$3:A45,A45,F$3:F45,F45)=1,1,0)</f>
        <v>1</v>
      </c>
    </row>
    <row r="46" spans="1:7" x14ac:dyDescent="0.25">
      <c r="A46">
        <v>476</v>
      </c>
      <c r="B46" s="3">
        <v>45495.845600509303</v>
      </c>
      <c r="C46">
        <v>948</v>
      </c>
      <c r="D46" s="4">
        <f t="shared" si="0"/>
        <v>45474</v>
      </c>
      <c r="E46" s="4">
        <f t="shared" si="1"/>
        <v>45474</v>
      </c>
      <c r="F46" s="5">
        <f t="shared" si="2"/>
        <v>0</v>
      </c>
      <c r="G46" s="5">
        <f>IF(COUNTIFS(A$3:A46,A46,F$3:F46,F46)=1,1,0)</f>
        <v>1</v>
      </c>
    </row>
    <row r="47" spans="1:7" x14ac:dyDescent="0.25">
      <c r="A47">
        <v>700</v>
      </c>
      <c r="B47" s="3">
        <v>45307.699840509304</v>
      </c>
      <c r="C47">
        <v>152</v>
      </c>
      <c r="D47" s="4">
        <f t="shared" si="0"/>
        <v>45292</v>
      </c>
      <c r="E47" s="4">
        <f t="shared" si="1"/>
        <v>45292</v>
      </c>
      <c r="F47" s="5">
        <f t="shared" si="2"/>
        <v>0</v>
      </c>
      <c r="G47" s="5">
        <f>IF(COUNTIFS(A$3:A47,A47,F$3:F47,F47)=1,1,0)</f>
        <v>1</v>
      </c>
    </row>
    <row r="48" spans="1:7" x14ac:dyDescent="0.25">
      <c r="A48">
        <v>976</v>
      </c>
      <c r="B48" s="3">
        <v>45634.854792650498</v>
      </c>
      <c r="C48">
        <v>351</v>
      </c>
      <c r="D48" s="4">
        <f t="shared" si="0"/>
        <v>45627</v>
      </c>
      <c r="E48" s="4">
        <f t="shared" si="1"/>
        <v>45627</v>
      </c>
      <c r="F48" s="5">
        <f t="shared" si="2"/>
        <v>0</v>
      </c>
      <c r="G48" s="5">
        <f>IF(COUNTIFS(A$3:A48,A48,F$3:F48,F48)=1,1,0)</f>
        <v>1</v>
      </c>
    </row>
    <row r="49" spans="1:7" x14ac:dyDescent="0.25">
      <c r="A49">
        <v>783</v>
      </c>
      <c r="B49" s="3">
        <v>45478.344114606502</v>
      </c>
      <c r="C49">
        <v>325</v>
      </c>
      <c r="D49" s="4">
        <f t="shared" si="0"/>
        <v>45474</v>
      </c>
      <c r="E49" s="4">
        <f t="shared" si="1"/>
        <v>45383</v>
      </c>
      <c r="F49" s="5">
        <f t="shared" si="2"/>
        <v>3</v>
      </c>
      <c r="G49" s="5">
        <f>IF(COUNTIFS(A$3:A49,A49,F$3:F49,F49)=1,1,0)</f>
        <v>1</v>
      </c>
    </row>
    <row r="50" spans="1:7" x14ac:dyDescent="0.25">
      <c r="A50">
        <v>190</v>
      </c>
      <c r="B50" s="3">
        <v>45500.845449641201</v>
      </c>
      <c r="C50">
        <v>110</v>
      </c>
      <c r="D50" s="4">
        <f t="shared" si="0"/>
        <v>45474</v>
      </c>
      <c r="E50" s="4">
        <f t="shared" si="1"/>
        <v>45323</v>
      </c>
      <c r="F50" s="5">
        <f t="shared" si="2"/>
        <v>5</v>
      </c>
      <c r="G50" s="5">
        <f>IF(COUNTIFS(A$3:A50,A50,F$3:F50,F50)=1,1,0)</f>
        <v>1</v>
      </c>
    </row>
    <row r="51" spans="1:7" x14ac:dyDescent="0.25">
      <c r="A51">
        <v>958</v>
      </c>
      <c r="B51" s="3">
        <v>45307.784881539403</v>
      </c>
      <c r="C51">
        <v>253</v>
      </c>
      <c r="D51" s="4">
        <f t="shared" si="0"/>
        <v>45292</v>
      </c>
      <c r="E51" s="4">
        <f t="shared" si="1"/>
        <v>45292</v>
      </c>
      <c r="F51" s="5">
        <f t="shared" si="2"/>
        <v>0</v>
      </c>
      <c r="G51" s="5">
        <f>IF(COUNTIFS(A$3:A51,A51,F$3:F51,F51)=1,1,0)</f>
        <v>1</v>
      </c>
    </row>
    <row r="52" spans="1:7" x14ac:dyDescent="0.25">
      <c r="A52">
        <v>687</v>
      </c>
      <c r="B52" s="3">
        <v>45637.673162986102</v>
      </c>
      <c r="C52">
        <v>499</v>
      </c>
      <c r="D52" s="4">
        <f t="shared" si="0"/>
        <v>45627</v>
      </c>
      <c r="E52" s="4">
        <f t="shared" si="1"/>
        <v>45627</v>
      </c>
      <c r="F52" s="5">
        <f t="shared" si="2"/>
        <v>0</v>
      </c>
      <c r="G52" s="5">
        <f>IF(COUNTIFS(A$3:A52,A52,F$3:F52,F52)=1,1,0)</f>
        <v>1</v>
      </c>
    </row>
    <row r="53" spans="1:7" x14ac:dyDescent="0.25">
      <c r="A53">
        <v>958</v>
      </c>
      <c r="B53" s="3">
        <v>45419.9353216319</v>
      </c>
      <c r="C53">
        <v>21</v>
      </c>
      <c r="D53" s="4">
        <f t="shared" si="0"/>
        <v>45413</v>
      </c>
      <c r="E53" s="4">
        <f t="shared" si="1"/>
        <v>45292</v>
      </c>
      <c r="F53" s="5">
        <f t="shared" si="2"/>
        <v>4</v>
      </c>
      <c r="G53" s="5">
        <f>IF(COUNTIFS(A$3:A53,A53,F$3:F53,F53)=1,1,0)</f>
        <v>1</v>
      </c>
    </row>
    <row r="54" spans="1:7" x14ac:dyDescent="0.25">
      <c r="A54">
        <v>563</v>
      </c>
      <c r="B54" s="3">
        <v>45359.811441655103</v>
      </c>
      <c r="C54">
        <v>248</v>
      </c>
      <c r="D54" s="4">
        <f t="shared" si="0"/>
        <v>45352</v>
      </c>
      <c r="E54" s="4">
        <f t="shared" si="1"/>
        <v>45352</v>
      </c>
      <c r="F54" s="5">
        <f t="shared" si="2"/>
        <v>0</v>
      </c>
      <c r="G54" s="5">
        <f>IF(COUNTIFS(A$3:A54,A54,F$3:F54,F54)=1,1,0)</f>
        <v>1</v>
      </c>
    </row>
    <row r="55" spans="1:7" x14ac:dyDescent="0.25">
      <c r="A55">
        <v>876</v>
      </c>
      <c r="B55" s="3">
        <v>45388.052564618098</v>
      </c>
      <c r="C55">
        <v>570</v>
      </c>
      <c r="D55" s="4">
        <f t="shared" si="0"/>
        <v>45383</v>
      </c>
      <c r="E55" s="4">
        <f t="shared" si="1"/>
        <v>45323</v>
      </c>
      <c r="F55" s="5">
        <f t="shared" si="2"/>
        <v>2</v>
      </c>
      <c r="G55" s="5">
        <f>IF(COUNTIFS(A$3:A55,A55,F$3:F55,F55)=1,1,0)</f>
        <v>1</v>
      </c>
    </row>
    <row r="56" spans="1:7" x14ac:dyDescent="0.25">
      <c r="A56">
        <v>567</v>
      </c>
      <c r="B56" s="3">
        <v>45304.471078703697</v>
      </c>
      <c r="C56">
        <v>51</v>
      </c>
      <c r="D56" s="4">
        <f t="shared" si="0"/>
        <v>45292</v>
      </c>
      <c r="E56" s="4">
        <f t="shared" si="1"/>
        <v>45292</v>
      </c>
      <c r="F56" s="5">
        <f t="shared" si="2"/>
        <v>0</v>
      </c>
      <c r="G56" s="5">
        <f>IF(COUNTIFS(A$3:A56,A56,F$3:F56,F56)=1,1,0)</f>
        <v>1</v>
      </c>
    </row>
    <row r="57" spans="1:7" x14ac:dyDescent="0.25">
      <c r="A57">
        <v>244</v>
      </c>
      <c r="B57" s="3">
        <v>45503.999114652797</v>
      </c>
      <c r="C57">
        <v>687</v>
      </c>
      <c r="D57" s="4">
        <f t="shared" si="0"/>
        <v>45474</v>
      </c>
      <c r="E57" s="4">
        <f t="shared" si="1"/>
        <v>45474</v>
      </c>
      <c r="F57" s="5">
        <f t="shared" si="2"/>
        <v>0</v>
      </c>
      <c r="G57" s="5">
        <f>IF(COUNTIFS(A$3:A57,A57,F$3:F57,F57)=1,1,0)</f>
        <v>1</v>
      </c>
    </row>
    <row r="58" spans="1:7" x14ac:dyDescent="0.25">
      <c r="A58">
        <v>832</v>
      </c>
      <c r="B58" s="3">
        <v>45513.101073680598</v>
      </c>
      <c r="C58">
        <v>603</v>
      </c>
      <c r="D58" s="4">
        <f t="shared" si="0"/>
        <v>45505</v>
      </c>
      <c r="E58" s="4">
        <f t="shared" si="1"/>
        <v>45505</v>
      </c>
      <c r="F58" s="5">
        <f t="shared" si="2"/>
        <v>0</v>
      </c>
      <c r="G58" s="5">
        <f>IF(COUNTIFS(A$3:A58,A58,F$3:F58,F58)=1,1,0)</f>
        <v>1</v>
      </c>
    </row>
    <row r="59" spans="1:7" x14ac:dyDescent="0.25">
      <c r="A59">
        <v>505</v>
      </c>
      <c r="B59" s="3">
        <v>45356.450199537001</v>
      </c>
      <c r="C59">
        <v>438</v>
      </c>
      <c r="D59" s="4">
        <f t="shared" si="0"/>
        <v>45352</v>
      </c>
      <c r="E59" s="4">
        <f t="shared" si="1"/>
        <v>45352</v>
      </c>
      <c r="F59" s="5">
        <f t="shared" si="2"/>
        <v>0</v>
      </c>
      <c r="G59" s="5">
        <f>IF(COUNTIFS(A$3:A59,A59,F$3:F59,F59)=1,1,0)</f>
        <v>1</v>
      </c>
    </row>
    <row r="60" spans="1:7" x14ac:dyDescent="0.25">
      <c r="A60">
        <v>131</v>
      </c>
      <c r="B60" s="3">
        <v>45417.7759031366</v>
      </c>
      <c r="C60">
        <v>812</v>
      </c>
      <c r="D60" s="4">
        <f t="shared" si="0"/>
        <v>45413</v>
      </c>
      <c r="E60" s="4">
        <f t="shared" si="1"/>
        <v>45413</v>
      </c>
      <c r="F60" s="5">
        <f t="shared" si="2"/>
        <v>0</v>
      </c>
      <c r="G60" s="5">
        <f>IF(COUNTIFS(A$3:A60,A60,F$3:F60,F60)=1,1,0)</f>
        <v>1</v>
      </c>
    </row>
    <row r="61" spans="1:7" x14ac:dyDescent="0.25">
      <c r="A61">
        <v>485</v>
      </c>
      <c r="B61" s="3">
        <v>45464.164153888902</v>
      </c>
      <c r="C61">
        <v>167</v>
      </c>
      <c r="D61" s="4">
        <f t="shared" si="0"/>
        <v>45444</v>
      </c>
      <c r="E61" s="4">
        <f t="shared" si="1"/>
        <v>45444</v>
      </c>
      <c r="F61" s="5">
        <f t="shared" si="2"/>
        <v>0</v>
      </c>
      <c r="G61" s="5">
        <f>IF(COUNTIFS(A$3:A61,A61,F$3:F61,F61)=1,1,0)</f>
        <v>1</v>
      </c>
    </row>
    <row r="62" spans="1:7" x14ac:dyDescent="0.25">
      <c r="A62">
        <v>819</v>
      </c>
      <c r="B62" s="3">
        <v>45384.211111863398</v>
      </c>
      <c r="C62">
        <v>225</v>
      </c>
      <c r="D62" s="4">
        <f t="shared" si="0"/>
        <v>45383</v>
      </c>
      <c r="E62" s="4">
        <f t="shared" si="1"/>
        <v>45352</v>
      </c>
      <c r="F62" s="5">
        <f t="shared" si="2"/>
        <v>1</v>
      </c>
      <c r="G62" s="5">
        <f>IF(COUNTIFS(A$3:A62,A62,F$3:F62,F62)=1,1,0)</f>
        <v>1</v>
      </c>
    </row>
    <row r="63" spans="1:7" x14ac:dyDescent="0.25">
      <c r="A63">
        <v>647</v>
      </c>
      <c r="B63" s="3">
        <v>45324.321569884298</v>
      </c>
      <c r="C63">
        <v>679</v>
      </c>
      <c r="D63" s="4">
        <f t="shared" si="0"/>
        <v>45323</v>
      </c>
      <c r="E63" s="4">
        <f t="shared" si="1"/>
        <v>45323</v>
      </c>
      <c r="F63" s="5">
        <f t="shared" si="2"/>
        <v>0</v>
      </c>
      <c r="G63" s="5">
        <f>IF(COUNTIFS(A$3:A63,A63,F$3:F63,F63)=1,1,0)</f>
        <v>1</v>
      </c>
    </row>
    <row r="64" spans="1:7" x14ac:dyDescent="0.25">
      <c r="A64">
        <v>21</v>
      </c>
      <c r="B64" s="3">
        <v>45615.874019988398</v>
      </c>
      <c r="C64">
        <v>471</v>
      </c>
      <c r="D64" s="4">
        <f t="shared" si="0"/>
        <v>45597</v>
      </c>
      <c r="E64" s="4">
        <f t="shared" si="1"/>
        <v>45292</v>
      </c>
      <c r="F64" s="5">
        <f t="shared" si="2"/>
        <v>10</v>
      </c>
      <c r="G64" s="5">
        <f>IF(COUNTIFS(A$3:A64,A64,F$3:F64,F64)=1,1,0)</f>
        <v>1</v>
      </c>
    </row>
    <row r="65" spans="1:7" x14ac:dyDescent="0.25">
      <c r="A65">
        <v>841</v>
      </c>
      <c r="B65" s="3">
        <v>45383.933991076403</v>
      </c>
      <c r="C65">
        <v>143</v>
      </c>
      <c r="D65" s="4">
        <f t="shared" si="0"/>
        <v>45383</v>
      </c>
      <c r="E65" s="4">
        <f t="shared" si="1"/>
        <v>45383</v>
      </c>
      <c r="F65" s="5">
        <f t="shared" si="2"/>
        <v>0</v>
      </c>
      <c r="G65" s="5">
        <f>IF(COUNTIFS(A$3:A65,A65,F$3:F65,F65)=1,1,0)</f>
        <v>1</v>
      </c>
    </row>
    <row r="66" spans="1:7" x14ac:dyDescent="0.25">
      <c r="A66">
        <v>167</v>
      </c>
      <c r="B66" s="3">
        <v>45425.784066006898</v>
      </c>
      <c r="C66">
        <v>76</v>
      </c>
      <c r="D66" s="4">
        <f t="shared" si="0"/>
        <v>45413</v>
      </c>
      <c r="E66" s="4">
        <f t="shared" si="1"/>
        <v>45413</v>
      </c>
      <c r="F66" s="5">
        <f t="shared" si="2"/>
        <v>0</v>
      </c>
      <c r="G66" s="5">
        <f>IF(COUNTIFS(A$3:A66,A66,F$3:F66,F66)=1,1,0)</f>
        <v>1</v>
      </c>
    </row>
    <row r="67" spans="1:7" x14ac:dyDescent="0.25">
      <c r="A67">
        <v>274</v>
      </c>
      <c r="B67" s="3">
        <v>45417.6155934954</v>
      </c>
      <c r="C67">
        <v>857</v>
      </c>
      <c r="D67" s="4">
        <f t="shared" ref="D67:D130" si="3">EOMONTH(B67,-1)+1</f>
        <v>45413</v>
      </c>
      <c r="E67" s="4">
        <f t="shared" ref="E67:E130" si="4">_xlfn.MINIFS(D$3:D$1002,A$3:A$1002,A67)</f>
        <v>45413</v>
      </c>
      <c r="F67" s="5">
        <f t="shared" ref="F67:F130" si="5">DATEDIF(E67,D67,"M")</f>
        <v>0</v>
      </c>
      <c r="G67" s="5">
        <f>IF(COUNTIFS(A$3:A67,A67,F$3:F67,F67)=1,1,0)</f>
        <v>1</v>
      </c>
    </row>
    <row r="68" spans="1:7" x14ac:dyDescent="0.25">
      <c r="A68">
        <v>388</v>
      </c>
      <c r="B68" s="3">
        <v>45643.124042314797</v>
      </c>
      <c r="C68">
        <v>16</v>
      </c>
      <c r="D68" s="4">
        <f t="shared" si="3"/>
        <v>45627</v>
      </c>
      <c r="E68" s="4">
        <f t="shared" si="4"/>
        <v>45383</v>
      </c>
      <c r="F68" s="5">
        <f t="shared" si="5"/>
        <v>8</v>
      </c>
      <c r="G68" s="5">
        <f>IF(COUNTIFS(A$3:A68,A68,F$3:F68,F68)=1,1,0)</f>
        <v>1</v>
      </c>
    </row>
    <row r="69" spans="1:7" x14ac:dyDescent="0.25">
      <c r="A69">
        <v>601</v>
      </c>
      <c r="B69" s="3">
        <v>45525.298974027799</v>
      </c>
      <c r="C69">
        <v>957</v>
      </c>
      <c r="D69" s="4">
        <f t="shared" si="3"/>
        <v>45505</v>
      </c>
      <c r="E69" s="4">
        <f t="shared" si="4"/>
        <v>45352</v>
      </c>
      <c r="F69" s="5">
        <f t="shared" si="5"/>
        <v>5</v>
      </c>
      <c r="G69" s="5">
        <f>IF(COUNTIFS(A$3:A69,A69,F$3:F69,F69)=1,1,0)</f>
        <v>1</v>
      </c>
    </row>
    <row r="70" spans="1:7" x14ac:dyDescent="0.25">
      <c r="A70">
        <v>316</v>
      </c>
      <c r="B70" s="3">
        <v>45614.833523379602</v>
      </c>
      <c r="C70">
        <v>535</v>
      </c>
      <c r="D70" s="4">
        <f t="shared" si="3"/>
        <v>45597</v>
      </c>
      <c r="E70" s="4">
        <f t="shared" si="4"/>
        <v>45505</v>
      </c>
      <c r="F70" s="5">
        <f t="shared" si="5"/>
        <v>3</v>
      </c>
      <c r="G70" s="5">
        <f>IF(COUNTIFS(A$3:A70,A70,F$3:F70,F70)=1,1,0)</f>
        <v>1</v>
      </c>
    </row>
    <row r="71" spans="1:7" x14ac:dyDescent="0.25">
      <c r="A71">
        <v>14</v>
      </c>
      <c r="B71" s="3">
        <v>45325.156635393498</v>
      </c>
      <c r="C71">
        <v>82</v>
      </c>
      <c r="D71" s="4">
        <f t="shared" si="3"/>
        <v>45323</v>
      </c>
      <c r="E71" s="4">
        <f t="shared" si="4"/>
        <v>45323</v>
      </c>
      <c r="F71" s="5">
        <f t="shared" si="5"/>
        <v>0</v>
      </c>
      <c r="G71" s="5">
        <f>IF(COUNTIFS(A$3:A71,A71,F$3:F71,F71)=1,1,0)</f>
        <v>1</v>
      </c>
    </row>
    <row r="72" spans="1:7" x14ac:dyDescent="0.25">
      <c r="A72">
        <v>242</v>
      </c>
      <c r="B72" s="3">
        <v>45345.321580543998</v>
      </c>
      <c r="C72">
        <v>408</v>
      </c>
      <c r="D72" s="4">
        <f t="shared" si="3"/>
        <v>45323</v>
      </c>
      <c r="E72" s="4">
        <f t="shared" si="4"/>
        <v>45323</v>
      </c>
      <c r="F72" s="5">
        <f t="shared" si="5"/>
        <v>0</v>
      </c>
      <c r="G72" s="5">
        <f>IF(COUNTIFS(A$3:A72,A72,F$3:F72,F72)=1,1,0)</f>
        <v>1</v>
      </c>
    </row>
    <row r="73" spans="1:7" x14ac:dyDescent="0.25">
      <c r="A73">
        <v>777</v>
      </c>
      <c r="B73" s="3">
        <v>45343.1248099769</v>
      </c>
      <c r="C73">
        <v>414</v>
      </c>
      <c r="D73" s="4">
        <f t="shared" si="3"/>
        <v>45323</v>
      </c>
      <c r="E73" s="4">
        <f t="shared" si="4"/>
        <v>45323</v>
      </c>
      <c r="F73" s="5">
        <f t="shared" si="5"/>
        <v>0</v>
      </c>
      <c r="G73" s="5">
        <f>IF(COUNTIFS(A$3:A73,A73,F$3:F73,F73)=1,1,0)</f>
        <v>1</v>
      </c>
    </row>
    <row r="74" spans="1:7" x14ac:dyDescent="0.25">
      <c r="A74">
        <v>346</v>
      </c>
      <c r="B74" s="3">
        <v>45356.911415277798</v>
      </c>
      <c r="C74">
        <v>684</v>
      </c>
      <c r="D74" s="4">
        <f t="shared" si="3"/>
        <v>45352</v>
      </c>
      <c r="E74" s="4">
        <f t="shared" si="4"/>
        <v>45292</v>
      </c>
      <c r="F74" s="5">
        <f t="shared" si="5"/>
        <v>2</v>
      </c>
      <c r="G74" s="5">
        <f>IF(COUNTIFS(A$3:A74,A74,F$3:F74,F74)=1,1,0)</f>
        <v>1</v>
      </c>
    </row>
    <row r="75" spans="1:7" x14ac:dyDescent="0.25">
      <c r="A75">
        <v>565</v>
      </c>
      <c r="B75" s="3">
        <v>45570.705325057897</v>
      </c>
      <c r="C75">
        <v>587</v>
      </c>
      <c r="D75" s="4">
        <f t="shared" si="3"/>
        <v>45566</v>
      </c>
      <c r="E75" s="4">
        <f t="shared" si="4"/>
        <v>45413</v>
      </c>
      <c r="F75" s="5">
        <f t="shared" si="5"/>
        <v>5</v>
      </c>
      <c r="G75" s="5">
        <f>IF(COUNTIFS(A$3:A75,A75,F$3:F75,F75)=1,1,0)</f>
        <v>1</v>
      </c>
    </row>
    <row r="76" spans="1:7" x14ac:dyDescent="0.25">
      <c r="A76">
        <v>898</v>
      </c>
      <c r="B76" s="3">
        <v>45621.2472702546</v>
      </c>
      <c r="C76">
        <v>868</v>
      </c>
      <c r="D76" s="4">
        <f t="shared" si="3"/>
        <v>45597</v>
      </c>
      <c r="E76" s="4">
        <f t="shared" si="4"/>
        <v>45383</v>
      </c>
      <c r="F76" s="5">
        <f t="shared" si="5"/>
        <v>7</v>
      </c>
      <c r="G76" s="5">
        <f>IF(COUNTIFS(A$3:A76,A76,F$3:F76,F76)=1,1,0)</f>
        <v>1</v>
      </c>
    </row>
    <row r="77" spans="1:7" x14ac:dyDescent="0.25">
      <c r="A77">
        <v>340</v>
      </c>
      <c r="B77" s="3">
        <v>45386.981690659697</v>
      </c>
      <c r="C77">
        <v>139</v>
      </c>
      <c r="D77" s="4">
        <f t="shared" si="3"/>
        <v>45383</v>
      </c>
      <c r="E77" s="4">
        <f t="shared" si="4"/>
        <v>45383</v>
      </c>
      <c r="F77" s="5">
        <f t="shared" si="5"/>
        <v>0</v>
      </c>
      <c r="G77" s="5">
        <f>IF(COUNTIFS(A$3:A77,A77,F$3:F77,F77)=1,1,0)</f>
        <v>1</v>
      </c>
    </row>
    <row r="78" spans="1:7" x14ac:dyDescent="0.25">
      <c r="A78">
        <v>92</v>
      </c>
      <c r="B78" s="3">
        <v>45480.475553935197</v>
      </c>
      <c r="C78">
        <v>940</v>
      </c>
      <c r="D78" s="4">
        <f t="shared" si="3"/>
        <v>45474</v>
      </c>
      <c r="E78" s="4">
        <f t="shared" si="4"/>
        <v>45444</v>
      </c>
      <c r="F78" s="5">
        <f t="shared" si="5"/>
        <v>1</v>
      </c>
      <c r="G78" s="5">
        <f>IF(COUNTIFS(A$3:A78,A78,F$3:F78,F78)=1,1,0)</f>
        <v>1</v>
      </c>
    </row>
    <row r="79" spans="1:7" x14ac:dyDescent="0.25">
      <c r="A79">
        <v>367</v>
      </c>
      <c r="B79" s="3">
        <v>45498.311356145801</v>
      </c>
      <c r="C79">
        <v>475</v>
      </c>
      <c r="D79" s="4">
        <f t="shared" si="3"/>
        <v>45474</v>
      </c>
      <c r="E79" s="4">
        <f t="shared" si="4"/>
        <v>45383</v>
      </c>
      <c r="F79" s="5">
        <f t="shared" si="5"/>
        <v>3</v>
      </c>
      <c r="G79" s="5">
        <f>IF(COUNTIFS(A$3:A79,A79,F$3:F79,F79)=1,1,0)</f>
        <v>1</v>
      </c>
    </row>
    <row r="80" spans="1:7" x14ac:dyDescent="0.25">
      <c r="A80">
        <v>956</v>
      </c>
      <c r="B80" s="3">
        <v>45558.152529143503</v>
      </c>
      <c r="C80">
        <v>215</v>
      </c>
      <c r="D80" s="4">
        <f t="shared" si="3"/>
        <v>45536</v>
      </c>
      <c r="E80" s="4">
        <f t="shared" si="4"/>
        <v>45323</v>
      </c>
      <c r="F80" s="5">
        <f t="shared" si="5"/>
        <v>7</v>
      </c>
      <c r="G80" s="5">
        <f>IF(COUNTIFS(A$3:A80,A80,F$3:F80,F80)=1,1,0)</f>
        <v>1</v>
      </c>
    </row>
    <row r="81" spans="1:7" x14ac:dyDescent="0.25">
      <c r="A81">
        <v>455</v>
      </c>
      <c r="B81" s="3">
        <v>45554.447756180598</v>
      </c>
      <c r="C81">
        <v>797</v>
      </c>
      <c r="D81" s="4">
        <f t="shared" si="3"/>
        <v>45536</v>
      </c>
      <c r="E81" s="4">
        <f t="shared" si="4"/>
        <v>45383</v>
      </c>
      <c r="F81" s="5">
        <f t="shared" si="5"/>
        <v>5</v>
      </c>
      <c r="G81" s="5">
        <f>IF(COUNTIFS(A$3:A81,A81,F$3:F81,F81)=1,1,0)</f>
        <v>1</v>
      </c>
    </row>
    <row r="82" spans="1:7" x14ac:dyDescent="0.25">
      <c r="A82">
        <v>428</v>
      </c>
      <c r="B82" s="3">
        <v>45465.3459015509</v>
      </c>
      <c r="C82">
        <v>987</v>
      </c>
      <c r="D82" s="4">
        <f t="shared" si="3"/>
        <v>45444</v>
      </c>
      <c r="E82" s="4">
        <f t="shared" si="4"/>
        <v>45444</v>
      </c>
      <c r="F82" s="5">
        <f t="shared" si="5"/>
        <v>0</v>
      </c>
      <c r="G82" s="5">
        <f>IF(COUNTIFS(A$3:A82,A82,F$3:F82,F82)=1,1,0)</f>
        <v>1</v>
      </c>
    </row>
    <row r="83" spans="1:7" x14ac:dyDescent="0.25">
      <c r="A83">
        <v>509</v>
      </c>
      <c r="B83" s="3">
        <v>45611.240173495396</v>
      </c>
      <c r="C83">
        <v>777</v>
      </c>
      <c r="D83" s="4">
        <f t="shared" si="3"/>
        <v>45597</v>
      </c>
      <c r="E83" s="4">
        <f t="shared" si="4"/>
        <v>45597</v>
      </c>
      <c r="F83" s="5">
        <f t="shared" si="5"/>
        <v>0</v>
      </c>
      <c r="G83" s="5">
        <f>IF(COUNTIFS(A$3:A83,A83,F$3:F83,F83)=1,1,0)</f>
        <v>1</v>
      </c>
    </row>
    <row r="84" spans="1:7" x14ac:dyDescent="0.25">
      <c r="A84">
        <v>776</v>
      </c>
      <c r="B84" s="3">
        <v>45560.0740570833</v>
      </c>
      <c r="C84">
        <v>275</v>
      </c>
      <c r="D84" s="4">
        <f t="shared" si="3"/>
        <v>45536</v>
      </c>
      <c r="E84" s="4">
        <f t="shared" si="4"/>
        <v>45352</v>
      </c>
      <c r="F84" s="5">
        <f t="shared" si="5"/>
        <v>6</v>
      </c>
      <c r="G84" s="5">
        <f>IF(COUNTIFS(A$3:A84,A84,F$3:F84,F84)=1,1,0)</f>
        <v>1</v>
      </c>
    </row>
    <row r="85" spans="1:7" x14ac:dyDescent="0.25">
      <c r="A85">
        <v>943</v>
      </c>
      <c r="B85" s="3">
        <v>45503.0722470486</v>
      </c>
      <c r="C85">
        <v>546</v>
      </c>
      <c r="D85" s="4">
        <f t="shared" si="3"/>
        <v>45474</v>
      </c>
      <c r="E85" s="4">
        <f t="shared" si="4"/>
        <v>45474</v>
      </c>
      <c r="F85" s="5">
        <f t="shared" si="5"/>
        <v>0</v>
      </c>
      <c r="G85" s="5">
        <f>IF(COUNTIFS(A$3:A85,A85,F$3:F85,F85)=1,1,0)</f>
        <v>1</v>
      </c>
    </row>
    <row r="86" spans="1:7" x14ac:dyDescent="0.25">
      <c r="A86">
        <v>35</v>
      </c>
      <c r="B86" s="3">
        <v>45604.601108275499</v>
      </c>
      <c r="C86">
        <v>971</v>
      </c>
      <c r="D86" s="4">
        <f t="shared" si="3"/>
        <v>45597</v>
      </c>
      <c r="E86" s="4">
        <f t="shared" si="4"/>
        <v>45413</v>
      </c>
      <c r="F86" s="5">
        <f t="shared" si="5"/>
        <v>6</v>
      </c>
      <c r="G86" s="5">
        <f>IF(COUNTIFS(A$3:A86,A86,F$3:F86,F86)=1,1,0)</f>
        <v>1</v>
      </c>
    </row>
    <row r="87" spans="1:7" x14ac:dyDescent="0.25">
      <c r="A87">
        <v>206</v>
      </c>
      <c r="B87" s="3">
        <v>45493.057576006999</v>
      </c>
      <c r="C87">
        <v>802</v>
      </c>
      <c r="D87" s="4">
        <f t="shared" si="3"/>
        <v>45474</v>
      </c>
      <c r="E87" s="4">
        <f t="shared" si="4"/>
        <v>45474</v>
      </c>
      <c r="F87" s="5">
        <f t="shared" si="5"/>
        <v>0</v>
      </c>
      <c r="G87" s="5">
        <f>IF(COUNTIFS(A$3:A87,A87,F$3:F87,F87)=1,1,0)</f>
        <v>1</v>
      </c>
    </row>
    <row r="88" spans="1:7" x14ac:dyDescent="0.25">
      <c r="A88">
        <v>81</v>
      </c>
      <c r="B88" s="3">
        <v>45345.299355682902</v>
      </c>
      <c r="C88">
        <v>262</v>
      </c>
      <c r="D88" s="4">
        <f t="shared" si="3"/>
        <v>45323</v>
      </c>
      <c r="E88" s="4">
        <f t="shared" si="4"/>
        <v>45323</v>
      </c>
      <c r="F88" s="5">
        <f t="shared" si="5"/>
        <v>0</v>
      </c>
      <c r="G88" s="5">
        <f>IF(COUNTIFS(A$3:A88,A88,F$3:F88,F88)=1,1,0)</f>
        <v>1</v>
      </c>
    </row>
    <row r="89" spans="1:7" x14ac:dyDescent="0.25">
      <c r="A89">
        <v>932</v>
      </c>
      <c r="B89" s="3">
        <v>45416.318249988399</v>
      </c>
      <c r="C89">
        <v>831</v>
      </c>
      <c r="D89" s="4">
        <f t="shared" si="3"/>
        <v>45413</v>
      </c>
      <c r="E89" s="4">
        <f t="shared" si="4"/>
        <v>45413</v>
      </c>
      <c r="F89" s="5">
        <f t="shared" si="5"/>
        <v>0</v>
      </c>
      <c r="G89" s="5">
        <f>IF(COUNTIFS(A$3:A89,A89,F$3:F89,F89)=1,1,0)</f>
        <v>1</v>
      </c>
    </row>
    <row r="90" spans="1:7" x14ac:dyDescent="0.25">
      <c r="A90">
        <v>562</v>
      </c>
      <c r="B90" s="3">
        <v>45494.244874294003</v>
      </c>
      <c r="C90">
        <v>298</v>
      </c>
      <c r="D90" s="4">
        <f t="shared" si="3"/>
        <v>45474</v>
      </c>
      <c r="E90" s="4">
        <f t="shared" si="4"/>
        <v>45474</v>
      </c>
      <c r="F90" s="5">
        <f t="shared" si="5"/>
        <v>0</v>
      </c>
      <c r="G90" s="5">
        <f>IF(COUNTIFS(A$3:A90,A90,F$3:F90,F90)=1,1,0)</f>
        <v>1</v>
      </c>
    </row>
    <row r="91" spans="1:7" x14ac:dyDescent="0.25">
      <c r="A91">
        <v>872</v>
      </c>
      <c r="B91" s="3">
        <v>45650.880234988399</v>
      </c>
      <c r="C91">
        <v>173</v>
      </c>
      <c r="D91" s="4">
        <f t="shared" si="3"/>
        <v>45627</v>
      </c>
      <c r="E91" s="4">
        <f t="shared" si="4"/>
        <v>45444</v>
      </c>
      <c r="F91" s="5">
        <f t="shared" si="5"/>
        <v>6</v>
      </c>
      <c r="G91" s="5">
        <f>IF(COUNTIFS(A$3:A91,A91,F$3:F91,F91)=1,1,0)</f>
        <v>1</v>
      </c>
    </row>
    <row r="92" spans="1:7" x14ac:dyDescent="0.25">
      <c r="A92">
        <v>388</v>
      </c>
      <c r="B92" s="3">
        <v>45405.531751597198</v>
      </c>
      <c r="C92">
        <v>104</v>
      </c>
      <c r="D92" s="4">
        <f t="shared" si="3"/>
        <v>45383</v>
      </c>
      <c r="E92" s="4">
        <f t="shared" si="4"/>
        <v>45383</v>
      </c>
      <c r="F92" s="5">
        <f t="shared" si="5"/>
        <v>0</v>
      </c>
      <c r="G92" s="5">
        <f>IF(COUNTIFS(A$3:A92,A92,F$3:F92,F92)=1,1,0)</f>
        <v>1</v>
      </c>
    </row>
    <row r="93" spans="1:7" x14ac:dyDescent="0.25">
      <c r="A93">
        <v>2</v>
      </c>
      <c r="B93" s="3">
        <v>45494.941896261596</v>
      </c>
      <c r="C93">
        <v>791</v>
      </c>
      <c r="D93" s="4">
        <f t="shared" si="3"/>
        <v>45474</v>
      </c>
      <c r="E93" s="4">
        <f t="shared" si="4"/>
        <v>45292</v>
      </c>
      <c r="F93" s="5">
        <f t="shared" si="5"/>
        <v>6</v>
      </c>
      <c r="G93" s="5">
        <f>IF(COUNTIFS(A$3:A93,A93,F$3:F93,F93)=1,1,0)</f>
        <v>1</v>
      </c>
    </row>
    <row r="94" spans="1:7" x14ac:dyDescent="0.25">
      <c r="A94">
        <v>390</v>
      </c>
      <c r="B94" s="3">
        <v>45405.390119363401</v>
      </c>
      <c r="C94">
        <v>842</v>
      </c>
      <c r="D94" s="4">
        <f t="shared" si="3"/>
        <v>45383</v>
      </c>
      <c r="E94" s="4">
        <f t="shared" si="4"/>
        <v>45383</v>
      </c>
      <c r="F94" s="5">
        <f t="shared" si="5"/>
        <v>0</v>
      </c>
      <c r="G94" s="5">
        <f>IF(COUNTIFS(A$3:A94,A94,F$3:F94,F94)=1,1,0)</f>
        <v>1</v>
      </c>
    </row>
    <row r="95" spans="1:7" x14ac:dyDescent="0.25">
      <c r="A95">
        <v>566</v>
      </c>
      <c r="B95" s="3">
        <v>45609.4852684375</v>
      </c>
      <c r="C95">
        <v>119</v>
      </c>
      <c r="D95" s="4">
        <f t="shared" si="3"/>
        <v>45597</v>
      </c>
      <c r="E95" s="4">
        <f t="shared" si="4"/>
        <v>45292</v>
      </c>
      <c r="F95" s="5">
        <f t="shared" si="5"/>
        <v>10</v>
      </c>
      <c r="G95" s="5">
        <f>IF(COUNTIFS(A$3:A95,A95,F$3:F95,F95)=1,1,0)</f>
        <v>1</v>
      </c>
    </row>
    <row r="96" spans="1:7" x14ac:dyDescent="0.25">
      <c r="A96">
        <v>106</v>
      </c>
      <c r="B96" s="3">
        <v>45615.197883958303</v>
      </c>
      <c r="C96">
        <v>345</v>
      </c>
      <c r="D96" s="4">
        <f t="shared" si="3"/>
        <v>45597</v>
      </c>
      <c r="E96" s="4">
        <f t="shared" si="4"/>
        <v>45352</v>
      </c>
      <c r="F96" s="5">
        <f t="shared" si="5"/>
        <v>8</v>
      </c>
      <c r="G96" s="5">
        <f>IF(COUNTIFS(A$3:A96,A96,F$3:F96,F96)=1,1,0)</f>
        <v>1</v>
      </c>
    </row>
    <row r="97" spans="1:7" x14ac:dyDescent="0.25">
      <c r="A97">
        <v>772</v>
      </c>
      <c r="B97" s="3">
        <v>45337.436806863399</v>
      </c>
      <c r="C97">
        <v>831</v>
      </c>
      <c r="D97" s="4">
        <f t="shared" si="3"/>
        <v>45323</v>
      </c>
      <c r="E97" s="4">
        <f t="shared" si="4"/>
        <v>45323</v>
      </c>
      <c r="F97" s="5">
        <f t="shared" si="5"/>
        <v>0</v>
      </c>
      <c r="G97" s="5">
        <f>IF(COUNTIFS(A$3:A97,A97,F$3:F97,F97)=1,1,0)</f>
        <v>1</v>
      </c>
    </row>
    <row r="98" spans="1:7" x14ac:dyDescent="0.25">
      <c r="A98">
        <v>822</v>
      </c>
      <c r="B98" s="3">
        <v>45489.975572326402</v>
      </c>
      <c r="C98">
        <v>247</v>
      </c>
      <c r="D98" s="4">
        <f t="shared" si="3"/>
        <v>45474</v>
      </c>
      <c r="E98" s="4">
        <f t="shared" si="4"/>
        <v>45383</v>
      </c>
      <c r="F98" s="5">
        <f t="shared" si="5"/>
        <v>3</v>
      </c>
      <c r="G98" s="5">
        <f>IF(COUNTIFS(A$3:A98,A98,F$3:F98,F98)=1,1,0)</f>
        <v>1</v>
      </c>
    </row>
    <row r="99" spans="1:7" x14ac:dyDescent="0.25">
      <c r="A99">
        <v>477</v>
      </c>
      <c r="B99" s="3">
        <v>45369.917792280103</v>
      </c>
      <c r="C99">
        <v>390</v>
      </c>
      <c r="D99" s="4">
        <f t="shared" si="3"/>
        <v>45352</v>
      </c>
      <c r="E99" s="4">
        <f t="shared" si="4"/>
        <v>45352</v>
      </c>
      <c r="F99" s="5">
        <f t="shared" si="5"/>
        <v>0</v>
      </c>
      <c r="G99" s="5">
        <f>IF(COUNTIFS(A$3:A99,A99,F$3:F99,F99)=1,1,0)</f>
        <v>1</v>
      </c>
    </row>
    <row r="100" spans="1:7" x14ac:dyDescent="0.25">
      <c r="A100">
        <v>703</v>
      </c>
      <c r="B100" s="3">
        <v>45576.275878194399</v>
      </c>
      <c r="C100">
        <v>445</v>
      </c>
      <c r="D100" s="4">
        <f t="shared" si="3"/>
        <v>45566</v>
      </c>
      <c r="E100" s="4">
        <f t="shared" si="4"/>
        <v>45566</v>
      </c>
      <c r="F100" s="5">
        <f t="shared" si="5"/>
        <v>0</v>
      </c>
      <c r="G100" s="5">
        <f>IF(COUNTIFS(A$3:A100,A100,F$3:F100,F100)=1,1,0)</f>
        <v>1</v>
      </c>
    </row>
    <row r="101" spans="1:7" x14ac:dyDescent="0.25">
      <c r="A101">
        <v>402</v>
      </c>
      <c r="B101" s="3">
        <v>45323.596107662001</v>
      </c>
      <c r="C101">
        <v>908</v>
      </c>
      <c r="D101" s="4">
        <f t="shared" si="3"/>
        <v>45323</v>
      </c>
      <c r="E101" s="4">
        <f t="shared" si="4"/>
        <v>45323</v>
      </c>
      <c r="F101" s="5">
        <f t="shared" si="5"/>
        <v>0</v>
      </c>
      <c r="G101" s="5">
        <f>IF(COUNTIFS(A$3:A101,A101,F$3:F101,F101)=1,1,0)</f>
        <v>1</v>
      </c>
    </row>
    <row r="102" spans="1:7" x14ac:dyDescent="0.25">
      <c r="A102">
        <v>730</v>
      </c>
      <c r="B102" s="3">
        <v>45519.866793599504</v>
      </c>
      <c r="C102">
        <v>492</v>
      </c>
      <c r="D102" s="4">
        <f t="shared" si="3"/>
        <v>45505</v>
      </c>
      <c r="E102" s="4">
        <f t="shared" si="4"/>
        <v>45474</v>
      </c>
      <c r="F102" s="5">
        <f t="shared" si="5"/>
        <v>1</v>
      </c>
      <c r="G102" s="5">
        <f>IF(COUNTIFS(A$3:A102,A102,F$3:F102,F102)=1,1,0)</f>
        <v>1</v>
      </c>
    </row>
    <row r="103" spans="1:7" x14ac:dyDescent="0.25">
      <c r="A103">
        <v>556</v>
      </c>
      <c r="B103" s="3">
        <v>45633.012038078698</v>
      </c>
      <c r="C103">
        <v>946</v>
      </c>
      <c r="D103" s="4">
        <f t="shared" si="3"/>
        <v>45627</v>
      </c>
      <c r="E103" s="4">
        <f t="shared" si="4"/>
        <v>45292</v>
      </c>
      <c r="F103" s="5">
        <f t="shared" si="5"/>
        <v>11</v>
      </c>
      <c r="G103" s="5">
        <f>IF(COUNTIFS(A$3:A103,A103,F$3:F103,F103)=1,1,0)</f>
        <v>1</v>
      </c>
    </row>
    <row r="104" spans="1:7" x14ac:dyDescent="0.25">
      <c r="A104">
        <v>162</v>
      </c>
      <c r="B104" s="3">
        <v>45586.035651435202</v>
      </c>
      <c r="C104">
        <v>911</v>
      </c>
      <c r="D104" s="4">
        <f t="shared" si="3"/>
        <v>45566</v>
      </c>
      <c r="E104" s="4">
        <f t="shared" si="4"/>
        <v>45566</v>
      </c>
      <c r="F104" s="5">
        <f t="shared" si="5"/>
        <v>0</v>
      </c>
      <c r="G104" s="5">
        <f>IF(COUNTIFS(A$3:A104,A104,F$3:F104,F104)=1,1,0)</f>
        <v>1</v>
      </c>
    </row>
    <row r="105" spans="1:7" x14ac:dyDescent="0.25">
      <c r="A105">
        <v>202</v>
      </c>
      <c r="B105" s="3">
        <v>45618.010941539404</v>
      </c>
      <c r="C105">
        <v>34</v>
      </c>
      <c r="D105" s="4">
        <f t="shared" si="3"/>
        <v>45597</v>
      </c>
      <c r="E105" s="4">
        <f t="shared" si="4"/>
        <v>45597</v>
      </c>
      <c r="F105" s="5">
        <f t="shared" si="5"/>
        <v>0</v>
      </c>
      <c r="G105" s="5">
        <f>IF(COUNTIFS(A$3:A105,A105,F$3:F105,F105)=1,1,0)</f>
        <v>1</v>
      </c>
    </row>
    <row r="106" spans="1:7" x14ac:dyDescent="0.25">
      <c r="A106">
        <v>958</v>
      </c>
      <c r="B106" s="3">
        <v>45395.298294884298</v>
      </c>
      <c r="C106">
        <v>662</v>
      </c>
      <c r="D106" s="4">
        <f t="shared" si="3"/>
        <v>45383</v>
      </c>
      <c r="E106" s="4">
        <f t="shared" si="4"/>
        <v>45292</v>
      </c>
      <c r="F106" s="5">
        <f t="shared" si="5"/>
        <v>3</v>
      </c>
      <c r="G106" s="5">
        <f>IF(COUNTIFS(A$3:A106,A106,F$3:F106,F106)=1,1,0)</f>
        <v>1</v>
      </c>
    </row>
    <row r="107" spans="1:7" x14ac:dyDescent="0.25">
      <c r="A107">
        <v>996</v>
      </c>
      <c r="B107" s="3">
        <v>45389.9892159144</v>
      </c>
      <c r="C107">
        <v>126</v>
      </c>
      <c r="D107" s="4">
        <f t="shared" si="3"/>
        <v>45383</v>
      </c>
      <c r="E107" s="4">
        <f t="shared" si="4"/>
        <v>45323</v>
      </c>
      <c r="F107" s="5">
        <f t="shared" si="5"/>
        <v>2</v>
      </c>
      <c r="G107" s="5">
        <f>IF(COUNTIFS(A$3:A107,A107,F$3:F107,F107)=1,1,0)</f>
        <v>1</v>
      </c>
    </row>
    <row r="108" spans="1:7" x14ac:dyDescent="0.25">
      <c r="A108">
        <v>270</v>
      </c>
      <c r="B108" s="3">
        <v>45436.2400562732</v>
      </c>
      <c r="C108">
        <v>491</v>
      </c>
      <c r="D108" s="4">
        <f t="shared" si="3"/>
        <v>45413</v>
      </c>
      <c r="E108" s="4">
        <f t="shared" si="4"/>
        <v>45413</v>
      </c>
      <c r="F108" s="5">
        <f t="shared" si="5"/>
        <v>0</v>
      </c>
      <c r="G108" s="5">
        <f>IF(COUNTIFS(A$3:A108,A108,F$3:F108,F108)=1,1,0)</f>
        <v>1</v>
      </c>
    </row>
    <row r="109" spans="1:7" x14ac:dyDescent="0.25">
      <c r="A109">
        <v>863</v>
      </c>
      <c r="B109" s="3">
        <v>45476.358191817097</v>
      </c>
      <c r="C109">
        <v>401</v>
      </c>
      <c r="D109" s="4">
        <f t="shared" si="3"/>
        <v>45474</v>
      </c>
      <c r="E109" s="4">
        <f t="shared" si="4"/>
        <v>45474</v>
      </c>
      <c r="F109" s="5">
        <f t="shared" si="5"/>
        <v>0</v>
      </c>
      <c r="G109" s="5">
        <f>IF(COUNTIFS(A$3:A109,A109,F$3:F109,F109)=1,1,0)</f>
        <v>1</v>
      </c>
    </row>
    <row r="110" spans="1:7" x14ac:dyDescent="0.25">
      <c r="A110">
        <v>816</v>
      </c>
      <c r="B110" s="3">
        <v>45655.652339131899</v>
      </c>
      <c r="C110">
        <v>926</v>
      </c>
      <c r="D110" s="4">
        <f t="shared" si="3"/>
        <v>45627</v>
      </c>
      <c r="E110" s="4">
        <f t="shared" si="4"/>
        <v>45444</v>
      </c>
      <c r="F110" s="5">
        <f t="shared" si="5"/>
        <v>6</v>
      </c>
      <c r="G110" s="5">
        <f>IF(COUNTIFS(A$3:A110,A110,F$3:F110,F110)=1,1,0)</f>
        <v>1</v>
      </c>
    </row>
    <row r="111" spans="1:7" x14ac:dyDescent="0.25">
      <c r="A111">
        <v>271</v>
      </c>
      <c r="B111" s="3">
        <v>45323.330660694497</v>
      </c>
      <c r="C111">
        <v>973</v>
      </c>
      <c r="D111" s="4">
        <f t="shared" si="3"/>
        <v>45323</v>
      </c>
      <c r="E111" s="4">
        <f t="shared" si="4"/>
        <v>45292</v>
      </c>
      <c r="F111" s="5">
        <f t="shared" si="5"/>
        <v>1</v>
      </c>
      <c r="G111" s="5">
        <f>IF(COUNTIFS(A$3:A111,A111,F$3:F111,F111)=1,1,0)</f>
        <v>1</v>
      </c>
    </row>
    <row r="112" spans="1:7" x14ac:dyDescent="0.25">
      <c r="A112">
        <v>456</v>
      </c>
      <c r="B112" s="3">
        <v>45583.916320439799</v>
      </c>
      <c r="C112">
        <v>546</v>
      </c>
      <c r="D112" s="4">
        <f t="shared" si="3"/>
        <v>45566</v>
      </c>
      <c r="E112" s="4">
        <f t="shared" si="4"/>
        <v>45566</v>
      </c>
      <c r="F112" s="5">
        <f t="shared" si="5"/>
        <v>0</v>
      </c>
      <c r="G112" s="5">
        <f>IF(COUNTIFS(A$3:A112,A112,F$3:F112,F112)=1,1,0)</f>
        <v>1</v>
      </c>
    </row>
    <row r="113" spans="1:7" x14ac:dyDescent="0.25">
      <c r="A113">
        <v>462</v>
      </c>
      <c r="B113" s="3">
        <v>45352.422937372699</v>
      </c>
      <c r="C113">
        <v>88</v>
      </c>
      <c r="D113" s="4">
        <f t="shared" si="3"/>
        <v>45352</v>
      </c>
      <c r="E113" s="4">
        <f t="shared" si="4"/>
        <v>45352</v>
      </c>
      <c r="F113" s="5">
        <f t="shared" si="5"/>
        <v>0</v>
      </c>
      <c r="G113" s="5">
        <f>IF(COUNTIFS(A$3:A113,A113,F$3:F113,F113)=1,1,0)</f>
        <v>1</v>
      </c>
    </row>
    <row r="114" spans="1:7" x14ac:dyDescent="0.25">
      <c r="A114">
        <v>727</v>
      </c>
      <c r="B114" s="3">
        <v>45647.5068078935</v>
      </c>
      <c r="C114">
        <v>589</v>
      </c>
      <c r="D114" s="4">
        <f t="shared" si="3"/>
        <v>45627</v>
      </c>
      <c r="E114" s="4">
        <f t="shared" si="4"/>
        <v>45383</v>
      </c>
      <c r="F114" s="5">
        <f t="shared" si="5"/>
        <v>8</v>
      </c>
      <c r="G114" s="5">
        <f>IF(COUNTIFS(A$3:A114,A114,F$3:F114,F114)=1,1,0)</f>
        <v>1</v>
      </c>
    </row>
    <row r="115" spans="1:7" x14ac:dyDescent="0.25">
      <c r="A115">
        <v>252</v>
      </c>
      <c r="B115" s="3">
        <v>45362.677871574102</v>
      </c>
      <c r="C115">
        <v>182</v>
      </c>
      <c r="D115" s="4">
        <f t="shared" si="3"/>
        <v>45352</v>
      </c>
      <c r="E115" s="4">
        <f t="shared" si="4"/>
        <v>45352</v>
      </c>
      <c r="F115" s="5">
        <f t="shared" si="5"/>
        <v>0</v>
      </c>
      <c r="G115" s="5">
        <f>IF(COUNTIFS(A$3:A115,A115,F$3:F115,F115)=1,1,0)</f>
        <v>1</v>
      </c>
    </row>
    <row r="116" spans="1:7" x14ac:dyDescent="0.25">
      <c r="A116">
        <v>702</v>
      </c>
      <c r="B116" s="3">
        <v>45407.280579108803</v>
      </c>
      <c r="C116">
        <v>965</v>
      </c>
      <c r="D116" s="4">
        <f t="shared" si="3"/>
        <v>45383</v>
      </c>
      <c r="E116" s="4">
        <f t="shared" si="4"/>
        <v>45383</v>
      </c>
      <c r="F116" s="5">
        <f t="shared" si="5"/>
        <v>0</v>
      </c>
      <c r="G116" s="5">
        <f>IF(COUNTIFS(A$3:A116,A116,F$3:F116,F116)=1,1,0)</f>
        <v>1</v>
      </c>
    </row>
    <row r="117" spans="1:7" x14ac:dyDescent="0.25">
      <c r="A117">
        <v>296</v>
      </c>
      <c r="B117" s="3">
        <v>45400.9954375694</v>
      </c>
      <c r="C117">
        <v>21</v>
      </c>
      <c r="D117" s="4">
        <f t="shared" si="3"/>
        <v>45383</v>
      </c>
      <c r="E117" s="4">
        <f t="shared" si="4"/>
        <v>45383</v>
      </c>
      <c r="F117" s="5">
        <f t="shared" si="5"/>
        <v>0</v>
      </c>
      <c r="G117" s="5">
        <f>IF(COUNTIFS(A$3:A117,A117,F$3:F117,F117)=1,1,0)</f>
        <v>1</v>
      </c>
    </row>
    <row r="118" spans="1:7" x14ac:dyDescent="0.25">
      <c r="A118">
        <v>725</v>
      </c>
      <c r="B118" s="3">
        <v>45574.9950737732</v>
      </c>
      <c r="C118">
        <v>809</v>
      </c>
      <c r="D118" s="4">
        <f t="shared" si="3"/>
        <v>45566</v>
      </c>
      <c r="E118" s="4">
        <f t="shared" si="4"/>
        <v>45566</v>
      </c>
      <c r="F118" s="5">
        <f t="shared" si="5"/>
        <v>0</v>
      </c>
      <c r="G118" s="5">
        <f>IF(COUNTIFS(A$3:A118,A118,F$3:F118,F118)=1,1,0)</f>
        <v>1</v>
      </c>
    </row>
    <row r="119" spans="1:7" x14ac:dyDescent="0.25">
      <c r="A119">
        <v>720</v>
      </c>
      <c r="B119" s="3">
        <v>45424.694368379598</v>
      </c>
      <c r="C119">
        <v>137</v>
      </c>
      <c r="D119" s="4">
        <f t="shared" si="3"/>
        <v>45413</v>
      </c>
      <c r="E119" s="4">
        <f t="shared" si="4"/>
        <v>45413</v>
      </c>
      <c r="F119" s="5">
        <f t="shared" si="5"/>
        <v>0</v>
      </c>
      <c r="G119" s="5">
        <f>IF(COUNTIFS(A$3:A119,A119,F$3:F119,F119)=1,1,0)</f>
        <v>1</v>
      </c>
    </row>
    <row r="120" spans="1:7" x14ac:dyDescent="0.25">
      <c r="A120">
        <v>749</v>
      </c>
      <c r="B120" s="3">
        <v>45584.061124363398</v>
      </c>
      <c r="C120">
        <v>617</v>
      </c>
      <c r="D120" s="4">
        <f t="shared" si="3"/>
        <v>45566</v>
      </c>
      <c r="E120" s="4">
        <f t="shared" si="4"/>
        <v>45536</v>
      </c>
      <c r="F120" s="5">
        <f t="shared" si="5"/>
        <v>1</v>
      </c>
      <c r="G120" s="5">
        <f>IF(COUNTIFS(A$3:A120,A120,F$3:F120,F120)=1,1,0)</f>
        <v>1</v>
      </c>
    </row>
    <row r="121" spans="1:7" x14ac:dyDescent="0.25">
      <c r="A121">
        <v>338</v>
      </c>
      <c r="B121" s="3">
        <v>45315.215225277803</v>
      </c>
      <c r="C121">
        <v>101</v>
      </c>
      <c r="D121" s="4">
        <f t="shared" si="3"/>
        <v>45292</v>
      </c>
      <c r="E121" s="4">
        <f t="shared" si="4"/>
        <v>45292</v>
      </c>
      <c r="F121" s="5">
        <f t="shared" si="5"/>
        <v>0</v>
      </c>
      <c r="G121" s="5">
        <f>IF(COUNTIFS(A$3:A121,A121,F$3:F121,F121)=1,1,0)</f>
        <v>1</v>
      </c>
    </row>
    <row r="122" spans="1:7" x14ac:dyDescent="0.25">
      <c r="A122">
        <v>879</v>
      </c>
      <c r="B122" s="3">
        <v>45376.4030906482</v>
      </c>
      <c r="C122">
        <v>662</v>
      </c>
      <c r="D122" s="4">
        <f t="shared" si="3"/>
        <v>45352</v>
      </c>
      <c r="E122" s="4">
        <f t="shared" si="4"/>
        <v>45352</v>
      </c>
      <c r="F122" s="5">
        <f t="shared" si="5"/>
        <v>0</v>
      </c>
      <c r="G122" s="5">
        <f>IF(COUNTIFS(A$3:A122,A122,F$3:F122,F122)=1,1,0)</f>
        <v>1</v>
      </c>
    </row>
    <row r="123" spans="1:7" x14ac:dyDescent="0.25">
      <c r="A123">
        <v>53</v>
      </c>
      <c r="B123" s="3">
        <v>45501.828966134301</v>
      </c>
      <c r="C123">
        <v>552</v>
      </c>
      <c r="D123" s="4">
        <f t="shared" si="3"/>
        <v>45474</v>
      </c>
      <c r="E123" s="4">
        <f t="shared" si="4"/>
        <v>45474</v>
      </c>
      <c r="F123" s="5">
        <f t="shared" si="5"/>
        <v>0</v>
      </c>
      <c r="G123" s="5">
        <f>IF(COUNTIFS(A$3:A123,A123,F$3:F123,F123)=1,1,0)</f>
        <v>1</v>
      </c>
    </row>
    <row r="124" spans="1:7" x14ac:dyDescent="0.25">
      <c r="A124">
        <v>792</v>
      </c>
      <c r="B124" s="3">
        <v>45484.925236180599</v>
      </c>
      <c r="C124">
        <v>855</v>
      </c>
      <c r="D124" s="4">
        <f t="shared" si="3"/>
        <v>45474</v>
      </c>
      <c r="E124" s="4">
        <f t="shared" si="4"/>
        <v>45444</v>
      </c>
      <c r="F124" s="5">
        <f t="shared" si="5"/>
        <v>1</v>
      </c>
      <c r="G124" s="5">
        <f>IF(COUNTIFS(A$3:A124,A124,F$3:F124,F124)=1,1,0)</f>
        <v>1</v>
      </c>
    </row>
    <row r="125" spans="1:7" x14ac:dyDescent="0.25">
      <c r="A125">
        <v>922</v>
      </c>
      <c r="B125" s="3">
        <v>45569.308917419003</v>
      </c>
      <c r="C125">
        <v>541</v>
      </c>
      <c r="D125" s="4">
        <f t="shared" si="3"/>
        <v>45566</v>
      </c>
      <c r="E125" s="4">
        <f t="shared" si="4"/>
        <v>45566</v>
      </c>
      <c r="F125" s="5">
        <f t="shared" si="5"/>
        <v>0</v>
      </c>
      <c r="G125" s="5">
        <f>IF(COUNTIFS(A$3:A125,A125,F$3:F125,F125)=1,1,0)</f>
        <v>1</v>
      </c>
    </row>
    <row r="126" spans="1:7" x14ac:dyDescent="0.25">
      <c r="A126">
        <v>217</v>
      </c>
      <c r="B126" s="3">
        <v>45296.039683414398</v>
      </c>
      <c r="C126">
        <v>667</v>
      </c>
      <c r="D126" s="4">
        <f t="shared" si="3"/>
        <v>45292</v>
      </c>
      <c r="E126" s="4">
        <f t="shared" si="4"/>
        <v>45292</v>
      </c>
      <c r="F126" s="5">
        <f t="shared" si="5"/>
        <v>0</v>
      </c>
      <c r="G126" s="5">
        <f>IF(COUNTIFS(A$3:A126,A126,F$3:F126,F126)=1,1,0)</f>
        <v>1</v>
      </c>
    </row>
    <row r="127" spans="1:7" x14ac:dyDescent="0.25">
      <c r="A127">
        <v>764</v>
      </c>
      <c r="B127" s="3">
        <v>45425.905268078699</v>
      </c>
      <c r="C127">
        <v>998</v>
      </c>
      <c r="D127" s="4">
        <f t="shared" si="3"/>
        <v>45413</v>
      </c>
      <c r="E127" s="4">
        <f t="shared" si="4"/>
        <v>45352</v>
      </c>
      <c r="F127" s="5">
        <f t="shared" si="5"/>
        <v>2</v>
      </c>
      <c r="G127" s="5">
        <f>IF(COUNTIFS(A$3:A127,A127,F$3:F127,F127)=1,1,0)</f>
        <v>1</v>
      </c>
    </row>
    <row r="128" spans="1:7" x14ac:dyDescent="0.25">
      <c r="A128">
        <v>188</v>
      </c>
      <c r="B128" s="3">
        <v>45414.290859201399</v>
      </c>
      <c r="C128">
        <v>837</v>
      </c>
      <c r="D128" s="4">
        <f t="shared" si="3"/>
        <v>45413</v>
      </c>
      <c r="E128" s="4">
        <f t="shared" si="4"/>
        <v>45413</v>
      </c>
      <c r="F128" s="5">
        <f t="shared" si="5"/>
        <v>0</v>
      </c>
      <c r="G128" s="5">
        <f>IF(COUNTIFS(A$3:A128,A128,F$3:F128,F128)=1,1,0)</f>
        <v>1</v>
      </c>
    </row>
    <row r="129" spans="1:7" x14ac:dyDescent="0.25">
      <c r="A129">
        <v>380</v>
      </c>
      <c r="B129" s="3">
        <v>45587.914975277803</v>
      </c>
      <c r="C129">
        <v>456</v>
      </c>
      <c r="D129" s="4">
        <f t="shared" si="3"/>
        <v>45566</v>
      </c>
      <c r="E129" s="4">
        <f t="shared" si="4"/>
        <v>45292</v>
      </c>
      <c r="F129" s="5">
        <f t="shared" si="5"/>
        <v>9</v>
      </c>
      <c r="G129" s="5">
        <f>IF(COUNTIFS(A$3:A129,A129,F$3:F129,F129)=1,1,0)</f>
        <v>1</v>
      </c>
    </row>
    <row r="130" spans="1:7" x14ac:dyDescent="0.25">
      <c r="A130">
        <v>493</v>
      </c>
      <c r="B130" s="3">
        <v>45391.450824965301</v>
      </c>
      <c r="C130">
        <v>399</v>
      </c>
      <c r="D130" s="4">
        <f t="shared" si="3"/>
        <v>45383</v>
      </c>
      <c r="E130" s="4">
        <f t="shared" si="4"/>
        <v>45383</v>
      </c>
      <c r="F130" s="5">
        <f t="shared" si="5"/>
        <v>0</v>
      </c>
      <c r="G130" s="5">
        <f>IF(COUNTIFS(A$3:A130,A130,F$3:F130,F130)=1,1,0)</f>
        <v>1</v>
      </c>
    </row>
    <row r="131" spans="1:7" x14ac:dyDescent="0.25">
      <c r="A131">
        <v>41</v>
      </c>
      <c r="B131" s="3">
        <v>45426.0757305324</v>
      </c>
      <c r="C131">
        <v>681</v>
      </c>
      <c r="D131" s="4">
        <f t="shared" ref="D131:D194" si="6">EOMONTH(B131,-1)+1</f>
        <v>45413</v>
      </c>
      <c r="E131" s="4">
        <f t="shared" ref="E131:E194" si="7">_xlfn.MINIFS(D$3:D$1002,A$3:A$1002,A131)</f>
        <v>45413</v>
      </c>
      <c r="F131" s="5">
        <f t="shared" ref="F131:F194" si="8">DATEDIF(E131,D131,"M")</f>
        <v>0</v>
      </c>
      <c r="G131" s="5">
        <f>IF(COUNTIFS(A$3:A131,A131,F$3:F131,F131)=1,1,0)</f>
        <v>1</v>
      </c>
    </row>
    <row r="132" spans="1:7" x14ac:dyDescent="0.25">
      <c r="A132">
        <v>157</v>
      </c>
      <c r="B132" s="3">
        <v>45331.951762442099</v>
      </c>
      <c r="C132">
        <v>870</v>
      </c>
      <c r="D132" s="4">
        <f t="shared" si="6"/>
        <v>45323</v>
      </c>
      <c r="E132" s="4">
        <f t="shared" si="7"/>
        <v>45323</v>
      </c>
      <c r="F132" s="5">
        <f t="shared" si="8"/>
        <v>0</v>
      </c>
      <c r="G132" s="5">
        <f>IF(COUNTIFS(A$3:A132,A132,F$3:F132,F132)=1,1,0)</f>
        <v>1</v>
      </c>
    </row>
    <row r="133" spans="1:7" x14ac:dyDescent="0.25">
      <c r="A133">
        <v>15</v>
      </c>
      <c r="B133" s="3">
        <v>45357.3457865741</v>
      </c>
      <c r="C133">
        <v>52</v>
      </c>
      <c r="D133" s="4">
        <f t="shared" si="6"/>
        <v>45352</v>
      </c>
      <c r="E133" s="4">
        <f t="shared" si="7"/>
        <v>45352</v>
      </c>
      <c r="F133" s="5">
        <f t="shared" si="8"/>
        <v>0</v>
      </c>
      <c r="G133" s="5">
        <f>IF(COUNTIFS(A$3:A133,A133,F$3:F133,F133)=1,1,0)</f>
        <v>1</v>
      </c>
    </row>
    <row r="134" spans="1:7" x14ac:dyDescent="0.25">
      <c r="A134">
        <v>813</v>
      </c>
      <c r="B134" s="3">
        <v>45483.868915312501</v>
      </c>
      <c r="C134">
        <v>263</v>
      </c>
      <c r="D134" s="4">
        <f t="shared" si="6"/>
        <v>45474</v>
      </c>
      <c r="E134" s="4">
        <f t="shared" si="7"/>
        <v>45474</v>
      </c>
      <c r="F134" s="5">
        <f t="shared" si="8"/>
        <v>0</v>
      </c>
      <c r="G134" s="5">
        <f>IF(COUNTIFS(A$3:A134,A134,F$3:F134,F134)=1,1,0)</f>
        <v>1</v>
      </c>
    </row>
    <row r="135" spans="1:7" x14ac:dyDescent="0.25">
      <c r="A135">
        <v>65</v>
      </c>
      <c r="B135" s="3">
        <v>45338.965727129602</v>
      </c>
      <c r="C135">
        <v>139</v>
      </c>
      <c r="D135" s="4">
        <f t="shared" si="6"/>
        <v>45323</v>
      </c>
      <c r="E135" s="4">
        <f t="shared" si="7"/>
        <v>45323</v>
      </c>
      <c r="F135" s="5">
        <f t="shared" si="8"/>
        <v>0</v>
      </c>
      <c r="G135" s="5">
        <f>IF(COUNTIFS(A$3:A135,A135,F$3:F135,F135)=1,1,0)</f>
        <v>1</v>
      </c>
    </row>
    <row r="136" spans="1:7" x14ac:dyDescent="0.25">
      <c r="A136">
        <v>857</v>
      </c>
      <c r="B136" s="3">
        <v>45402.037328842598</v>
      </c>
      <c r="C136">
        <v>69</v>
      </c>
      <c r="D136" s="4">
        <f t="shared" si="6"/>
        <v>45383</v>
      </c>
      <c r="E136" s="4">
        <f t="shared" si="7"/>
        <v>45383</v>
      </c>
      <c r="F136" s="5">
        <f t="shared" si="8"/>
        <v>0</v>
      </c>
      <c r="G136" s="5">
        <f>IF(COUNTIFS(A$3:A136,A136,F$3:F136,F136)=1,1,0)</f>
        <v>1</v>
      </c>
    </row>
    <row r="137" spans="1:7" x14ac:dyDescent="0.25">
      <c r="A137">
        <v>839</v>
      </c>
      <c r="B137" s="3">
        <v>45404.114745138897</v>
      </c>
      <c r="C137">
        <v>672</v>
      </c>
      <c r="D137" s="4">
        <f t="shared" si="6"/>
        <v>45383</v>
      </c>
      <c r="E137" s="4">
        <f t="shared" si="7"/>
        <v>45383</v>
      </c>
      <c r="F137" s="5">
        <f t="shared" si="8"/>
        <v>0</v>
      </c>
      <c r="G137" s="5">
        <f>IF(COUNTIFS(A$3:A137,A137,F$3:F137,F137)=1,1,0)</f>
        <v>1</v>
      </c>
    </row>
    <row r="138" spans="1:7" x14ac:dyDescent="0.25">
      <c r="A138">
        <v>521</v>
      </c>
      <c r="B138" s="3">
        <v>45509.806246689797</v>
      </c>
      <c r="C138">
        <v>476</v>
      </c>
      <c r="D138" s="4">
        <f t="shared" si="6"/>
        <v>45505</v>
      </c>
      <c r="E138" s="4">
        <f t="shared" si="7"/>
        <v>45505</v>
      </c>
      <c r="F138" s="5">
        <f t="shared" si="8"/>
        <v>0</v>
      </c>
      <c r="G138" s="5">
        <f>IF(COUNTIFS(A$3:A138,A138,F$3:F138,F138)=1,1,0)</f>
        <v>1</v>
      </c>
    </row>
    <row r="139" spans="1:7" x14ac:dyDescent="0.25">
      <c r="A139">
        <v>344</v>
      </c>
      <c r="B139" s="3">
        <v>45611.957468877299</v>
      </c>
      <c r="C139">
        <v>296</v>
      </c>
      <c r="D139" s="4">
        <f t="shared" si="6"/>
        <v>45597</v>
      </c>
      <c r="E139" s="4">
        <f t="shared" si="7"/>
        <v>45323</v>
      </c>
      <c r="F139" s="5">
        <f t="shared" si="8"/>
        <v>9</v>
      </c>
      <c r="G139" s="5">
        <f>IF(COUNTIFS(A$3:A139,A139,F$3:F139,F139)=1,1,0)</f>
        <v>1</v>
      </c>
    </row>
    <row r="140" spans="1:7" x14ac:dyDescent="0.25">
      <c r="A140">
        <v>129</v>
      </c>
      <c r="B140" s="3">
        <v>45352.005010080997</v>
      </c>
      <c r="C140">
        <v>526</v>
      </c>
      <c r="D140" s="4">
        <f t="shared" si="6"/>
        <v>45352</v>
      </c>
      <c r="E140" s="4">
        <f t="shared" si="7"/>
        <v>45352</v>
      </c>
      <c r="F140" s="5">
        <f t="shared" si="8"/>
        <v>0</v>
      </c>
      <c r="G140" s="5">
        <f>IF(COUNTIFS(A$3:A140,A140,F$3:F140,F140)=1,1,0)</f>
        <v>1</v>
      </c>
    </row>
    <row r="141" spans="1:7" x14ac:dyDescent="0.25">
      <c r="A141">
        <v>648</v>
      </c>
      <c r="B141" s="3">
        <v>45325.226645046299</v>
      </c>
      <c r="C141">
        <v>476</v>
      </c>
      <c r="D141" s="4">
        <f t="shared" si="6"/>
        <v>45323</v>
      </c>
      <c r="E141" s="4">
        <f t="shared" si="7"/>
        <v>45323</v>
      </c>
      <c r="F141" s="5">
        <f t="shared" si="8"/>
        <v>0</v>
      </c>
      <c r="G141" s="5">
        <f>IF(COUNTIFS(A$3:A141,A141,F$3:F141,F141)=1,1,0)</f>
        <v>1</v>
      </c>
    </row>
    <row r="142" spans="1:7" x14ac:dyDescent="0.25">
      <c r="A142">
        <v>472</v>
      </c>
      <c r="B142" s="3">
        <v>45521.280566504603</v>
      </c>
      <c r="C142">
        <v>939</v>
      </c>
      <c r="D142" s="4">
        <f t="shared" si="6"/>
        <v>45505</v>
      </c>
      <c r="E142" s="4">
        <f t="shared" si="7"/>
        <v>45505</v>
      </c>
      <c r="F142" s="5">
        <f t="shared" si="8"/>
        <v>0</v>
      </c>
      <c r="G142" s="5">
        <f>IF(COUNTIFS(A$3:A142,A142,F$3:F142,F142)=1,1,0)</f>
        <v>1</v>
      </c>
    </row>
    <row r="143" spans="1:7" x14ac:dyDescent="0.25">
      <c r="A143">
        <v>63</v>
      </c>
      <c r="B143" s="3">
        <v>45343.363419294001</v>
      </c>
      <c r="C143">
        <v>787</v>
      </c>
      <c r="D143" s="4">
        <f t="shared" si="6"/>
        <v>45323</v>
      </c>
      <c r="E143" s="4">
        <f t="shared" si="7"/>
        <v>45323</v>
      </c>
      <c r="F143" s="5">
        <f t="shared" si="8"/>
        <v>0</v>
      </c>
      <c r="G143" s="5">
        <f>IF(COUNTIFS(A$3:A143,A143,F$3:F143,F143)=1,1,0)</f>
        <v>1</v>
      </c>
    </row>
    <row r="144" spans="1:7" x14ac:dyDescent="0.25">
      <c r="A144">
        <v>139</v>
      </c>
      <c r="B144" s="3">
        <v>45443.753865544</v>
      </c>
      <c r="C144">
        <v>354</v>
      </c>
      <c r="D144" s="4">
        <f t="shared" si="6"/>
        <v>45413</v>
      </c>
      <c r="E144" s="4">
        <f t="shared" si="7"/>
        <v>45413</v>
      </c>
      <c r="F144" s="5">
        <f t="shared" si="8"/>
        <v>0</v>
      </c>
      <c r="G144" s="5">
        <f>IF(COUNTIFS(A$3:A144,A144,F$3:F144,F144)=1,1,0)</f>
        <v>1</v>
      </c>
    </row>
    <row r="145" spans="1:7" x14ac:dyDescent="0.25">
      <c r="A145">
        <v>499</v>
      </c>
      <c r="B145" s="3">
        <v>45584.760956527804</v>
      </c>
      <c r="C145">
        <v>651</v>
      </c>
      <c r="D145" s="4">
        <f t="shared" si="6"/>
        <v>45566</v>
      </c>
      <c r="E145" s="4">
        <f t="shared" si="7"/>
        <v>45383</v>
      </c>
      <c r="F145" s="5">
        <f t="shared" si="8"/>
        <v>6</v>
      </c>
      <c r="G145" s="5">
        <f>IF(COUNTIFS(A$3:A145,A145,F$3:F145,F145)=1,1,0)</f>
        <v>1</v>
      </c>
    </row>
    <row r="146" spans="1:7" x14ac:dyDescent="0.25">
      <c r="A146">
        <v>593</v>
      </c>
      <c r="B146" s="3">
        <v>45445.815301747702</v>
      </c>
      <c r="C146">
        <v>391</v>
      </c>
      <c r="D146" s="4">
        <f t="shared" si="6"/>
        <v>45444</v>
      </c>
      <c r="E146" s="4">
        <f t="shared" si="7"/>
        <v>45444</v>
      </c>
      <c r="F146" s="5">
        <f t="shared" si="8"/>
        <v>0</v>
      </c>
      <c r="G146" s="5">
        <f>IF(COUNTIFS(A$3:A146,A146,F$3:F146,F146)=1,1,0)</f>
        <v>1</v>
      </c>
    </row>
    <row r="147" spans="1:7" x14ac:dyDescent="0.25">
      <c r="A147">
        <v>392</v>
      </c>
      <c r="B147" s="3">
        <v>45350.233543009301</v>
      </c>
      <c r="C147">
        <v>788</v>
      </c>
      <c r="D147" s="4">
        <f t="shared" si="6"/>
        <v>45323</v>
      </c>
      <c r="E147" s="4">
        <f t="shared" si="7"/>
        <v>45323</v>
      </c>
      <c r="F147" s="5">
        <f t="shared" si="8"/>
        <v>0</v>
      </c>
      <c r="G147" s="5">
        <f>IF(COUNTIFS(A$3:A147,A147,F$3:F147,F147)=1,1,0)</f>
        <v>1</v>
      </c>
    </row>
    <row r="148" spans="1:7" x14ac:dyDescent="0.25">
      <c r="A148">
        <v>675</v>
      </c>
      <c r="B148" s="3">
        <v>45434.154170150498</v>
      </c>
      <c r="C148">
        <v>699</v>
      </c>
      <c r="D148" s="4">
        <f t="shared" si="6"/>
        <v>45413</v>
      </c>
      <c r="E148" s="4">
        <f t="shared" si="7"/>
        <v>45323</v>
      </c>
      <c r="F148" s="5">
        <f t="shared" si="8"/>
        <v>3</v>
      </c>
      <c r="G148" s="5">
        <f>IF(COUNTIFS(A$3:A148,A148,F$3:F148,F148)=1,1,0)</f>
        <v>1</v>
      </c>
    </row>
    <row r="149" spans="1:7" x14ac:dyDescent="0.25">
      <c r="A149">
        <v>419</v>
      </c>
      <c r="B149" s="3">
        <v>45311.285222916697</v>
      </c>
      <c r="C149">
        <v>262</v>
      </c>
      <c r="D149" s="4">
        <f t="shared" si="6"/>
        <v>45292</v>
      </c>
      <c r="E149" s="4">
        <f t="shared" si="7"/>
        <v>45292</v>
      </c>
      <c r="F149" s="5">
        <f t="shared" si="8"/>
        <v>0</v>
      </c>
      <c r="G149" s="5">
        <f>IF(COUNTIFS(A$3:A149,A149,F$3:F149,F149)=1,1,0)</f>
        <v>1</v>
      </c>
    </row>
    <row r="150" spans="1:7" x14ac:dyDescent="0.25">
      <c r="A150">
        <v>289</v>
      </c>
      <c r="B150" s="3">
        <v>45498.1834704051</v>
      </c>
      <c r="C150">
        <v>936</v>
      </c>
      <c r="D150" s="4">
        <f t="shared" si="6"/>
        <v>45474</v>
      </c>
      <c r="E150" s="4">
        <f t="shared" si="7"/>
        <v>45474</v>
      </c>
      <c r="F150" s="5">
        <f t="shared" si="8"/>
        <v>0</v>
      </c>
      <c r="G150" s="5">
        <f>IF(COUNTIFS(A$3:A150,A150,F$3:F150,F150)=1,1,0)</f>
        <v>1</v>
      </c>
    </row>
    <row r="151" spans="1:7" x14ac:dyDescent="0.25">
      <c r="A151">
        <v>379</v>
      </c>
      <c r="B151" s="3">
        <v>45436.001644652802</v>
      </c>
      <c r="C151">
        <v>65</v>
      </c>
      <c r="D151" s="4">
        <f t="shared" si="6"/>
        <v>45413</v>
      </c>
      <c r="E151" s="4">
        <f t="shared" si="7"/>
        <v>45413</v>
      </c>
      <c r="F151" s="5">
        <f t="shared" si="8"/>
        <v>0</v>
      </c>
      <c r="G151" s="5">
        <f>IF(COUNTIFS(A$3:A151,A151,F$3:F151,F151)=1,1,0)</f>
        <v>1</v>
      </c>
    </row>
    <row r="152" spans="1:7" x14ac:dyDescent="0.25">
      <c r="A152">
        <v>773</v>
      </c>
      <c r="B152" s="3">
        <v>45642.491239583302</v>
      </c>
      <c r="C152">
        <v>472</v>
      </c>
      <c r="D152" s="4">
        <f t="shared" si="6"/>
        <v>45627</v>
      </c>
      <c r="E152" s="4">
        <f t="shared" si="7"/>
        <v>45627</v>
      </c>
      <c r="F152" s="5">
        <f t="shared" si="8"/>
        <v>0</v>
      </c>
      <c r="G152" s="5">
        <f>IF(COUNTIFS(A$3:A152,A152,F$3:F152,F152)=1,1,0)</f>
        <v>1</v>
      </c>
    </row>
    <row r="153" spans="1:7" x14ac:dyDescent="0.25">
      <c r="A153">
        <v>490</v>
      </c>
      <c r="B153" s="3">
        <v>45318.104579328698</v>
      </c>
      <c r="C153">
        <v>466</v>
      </c>
      <c r="D153" s="4">
        <f t="shared" si="6"/>
        <v>45292</v>
      </c>
      <c r="E153" s="4">
        <f t="shared" si="7"/>
        <v>45292</v>
      </c>
      <c r="F153" s="5">
        <f t="shared" si="8"/>
        <v>0</v>
      </c>
      <c r="G153" s="5">
        <f>IF(COUNTIFS(A$3:A153,A153,F$3:F153,F153)=1,1,0)</f>
        <v>1</v>
      </c>
    </row>
    <row r="154" spans="1:7" x14ac:dyDescent="0.25">
      <c r="A154">
        <v>231</v>
      </c>
      <c r="B154" s="3">
        <v>45569.595243101903</v>
      </c>
      <c r="C154">
        <v>992</v>
      </c>
      <c r="D154" s="4">
        <f t="shared" si="6"/>
        <v>45566</v>
      </c>
      <c r="E154" s="4">
        <f t="shared" si="7"/>
        <v>45323</v>
      </c>
      <c r="F154" s="5">
        <f t="shared" si="8"/>
        <v>8</v>
      </c>
      <c r="G154" s="5">
        <f>IF(COUNTIFS(A$3:A154,A154,F$3:F154,F154)=1,1,0)</f>
        <v>1</v>
      </c>
    </row>
    <row r="155" spans="1:7" x14ac:dyDescent="0.25">
      <c r="A155">
        <v>41</v>
      </c>
      <c r="B155" s="3">
        <v>45437.6560033102</v>
      </c>
      <c r="C155">
        <v>92</v>
      </c>
      <c r="D155" s="4">
        <f t="shared" si="6"/>
        <v>45413</v>
      </c>
      <c r="E155" s="4">
        <f t="shared" si="7"/>
        <v>45413</v>
      </c>
      <c r="F155" s="5">
        <f t="shared" si="8"/>
        <v>0</v>
      </c>
      <c r="G155" s="5">
        <f>IF(COUNTIFS(A$3:A155,A155,F$3:F155,F155)=1,1,0)</f>
        <v>0</v>
      </c>
    </row>
    <row r="156" spans="1:7" x14ac:dyDescent="0.25">
      <c r="A156">
        <v>28</v>
      </c>
      <c r="B156" s="3">
        <v>45611.587222442096</v>
      </c>
      <c r="C156">
        <v>914</v>
      </c>
      <c r="D156" s="4">
        <f t="shared" si="6"/>
        <v>45597</v>
      </c>
      <c r="E156" s="4">
        <f t="shared" si="7"/>
        <v>45536</v>
      </c>
      <c r="F156" s="5">
        <f t="shared" si="8"/>
        <v>2</v>
      </c>
      <c r="G156" s="5">
        <f>IF(COUNTIFS(A$3:A156,A156,F$3:F156,F156)=1,1,0)</f>
        <v>1</v>
      </c>
    </row>
    <row r="157" spans="1:7" x14ac:dyDescent="0.25">
      <c r="A157">
        <v>135</v>
      </c>
      <c r="B157" s="3">
        <v>45593.8116126042</v>
      </c>
      <c r="C157">
        <v>108</v>
      </c>
      <c r="D157" s="4">
        <f t="shared" si="6"/>
        <v>45566</v>
      </c>
      <c r="E157" s="4">
        <f t="shared" si="7"/>
        <v>45566</v>
      </c>
      <c r="F157" s="5">
        <f t="shared" si="8"/>
        <v>0</v>
      </c>
      <c r="G157" s="5">
        <f>IF(COUNTIFS(A$3:A157,A157,F$3:F157,F157)=1,1,0)</f>
        <v>1</v>
      </c>
    </row>
    <row r="158" spans="1:7" x14ac:dyDescent="0.25">
      <c r="A158">
        <v>201</v>
      </c>
      <c r="B158" s="3">
        <v>45635.381949294002</v>
      </c>
      <c r="C158">
        <v>158</v>
      </c>
      <c r="D158" s="4">
        <f t="shared" si="6"/>
        <v>45627</v>
      </c>
      <c r="E158" s="4">
        <f t="shared" si="7"/>
        <v>45292</v>
      </c>
      <c r="F158" s="5">
        <f t="shared" si="8"/>
        <v>11</v>
      </c>
      <c r="G158" s="5">
        <f>IF(COUNTIFS(A$3:A158,A158,F$3:F158,F158)=1,1,0)</f>
        <v>1</v>
      </c>
    </row>
    <row r="159" spans="1:7" x14ac:dyDescent="0.25">
      <c r="A159">
        <v>840</v>
      </c>
      <c r="B159" s="3">
        <v>45339.447484490702</v>
      </c>
      <c r="C159">
        <v>338</v>
      </c>
      <c r="D159" s="4">
        <f t="shared" si="6"/>
        <v>45323</v>
      </c>
      <c r="E159" s="4">
        <f t="shared" si="7"/>
        <v>45323</v>
      </c>
      <c r="F159" s="5">
        <f t="shared" si="8"/>
        <v>0</v>
      </c>
      <c r="G159" s="5">
        <f>IF(COUNTIFS(A$3:A159,A159,F$3:F159,F159)=1,1,0)</f>
        <v>1</v>
      </c>
    </row>
    <row r="160" spans="1:7" x14ac:dyDescent="0.25">
      <c r="A160">
        <v>780</v>
      </c>
      <c r="B160" s="3">
        <v>45624.121007731497</v>
      </c>
      <c r="C160">
        <v>165</v>
      </c>
      <c r="D160" s="4">
        <f t="shared" si="6"/>
        <v>45597</v>
      </c>
      <c r="E160" s="4">
        <f t="shared" si="7"/>
        <v>45383</v>
      </c>
      <c r="F160" s="5">
        <f t="shared" si="8"/>
        <v>7</v>
      </c>
      <c r="G160" s="5">
        <f>IF(COUNTIFS(A$3:A160,A160,F$3:F160,F160)=1,1,0)</f>
        <v>1</v>
      </c>
    </row>
    <row r="161" spans="1:7" x14ac:dyDescent="0.25">
      <c r="A161">
        <v>930</v>
      </c>
      <c r="B161" s="3">
        <v>45557.821579062504</v>
      </c>
      <c r="C161">
        <v>199</v>
      </c>
      <c r="D161" s="4">
        <f t="shared" si="6"/>
        <v>45536</v>
      </c>
      <c r="E161" s="4">
        <f t="shared" si="7"/>
        <v>45536</v>
      </c>
      <c r="F161" s="5">
        <f t="shared" si="8"/>
        <v>0</v>
      </c>
      <c r="G161" s="5">
        <f>IF(COUNTIFS(A$3:A161,A161,F$3:F161,F161)=1,1,0)</f>
        <v>1</v>
      </c>
    </row>
    <row r="162" spans="1:7" x14ac:dyDescent="0.25">
      <c r="A162">
        <v>33</v>
      </c>
      <c r="B162" s="3">
        <v>45616.779018634297</v>
      </c>
      <c r="C162">
        <v>503</v>
      </c>
      <c r="D162" s="4">
        <f t="shared" si="6"/>
        <v>45597</v>
      </c>
      <c r="E162" s="4">
        <f t="shared" si="7"/>
        <v>45566</v>
      </c>
      <c r="F162" s="5">
        <f t="shared" si="8"/>
        <v>1</v>
      </c>
      <c r="G162" s="5">
        <f>IF(COUNTIFS(A$3:A162,A162,F$3:F162,F162)=1,1,0)</f>
        <v>1</v>
      </c>
    </row>
    <row r="163" spans="1:7" x14ac:dyDescent="0.25">
      <c r="A163">
        <v>48</v>
      </c>
      <c r="B163" s="3">
        <v>45539.684625046299</v>
      </c>
      <c r="C163">
        <v>892</v>
      </c>
      <c r="D163" s="4">
        <f t="shared" si="6"/>
        <v>45536</v>
      </c>
      <c r="E163" s="4">
        <f t="shared" si="7"/>
        <v>45536</v>
      </c>
      <c r="F163" s="5">
        <f t="shared" si="8"/>
        <v>0</v>
      </c>
      <c r="G163" s="5">
        <f>IF(COUNTIFS(A$3:A163,A163,F$3:F163,F163)=1,1,0)</f>
        <v>1</v>
      </c>
    </row>
    <row r="164" spans="1:7" x14ac:dyDescent="0.25">
      <c r="A164">
        <v>503</v>
      </c>
      <c r="B164" s="3">
        <v>45306.056221597202</v>
      </c>
      <c r="C164">
        <v>272</v>
      </c>
      <c r="D164" s="4">
        <f t="shared" si="6"/>
        <v>45292</v>
      </c>
      <c r="E164" s="4">
        <f t="shared" si="7"/>
        <v>45292</v>
      </c>
      <c r="F164" s="5">
        <f t="shared" si="8"/>
        <v>0</v>
      </c>
      <c r="G164" s="5">
        <f>IF(COUNTIFS(A$3:A164,A164,F$3:F164,F164)=1,1,0)</f>
        <v>1</v>
      </c>
    </row>
    <row r="165" spans="1:7" x14ac:dyDescent="0.25">
      <c r="A165">
        <v>407</v>
      </c>
      <c r="B165" s="3">
        <v>45435.335949571803</v>
      </c>
      <c r="C165">
        <v>89</v>
      </c>
      <c r="D165" s="4">
        <f t="shared" si="6"/>
        <v>45413</v>
      </c>
      <c r="E165" s="4">
        <f t="shared" si="7"/>
        <v>45413</v>
      </c>
      <c r="F165" s="5">
        <f t="shared" si="8"/>
        <v>0</v>
      </c>
      <c r="G165" s="5">
        <f>IF(COUNTIFS(A$3:A165,A165,F$3:F165,F165)=1,1,0)</f>
        <v>1</v>
      </c>
    </row>
    <row r="166" spans="1:7" x14ac:dyDescent="0.25">
      <c r="A166">
        <v>574</v>
      </c>
      <c r="B166" s="3">
        <v>45577.9737657523</v>
      </c>
      <c r="C166">
        <v>409</v>
      </c>
      <c r="D166" s="4">
        <f t="shared" si="6"/>
        <v>45566</v>
      </c>
      <c r="E166" s="4">
        <f t="shared" si="7"/>
        <v>45566</v>
      </c>
      <c r="F166" s="5">
        <f t="shared" si="8"/>
        <v>0</v>
      </c>
      <c r="G166" s="5">
        <f>IF(COUNTIFS(A$3:A166,A166,F$3:F166,F166)=1,1,0)</f>
        <v>1</v>
      </c>
    </row>
    <row r="167" spans="1:7" x14ac:dyDescent="0.25">
      <c r="A167">
        <v>728</v>
      </c>
      <c r="B167" s="3">
        <v>45514.5318183333</v>
      </c>
      <c r="C167">
        <v>773</v>
      </c>
      <c r="D167" s="4">
        <f t="shared" si="6"/>
        <v>45505</v>
      </c>
      <c r="E167" s="4">
        <f t="shared" si="7"/>
        <v>45505</v>
      </c>
      <c r="F167" s="5">
        <f t="shared" si="8"/>
        <v>0</v>
      </c>
      <c r="G167" s="5">
        <f>IF(COUNTIFS(A$3:A167,A167,F$3:F167,F167)=1,1,0)</f>
        <v>1</v>
      </c>
    </row>
    <row r="168" spans="1:7" x14ac:dyDescent="0.25">
      <c r="A168">
        <v>805</v>
      </c>
      <c r="B168" s="3">
        <v>45434.359944780103</v>
      </c>
      <c r="C168">
        <v>618</v>
      </c>
      <c r="D168" s="4">
        <f t="shared" si="6"/>
        <v>45413</v>
      </c>
      <c r="E168" s="4">
        <f t="shared" si="7"/>
        <v>45413</v>
      </c>
      <c r="F168" s="5">
        <f t="shared" si="8"/>
        <v>0</v>
      </c>
      <c r="G168" s="5">
        <f>IF(COUNTIFS(A$3:A168,A168,F$3:F168,F168)=1,1,0)</f>
        <v>1</v>
      </c>
    </row>
    <row r="169" spans="1:7" x14ac:dyDescent="0.25">
      <c r="A169">
        <v>99</v>
      </c>
      <c r="B169" s="3">
        <v>45634.070758865702</v>
      </c>
      <c r="C169">
        <v>269</v>
      </c>
      <c r="D169" s="4">
        <f t="shared" si="6"/>
        <v>45627</v>
      </c>
      <c r="E169" s="4">
        <f t="shared" si="7"/>
        <v>45323</v>
      </c>
      <c r="F169" s="5">
        <f t="shared" si="8"/>
        <v>10</v>
      </c>
      <c r="G169" s="5">
        <f>IF(COUNTIFS(A$3:A169,A169,F$3:F169,F169)=1,1,0)</f>
        <v>1</v>
      </c>
    </row>
    <row r="170" spans="1:7" x14ac:dyDescent="0.25">
      <c r="A170">
        <v>684</v>
      </c>
      <c r="B170" s="3">
        <v>45478.809928090297</v>
      </c>
      <c r="C170">
        <v>781</v>
      </c>
      <c r="D170" s="4">
        <f t="shared" si="6"/>
        <v>45474</v>
      </c>
      <c r="E170" s="4">
        <f t="shared" si="7"/>
        <v>45413</v>
      </c>
      <c r="F170" s="5">
        <f t="shared" si="8"/>
        <v>2</v>
      </c>
      <c r="G170" s="5">
        <f>IF(COUNTIFS(A$3:A170,A170,F$3:F170,F170)=1,1,0)</f>
        <v>1</v>
      </c>
    </row>
    <row r="171" spans="1:7" x14ac:dyDescent="0.25">
      <c r="A171">
        <v>872</v>
      </c>
      <c r="B171" s="3">
        <v>45650.469662465301</v>
      </c>
      <c r="C171">
        <v>624</v>
      </c>
      <c r="D171" s="4">
        <f t="shared" si="6"/>
        <v>45627</v>
      </c>
      <c r="E171" s="4">
        <f t="shared" si="7"/>
        <v>45444</v>
      </c>
      <c r="F171" s="5">
        <f t="shared" si="8"/>
        <v>6</v>
      </c>
      <c r="G171" s="5">
        <f>IF(COUNTIFS(A$3:A171,A171,F$3:F171,F171)=1,1,0)</f>
        <v>0</v>
      </c>
    </row>
    <row r="172" spans="1:7" x14ac:dyDescent="0.25">
      <c r="A172">
        <v>726</v>
      </c>
      <c r="B172" s="3">
        <v>45310.834857511603</v>
      </c>
      <c r="C172">
        <v>561</v>
      </c>
      <c r="D172" s="4">
        <f t="shared" si="6"/>
        <v>45292</v>
      </c>
      <c r="E172" s="4">
        <f t="shared" si="7"/>
        <v>45292</v>
      </c>
      <c r="F172" s="5">
        <f t="shared" si="8"/>
        <v>0</v>
      </c>
      <c r="G172" s="5">
        <f>IF(COUNTIFS(A$3:A172,A172,F$3:F172,F172)=1,1,0)</f>
        <v>1</v>
      </c>
    </row>
    <row r="173" spans="1:7" x14ac:dyDescent="0.25">
      <c r="A173">
        <v>987</v>
      </c>
      <c r="B173" s="3">
        <v>45565.433579432902</v>
      </c>
      <c r="C173">
        <v>794</v>
      </c>
      <c r="D173" s="4">
        <f t="shared" si="6"/>
        <v>45536</v>
      </c>
      <c r="E173" s="4">
        <f t="shared" si="7"/>
        <v>45536</v>
      </c>
      <c r="F173" s="5">
        <f t="shared" si="8"/>
        <v>0</v>
      </c>
      <c r="G173" s="5">
        <f>IF(COUNTIFS(A$3:A173,A173,F$3:F173,F173)=1,1,0)</f>
        <v>1</v>
      </c>
    </row>
    <row r="174" spans="1:7" x14ac:dyDescent="0.25">
      <c r="A174">
        <v>547</v>
      </c>
      <c r="B174" s="3">
        <v>45448.798127777802</v>
      </c>
      <c r="C174">
        <v>110</v>
      </c>
      <c r="D174" s="4">
        <f t="shared" si="6"/>
        <v>45444</v>
      </c>
      <c r="E174" s="4">
        <f t="shared" si="7"/>
        <v>45413</v>
      </c>
      <c r="F174" s="5">
        <f t="shared" si="8"/>
        <v>1</v>
      </c>
      <c r="G174" s="5">
        <f>IF(COUNTIFS(A$3:A174,A174,F$3:F174,F174)=1,1,0)</f>
        <v>1</v>
      </c>
    </row>
    <row r="175" spans="1:7" x14ac:dyDescent="0.25">
      <c r="A175">
        <v>961</v>
      </c>
      <c r="B175" s="3">
        <v>45390.6896052546</v>
      </c>
      <c r="C175">
        <v>368</v>
      </c>
      <c r="D175" s="4">
        <f t="shared" si="6"/>
        <v>45383</v>
      </c>
      <c r="E175" s="4">
        <f t="shared" si="7"/>
        <v>45383</v>
      </c>
      <c r="F175" s="5">
        <f t="shared" si="8"/>
        <v>0</v>
      </c>
      <c r="G175" s="5">
        <f>IF(COUNTIFS(A$3:A175,A175,F$3:F175,F175)=1,1,0)</f>
        <v>1</v>
      </c>
    </row>
    <row r="176" spans="1:7" x14ac:dyDescent="0.25">
      <c r="A176">
        <v>739</v>
      </c>
      <c r="B176" s="3">
        <v>45478.4027541088</v>
      </c>
      <c r="C176">
        <v>389</v>
      </c>
      <c r="D176" s="4">
        <f t="shared" si="6"/>
        <v>45474</v>
      </c>
      <c r="E176" s="4">
        <f t="shared" si="7"/>
        <v>45413</v>
      </c>
      <c r="F176" s="5">
        <f t="shared" si="8"/>
        <v>2</v>
      </c>
      <c r="G176" s="5">
        <f>IF(COUNTIFS(A$3:A176,A176,F$3:F176,F176)=1,1,0)</f>
        <v>1</v>
      </c>
    </row>
    <row r="177" spans="1:7" x14ac:dyDescent="0.25">
      <c r="A177">
        <v>613</v>
      </c>
      <c r="B177" s="3">
        <v>45651.682373946802</v>
      </c>
      <c r="C177">
        <v>829</v>
      </c>
      <c r="D177" s="4">
        <f t="shared" si="6"/>
        <v>45627</v>
      </c>
      <c r="E177" s="4">
        <f t="shared" si="7"/>
        <v>45352</v>
      </c>
      <c r="F177" s="5">
        <f t="shared" si="8"/>
        <v>9</v>
      </c>
      <c r="G177" s="5">
        <f>IF(COUNTIFS(A$3:A177,A177,F$3:F177,F177)=1,1,0)</f>
        <v>1</v>
      </c>
    </row>
    <row r="178" spans="1:7" x14ac:dyDescent="0.25">
      <c r="A178">
        <v>943</v>
      </c>
      <c r="B178" s="3">
        <v>45550.771635752302</v>
      </c>
      <c r="C178">
        <v>230</v>
      </c>
      <c r="D178" s="4">
        <f t="shared" si="6"/>
        <v>45536</v>
      </c>
      <c r="E178" s="4">
        <f t="shared" si="7"/>
        <v>45474</v>
      </c>
      <c r="F178" s="5">
        <f t="shared" si="8"/>
        <v>2</v>
      </c>
      <c r="G178" s="5">
        <f>IF(COUNTIFS(A$3:A178,A178,F$3:F178,F178)=1,1,0)</f>
        <v>1</v>
      </c>
    </row>
    <row r="179" spans="1:7" x14ac:dyDescent="0.25">
      <c r="A179">
        <v>462</v>
      </c>
      <c r="B179" s="3">
        <v>45407.566322789397</v>
      </c>
      <c r="C179">
        <v>829</v>
      </c>
      <c r="D179" s="4">
        <f t="shared" si="6"/>
        <v>45383</v>
      </c>
      <c r="E179" s="4">
        <f t="shared" si="7"/>
        <v>45352</v>
      </c>
      <c r="F179" s="5">
        <f t="shared" si="8"/>
        <v>1</v>
      </c>
      <c r="G179" s="5">
        <f>IF(COUNTIFS(A$3:A179,A179,F$3:F179,F179)=1,1,0)</f>
        <v>1</v>
      </c>
    </row>
    <row r="180" spans="1:7" x14ac:dyDescent="0.25">
      <c r="A180">
        <v>643</v>
      </c>
      <c r="B180" s="3">
        <v>45331.1054489815</v>
      </c>
      <c r="C180">
        <v>429</v>
      </c>
      <c r="D180" s="4">
        <f t="shared" si="6"/>
        <v>45323</v>
      </c>
      <c r="E180" s="4">
        <f t="shared" si="7"/>
        <v>45323</v>
      </c>
      <c r="F180" s="5">
        <f t="shared" si="8"/>
        <v>0</v>
      </c>
      <c r="G180" s="5">
        <f>IF(COUNTIFS(A$3:A180,A180,F$3:F180,F180)=1,1,0)</f>
        <v>1</v>
      </c>
    </row>
    <row r="181" spans="1:7" x14ac:dyDescent="0.25">
      <c r="A181">
        <v>769</v>
      </c>
      <c r="B181" s="3">
        <v>45558.953589525503</v>
      </c>
      <c r="C181">
        <v>133</v>
      </c>
      <c r="D181" s="4">
        <f t="shared" si="6"/>
        <v>45536</v>
      </c>
      <c r="E181" s="4">
        <f t="shared" si="7"/>
        <v>45505</v>
      </c>
      <c r="F181" s="5">
        <f t="shared" si="8"/>
        <v>1</v>
      </c>
      <c r="G181" s="5">
        <f>IF(COUNTIFS(A$3:A181,A181,F$3:F181,F181)=1,1,0)</f>
        <v>1</v>
      </c>
    </row>
    <row r="182" spans="1:7" x14ac:dyDescent="0.25">
      <c r="A182">
        <v>5</v>
      </c>
      <c r="B182" s="3">
        <v>45377.129035127298</v>
      </c>
      <c r="C182">
        <v>431</v>
      </c>
      <c r="D182" s="4">
        <f t="shared" si="6"/>
        <v>45352</v>
      </c>
      <c r="E182" s="4">
        <f t="shared" si="7"/>
        <v>45352</v>
      </c>
      <c r="F182" s="5">
        <f t="shared" si="8"/>
        <v>0</v>
      </c>
      <c r="G182" s="5">
        <f>IF(COUNTIFS(A$3:A182,A182,F$3:F182,F182)=1,1,0)</f>
        <v>1</v>
      </c>
    </row>
    <row r="183" spans="1:7" x14ac:dyDescent="0.25">
      <c r="A183">
        <v>218</v>
      </c>
      <c r="B183" s="3">
        <v>45471.440960046297</v>
      </c>
      <c r="C183">
        <v>240</v>
      </c>
      <c r="D183" s="4">
        <f t="shared" si="6"/>
        <v>45444</v>
      </c>
      <c r="E183" s="4">
        <f t="shared" si="7"/>
        <v>45292</v>
      </c>
      <c r="F183" s="5">
        <f t="shared" si="8"/>
        <v>5</v>
      </c>
      <c r="G183" s="5">
        <f>IF(COUNTIFS(A$3:A183,A183,F$3:F183,F183)=1,1,0)</f>
        <v>1</v>
      </c>
    </row>
    <row r="184" spans="1:7" x14ac:dyDescent="0.25">
      <c r="A184">
        <v>503</v>
      </c>
      <c r="B184" s="3">
        <v>45621.984493750002</v>
      </c>
      <c r="C184">
        <v>699</v>
      </c>
      <c r="D184" s="4">
        <f t="shared" si="6"/>
        <v>45597</v>
      </c>
      <c r="E184" s="4">
        <f t="shared" si="7"/>
        <v>45292</v>
      </c>
      <c r="F184" s="5">
        <f t="shared" si="8"/>
        <v>10</v>
      </c>
      <c r="G184" s="5">
        <f>IF(COUNTIFS(A$3:A184,A184,F$3:F184,F184)=1,1,0)</f>
        <v>1</v>
      </c>
    </row>
    <row r="185" spans="1:7" x14ac:dyDescent="0.25">
      <c r="A185">
        <v>767</v>
      </c>
      <c r="B185" s="3">
        <v>45311.217738032399</v>
      </c>
      <c r="C185">
        <v>72</v>
      </c>
      <c r="D185" s="4">
        <f t="shared" si="6"/>
        <v>45292</v>
      </c>
      <c r="E185" s="4">
        <f t="shared" si="7"/>
        <v>45292</v>
      </c>
      <c r="F185" s="5">
        <f t="shared" si="8"/>
        <v>0</v>
      </c>
      <c r="G185" s="5">
        <f>IF(COUNTIFS(A$3:A185,A185,F$3:F185,F185)=1,1,0)</f>
        <v>1</v>
      </c>
    </row>
    <row r="186" spans="1:7" x14ac:dyDescent="0.25">
      <c r="A186">
        <v>398</v>
      </c>
      <c r="B186" s="3">
        <v>45481.222326342599</v>
      </c>
      <c r="C186">
        <v>494</v>
      </c>
      <c r="D186" s="4">
        <f t="shared" si="6"/>
        <v>45474</v>
      </c>
      <c r="E186" s="4">
        <f t="shared" si="7"/>
        <v>45474</v>
      </c>
      <c r="F186" s="5">
        <f t="shared" si="8"/>
        <v>0</v>
      </c>
      <c r="G186" s="5">
        <f>IF(COUNTIFS(A$3:A186,A186,F$3:F186,F186)=1,1,0)</f>
        <v>1</v>
      </c>
    </row>
    <row r="187" spans="1:7" x14ac:dyDescent="0.25">
      <c r="A187">
        <v>871</v>
      </c>
      <c r="B187" s="3">
        <v>45346.308521666702</v>
      </c>
      <c r="C187">
        <v>637</v>
      </c>
      <c r="D187" s="4">
        <f t="shared" si="6"/>
        <v>45323</v>
      </c>
      <c r="E187" s="4">
        <f t="shared" si="7"/>
        <v>45323</v>
      </c>
      <c r="F187" s="5">
        <f t="shared" si="8"/>
        <v>0</v>
      </c>
      <c r="G187" s="5">
        <f>IF(COUNTIFS(A$3:A187,A187,F$3:F187,F187)=1,1,0)</f>
        <v>1</v>
      </c>
    </row>
    <row r="188" spans="1:7" x14ac:dyDescent="0.25">
      <c r="A188">
        <v>795</v>
      </c>
      <c r="B188" s="3">
        <v>45298.811489120402</v>
      </c>
      <c r="C188">
        <v>712</v>
      </c>
      <c r="D188" s="4">
        <f t="shared" si="6"/>
        <v>45292</v>
      </c>
      <c r="E188" s="4">
        <f t="shared" si="7"/>
        <v>45292</v>
      </c>
      <c r="F188" s="5">
        <f t="shared" si="8"/>
        <v>0</v>
      </c>
      <c r="G188" s="5">
        <f>IF(COUNTIFS(A$3:A188,A188,F$3:F188,F188)=1,1,0)</f>
        <v>1</v>
      </c>
    </row>
    <row r="189" spans="1:7" x14ac:dyDescent="0.25">
      <c r="A189">
        <v>393</v>
      </c>
      <c r="B189" s="3">
        <v>45526.960551875003</v>
      </c>
      <c r="C189">
        <v>583</v>
      </c>
      <c r="D189" s="4">
        <f t="shared" si="6"/>
        <v>45505</v>
      </c>
      <c r="E189" s="4">
        <f t="shared" si="7"/>
        <v>45323</v>
      </c>
      <c r="F189" s="5">
        <f t="shared" si="8"/>
        <v>6</v>
      </c>
      <c r="G189" s="5">
        <f>IF(COUNTIFS(A$3:A189,A189,F$3:F189,F189)=1,1,0)</f>
        <v>1</v>
      </c>
    </row>
    <row r="190" spans="1:7" x14ac:dyDescent="0.25">
      <c r="A190">
        <v>207</v>
      </c>
      <c r="B190" s="3">
        <v>45365.751386377298</v>
      </c>
      <c r="C190">
        <v>777</v>
      </c>
      <c r="D190" s="4">
        <f t="shared" si="6"/>
        <v>45352</v>
      </c>
      <c r="E190" s="4">
        <f t="shared" si="7"/>
        <v>45352</v>
      </c>
      <c r="F190" s="5">
        <f t="shared" si="8"/>
        <v>0</v>
      </c>
      <c r="G190" s="5">
        <f>IF(COUNTIFS(A$3:A190,A190,F$3:F190,F190)=1,1,0)</f>
        <v>1</v>
      </c>
    </row>
    <row r="191" spans="1:7" x14ac:dyDescent="0.25">
      <c r="A191">
        <v>15</v>
      </c>
      <c r="B191" s="3">
        <v>45389.238745555602</v>
      </c>
      <c r="C191">
        <v>492</v>
      </c>
      <c r="D191" s="4">
        <f t="shared" si="6"/>
        <v>45383</v>
      </c>
      <c r="E191" s="4">
        <f t="shared" si="7"/>
        <v>45352</v>
      </c>
      <c r="F191" s="5">
        <f t="shared" si="8"/>
        <v>1</v>
      </c>
      <c r="G191" s="5">
        <f>IF(COUNTIFS(A$3:A191,A191,F$3:F191,F191)=1,1,0)</f>
        <v>1</v>
      </c>
    </row>
    <row r="192" spans="1:7" x14ac:dyDescent="0.25">
      <c r="A192">
        <v>858</v>
      </c>
      <c r="B192" s="3">
        <v>45622.198568333297</v>
      </c>
      <c r="C192">
        <v>528</v>
      </c>
      <c r="D192" s="4">
        <f t="shared" si="6"/>
        <v>45597</v>
      </c>
      <c r="E192" s="4">
        <f t="shared" si="7"/>
        <v>45352</v>
      </c>
      <c r="F192" s="5">
        <f t="shared" si="8"/>
        <v>8</v>
      </c>
      <c r="G192" s="5">
        <f>IF(COUNTIFS(A$3:A192,A192,F$3:F192,F192)=1,1,0)</f>
        <v>1</v>
      </c>
    </row>
    <row r="193" spans="1:7" x14ac:dyDescent="0.25">
      <c r="A193">
        <v>554</v>
      </c>
      <c r="B193" s="3">
        <v>45335.405624814797</v>
      </c>
      <c r="C193">
        <v>164</v>
      </c>
      <c r="D193" s="4">
        <f t="shared" si="6"/>
        <v>45323</v>
      </c>
      <c r="E193" s="4">
        <f t="shared" si="7"/>
        <v>45323</v>
      </c>
      <c r="F193" s="5">
        <f t="shared" si="8"/>
        <v>0</v>
      </c>
      <c r="G193" s="5">
        <f>IF(COUNTIFS(A$3:A193,A193,F$3:F193,F193)=1,1,0)</f>
        <v>1</v>
      </c>
    </row>
    <row r="194" spans="1:7" x14ac:dyDescent="0.25">
      <c r="A194">
        <v>892</v>
      </c>
      <c r="B194" s="3">
        <v>45317.960901770799</v>
      </c>
      <c r="C194">
        <v>101</v>
      </c>
      <c r="D194" s="4">
        <f t="shared" si="6"/>
        <v>45292</v>
      </c>
      <c r="E194" s="4">
        <f t="shared" si="7"/>
        <v>45292</v>
      </c>
      <c r="F194" s="5">
        <f t="shared" si="8"/>
        <v>0</v>
      </c>
      <c r="G194" s="5">
        <f>IF(COUNTIFS(A$3:A194,A194,F$3:F194,F194)=1,1,0)</f>
        <v>1</v>
      </c>
    </row>
    <row r="195" spans="1:7" x14ac:dyDescent="0.25">
      <c r="A195">
        <v>461</v>
      </c>
      <c r="B195" s="3">
        <v>45534.267703310201</v>
      </c>
      <c r="C195">
        <v>991</v>
      </c>
      <c r="D195" s="4">
        <f t="shared" ref="D195:D258" si="9">EOMONTH(B195,-1)+1</f>
        <v>45505</v>
      </c>
      <c r="E195" s="4">
        <f t="shared" ref="E195:E258" si="10">_xlfn.MINIFS(D$3:D$1002,A$3:A$1002,A195)</f>
        <v>45505</v>
      </c>
      <c r="F195" s="5">
        <f t="shared" ref="F195:F258" si="11">DATEDIF(E195,D195,"M")</f>
        <v>0</v>
      </c>
      <c r="G195" s="5">
        <f>IF(COUNTIFS(A$3:A195,A195,F$3:F195,F195)=1,1,0)</f>
        <v>1</v>
      </c>
    </row>
    <row r="196" spans="1:7" x14ac:dyDescent="0.25">
      <c r="A196">
        <v>691</v>
      </c>
      <c r="B196" s="3">
        <v>45629.560265694498</v>
      </c>
      <c r="C196">
        <v>535</v>
      </c>
      <c r="D196" s="4">
        <f t="shared" si="9"/>
        <v>45627</v>
      </c>
      <c r="E196" s="4">
        <f t="shared" si="10"/>
        <v>45352</v>
      </c>
      <c r="F196" s="5">
        <f t="shared" si="11"/>
        <v>9</v>
      </c>
      <c r="G196" s="5">
        <f>IF(COUNTIFS(A$3:A196,A196,F$3:F196,F196)=1,1,0)</f>
        <v>1</v>
      </c>
    </row>
    <row r="197" spans="1:7" x14ac:dyDescent="0.25">
      <c r="A197">
        <v>575</v>
      </c>
      <c r="B197" s="3">
        <v>45592.743319282403</v>
      </c>
      <c r="C197">
        <v>464</v>
      </c>
      <c r="D197" s="4">
        <f t="shared" si="9"/>
        <v>45566</v>
      </c>
      <c r="E197" s="4">
        <f t="shared" si="10"/>
        <v>45352</v>
      </c>
      <c r="F197" s="5">
        <f t="shared" si="11"/>
        <v>7</v>
      </c>
      <c r="G197" s="5">
        <f>IF(COUNTIFS(A$3:A197,A197,F$3:F197,F197)=1,1,0)</f>
        <v>1</v>
      </c>
    </row>
    <row r="198" spans="1:7" x14ac:dyDescent="0.25">
      <c r="A198">
        <v>864</v>
      </c>
      <c r="B198" s="3">
        <v>45344.823951319398</v>
      </c>
      <c r="C198">
        <v>750</v>
      </c>
      <c r="D198" s="4">
        <f t="shared" si="9"/>
        <v>45323</v>
      </c>
      <c r="E198" s="4">
        <f t="shared" si="10"/>
        <v>45323</v>
      </c>
      <c r="F198" s="5">
        <f t="shared" si="11"/>
        <v>0</v>
      </c>
      <c r="G198" s="5">
        <f>IF(COUNTIFS(A$3:A198,A198,F$3:F198,F198)=1,1,0)</f>
        <v>1</v>
      </c>
    </row>
    <row r="199" spans="1:7" x14ac:dyDescent="0.25">
      <c r="A199">
        <v>743</v>
      </c>
      <c r="B199" s="3">
        <v>45333.246373032402</v>
      </c>
      <c r="C199">
        <v>607</v>
      </c>
      <c r="D199" s="4">
        <f t="shared" si="9"/>
        <v>45323</v>
      </c>
      <c r="E199" s="4">
        <f t="shared" si="10"/>
        <v>45323</v>
      </c>
      <c r="F199" s="5">
        <f t="shared" si="11"/>
        <v>0</v>
      </c>
      <c r="G199" s="5">
        <f>IF(COUNTIFS(A$3:A199,A199,F$3:F199,F199)=1,1,0)</f>
        <v>1</v>
      </c>
    </row>
    <row r="200" spans="1:7" x14ac:dyDescent="0.25">
      <c r="A200">
        <v>241</v>
      </c>
      <c r="B200" s="3">
        <v>45641.058688807898</v>
      </c>
      <c r="C200">
        <v>654</v>
      </c>
      <c r="D200" s="4">
        <f t="shared" si="9"/>
        <v>45627</v>
      </c>
      <c r="E200" s="4">
        <f t="shared" si="10"/>
        <v>45627</v>
      </c>
      <c r="F200" s="5">
        <f t="shared" si="11"/>
        <v>0</v>
      </c>
      <c r="G200" s="5">
        <f>IF(COUNTIFS(A$3:A200,A200,F$3:F200,F200)=1,1,0)</f>
        <v>1</v>
      </c>
    </row>
    <row r="201" spans="1:7" x14ac:dyDescent="0.25">
      <c r="A201">
        <v>564</v>
      </c>
      <c r="B201" s="3">
        <v>45419.381051736098</v>
      </c>
      <c r="C201">
        <v>519</v>
      </c>
      <c r="D201" s="4">
        <f t="shared" si="9"/>
        <v>45413</v>
      </c>
      <c r="E201" s="4">
        <f t="shared" si="10"/>
        <v>45352</v>
      </c>
      <c r="F201" s="5">
        <f t="shared" si="11"/>
        <v>2</v>
      </c>
      <c r="G201" s="5">
        <f>IF(COUNTIFS(A$3:A201,A201,F$3:F201,F201)=1,1,0)</f>
        <v>1</v>
      </c>
    </row>
    <row r="202" spans="1:7" x14ac:dyDescent="0.25">
      <c r="A202">
        <v>96</v>
      </c>
      <c r="B202" s="3">
        <v>45615.593495891197</v>
      </c>
      <c r="C202">
        <v>192</v>
      </c>
      <c r="D202" s="4">
        <f t="shared" si="9"/>
        <v>45597</v>
      </c>
      <c r="E202" s="4">
        <f t="shared" si="10"/>
        <v>45505</v>
      </c>
      <c r="F202" s="5">
        <f t="shared" si="11"/>
        <v>3</v>
      </c>
      <c r="G202" s="5">
        <f>IF(COUNTIFS(A$3:A202,A202,F$3:F202,F202)=1,1,0)</f>
        <v>1</v>
      </c>
    </row>
    <row r="203" spans="1:7" x14ac:dyDescent="0.25">
      <c r="A203">
        <v>900</v>
      </c>
      <c r="B203" s="3">
        <v>45455.8139587732</v>
      </c>
      <c r="C203">
        <v>395</v>
      </c>
      <c r="D203" s="4">
        <f t="shared" si="9"/>
        <v>45444</v>
      </c>
      <c r="E203" s="4">
        <f t="shared" si="10"/>
        <v>45444</v>
      </c>
      <c r="F203" s="5">
        <f t="shared" si="11"/>
        <v>0</v>
      </c>
      <c r="G203" s="5">
        <f>IF(COUNTIFS(A$3:A203,A203,F$3:F203,F203)=1,1,0)</f>
        <v>1</v>
      </c>
    </row>
    <row r="204" spans="1:7" x14ac:dyDescent="0.25">
      <c r="A204">
        <v>734</v>
      </c>
      <c r="B204" s="3">
        <v>45534.769069050897</v>
      </c>
      <c r="C204">
        <v>583</v>
      </c>
      <c r="D204" s="4">
        <f t="shared" si="9"/>
        <v>45505</v>
      </c>
      <c r="E204" s="4">
        <f t="shared" si="10"/>
        <v>45413</v>
      </c>
      <c r="F204" s="5">
        <f t="shared" si="11"/>
        <v>3</v>
      </c>
      <c r="G204" s="5">
        <f>IF(COUNTIFS(A$3:A204,A204,F$3:F204,F204)=1,1,0)</f>
        <v>1</v>
      </c>
    </row>
    <row r="205" spans="1:7" x14ac:dyDescent="0.25">
      <c r="A205">
        <v>485</v>
      </c>
      <c r="B205" s="3">
        <v>45522.311583032402</v>
      </c>
      <c r="C205">
        <v>740</v>
      </c>
      <c r="D205" s="4">
        <f t="shared" si="9"/>
        <v>45505</v>
      </c>
      <c r="E205" s="4">
        <f t="shared" si="10"/>
        <v>45444</v>
      </c>
      <c r="F205" s="5">
        <f t="shared" si="11"/>
        <v>2</v>
      </c>
      <c r="G205" s="5">
        <f>IF(COUNTIFS(A$3:A205,A205,F$3:F205,F205)=1,1,0)</f>
        <v>1</v>
      </c>
    </row>
    <row r="206" spans="1:7" x14ac:dyDescent="0.25">
      <c r="A206">
        <v>407</v>
      </c>
      <c r="B206" s="3">
        <v>45416.710592534699</v>
      </c>
      <c r="C206">
        <v>414</v>
      </c>
      <c r="D206" s="4">
        <f t="shared" si="9"/>
        <v>45413</v>
      </c>
      <c r="E206" s="4">
        <f t="shared" si="10"/>
        <v>45413</v>
      </c>
      <c r="F206" s="5">
        <f t="shared" si="11"/>
        <v>0</v>
      </c>
      <c r="G206" s="5">
        <f>IF(COUNTIFS(A$3:A206,A206,F$3:F206,F206)=1,1,0)</f>
        <v>0</v>
      </c>
    </row>
    <row r="207" spans="1:7" x14ac:dyDescent="0.25">
      <c r="A207">
        <v>231</v>
      </c>
      <c r="B207" s="3">
        <v>45339.421570486098</v>
      </c>
      <c r="C207">
        <v>255</v>
      </c>
      <c r="D207" s="4">
        <f t="shared" si="9"/>
        <v>45323</v>
      </c>
      <c r="E207" s="4">
        <f t="shared" si="10"/>
        <v>45323</v>
      </c>
      <c r="F207" s="5">
        <f t="shared" si="11"/>
        <v>0</v>
      </c>
      <c r="G207" s="5">
        <f>IF(COUNTIFS(A$3:A207,A207,F$3:F207,F207)=1,1,0)</f>
        <v>1</v>
      </c>
    </row>
    <row r="208" spans="1:7" x14ac:dyDescent="0.25">
      <c r="A208">
        <v>749</v>
      </c>
      <c r="B208" s="3">
        <v>45546.309116828699</v>
      </c>
      <c r="C208">
        <v>751</v>
      </c>
      <c r="D208" s="4">
        <f t="shared" si="9"/>
        <v>45536</v>
      </c>
      <c r="E208" s="4">
        <f t="shared" si="10"/>
        <v>45536</v>
      </c>
      <c r="F208" s="5">
        <f t="shared" si="11"/>
        <v>0</v>
      </c>
      <c r="G208" s="5">
        <f>IF(COUNTIFS(A$3:A208,A208,F$3:F208,F208)=1,1,0)</f>
        <v>1</v>
      </c>
    </row>
    <row r="209" spans="1:7" x14ac:dyDescent="0.25">
      <c r="A209">
        <v>655</v>
      </c>
      <c r="B209" s="3">
        <v>45647.199483796299</v>
      </c>
      <c r="C209">
        <v>600</v>
      </c>
      <c r="D209" s="4">
        <f t="shared" si="9"/>
        <v>45627</v>
      </c>
      <c r="E209" s="4">
        <f t="shared" si="10"/>
        <v>45627</v>
      </c>
      <c r="F209" s="5">
        <f t="shared" si="11"/>
        <v>0</v>
      </c>
      <c r="G209" s="5">
        <f>IF(COUNTIFS(A$3:A209,A209,F$3:F209,F209)=1,1,0)</f>
        <v>1</v>
      </c>
    </row>
    <row r="210" spans="1:7" x14ac:dyDescent="0.25">
      <c r="A210">
        <v>171</v>
      </c>
      <c r="B210" s="3">
        <v>45372.917448946799</v>
      </c>
      <c r="C210">
        <v>670</v>
      </c>
      <c r="D210" s="4">
        <f t="shared" si="9"/>
        <v>45352</v>
      </c>
      <c r="E210" s="4">
        <f t="shared" si="10"/>
        <v>45352</v>
      </c>
      <c r="F210" s="5">
        <f t="shared" si="11"/>
        <v>0</v>
      </c>
      <c r="G210" s="5">
        <f>IF(COUNTIFS(A$3:A210,A210,F$3:F210,F210)=1,1,0)</f>
        <v>1</v>
      </c>
    </row>
    <row r="211" spans="1:7" x14ac:dyDescent="0.25">
      <c r="A211">
        <v>541</v>
      </c>
      <c r="B211" s="3">
        <v>45453.179322094897</v>
      </c>
      <c r="C211">
        <v>659</v>
      </c>
      <c r="D211" s="4">
        <f t="shared" si="9"/>
        <v>45444</v>
      </c>
      <c r="E211" s="4">
        <f t="shared" si="10"/>
        <v>45444</v>
      </c>
      <c r="F211" s="5">
        <f t="shared" si="11"/>
        <v>0</v>
      </c>
      <c r="G211" s="5">
        <f>IF(COUNTIFS(A$3:A211,A211,F$3:F211,F211)=1,1,0)</f>
        <v>1</v>
      </c>
    </row>
    <row r="212" spans="1:7" x14ac:dyDescent="0.25">
      <c r="A212">
        <v>36</v>
      </c>
      <c r="B212" s="3">
        <v>45488.687614409697</v>
      </c>
      <c r="C212">
        <v>480</v>
      </c>
      <c r="D212" s="4">
        <f t="shared" si="9"/>
        <v>45474</v>
      </c>
      <c r="E212" s="4">
        <f t="shared" si="10"/>
        <v>45474</v>
      </c>
      <c r="F212" s="5">
        <f t="shared" si="11"/>
        <v>0</v>
      </c>
      <c r="G212" s="5">
        <f>IF(COUNTIFS(A$3:A212,A212,F$3:F212,F212)=1,1,0)</f>
        <v>1</v>
      </c>
    </row>
    <row r="213" spans="1:7" x14ac:dyDescent="0.25">
      <c r="A213">
        <v>525</v>
      </c>
      <c r="B213" s="3">
        <v>45420.145875405098</v>
      </c>
      <c r="C213">
        <v>835</v>
      </c>
      <c r="D213" s="4">
        <f t="shared" si="9"/>
        <v>45413</v>
      </c>
      <c r="E213" s="4">
        <f t="shared" si="10"/>
        <v>45292</v>
      </c>
      <c r="F213" s="5">
        <f t="shared" si="11"/>
        <v>4</v>
      </c>
      <c r="G213" s="5">
        <f>IF(COUNTIFS(A$3:A213,A213,F$3:F213,F213)=1,1,0)</f>
        <v>1</v>
      </c>
    </row>
    <row r="214" spans="1:7" x14ac:dyDescent="0.25">
      <c r="A214">
        <v>160</v>
      </c>
      <c r="B214" s="3">
        <v>45517.553333263902</v>
      </c>
      <c r="C214">
        <v>897</v>
      </c>
      <c r="D214" s="4">
        <f t="shared" si="9"/>
        <v>45505</v>
      </c>
      <c r="E214" s="4">
        <f t="shared" si="10"/>
        <v>45323</v>
      </c>
      <c r="F214" s="5">
        <f t="shared" si="11"/>
        <v>6</v>
      </c>
      <c r="G214" s="5">
        <f>IF(COUNTIFS(A$3:A214,A214,F$3:F214,F214)=1,1,0)</f>
        <v>1</v>
      </c>
    </row>
    <row r="215" spans="1:7" x14ac:dyDescent="0.25">
      <c r="A215">
        <v>839</v>
      </c>
      <c r="B215" s="3">
        <v>45491.014293726897</v>
      </c>
      <c r="C215">
        <v>432</v>
      </c>
      <c r="D215" s="4">
        <f t="shared" si="9"/>
        <v>45474</v>
      </c>
      <c r="E215" s="4">
        <f t="shared" si="10"/>
        <v>45383</v>
      </c>
      <c r="F215" s="5">
        <f t="shared" si="11"/>
        <v>3</v>
      </c>
      <c r="G215" s="5">
        <f>IF(COUNTIFS(A$3:A215,A215,F$3:F215,F215)=1,1,0)</f>
        <v>1</v>
      </c>
    </row>
    <row r="216" spans="1:7" x14ac:dyDescent="0.25">
      <c r="A216">
        <v>699</v>
      </c>
      <c r="B216" s="3">
        <v>45347.076778645802</v>
      </c>
      <c r="C216">
        <v>910</v>
      </c>
      <c r="D216" s="4">
        <f t="shared" si="9"/>
        <v>45323</v>
      </c>
      <c r="E216" s="4">
        <f t="shared" si="10"/>
        <v>45292</v>
      </c>
      <c r="F216" s="5">
        <f t="shared" si="11"/>
        <v>1</v>
      </c>
      <c r="G216" s="5">
        <f>IF(COUNTIFS(A$3:A216,A216,F$3:F216,F216)=1,1,0)</f>
        <v>1</v>
      </c>
    </row>
    <row r="217" spans="1:7" x14ac:dyDescent="0.25">
      <c r="A217">
        <v>243</v>
      </c>
      <c r="B217" s="3">
        <v>45572.6414435185</v>
      </c>
      <c r="C217">
        <v>74</v>
      </c>
      <c r="D217" s="4">
        <f t="shared" si="9"/>
        <v>45566</v>
      </c>
      <c r="E217" s="4">
        <f t="shared" si="10"/>
        <v>45566</v>
      </c>
      <c r="F217" s="5">
        <f t="shared" si="11"/>
        <v>0</v>
      </c>
      <c r="G217" s="5">
        <f>IF(COUNTIFS(A$3:A217,A217,F$3:F217,F217)=1,1,0)</f>
        <v>1</v>
      </c>
    </row>
    <row r="218" spans="1:7" x14ac:dyDescent="0.25">
      <c r="A218">
        <v>86</v>
      </c>
      <c r="B218" s="3">
        <v>45609.657570671297</v>
      </c>
      <c r="C218">
        <v>22</v>
      </c>
      <c r="D218" s="4">
        <f t="shared" si="9"/>
        <v>45597</v>
      </c>
      <c r="E218" s="4">
        <f t="shared" si="10"/>
        <v>45566</v>
      </c>
      <c r="F218" s="5">
        <f t="shared" si="11"/>
        <v>1</v>
      </c>
      <c r="G218" s="5">
        <f>IF(COUNTIFS(A$3:A218,A218,F$3:F218,F218)=1,1,0)</f>
        <v>1</v>
      </c>
    </row>
    <row r="219" spans="1:7" x14ac:dyDescent="0.25">
      <c r="A219">
        <v>796</v>
      </c>
      <c r="B219" s="3">
        <v>45566.192588854203</v>
      </c>
      <c r="C219">
        <v>222</v>
      </c>
      <c r="D219" s="4">
        <f t="shared" si="9"/>
        <v>45566</v>
      </c>
      <c r="E219" s="4">
        <f t="shared" si="10"/>
        <v>45474</v>
      </c>
      <c r="F219" s="5">
        <f t="shared" si="11"/>
        <v>3</v>
      </c>
      <c r="G219" s="5">
        <f>IF(COUNTIFS(A$3:A219,A219,F$3:F219,F219)=1,1,0)</f>
        <v>1</v>
      </c>
    </row>
    <row r="220" spans="1:7" x14ac:dyDescent="0.25">
      <c r="A220">
        <v>578</v>
      </c>
      <c r="B220" s="3">
        <v>45542.907252395802</v>
      </c>
      <c r="C220">
        <v>995</v>
      </c>
      <c r="D220" s="4">
        <f t="shared" si="9"/>
        <v>45536</v>
      </c>
      <c r="E220" s="4">
        <f t="shared" si="10"/>
        <v>45536</v>
      </c>
      <c r="F220" s="5">
        <f t="shared" si="11"/>
        <v>0</v>
      </c>
      <c r="G220" s="5">
        <f>IF(COUNTIFS(A$3:A220,A220,F$3:F220,F220)=1,1,0)</f>
        <v>1</v>
      </c>
    </row>
    <row r="221" spans="1:7" x14ac:dyDescent="0.25">
      <c r="A221">
        <v>682</v>
      </c>
      <c r="B221" s="3">
        <v>45386.424298182901</v>
      </c>
      <c r="C221">
        <v>251</v>
      </c>
      <c r="D221" s="4">
        <f t="shared" si="9"/>
        <v>45383</v>
      </c>
      <c r="E221" s="4">
        <f t="shared" si="10"/>
        <v>45352</v>
      </c>
      <c r="F221" s="5">
        <f t="shared" si="11"/>
        <v>1</v>
      </c>
      <c r="G221" s="5">
        <f>IF(COUNTIFS(A$3:A221,A221,F$3:F221,F221)=1,1,0)</f>
        <v>1</v>
      </c>
    </row>
    <row r="222" spans="1:7" x14ac:dyDescent="0.25">
      <c r="A222">
        <v>557</v>
      </c>
      <c r="B222" s="3">
        <v>45362.310066400503</v>
      </c>
      <c r="C222">
        <v>502</v>
      </c>
      <c r="D222" s="4">
        <f t="shared" si="9"/>
        <v>45352</v>
      </c>
      <c r="E222" s="4">
        <f t="shared" si="10"/>
        <v>45352</v>
      </c>
      <c r="F222" s="5">
        <f t="shared" si="11"/>
        <v>0</v>
      </c>
      <c r="G222" s="5">
        <f>IF(COUNTIFS(A$3:A222,A222,F$3:F222,F222)=1,1,0)</f>
        <v>1</v>
      </c>
    </row>
    <row r="223" spans="1:7" x14ac:dyDescent="0.25">
      <c r="A223">
        <v>574</v>
      </c>
      <c r="B223" s="3">
        <v>45618.727195266198</v>
      </c>
      <c r="C223">
        <v>222</v>
      </c>
      <c r="D223" s="4">
        <f t="shared" si="9"/>
        <v>45597</v>
      </c>
      <c r="E223" s="4">
        <f t="shared" si="10"/>
        <v>45566</v>
      </c>
      <c r="F223" s="5">
        <f t="shared" si="11"/>
        <v>1</v>
      </c>
      <c r="G223" s="5">
        <f>IF(COUNTIFS(A$3:A223,A223,F$3:F223,F223)=1,1,0)</f>
        <v>1</v>
      </c>
    </row>
    <row r="224" spans="1:7" x14ac:dyDescent="0.25">
      <c r="A224">
        <v>953</v>
      </c>
      <c r="B224" s="3">
        <v>45449.978913472201</v>
      </c>
      <c r="C224">
        <v>702</v>
      </c>
      <c r="D224" s="4">
        <f t="shared" si="9"/>
        <v>45444</v>
      </c>
      <c r="E224" s="4">
        <f t="shared" si="10"/>
        <v>45323</v>
      </c>
      <c r="F224" s="5">
        <f t="shared" si="11"/>
        <v>4</v>
      </c>
      <c r="G224" s="5">
        <f>IF(COUNTIFS(A$3:A224,A224,F$3:F224,F224)=1,1,0)</f>
        <v>1</v>
      </c>
    </row>
    <row r="225" spans="1:7" x14ac:dyDescent="0.25">
      <c r="A225">
        <v>646</v>
      </c>
      <c r="B225" s="3">
        <v>45352.821514212999</v>
      </c>
      <c r="C225">
        <v>347</v>
      </c>
      <c r="D225" s="4">
        <f t="shared" si="9"/>
        <v>45352</v>
      </c>
      <c r="E225" s="4">
        <f t="shared" si="10"/>
        <v>45352</v>
      </c>
      <c r="F225" s="5">
        <f t="shared" si="11"/>
        <v>0</v>
      </c>
      <c r="G225" s="5">
        <f>IF(COUNTIFS(A$3:A225,A225,F$3:F225,F225)=1,1,0)</f>
        <v>1</v>
      </c>
    </row>
    <row r="226" spans="1:7" x14ac:dyDescent="0.25">
      <c r="A226">
        <v>796</v>
      </c>
      <c r="B226" s="3">
        <v>45493.718981828701</v>
      </c>
      <c r="C226">
        <v>182</v>
      </c>
      <c r="D226" s="4">
        <f t="shared" si="9"/>
        <v>45474</v>
      </c>
      <c r="E226" s="4">
        <f t="shared" si="10"/>
        <v>45474</v>
      </c>
      <c r="F226" s="5">
        <f t="shared" si="11"/>
        <v>0</v>
      </c>
      <c r="G226" s="5">
        <f>IF(COUNTIFS(A$3:A226,A226,F$3:F226,F226)=1,1,0)</f>
        <v>1</v>
      </c>
    </row>
    <row r="227" spans="1:7" x14ac:dyDescent="0.25">
      <c r="A227">
        <v>28</v>
      </c>
      <c r="B227" s="3">
        <v>45560.319252222202</v>
      </c>
      <c r="C227">
        <v>681</v>
      </c>
      <c r="D227" s="4">
        <f t="shared" si="9"/>
        <v>45536</v>
      </c>
      <c r="E227" s="4">
        <f t="shared" si="10"/>
        <v>45536</v>
      </c>
      <c r="F227" s="5">
        <f t="shared" si="11"/>
        <v>0</v>
      </c>
      <c r="G227" s="5">
        <f>IF(COUNTIFS(A$3:A227,A227,F$3:F227,F227)=1,1,0)</f>
        <v>1</v>
      </c>
    </row>
    <row r="228" spans="1:7" x14ac:dyDescent="0.25">
      <c r="A228">
        <v>620</v>
      </c>
      <c r="B228" s="3">
        <v>45451.949526134304</v>
      </c>
      <c r="C228">
        <v>173</v>
      </c>
      <c r="D228" s="4">
        <f t="shared" si="9"/>
        <v>45444</v>
      </c>
      <c r="E228" s="4">
        <f t="shared" si="10"/>
        <v>45444</v>
      </c>
      <c r="F228" s="5">
        <f t="shared" si="11"/>
        <v>0</v>
      </c>
      <c r="G228" s="5">
        <f>IF(COUNTIFS(A$3:A228,A228,F$3:F228,F228)=1,1,0)</f>
        <v>1</v>
      </c>
    </row>
    <row r="229" spans="1:7" x14ac:dyDescent="0.25">
      <c r="A229">
        <v>556</v>
      </c>
      <c r="B229" s="3">
        <v>45406.339565694398</v>
      </c>
      <c r="C229">
        <v>474</v>
      </c>
      <c r="D229" s="4">
        <f t="shared" si="9"/>
        <v>45383</v>
      </c>
      <c r="E229" s="4">
        <f t="shared" si="10"/>
        <v>45292</v>
      </c>
      <c r="F229" s="5">
        <f t="shared" si="11"/>
        <v>3</v>
      </c>
      <c r="G229" s="5">
        <f>IF(COUNTIFS(A$3:A229,A229,F$3:F229,F229)=1,1,0)</f>
        <v>1</v>
      </c>
    </row>
    <row r="230" spans="1:7" x14ac:dyDescent="0.25">
      <c r="A230">
        <v>340</v>
      </c>
      <c r="B230" s="3">
        <v>45463.426038912003</v>
      </c>
      <c r="C230">
        <v>506</v>
      </c>
      <c r="D230" s="4">
        <f t="shared" si="9"/>
        <v>45444</v>
      </c>
      <c r="E230" s="4">
        <f t="shared" si="10"/>
        <v>45383</v>
      </c>
      <c r="F230" s="5">
        <f t="shared" si="11"/>
        <v>2</v>
      </c>
      <c r="G230" s="5">
        <f>IF(COUNTIFS(A$3:A230,A230,F$3:F230,F230)=1,1,0)</f>
        <v>1</v>
      </c>
    </row>
    <row r="231" spans="1:7" x14ac:dyDescent="0.25">
      <c r="A231">
        <v>798</v>
      </c>
      <c r="B231" s="3">
        <v>45381.750327928203</v>
      </c>
      <c r="C231">
        <v>709</v>
      </c>
      <c r="D231" s="4">
        <f t="shared" si="9"/>
        <v>45352</v>
      </c>
      <c r="E231" s="4">
        <f t="shared" si="10"/>
        <v>45323</v>
      </c>
      <c r="F231" s="5">
        <f t="shared" si="11"/>
        <v>1</v>
      </c>
      <c r="G231" s="5">
        <f>IF(COUNTIFS(A$3:A231,A231,F$3:F231,F231)=1,1,0)</f>
        <v>1</v>
      </c>
    </row>
    <row r="232" spans="1:7" x14ac:dyDescent="0.25">
      <c r="A232">
        <v>958</v>
      </c>
      <c r="B232" s="3">
        <v>45607.969831886599</v>
      </c>
      <c r="C232">
        <v>404</v>
      </c>
      <c r="D232" s="4">
        <f t="shared" si="9"/>
        <v>45597</v>
      </c>
      <c r="E232" s="4">
        <f t="shared" si="10"/>
        <v>45292</v>
      </c>
      <c r="F232" s="5">
        <f t="shared" si="11"/>
        <v>10</v>
      </c>
      <c r="G232" s="5">
        <f>IF(COUNTIFS(A$3:A232,A232,F$3:F232,F232)=1,1,0)</f>
        <v>1</v>
      </c>
    </row>
    <row r="233" spans="1:7" x14ac:dyDescent="0.25">
      <c r="A233">
        <v>331</v>
      </c>
      <c r="B233" s="3">
        <v>45449.089940486097</v>
      </c>
      <c r="C233">
        <v>712</v>
      </c>
      <c r="D233" s="4">
        <f t="shared" si="9"/>
        <v>45444</v>
      </c>
      <c r="E233" s="4">
        <f t="shared" si="10"/>
        <v>45444</v>
      </c>
      <c r="F233" s="5">
        <f t="shared" si="11"/>
        <v>0</v>
      </c>
      <c r="G233" s="5">
        <f>IF(COUNTIFS(A$3:A233,A233,F$3:F233,F233)=1,1,0)</f>
        <v>1</v>
      </c>
    </row>
    <row r="234" spans="1:7" x14ac:dyDescent="0.25">
      <c r="A234">
        <v>640</v>
      </c>
      <c r="B234" s="3">
        <v>45622.811692152798</v>
      </c>
      <c r="C234">
        <v>926</v>
      </c>
      <c r="D234" s="4">
        <f t="shared" si="9"/>
        <v>45597</v>
      </c>
      <c r="E234" s="4">
        <f t="shared" si="10"/>
        <v>45505</v>
      </c>
      <c r="F234" s="5">
        <f t="shared" si="11"/>
        <v>3</v>
      </c>
      <c r="G234" s="5">
        <f>IF(COUNTIFS(A$3:A234,A234,F$3:F234,F234)=1,1,0)</f>
        <v>1</v>
      </c>
    </row>
    <row r="235" spans="1:7" x14ac:dyDescent="0.25">
      <c r="A235">
        <v>506</v>
      </c>
      <c r="B235" s="3">
        <v>45566.680706909698</v>
      </c>
      <c r="C235">
        <v>317</v>
      </c>
      <c r="D235" s="4">
        <f t="shared" si="9"/>
        <v>45566</v>
      </c>
      <c r="E235" s="4">
        <f t="shared" si="10"/>
        <v>45536</v>
      </c>
      <c r="F235" s="5">
        <f t="shared" si="11"/>
        <v>1</v>
      </c>
      <c r="G235" s="5">
        <f>IF(COUNTIFS(A$3:A235,A235,F$3:F235,F235)=1,1,0)</f>
        <v>1</v>
      </c>
    </row>
    <row r="236" spans="1:7" x14ac:dyDescent="0.25">
      <c r="A236">
        <v>348</v>
      </c>
      <c r="B236" s="3">
        <v>45403.584771412003</v>
      </c>
      <c r="C236">
        <v>777</v>
      </c>
      <c r="D236" s="4">
        <f t="shared" si="9"/>
        <v>45383</v>
      </c>
      <c r="E236" s="4">
        <f t="shared" si="10"/>
        <v>45292</v>
      </c>
      <c r="F236" s="5">
        <f t="shared" si="11"/>
        <v>3</v>
      </c>
      <c r="G236" s="5">
        <f>IF(COUNTIFS(A$3:A236,A236,F$3:F236,F236)=1,1,0)</f>
        <v>1</v>
      </c>
    </row>
    <row r="237" spans="1:7" x14ac:dyDescent="0.25">
      <c r="A237">
        <v>473</v>
      </c>
      <c r="B237" s="3">
        <v>45417.768700428198</v>
      </c>
      <c r="C237">
        <v>192</v>
      </c>
      <c r="D237" s="4">
        <f t="shared" si="9"/>
        <v>45413</v>
      </c>
      <c r="E237" s="4">
        <f t="shared" si="10"/>
        <v>45413</v>
      </c>
      <c r="F237" s="5">
        <f t="shared" si="11"/>
        <v>0</v>
      </c>
      <c r="G237" s="5">
        <f>IF(COUNTIFS(A$3:A237,A237,F$3:F237,F237)=1,1,0)</f>
        <v>1</v>
      </c>
    </row>
    <row r="238" spans="1:7" x14ac:dyDescent="0.25">
      <c r="A238">
        <v>231</v>
      </c>
      <c r="B238" s="3">
        <v>45656.838567789397</v>
      </c>
      <c r="C238">
        <v>638</v>
      </c>
      <c r="D238" s="4">
        <f t="shared" si="9"/>
        <v>45627</v>
      </c>
      <c r="E238" s="4">
        <f t="shared" si="10"/>
        <v>45323</v>
      </c>
      <c r="F238" s="5">
        <f t="shared" si="11"/>
        <v>10</v>
      </c>
      <c r="G238" s="5">
        <f>IF(COUNTIFS(A$3:A238,A238,F$3:F238,F238)=1,1,0)</f>
        <v>1</v>
      </c>
    </row>
    <row r="239" spans="1:7" x14ac:dyDescent="0.25">
      <c r="A239">
        <v>190</v>
      </c>
      <c r="B239" s="3">
        <v>45344.828562164403</v>
      </c>
      <c r="C239">
        <v>803</v>
      </c>
      <c r="D239" s="4">
        <f t="shared" si="9"/>
        <v>45323</v>
      </c>
      <c r="E239" s="4">
        <f t="shared" si="10"/>
        <v>45323</v>
      </c>
      <c r="F239" s="5">
        <f t="shared" si="11"/>
        <v>0</v>
      </c>
      <c r="G239" s="5">
        <f>IF(COUNTIFS(A$3:A239,A239,F$3:F239,F239)=1,1,0)</f>
        <v>1</v>
      </c>
    </row>
    <row r="240" spans="1:7" x14ac:dyDescent="0.25">
      <c r="A240">
        <v>225</v>
      </c>
      <c r="B240" s="3">
        <v>45582.481623911997</v>
      </c>
      <c r="C240">
        <v>519</v>
      </c>
      <c r="D240" s="4">
        <f t="shared" si="9"/>
        <v>45566</v>
      </c>
      <c r="E240" s="4">
        <f t="shared" si="10"/>
        <v>45323</v>
      </c>
      <c r="F240" s="5">
        <f t="shared" si="11"/>
        <v>8</v>
      </c>
      <c r="G240" s="5">
        <f>IF(COUNTIFS(A$3:A240,A240,F$3:F240,F240)=1,1,0)</f>
        <v>1</v>
      </c>
    </row>
    <row r="241" spans="1:7" x14ac:dyDescent="0.25">
      <c r="A241">
        <v>385</v>
      </c>
      <c r="B241" s="3">
        <v>45390.380571770802</v>
      </c>
      <c r="C241">
        <v>717</v>
      </c>
      <c r="D241" s="4">
        <f t="shared" si="9"/>
        <v>45383</v>
      </c>
      <c r="E241" s="4">
        <f t="shared" si="10"/>
        <v>45383</v>
      </c>
      <c r="F241" s="5">
        <f t="shared" si="11"/>
        <v>0</v>
      </c>
      <c r="G241" s="5">
        <f>IF(COUNTIFS(A$3:A241,A241,F$3:F241,F241)=1,1,0)</f>
        <v>1</v>
      </c>
    </row>
    <row r="242" spans="1:7" x14ac:dyDescent="0.25">
      <c r="A242">
        <v>377</v>
      </c>
      <c r="B242" s="3">
        <v>45520.087334606498</v>
      </c>
      <c r="C242">
        <v>555</v>
      </c>
      <c r="D242" s="4">
        <f t="shared" si="9"/>
        <v>45505</v>
      </c>
      <c r="E242" s="4">
        <f t="shared" si="10"/>
        <v>45505</v>
      </c>
      <c r="F242" s="5">
        <f t="shared" si="11"/>
        <v>0</v>
      </c>
      <c r="G242" s="5">
        <f>IF(COUNTIFS(A$3:A242,A242,F$3:F242,F242)=1,1,0)</f>
        <v>1</v>
      </c>
    </row>
    <row r="243" spans="1:7" x14ac:dyDescent="0.25">
      <c r="A243">
        <v>283</v>
      </c>
      <c r="B243" s="3">
        <v>45295.781838750001</v>
      </c>
      <c r="C243">
        <v>573</v>
      </c>
      <c r="D243" s="4">
        <f t="shared" si="9"/>
        <v>45292</v>
      </c>
      <c r="E243" s="4">
        <f t="shared" si="10"/>
        <v>45292</v>
      </c>
      <c r="F243" s="5">
        <f t="shared" si="11"/>
        <v>0</v>
      </c>
      <c r="G243" s="5">
        <f>IF(COUNTIFS(A$3:A243,A243,F$3:F243,F243)=1,1,0)</f>
        <v>1</v>
      </c>
    </row>
    <row r="244" spans="1:7" x14ac:dyDescent="0.25">
      <c r="A244">
        <v>958</v>
      </c>
      <c r="B244" s="3">
        <v>45507.137094722202</v>
      </c>
      <c r="C244">
        <v>633</v>
      </c>
      <c r="D244" s="4">
        <f t="shared" si="9"/>
        <v>45505</v>
      </c>
      <c r="E244" s="4">
        <f t="shared" si="10"/>
        <v>45292</v>
      </c>
      <c r="F244" s="5">
        <f t="shared" si="11"/>
        <v>7</v>
      </c>
      <c r="G244" s="5">
        <f>IF(COUNTIFS(A$3:A244,A244,F$3:F244,F244)=1,1,0)</f>
        <v>1</v>
      </c>
    </row>
    <row r="245" spans="1:7" x14ac:dyDescent="0.25">
      <c r="A245">
        <v>633</v>
      </c>
      <c r="B245" s="3">
        <v>45354.4144318982</v>
      </c>
      <c r="C245">
        <v>773</v>
      </c>
      <c r="D245" s="4">
        <f t="shared" si="9"/>
        <v>45352</v>
      </c>
      <c r="E245" s="4">
        <f t="shared" si="10"/>
        <v>45352</v>
      </c>
      <c r="F245" s="5">
        <f t="shared" si="11"/>
        <v>0</v>
      </c>
      <c r="G245" s="5">
        <f>IF(COUNTIFS(A$3:A245,A245,F$3:F245,F245)=1,1,0)</f>
        <v>1</v>
      </c>
    </row>
    <row r="246" spans="1:7" x14ac:dyDescent="0.25">
      <c r="A246">
        <v>628</v>
      </c>
      <c r="B246" s="3">
        <v>45298.257782303197</v>
      </c>
      <c r="C246">
        <v>603</v>
      </c>
      <c r="D246" s="4">
        <f t="shared" si="9"/>
        <v>45292</v>
      </c>
      <c r="E246" s="4">
        <f t="shared" si="10"/>
        <v>45292</v>
      </c>
      <c r="F246" s="5">
        <f t="shared" si="11"/>
        <v>0</v>
      </c>
      <c r="G246" s="5">
        <f>IF(COUNTIFS(A$3:A246,A246,F$3:F246,F246)=1,1,0)</f>
        <v>1</v>
      </c>
    </row>
    <row r="247" spans="1:7" x14ac:dyDescent="0.25">
      <c r="A247">
        <v>973</v>
      </c>
      <c r="B247" s="3">
        <v>45318.925878530099</v>
      </c>
      <c r="C247">
        <v>753</v>
      </c>
      <c r="D247" s="4">
        <f t="shared" si="9"/>
        <v>45292</v>
      </c>
      <c r="E247" s="4">
        <f t="shared" si="10"/>
        <v>45292</v>
      </c>
      <c r="F247" s="5">
        <f t="shared" si="11"/>
        <v>0</v>
      </c>
      <c r="G247" s="5">
        <f>IF(COUNTIFS(A$3:A247,A247,F$3:F247,F247)=1,1,0)</f>
        <v>1</v>
      </c>
    </row>
    <row r="248" spans="1:7" x14ac:dyDescent="0.25">
      <c r="A248">
        <v>745</v>
      </c>
      <c r="B248" s="3">
        <v>45405.596254097203</v>
      </c>
      <c r="C248">
        <v>236</v>
      </c>
      <c r="D248" s="4">
        <f t="shared" si="9"/>
        <v>45383</v>
      </c>
      <c r="E248" s="4">
        <f t="shared" si="10"/>
        <v>45383</v>
      </c>
      <c r="F248" s="5">
        <f t="shared" si="11"/>
        <v>0</v>
      </c>
      <c r="G248" s="5">
        <f>IF(COUNTIFS(A$3:A248,A248,F$3:F248,F248)=1,1,0)</f>
        <v>1</v>
      </c>
    </row>
    <row r="249" spans="1:7" x14ac:dyDescent="0.25">
      <c r="A249">
        <v>259</v>
      </c>
      <c r="B249" s="3">
        <v>45511.943465428201</v>
      </c>
      <c r="C249">
        <v>754</v>
      </c>
      <c r="D249" s="4">
        <f t="shared" si="9"/>
        <v>45505</v>
      </c>
      <c r="E249" s="4">
        <f t="shared" si="10"/>
        <v>45505</v>
      </c>
      <c r="F249" s="5">
        <f t="shared" si="11"/>
        <v>0</v>
      </c>
      <c r="G249" s="5">
        <f>IF(COUNTIFS(A$3:A249,A249,F$3:F249,F249)=1,1,0)</f>
        <v>1</v>
      </c>
    </row>
    <row r="250" spans="1:7" x14ac:dyDescent="0.25">
      <c r="A250">
        <v>359</v>
      </c>
      <c r="B250" s="3">
        <v>45393.982164247704</v>
      </c>
      <c r="C250">
        <v>742</v>
      </c>
      <c r="D250" s="4">
        <f t="shared" si="9"/>
        <v>45383</v>
      </c>
      <c r="E250" s="4">
        <f t="shared" si="10"/>
        <v>45383</v>
      </c>
      <c r="F250" s="5">
        <f t="shared" si="11"/>
        <v>0</v>
      </c>
      <c r="G250" s="5">
        <f>IF(COUNTIFS(A$3:A250,A250,F$3:F250,F250)=1,1,0)</f>
        <v>1</v>
      </c>
    </row>
    <row r="251" spans="1:7" x14ac:dyDescent="0.25">
      <c r="A251">
        <v>710</v>
      </c>
      <c r="B251" s="3">
        <v>45437.193950335699</v>
      </c>
      <c r="C251">
        <v>445</v>
      </c>
      <c r="D251" s="4">
        <f t="shared" si="9"/>
        <v>45413</v>
      </c>
      <c r="E251" s="4">
        <f t="shared" si="10"/>
        <v>45292</v>
      </c>
      <c r="F251" s="5">
        <f t="shared" si="11"/>
        <v>4</v>
      </c>
      <c r="G251" s="5">
        <f>IF(COUNTIFS(A$3:A251,A251,F$3:F251,F251)=1,1,0)</f>
        <v>1</v>
      </c>
    </row>
    <row r="252" spans="1:7" x14ac:dyDescent="0.25">
      <c r="A252">
        <v>456</v>
      </c>
      <c r="B252" s="3">
        <v>45577.736408969897</v>
      </c>
      <c r="C252">
        <v>934</v>
      </c>
      <c r="D252" s="4">
        <f t="shared" si="9"/>
        <v>45566</v>
      </c>
      <c r="E252" s="4">
        <f t="shared" si="10"/>
        <v>45566</v>
      </c>
      <c r="F252" s="5">
        <f t="shared" si="11"/>
        <v>0</v>
      </c>
      <c r="G252" s="5">
        <f>IF(COUNTIFS(A$3:A252,A252,F$3:F252,F252)=1,1,0)</f>
        <v>0</v>
      </c>
    </row>
    <row r="253" spans="1:7" x14ac:dyDescent="0.25">
      <c r="A253">
        <v>411</v>
      </c>
      <c r="B253" s="3">
        <v>45425.308975706001</v>
      </c>
      <c r="C253">
        <v>431</v>
      </c>
      <c r="D253" s="4">
        <f t="shared" si="9"/>
        <v>45413</v>
      </c>
      <c r="E253" s="4">
        <f t="shared" si="10"/>
        <v>45413</v>
      </c>
      <c r="F253" s="5">
        <f t="shared" si="11"/>
        <v>0</v>
      </c>
      <c r="G253" s="5">
        <f>IF(COUNTIFS(A$3:A253,A253,F$3:F253,F253)=1,1,0)</f>
        <v>1</v>
      </c>
    </row>
    <row r="254" spans="1:7" x14ac:dyDescent="0.25">
      <c r="A254">
        <v>649</v>
      </c>
      <c r="B254" s="3">
        <v>45336.276720983798</v>
      </c>
      <c r="C254">
        <v>563</v>
      </c>
      <c r="D254" s="4">
        <f t="shared" si="9"/>
        <v>45323</v>
      </c>
      <c r="E254" s="4">
        <f t="shared" si="10"/>
        <v>45323</v>
      </c>
      <c r="F254" s="5">
        <f t="shared" si="11"/>
        <v>0</v>
      </c>
      <c r="G254" s="5">
        <f>IF(COUNTIFS(A$3:A254,A254,F$3:F254,F254)=1,1,0)</f>
        <v>1</v>
      </c>
    </row>
    <row r="255" spans="1:7" x14ac:dyDescent="0.25">
      <c r="A255">
        <v>318</v>
      </c>
      <c r="B255" s="3">
        <v>45333.695073807903</v>
      </c>
      <c r="C255">
        <v>30</v>
      </c>
      <c r="D255" s="4">
        <f t="shared" si="9"/>
        <v>45323</v>
      </c>
      <c r="E255" s="4">
        <f t="shared" si="10"/>
        <v>45323</v>
      </c>
      <c r="F255" s="5">
        <f t="shared" si="11"/>
        <v>0</v>
      </c>
      <c r="G255" s="5">
        <f>IF(COUNTIFS(A$3:A255,A255,F$3:F255,F255)=1,1,0)</f>
        <v>1</v>
      </c>
    </row>
    <row r="256" spans="1:7" x14ac:dyDescent="0.25">
      <c r="A256">
        <v>677</v>
      </c>
      <c r="B256" s="3">
        <v>45316.870812164401</v>
      </c>
      <c r="C256">
        <v>563</v>
      </c>
      <c r="D256" s="4">
        <f t="shared" si="9"/>
        <v>45292</v>
      </c>
      <c r="E256" s="4">
        <f t="shared" si="10"/>
        <v>45292</v>
      </c>
      <c r="F256" s="5">
        <f t="shared" si="11"/>
        <v>0</v>
      </c>
      <c r="G256" s="5">
        <f>IF(COUNTIFS(A$3:A256,A256,F$3:F256,F256)=1,1,0)</f>
        <v>1</v>
      </c>
    </row>
    <row r="257" spans="1:7" x14ac:dyDescent="0.25">
      <c r="A257">
        <v>225</v>
      </c>
      <c r="B257" s="3">
        <v>45558.0903774537</v>
      </c>
      <c r="C257">
        <v>406</v>
      </c>
      <c r="D257" s="4">
        <f t="shared" si="9"/>
        <v>45536</v>
      </c>
      <c r="E257" s="4">
        <f t="shared" si="10"/>
        <v>45323</v>
      </c>
      <c r="F257" s="5">
        <f t="shared" si="11"/>
        <v>7</v>
      </c>
      <c r="G257" s="5">
        <f>IF(COUNTIFS(A$3:A257,A257,F$3:F257,F257)=1,1,0)</f>
        <v>1</v>
      </c>
    </row>
    <row r="258" spans="1:7" x14ac:dyDescent="0.25">
      <c r="A258">
        <v>819</v>
      </c>
      <c r="B258" s="3">
        <v>45356.595765161997</v>
      </c>
      <c r="C258">
        <v>634</v>
      </c>
      <c r="D258" s="4">
        <f t="shared" si="9"/>
        <v>45352</v>
      </c>
      <c r="E258" s="4">
        <f t="shared" si="10"/>
        <v>45352</v>
      </c>
      <c r="F258" s="5">
        <f t="shared" si="11"/>
        <v>0</v>
      </c>
      <c r="G258" s="5">
        <f>IF(COUNTIFS(A$3:A258,A258,F$3:F258,F258)=1,1,0)</f>
        <v>1</v>
      </c>
    </row>
    <row r="259" spans="1:7" x14ac:dyDescent="0.25">
      <c r="A259">
        <v>234</v>
      </c>
      <c r="B259" s="3">
        <v>45316.791312013898</v>
      </c>
      <c r="C259">
        <v>114</v>
      </c>
      <c r="D259" s="4">
        <f t="shared" ref="D259:D322" si="12">EOMONTH(B259,-1)+1</f>
        <v>45292</v>
      </c>
      <c r="E259" s="4">
        <f t="shared" ref="E259:E322" si="13">_xlfn.MINIFS(D$3:D$1002,A$3:A$1002,A259)</f>
        <v>45292</v>
      </c>
      <c r="F259" s="5">
        <f t="shared" ref="F259:F322" si="14">DATEDIF(E259,D259,"M")</f>
        <v>0</v>
      </c>
      <c r="G259" s="5">
        <f>IF(COUNTIFS(A$3:A259,A259,F$3:F259,F259)=1,1,0)</f>
        <v>1</v>
      </c>
    </row>
    <row r="260" spans="1:7" x14ac:dyDescent="0.25">
      <c r="A260">
        <v>684</v>
      </c>
      <c r="B260" s="3">
        <v>45457.094160428198</v>
      </c>
      <c r="C260">
        <v>201</v>
      </c>
      <c r="D260" s="4">
        <f t="shared" si="12"/>
        <v>45444</v>
      </c>
      <c r="E260" s="4">
        <f t="shared" si="13"/>
        <v>45413</v>
      </c>
      <c r="F260" s="5">
        <f t="shared" si="14"/>
        <v>1</v>
      </c>
      <c r="G260" s="5">
        <f>IF(COUNTIFS(A$3:A260,A260,F$3:F260,F260)=1,1,0)</f>
        <v>1</v>
      </c>
    </row>
    <row r="261" spans="1:7" x14ac:dyDescent="0.25">
      <c r="A261">
        <v>664</v>
      </c>
      <c r="B261" s="3">
        <v>45638.010028009303</v>
      </c>
      <c r="C261">
        <v>26</v>
      </c>
      <c r="D261" s="4">
        <f t="shared" si="12"/>
        <v>45627</v>
      </c>
      <c r="E261" s="4">
        <f t="shared" si="13"/>
        <v>45352</v>
      </c>
      <c r="F261" s="5">
        <f t="shared" si="14"/>
        <v>9</v>
      </c>
      <c r="G261" s="5">
        <f>IF(COUNTIFS(A$3:A261,A261,F$3:F261,F261)=1,1,0)</f>
        <v>1</v>
      </c>
    </row>
    <row r="262" spans="1:7" x14ac:dyDescent="0.25">
      <c r="A262">
        <v>975</v>
      </c>
      <c r="B262" s="3">
        <v>45391.536074155098</v>
      </c>
      <c r="C262">
        <v>129</v>
      </c>
      <c r="D262" s="4">
        <f t="shared" si="12"/>
        <v>45383</v>
      </c>
      <c r="E262" s="4">
        <f t="shared" si="13"/>
        <v>45383</v>
      </c>
      <c r="F262" s="5">
        <f t="shared" si="14"/>
        <v>0</v>
      </c>
      <c r="G262" s="5">
        <f>IF(COUNTIFS(A$3:A262,A262,F$3:F262,F262)=1,1,0)</f>
        <v>1</v>
      </c>
    </row>
    <row r="263" spans="1:7" x14ac:dyDescent="0.25">
      <c r="A263">
        <v>827</v>
      </c>
      <c r="B263" s="3">
        <v>45507.097389861097</v>
      </c>
      <c r="C263">
        <v>402</v>
      </c>
      <c r="D263" s="4">
        <f t="shared" si="12"/>
        <v>45505</v>
      </c>
      <c r="E263" s="4">
        <f t="shared" si="13"/>
        <v>45505</v>
      </c>
      <c r="F263" s="5">
        <f t="shared" si="14"/>
        <v>0</v>
      </c>
      <c r="G263" s="5">
        <f>IF(COUNTIFS(A$3:A263,A263,F$3:F263,F263)=1,1,0)</f>
        <v>1</v>
      </c>
    </row>
    <row r="264" spans="1:7" x14ac:dyDescent="0.25">
      <c r="A264">
        <v>374</v>
      </c>
      <c r="B264" s="3">
        <v>45636.980812407397</v>
      </c>
      <c r="C264">
        <v>434</v>
      </c>
      <c r="D264" s="4">
        <f t="shared" si="12"/>
        <v>45627</v>
      </c>
      <c r="E264" s="4">
        <f t="shared" si="13"/>
        <v>45627</v>
      </c>
      <c r="F264" s="5">
        <f t="shared" si="14"/>
        <v>0</v>
      </c>
      <c r="G264" s="5">
        <f>IF(COUNTIFS(A$3:A264,A264,F$3:F264,F264)=1,1,0)</f>
        <v>1</v>
      </c>
    </row>
    <row r="265" spans="1:7" x14ac:dyDescent="0.25">
      <c r="A265">
        <v>672</v>
      </c>
      <c r="B265" s="3">
        <v>45488.425971284698</v>
      </c>
      <c r="C265">
        <v>138</v>
      </c>
      <c r="D265" s="4">
        <f t="shared" si="12"/>
        <v>45474</v>
      </c>
      <c r="E265" s="4">
        <f t="shared" si="13"/>
        <v>45474</v>
      </c>
      <c r="F265" s="5">
        <f t="shared" si="14"/>
        <v>0</v>
      </c>
      <c r="G265" s="5">
        <f>IF(COUNTIFS(A$3:A265,A265,F$3:F265,F265)=1,1,0)</f>
        <v>1</v>
      </c>
    </row>
    <row r="266" spans="1:7" x14ac:dyDescent="0.25">
      <c r="A266">
        <v>608</v>
      </c>
      <c r="B266" s="3">
        <v>45453.353883726901</v>
      </c>
      <c r="C266">
        <v>139</v>
      </c>
      <c r="D266" s="4">
        <f t="shared" si="12"/>
        <v>45444</v>
      </c>
      <c r="E266" s="4">
        <f t="shared" si="13"/>
        <v>45444</v>
      </c>
      <c r="F266" s="5">
        <f t="shared" si="14"/>
        <v>0</v>
      </c>
      <c r="G266" s="5">
        <f>IF(COUNTIFS(A$3:A266,A266,F$3:F266,F266)=1,1,0)</f>
        <v>1</v>
      </c>
    </row>
    <row r="267" spans="1:7" x14ac:dyDescent="0.25">
      <c r="A267">
        <v>472</v>
      </c>
      <c r="B267" s="3">
        <v>45561.001269594897</v>
      </c>
      <c r="C267">
        <v>581</v>
      </c>
      <c r="D267" s="4">
        <f t="shared" si="12"/>
        <v>45536</v>
      </c>
      <c r="E267" s="4">
        <f t="shared" si="13"/>
        <v>45505</v>
      </c>
      <c r="F267" s="5">
        <f t="shared" si="14"/>
        <v>1</v>
      </c>
      <c r="G267" s="5">
        <f>IF(COUNTIFS(A$3:A267,A267,F$3:F267,F267)=1,1,0)</f>
        <v>1</v>
      </c>
    </row>
    <row r="268" spans="1:7" x14ac:dyDescent="0.25">
      <c r="A268">
        <v>233</v>
      </c>
      <c r="B268" s="3">
        <v>45597.670019189798</v>
      </c>
      <c r="C268">
        <v>569</v>
      </c>
      <c r="D268" s="4">
        <f t="shared" si="12"/>
        <v>45597</v>
      </c>
      <c r="E268" s="4">
        <f t="shared" si="13"/>
        <v>45352</v>
      </c>
      <c r="F268" s="5">
        <f t="shared" si="14"/>
        <v>8</v>
      </c>
      <c r="G268" s="5">
        <f>IF(COUNTIFS(A$3:A268,A268,F$3:F268,F268)=1,1,0)</f>
        <v>1</v>
      </c>
    </row>
    <row r="269" spans="1:7" x14ac:dyDescent="0.25">
      <c r="A269">
        <v>692</v>
      </c>
      <c r="B269" s="3">
        <v>45412.673686793998</v>
      </c>
      <c r="C269">
        <v>38</v>
      </c>
      <c r="D269" s="4">
        <f t="shared" si="12"/>
        <v>45383</v>
      </c>
      <c r="E269" s="4">
        <f t="shared" si="13"/>
        <v>45383</v>
      </c>
      <c r="F269" s="5">
        <f t="shared" si="14"/>
        <v>0</v>
      </c>
      <c r="G269" s="5">
        <f>IF(COUNTIFS(A$3:A269,A269,F$3:F269,F269)=1,1,0)</f>
        <v>1</v>
      </c>
    </row>
    <row r="270" spans="1:7" x14ac:dyDescent="0.25">
      <c r="A270">
        <v>113</v>
      </c>
      <c r="B270" s="3">
        <v>45307.828184525497</v>
      </c>
      <c r="C270">
        <v>106</v>
      </c>
      <c r="D270" s="4">
        <f t="shared" si="12"/>
        <v>45292</v>
      </c>
      <c r="E270" s="4">
        <f t="shared" si="13"/>
        <v>45292</v>
      </c>
      <c r="F270" s="5">
        <f t="shared" si="14"/>
        <v>0</v>
      </c>
      <c r="G270" s="5">
        <f>IF(COUNTIFS(A$3:A270,A270,F$3:F270,F270)=1,1,0)</f>
        <v>1</v>
      </c>
    </row>
    <row r="271" spans="1:7" x14ac:dyDescent="0.25">
      <c r="A271">
        <v>830</v>
      </c>
      <c r="B271" s="3">
        <v>45550.951939814797</v>
      </c>
      <c r="C271">
        <v>19</v>
      </c>
      <c r="D271" s="4">
        <f t="shared" si="12"/>
        <v>45536</v>
      </c>
      <c r="E271" s="4">
        <f t="shared" si="13"/>
        <v>45536</v>
      </c>
      <c r="F271" s="5">
        <f t="shared" si="14"/>
        <v>0</v>
      </c>
      <c r="G271" s="5">
        <f>IF(COUNTIFS(A$3:A271,A271,F$3:F271,F271)=1,1,0)</f>
        <v>1</v>
      </c>
    </row>
    <row r="272" spans="1:7" x14ac:dyDescent="0.25">
      <c r="A272">
        <v>497</v>
      </c>
      <c r="B272" s="3">
        <v>45317.422417858797</v>
      </c>
      <c r="C272">
        <v>251</v>
      </c>
      <c r="D272" s="4">
        <f t="shared" si="12"/>
        <v>45292</v>
      </c>
      <c r="E272" s="4">
        <f t="shared" si="13"/>
        <v>45292</v>
      </c>
      <c r="F272" s="5">
        <f t="shared" si="14"/>
        <v>0</v>
      </c>
      <c r="G272" s="5">
        <f>IF(COUNTIFS(A$3:A272,A272,F$3:F272,F272)=1,1,0)</f>
        <v>1</v>
      </c>
    </row>
    <row r="273" spans="1:7" x14ac:dyDescent="0.25">
      <c r="A273">
        <v>442</v>
      </c>
      <c r="B273" s="3">
        <v>45446.9554906134</v>
      </c>
      <c r="C273">
        <v>835</v>
      </c>
      <c r="D273" s="4">
        <f t="shared" si="12"/>
        <v>45444</v>
      </c>
      <c r="E273" s="4">
        <f t="shared" si="13"/>
        <v>45444</v>
      </c>
      <c r="F273" s="5">
        <f t="shared" si="14"/>
        <v>0</v>
      </c>
      <c r="G273" s="5">
        <f>IF(COUNTIFS(A$3:A273,A273,F$3:F273,F273)=1,1,0)</f>
        <v>1</v>
      </c>
    </row>
    <row r="274" spans="1:7" x14ac:dyDescent="0.25">
      <c r="A274">
        <v>564</v>
      </c>
      <c r="B274" s="3">
        <v>45605.407348414403</v>
      </c>
      <c r="C274">
        <v>965</v>
      </c>
      <c r="D274" s="4">
        <f t="shared" si="12"/>
        <v>45597</v>
      </c>
      <c r="E274" s="4">
        <f t="shared" si="13"/>
        <v>45352</v>
      </c>
      <c r="F274" s="5">
        <f t="shared" si="14"/>
        <v>8</v>
      </c>
      <c r="G274" s="5">
        <f>IF(COUNTIFS(A$3:A274,A274,F$3:F274,F274)=1,1,0)</f>
        <v>1</v>
      </c>
    </row>
    <row r="275" spans="1:7" x14ac:dyDescent="0.25">
      <c r="A275">
        <v>268</v>
      </c>
      <c r="B275" s="3">
        <v>45651.609579236101</v>
      </c>
      <c r="C275">
        <v>241</v>
      </c>
      <c r="D275" s="4">
        <f t="shared" si="12"/>
        <v>45627</v>
      </c>
      <c r="E275" s="4">
        <f t="shared" si="13"/>
        <v>45444</v>
      </c>
      <c r="F275" s="5">
        <f t="shared" si="14"/>
        <v>6</v>
      </c>
      <c r="G275" s="5">
        <f>IF(COUNTIFS(A$3:A275,A275,F$3:F275,F275)=1,1,0)</f>
        <v>1</v>
      </c>
    </row>
    <row r="276" spans="1:7" x14ac:dyDescent="0.25">
      <c r="A276">
        <v>510</v>
      </c>
      <c r="B276" s="3">
        <v>45353.110666956003</v>
      </c>
      <c r="C276">
        <v>798</v>
      </c>
      <c r="D276" s="4">
        <f t="shared" si="12"/>
        <v>45352</v>
      </c>
      <c r="E276" s="4">
        <f t="shared" si="13"/>
        <v>45352</v>
      </c>
      <c r="F276" s="5">
        <f t="shared" si="14"/>
        <v>0</v>
      </c>
      <c r="G276" s="5">
        <f>IF(COUNTIFS(A$3:A276,A276,F$3:F276,F276)=1,1,0)</f>
        <v>1</v>
      </c>
    </row>
    <row r="277" spans="1:7" x14ac:dyDescent="0.25">
      <c r="A277">
        <v>807</v>
      </c>
      <c r="B277" s="3">
        <v>45429.2545018171</v>
      </c>
      <c r="C277">
        <v>293</v>
      </c>
      <c r="D277" s="4">
        <f t="shared" si="12"/>
        <v>45413</v>
      </c>
      <c r="E277" s="4">
        <f t="shared" si="13"/>
        <v>45413</v>
      </c>
      <c r="F277" s="5">
        <f t="shared" si="14"/>
        <v>0</v>
      </c>
      <c r="G277" s="5">
        <f>IF(COUNTIFS(A$3:A277,A277,F$3:F277,F277)=1,1,0)</f>
        <v>1</v>
      </c>
    </row>
    <row r="278" spans="1:7" x14ac:dyDescent="0.25">
      <c r="A278">
        <v>386</v>
      </c>
      <c r="B278" s="3">
        <v>45558.896499664399</v>
      </c>
      <c r="C278">
        <v>724</v>
      </c>
      <c r="D278" s="4">
        <f t="shared" si="12"/>
        <v>45536</v>
      </c>
      <c r="E278" s="4">
        <f t="shared" si="13"/>
        <v>45474</v>
      </c>
      <c r="F278" s="5">
        <f t="shared" si="14"/>
        <v>2</v>
      </c>
      <c r="G278" s="5">
        <f>IF(COUNTIFS(A$3:A278,A278,F$3:F278,F278)=1,1,0)</f>
        <v>1</v>
      </c>
    </row>
    <row r="279" spans="1:7" x14ac:dyDescent="0.25">
      <c r="A279">
        <v>387</v>
      </c>
      <c r="B279" s="3">
        <v>45542.4650900579</v>
      </c>
      <c r="C279">
        <v>768</v>
      </c>
      <c r="D279" s="4">
        <f t="shared" si="12"/>
        <v>45536</v>
      </c>
      <c r="E279" s="4">
        <f t="shared" si="13"/>
        <v>45413</v>
      </c>
      <c r="F279" s="5">
        <f t="shared" si="14"/>
        <v>4</v>
      </c>
      <c r="G279" s="5">
        <f>IF(COUNTIFS(A$3:A279,A279,F$3:F279,F279)=1,1,0)</f>
        <v>1</v>
      </c>
    </row>
    <row r="280" spans="1:7" x14ac:dyDescent="0.25">
      <c r="A280">
        <v>113</v>
      </c>
      <c r="B280" s="3">
        <v>45515.339123935199</v>
      </c>
      <c r="C280">
        <v>811</v>
      </c>
      <c r="D280" s="4">
        <f t="shared" si="12"/>
        <v>45505</v>
      </c>
      <c r="E280" s="4">
        <f t="shared" si="13"/>
        <v>45292</v>
      </c>
      <c r="F280" s="5">
        <f t="shared" si="14"/>
        <v>7</v>
      </c>
      <c r="G280" s="5">
        <f>IF(COUNTIFS(A$3:A280,A280,F$3:F280,F280)=1,1,0)</f>
        <v>1</v>
      </c>
    </row>
    <row r="281" spans="1:7" x14ac:dyDescent="0.25">
      <c r="A281">
        <v>613</v>
      </c>
      <c r="B281" s="3">
        <v>45562.645570254601</v>
      </c>
      <c r="C281">
        <v>785</v>
      </c>
      <c r="D281" s="4">
        <f t="shared" si="12"/>
        <v>45536</v>
      </c>
      <c r="E281" s="4">
        <f t="shared" si="13"/>
        <v>45352</v>
      </c>
      <c r="F281" s="5">
        <f t="shared" si="14"/>
        <v>6</v>
      </c>
      <c r="G281" s="5">
        <f>IF(COUNTIFS(A$3:A281,A281,F$3:F281,F281)=1,1,0)</f>
        <v>1</v>
      </c>
    </row>
    <row r="282" spans="1:7" x14ac:dyDescent="0.25">
      <c r="A282">
        <v>625</v>
      </c>
      <c r="B282" s="3">
        <v>45341.537787337998</v>
      </c>
      <c r="C282">
        <v>964</v>
      </c>
      <c r="D282" s="4">
        <f t="shared" si="12"/>
        <v>45323</v>
      </c>
      <c r="E282" s="4">
        <f t="shared" si="13"/>
        <v>45323</v>
      </c>
      <c r="F282" s="5">
        <f t="shared" si="14"/>
        <v>0</v>
      </c>
      <c r="G282" s="5">
        <f>IF(COUNTIFS(A$3:A282,A282,F$3:F282,F282)=1,1,0)</f>
        <v>1</v>
      </c>
    </row>
    <row r="283" spans="1:7" x14ac:dyDescent="0.25">
      <c r="A283">
        <v>952</v>
      </c>
      <c r="B283" s="3">
        <v>45421.327409513899</v>
      </c>
      <c r="C283">
        <v>735</v>
      </c>
      <c r="D283" s="4">
        <f t="shared" si="12"/>
        <v>45413</v>
      </c>
      <c r="E283" s="4">
        <f t="shared" si="13"/>
        <v>45413</v>
      </c>
      <c r="F283" s="5">
        <f t="shared" si="14"/>
        <v>0</v>
      </c>
      <c r="G283" s="5">
        <f>IF(COUNTIFS(A$3:A283,A283,F$3:F283,F283)=1,1,0)</f>
        <v>1</v>
      </c>
    </row>
    <row r="284" spans="1:7" x14ac:dyDescent="0.25">
      <c r="A284">
        <v>81</v>
      </c>
      <c r="B284" s="3">
        <v>45360.512988506998</v>
      </c>
      <c r="C284">
        <v>209</v>
      </c>
      <c r="D284" s="4">
        <f t="shared" si="12"/>
        <v>45352</v>
      </c>
      <c r="E284" s="4">
        <f t="shared" si="13"/>
        <v>45323</v>
      </c>
      <c r="F284" s="5">
        <f t="shared" si="14"/>
        <v>1</v>
      </c>
      <c r="G284" s="5">
        <f>IF(COUNTIFS(A$3:A284,A284,F$3:F284,F284)=1,1,0)</f>
        <v>1</v>
      </c>
    </row>
    <row r="285" spans="1:7" x14ac:dyDescent="0.25">
      <c r="A285">
        <v>699</v>
      </c>
      <c r="B285" s="3">
        <v>45496.259350462999</v>
      </c>
      <c r="C285">
        <v>954</v>
      </c>
      <c r="D285" s="4">
        <f t="shared" si="12"/>
        <v>45474</v>
      </c>
      <c r="E285" s="4">
        <f t="shared" si="13"/>
        <v>45292</v>
      </c>
      <c r="F285" s="5">
        <f t="shared" si="14"/>
        <v>6</v>
      </c>
      <c r="G285" s="5">
        <f>IF(COUNTIFS(A$3:A285,A285,F$3:F285,F285)=1,1,0)</f>
        <v>1</v>
      </c>
    </row>
    <row r="286" spans="1:7" x14ac:dyDescent="0.25">
      <c r="A286">
        <v>113</v>
      </c>
      <c r="B286" s="3">
        <v>45459.259911157402</v>
      </c>
      <c r="C286">
        <v>88</v>
      </c>
      <c r="D286" s="4">
        <f t="shared" si="12"/>
        <v>45444</v>
      </c>
      <c r="E286" s="4">
        <f t="shared" si="13"/>
        <v>45292</v>
      </c>
      <c r="F286" s="5">
        <f t="shared" si="14"/>
        <v>5</v>
      </c>
      <c r="G286" s="5">
        <f>IF(COUNTIFS(A$3:A286,A286,F$3:F286,F286)=1,1,0)</f>
        <v>1</v>
      </c>
    </row>
    <row r="287" spans="1:7" x14ac:dyDescent="0.25">
      <c r="A287">
        <v>2</v>
      </c>
      <c r="B287" s="3">
        <v>45519.546610775498</v>
      </c>
      <c r="C287">
        <v>922</v>
      </c>
      <c r="D287" s="4">
        <f t="shared" si="12"/>
        <v>45505</v>
      </c>
      <c r="E287" s="4">
        <f t="shared" si="13"/>
        <v>45292</v>
      </c>
      <c r="F287" s="5">
        <f t="shared" si="14"/>
        <v>7</v>
      </c>
      <c r="G287" s="5">
        <f>IF(COUNTIFS(A$3:A287,A287,F$3:F287,F287)=1,1,0)</f>
        <v>1</v>
      </c>
    </row>
    <row r="288" spans="1:7" x14ac:dyDescent="0.25">
      <c r="A288">
        <v>642</v>
      </c>
      <c r="B288" s="3">
        <v>45400.936192291701</v>
      </c>
      <c r="C288">
        <v>965</v>
      </c>
      <c r="D288" s="4">
        <f t="shared" si="12"/>
        <v>45383</v>
      </c>
      <c r="E288" s="4">
        <f t="shared" si="13"/>
        <v>45383</v>
      </c>
      <c r="F288" s="5">
        <f t="shared" si="14"/>
        <v>0</v>
      </c>
      <c r="G288" s="5">
        <f>IF(COUNTIFS(A$3:A288,A288,F$3:F288,F288)=1,1,0)</f>
        <v>1</v>
      </c>
    </row>
    <row r="289" spans="1:7" x14ac:dyDescent="0.25">
      <c r="A289">
        <v>220</v>
      </c>
      <c r="B289" s="3">
        <v>45591.955207893501</v>
      </c>
      <c r="C289">
        <v>864</v>
      </c>
      <c r="D289" s="4">
        <f t="shared" si="12"/>
        <v>45566</v>
      </c>
      <c r="E289" s="4">
        <f t="shared" si="13"/>
        <v>45323</v>
      </c>
      <c r="F289" s="5">
        <f t="shared" si="14"/>
        <v>8</v>
      </c>
      <c r="G289" s="5">
        <f>IF(COUNTIFS(A$3:A289,A289,F$3:F289,F289)=1,1,0)</f>
        <v>1</v>
      </c>
    </row>
    <row r="290" spans="1:7" x14ac:dyDescent="0.25">
      <c r="A290">
        <v>566</v>
      </c>
      <c r="B290" s="3">
        <v>45585.719849560199</v>
      </c>
      <c r="C290">
        <v>865</v>
      </c>
      <c r="D290" s="4">
        <f t="shared" si="12"/>
        <v>45566</v>
      </c>
      <c r="E290" s="4">
        <f t="shared" si="13"/>
        <v>45292</v>
      </c>
      <c r="F290" s="5">
        <f t="shared" si="14"/>
        <v>9</v>
      </c>
      <c r="G290" s="5">
        <f>IF(COUNTIFS(A$3:A290,A290,F$3:F290,F290)=1,1,0)</f>
        <v>1</v>
      </c>
    </row>
    <row r="291" spans="1:7" x14ac:dyDescent="0.25">
      <c r="A291">
        <v>855</v>
      </c>
      <c r="B291" s="3">
        <v>45596.883250138897</v>
      </c>
      <c r="C291">
        <v>182</v>
      </c>
      <c r="D291" s="4">
        <f t="shared" si="12"/>
        <v>45566</v>
      </c>
      <c r="E291" s="4">
        <f t="shared" si="13"/>
        <v>45566</v>
      </c>
      <c r="F291" s="5">
        <f t="shared" si="14"/>
        <v>0</v>
      </c>
      <c r="G291" s="5">
        <f>IF(COUNTIFS(A$3:A291,A291,F$3:F291,F291)=1,1,0)</f>
        <v>1</v>
      </c>
    </row>
    <row r="292" spans="1:7" x14ac:dyDescent="0.25">
      <c r="A292">
        <v>997</v>
      </c>
      <c r="B292" s="3">
        <v>45356.389860162002</v>
      </c>
      <c r="C292">
        <v>476</v>
      </c>
      <c r="D292" s="4">
        <f t="shared" si="12"/>
        <v>45352</v>
      </c>
      <c r="E292" s="4">
        <f t="shared" si="13"/>
        <v>45352</v>
      </c>
      <c r="F292" s="5">
        <f t="shared" si="14"/>
        <v>0</v>
      </c>
      <c r="G292" s="5">
        <f>IF(COUNTIFS(A$3:A292,A292,F$3:F292,F292)=1,1,0)</f>
        <v>1</v>
      </c>
    </row>
    <row r="293" spans="1:7" x14ac:dyDescent="0.25">
      <c r="A293">
        <v>736</v>
      </c>
      <c r="B293" s="3">
        <v>45320.357295833302</v>
      </c>
      <c r="C293">
        <v>590</v>
      </c>
      <c r="D293" s="4">
        <f t="shared" si="12"/>
        <v>45292</v>
      </c>
      <c r="E293" s="4">
        <f t="shared" si="13"/>
        <v>45292</v>
      </c>
      <c r="F293" s="5">
        <f t="shared" si="14"/>
        <v>0</v>
      </c>
      <c r="G293" s="5">
        <f>IF(COUNTIFS(A$3:A293,A293,F$3:F293,F293)=1,1,0)</f>
        <v>1</v>
      </c>
    </row>
    <row r="294" spans="1:7" x14ac:dyDescent="0.25">
      <c r="A294">
        <v>225</v>
      </c>
      <c r="B294" s="3">
        <v>45340.086958773201</v>
      </c>
      <c r="C294">
        <v>425</v>
      </c>
      <c r="D294" s="4">
        <f t="shared" si="12"/>
        <v>45323</v>
      </c>
      <c r="E294" s="4">
        <f t="shared" si="13"/>
        <v>45323</v>
      </c>
      <c r="F294" s="5">
        <f t="shared" si="14"/>
        <v>0</v>
      </c>
      <c r="G294" s="5">
        <f>IF(COUNTIFS(A$3:A294,A294,F$3:F294,F294)=1,1,0)</f>
        <v>1</v>
      </c>
    </row>
    <row r="295" spans="1:7" x14ac:dyDescent="0.25">
      <c r="A295">
        <v>385</v>
      </c>
      <c r="B295" s="3">
        <v>45411.908619953698</v>
      </c>
      <c r="C295">
        <v>949</v>
      </c>
      <c r="D295" s="4">
        <f t="shared" si="12"/>
        <v>45383</v>
      </c>
      <c r="E295" s="4">
        <f t="shared" si="13"/>
        <v>45383</v>
      </c>
      <c r="F295" s="5">
        <f t="shared" si="14"/>
        <v>0</v>
      </c>
      <c r="G295" s="5">
        <f>IF(COUNTIFS(A$3:A295,A295,F$3:F295,F295)=1,1,0)</f>
        <v>0</v>
      </c>
    </row>
    <row r="296" spans="1:7" x14ac:dyDescent="0.25">
      <c r="A296">
        <v>403</v>
      </c>
      <c r="B296" s="3">
        <v>45583.496026967601</v>
      </c>
      <c r="C296">
        <v>458</v>
      </c>
      <c r="D296" s="4">
        <f t="shared" si="12"/>
        <v>45566</v>
      </c>
      <c r="E296" s="4">
        <f t="shared" si="13"/>
        <v>45323</v>
      </c>
      <c r="F296" s="5">
        <f t="shared" si="14"/>
        <v>8</v>
      </c>
      <c r="G296" s="5">
        <f>IF(COUNTIFS(A$3:A296,A296,F$3:F296,F296)=1,1,0)</f>
        <v>1</v>
      </c>
    </row>
    <row r="297" spans="1:7" x14ac:dyDescent="0.25">
      <c r="A297">
        <v>638</v>
      </c>
      <c r="B297" s="3">
        <v>45458.641359953697</v>
      </c>
      <c r="C297">
        <v>96</v>
      </c>
      <c r="D297" s="4">
        <f t="shared" si="12"/>
        <v>45444</v>
      </c>
      <c r="E297" s="4">
        <f t="shared" si="13"/>
        <v>45352</v>
      </c>
      <c r="F297" s="5">
        <f t="shared" si="14"/>
        <v>3</v>
      </c>
      <c r="G297" s="5">
        <f>IF(COUNTIFS(A$3:A297,A297,F$3:F297,F297)=1,1,0)</f>
        <v>1</v>
      </c>
    </row>
    <row r="298" spans="1:7" x14ac:dyDescent="0.25">
      <c r="A298">
        <v>130</v>
      </c>
      <c r="B298" s="3">
        <v>45343.6438151736</v>
      </c>
      <c r="C298">
        <v>110</v>
      </c>
      <c r="D298" s="4">
        <f t="shared" si="12"/>
        <v>45323</v>
      </c>
      <c r="E298" s="4">
        <f t="shared" si="13"/>
        <v>45323</v>
      </c>
      <c r="F298" s="5">
        <f t="shared" si="14"/>
        <v>0</v>
      </c>
      <c r="G298" s="5">
        <f>IF(COUNTIFS(A$3:A298,A298,F$3:F298,F298)=1,1,0)</f>
        <v>1</v>
      </c>
    </row>
    <row r="299" spans="1:7" x14ac:dyDescent="0.25">
      <c r="A299">
        <v>53</v>
      </c>
      <c r="B299" s="3">
        <v>45641.082231400498</v>
      </c>
      <c r="C299">
        <v>17</v>
      </c>
      <c r="D299" s="4">
        <f t="shared" si="12"/>
        <v>45627</v>
      </c>
      <c r="E299" s="4">
        <f t="shared" si="13"/>
        <v>45474</v>
      </c>
      <c r="F299" s="5">
        <f t="shared" si="14"/>
        <v>5</v>
      </c>
      <c r="G299" s="5">
        <f>IF(COUNTIFS(A$3:A299,A299,F$3:F299,F299)=1,1,0)</f>
        <v>1</v>
      </c>
    </row>
    <row r="300" spans="1:7" x14ac:dyDescent="0.25">
      <c r="A300">
        <v>684</v>
      </c>
      <c r="B300" s="3">
        <v>45435.096200752298</v>
      </c>
      <c r="C300">
        <v>854</v>
      </c>
      <c r="D300" s="4">
        <f t="shared" si="12"/>
        <v>45413</v>
      </c>
      <c r="E300" s="4">
        <f t="shared" si="13"/>
        <v>45413</v>
      </c>
      <c r="F300" s="5">
        <f t="shared" si="14"/>
        <v>0</v>
      </c>
      <c r="G300" s="5">
        <f>IF(COUNTIFS(A$3:A300,A300,F$3:F300,F300)=1,1,0)</f>
        <v>1</v>
      </c>
    </row>
    <row r="301" spans="1:7" x14ac:dyDescent="0.25">
      <c r="A301">
        <v>730</v>
      </c>
      <c r="B301" s="3">
        <v>45488.683791990698</v>
      </c>
      <c r="C301">
        <v>209</v>
      </c>
      <c r="D301" s="4">
        <f t="shared" si="12"/>
        <v>45474</v>
      </c>
      <c r="E301" s="4">
        <f t="shared" si="13"/>
        <v>45474</v>
      </c>
      <c r="F301" s="5">
        <f t="shared" si="14"/>
        <v>0</v>
      </c>
      <c r="G301" s="5">
        <f>IF(COUNTIFS(A$3:A301,A301,F$3:F301,F301)=1,1,0)</f>
        <v>1</v>
      </c>
    </row>
    <row r="302" spans="1:7" x14ac:dyDescent="0.25">
      <c r="A302">
        <v>672</v>
      </c>
      <c r="B302" s="3">
        <v>45627.183341388904</v>
      </c>
      <c r="C302">
        <v>514</v>
      </c>
      <c r="D302" s="4">
        <f t="shared" si="12"/>
        <v>45627</v>
      </c>
      <c r="E302" s="4">
        <f t="shared" si="13"/>
        <v>45474</v>
      </c>
      <c r="F302" s="5">
        <f t="shared" si="14"/>
        <v>5</v>
      </c>
      <c r="G302" s="5">
        <f>IF(COUNTIFS(A$3:A302,A302,F$3:F302,F302)=1,1,0)</f>
        <v>1</v>
      </c>
    </row>
    <row r="303" spans="1:7" x14ac:dyDescent="0.25">
      <c r="A303">
        <v>710</v>
      </c>
      <c r="B303" s="3">
        <v>45305.134619849501</v>
      </c>
      <c r="C303">
        <v>96</v>
      </c>
      <c r="D303" s="4">
        <f t="shared" si="12"/>
        <v>45292</v>
      </c>
      <c r="E303" s="4">
        <f t="shared" si="13"/>
        <v>45292</v>
      </c>
      <c r="F303" s="5">
        <f t="shared" si="14"/>
        <v>0</v>
      </c>
      <c r="G303" s="5">
        <f>IF(COUNTIFS(A$3:A303,A303,F$3:F303,F303)=1,1,0)</f>
        <v>1</v>
      </c>
    </row>
    <row r="304" spans="1:7" x14ac:dyDescent="0.25">
      <c r="A304">
        <v>416</v>
      </c>
      <c r="B304" s="3">
        <v>45555.591519548601</v>
      </c>
      <c r="C304">
        <v>52</v>
      </c>
      <c r="D304" s="4">
        <f t="shared" si="12"/>
        <v>45536</v>
      </c>
      <c r="E304" s="4">
        <f t="shared" si="13"/>
        <v>45536</v>
      </c>
      <c r="F304" s="5">
        <f t="shared" si="14"/>
        <v>0</v>
      </c>
      <c r="G304" s="5">
        <f>IF(COUNTIFS(A$3:A304,A304,F$3:F304,F304)=1,1,0)</f>
        <v>1</v>
      </c>
    </row>
    <row r="305" spans="1:7" x14ac:dyDescent="0.25">
      <c r="A305">
        <v>247</v>
      </c>
      <c r="B305" s="3">
        <v>45589.500274062499</v>
      </c>
      <c r="C305">
        <v>394</v>
      </c>
      <c r="D305" s="4">
        <f t="shared" si="12"/>
        <v>45566</v>
      </c>
      <c r="E305" s="4">
        <f t="shared" si="13"/>
        <v>45566</v>
      </c>
      <c r="F305" s="5">
        <f t="shared" si="14"/>
        <v>0</v>
      </c>
      <c r="G305" s="5">
        <f>IF(COUNTIFS(A$3:A305,A305,F$3:F305,F305)=1,1,0)</f>
        <v>1</v>
      </c>
    </row>
    <row r="306" spans="1:7" x14ac:dyDescent="0.25">
      <c r="A306">
        <v>836</v>
      </c>
      <c r="B306" s="3">
        <v>45583.181177106497</v>
      </c>
      <c r="C306">
        <v>630</v>
      </c>
      <c r="D306" s="4">
        <f t="shared" si="12"/>
        <v>45566</v>
      </c>
      <c r="E306" s="4">
        <f t="shared" si="13"/>
        <v>45566</v>
      </c>
      <c r="F306" s="5">
        <f t="shared" si="14"/>
        <v>0</v>
      </c>
      <c r="G306" s="5">
        <f>IF(COUNTIFS(A$3:A306,A306,F$3:F306,F306)=1,1,0)</f>
        <v>1</v>
      </c>
    </row>
    <row r="307" spans="1:7" x14ac:dyDescent="0.25">
      <c r="A307">
        <v>439</v>
      </c>
      <c r="B307" s="3">
        <v>45374.840751944401</v>
      </c>
      <c r="C307">
        <v>444</v>
      </c>
      <c r="D307" s="4">
        <f t="shared" si="12"/>
        <v>45352</v>
      </c>
      <c r="E307" s="4">
        <f t="shared" si="13"/>
        <v>45352</v>
      </c>
      <c r="F307" s="5">
        <f t="shared" si="14"/>
        <v>0</v>
      </c>
      <c r="G307" s="5">
        <f>IF(COUNTIFS(A$3:A307,A307,F$3:F307,F307)=1,1,0)</f>
        <v>1</v>
      </c>
    </row>
    <row r="308" spans="1:7" x14ac:dyDescent="0.25">
      <c r="A308">
        <v>203</v>
      </c>
      <c r="B308" s="3">
        <v>45560.0577222801</v>
      </c>
      <c r="C308">
        <v>417</v>
      </c>
      <c r="D308" s="4">
        <f t="shared" si="12"/>
        <v>45536</v>
      </c>
      <c r="E308" s="4">
        <f t="shared" si="13"/>
        <v>45536</v>
      </c>
      <c r="F308" s="5">
        <f t="shared" si="14"/>
        <v>0</v>
      </c>
      <c r="G308" s="5">
        <f>IF(COUNTIFS(A$3:A308,A308,F$3:F308,F308)=1,1,0)</f>
        <v>1</v>
      </c>
    </row>
    <row r="309" spans="1:7" x14ac:dyDescent="0.25">
      <c r="A309">
        <v>184</v>
      </c>
      <c r="B309" s="3">
        <v>45321.247818287004</v>
      </c>
      <c r="C309">
        <v>492</v>
      </c>
      <c r="D309" s="4">
        <f t="shared" si="12"/>
        <v>45292</v>
      </c>
      <c r="E309" s="4">
        <f t="shared" si="13"/>
        <v>45292</v>
      </c>
      <c r="F309" s="5">
        <f t="shared" si="14"/>
        <v>0</v>
      </c>
      <c r="G309" s="5">
        <f>IF(COUNTIFS(A$3:A309,A309,F$3:F309,F309)=1,1,0)</f>
        <v>1</v>
      </c>
    </row>
    <row r="310" spans="1:7" x14ac:dyDescent="0.25">
      <c r="A310">
        <v>123</v>
      </c>
      <c r="B310" s="3">
        <v>45326.979253981503</v>
      </c>
      <c r="C310">
        <v>673</v>
      </c>
      <c r="D310" s="4">
        <f t="shared" si="12"/>
        <v>45323</v>
      </c>
      <c r="E310" s="4">
        <f t="shared" si="13"/>
        <v>45323</v>
      </c>
      <c r="F310" s="5">
        <f t="shared" si="14"/>
        <v>0</v>
      </c>
      <c r="G310" s="5">
        <f>IF(COUNTIFS(A$3:A310,A310,F$3:F310,F310)=1,1,0)</f>
        <v>1</v>
      </c>
    </row>
    <row r="311" spans="1:7" x14ac:dyDescent="0.25">
      <c r="A311">
        <v>401</v>
      </c>
      <c r="B311" s="3">
        <v>45495.419271794002</v>
      </c>
      <c r="C311">
        <v>26</v>
      </c>
      <c r="D311" s="4">
        <f t="shared" si="12"/>
        <v>45474</v>
      </c>
      <c r="E311" s="4">
        <f t="shared" si="13"/>
        <v>45352</v>
      </c>
      <c r="F311" s="5">
        <f t="shared" si="14"/>
        <v>4</v>
      </c>
      <c r="G311" s="5">
        <f>IF(COUNTIFS(A$3:A311,A311,F$3:F311,F311)=1,1,0)</f>
        <v>1</v>
      </c>
    </row>
    <row r="312" spans="1:7" x14ac:dyDescent="0.25">
      <c r="A312">
        <v>767</v>
      </c>
      <c r="B312" s="3">
        <v>45571.610099976897</v>
      </c>
      <c r="C312">
        <v>654</v>
      </c>
      <c r="D312" s="4">
        <f t="shared" si="12"/>
        <v>45566</v>
      </c>
      <c r="E312" s="4">
        <f t="shared" si="13"/>
        <v>45292</v>
      </c>
      <c r="F312" s="5">
        <f t="shared" si="14"/>
        <v>9</v>
      </c>
      <c r="G312" s="5">
        <f>IF(COUNTIFS(A$3:A312,A312,F$3:F312,F312)=1,1,0)</f>
        <v>1</v>
      </c>
    </row>
    <row r="313" spans="1:7" x14ac:dyDescent="0.25">
      <c r="A313">
        <v>294</v>
      </c>
      <c r="B313" s="3">
        <v>45371.516621713003</v>
      </c>
      <c r="C313">
        <v>157</v>
      </c>
      <c r="D313" s="4">
        <f t="shared" si="12"/>
        <v>45352</v>
      </c>
      <c r="E313" s="4">
        <f t="shared" si="13"/>
        <v>45352</v>
      </c>
      <c r="F313" s="5">
        <f t="shared" si="14"/>
        <v>0</v>
      </c>
      <c r="G313" s="5">
        <f>IF(COUNTIFS(A$3:A313,A313,F$3:F313,F313)=1,1,0)</f>
        <v>1</v>
      </c>
    </row>
    <row r="314" spans="1:7" x14ac:dyDescent="0.25">
      <c r="A314">
        <v>280</v>
      </c>
      <c r="B314" s="3">
        <v>45515.448346261597</v>
      </c>
      <c r="C314">
        <v>286</v>
      </c>
      <c r="D314" s="4">
        <f t="shared" si="12"/>
        <v>45505</v>
      </c>
      <c r="E314" s="4">
        <f t="shared" si="13"/>
        <v>45474</v>
      </c>
      <c r="F314" s="5">
        <f t="shared" si="14"/>
        <v>1</v>
      </c>
      <c r="G314" s="5">
        <f>IF(COUNTIFS(A$3:A314,A314,F$3:F314,F314)=1,1,0)</f>
        <v>1</v>
      </c>
    </row>
    <row r="315" spans="1:7" x14ac:dyDescent="0.25">
      <c r="A315">
        <v>837</v>
      </c>
      <c r="B315" s="3">
        <v>45493.414783136599</v>
      </c>
      <c r="C315">
        <v>241</v>
      </c>
      <c r="D315" s="4">
        <f t="shared" si="12"/>
        <v>45474</v>
      </c>
      <c r="E315" s="4">
        <f t="shared" si="13"/>
        <v>45474</v>
      </c>
      <c r="F315" s="5">
        <f t="shared" si="14"/>
        <v>0</v>
      </c>
      <c r="G315" s="5">
        <f>IF(COUNTIFS(A$3:A315,A315,F$3:F315,F315)=1,1,0)</f>
        <v>1</v>
      </c>
    </row>
    <row r="316" spans="1:7" x14ac:dyDescent="0.25">
      <c r="A316">
        <v>884</v>
      </c>
      <c r="B316" s="3">
        <v>45353.383052928199</v>
      </c>
      <c r="C316">
        <v>835</v>
      </c>
      <c r="D316" s="4">
        <f t="shared" si="12"/>
        <v>45352</v>
      </c>
      <c r="E316" s="4">
        <f t="shared" si="13"/>
        <v>45352</v>
      </c>
      <c r="F316" s="5">
        <f t="shared" si="14"/>
        <v>0</v>
      </c>
      <c r="G316" s="5">
        <f>IF(COUNTIFS(A$3:A316,A316,F$3:F316,F316)=1,1,0)</f>
        <v>1</v>
      </c>
    </row>
    <row r="317" spans="1:7" x14ac:dyDescent="0.25">
      <c r="A317">
        <v>610</v>
      </c>
      <c r="B317" s="3">
        <v>45389.6784963194</v>
      </c>
      <c r="C317">
        <v>936</v>
      </c>
      <c r="D317" s="4">
        <f t="shared" si="12"/>
        <v>45383</v>
      </c>
      <c r="E317" s="4">
        <f t="shared" si="13"/>
        <v>45383</v>
      </c>
      <c r="F317" s="5">
        <f t="shared" si="14"/>
        <v>0</v>
      </c>
      <c r="G317" s="5">
        <f>IF(COUNTIFS(A$3:A317,A317,F$3:F317,F317)=1,1,0)</f>
        <v>1</v>
      </c>
    </row>
    <row r="318" spans="1:7" x14ac:dyDescent="0.25">
      <c r="A318">
        <v>198</v>
      </c>
      <c r="B318" s="3">
        <v>45463.434750694498</v>
      </c>
      <c r="C318">
        <v>375</v>
      </c>
      <c r="D318" s="4">
        <f t="shared" si="12"/>
        <v>45444</v>
      </c>
      <c r="E318" s="4">
        <f t="shared" si="13"/>
        <v>45444</v>
      </c>
      <c r="F318" s="5">
        <f t="shared" si="14"/>
        <v>0</v>
      </c>
      <c r="G318" s="5">
        <f>IF(COUNTIFS(A$3:A318,A318,F$3:F318,F318)=1,1,0)</f>
        <v>1</v>
      </c>
    </row>
    <row r="319" spans="1:7" x14ac:dyDescent="0.25">
      <c r="A319">
        <v>982</v>
      </c>
      <c r="B319" s="3">
        <v>45348.033379756998</v>
      </c>
      <c r="C319">
        <v>237</v>
      </c>
      <c r="D319" s="4">
        <f t="shared" si="12"/>
        <v>45323</v>
      </c>
      <c r="E319" s="4">
        <f t="shared" si="13"/>
        <v>45323</v>
      </c>
      <c r="F319" s="5">
        <f t="shared" si="14"/>
        <v>0</v>
      </c>
      <c r="G319" s="5">
        <f>IF(COUNTIFS(A$3:A319,A319,F$3:F319,F319)=1,1,0)</f>
        <v>1</v>
      </c>
    </row>
    <row r="320" spans="1:7" x14ac:dyDescent="0.25">
      <c r="A320">
        <v>907</v>
      </c>
      <c r="B320" s="3">
        <v>45551.0697378357</v>
      </c>
      <c r="C320">
        <v>660</v>
      </c>
      <c r="D320" s="4">
        <f t="shared" si="12"/>
        <v>45536</v>
      </c>
      <c r="E320" s="4">
        <f t="shared" si="13"/>
        <v>45536</v>
      </c>
      <c r="F320" s="5">
        <f t="shared" si="14"/>
        <v>0</v>
      </c>
      <c r="G320" s="5">
        <f>IF(COUNTIFS(A$3:A320,A320,F$3:F320,F320)=1,1,0)</f>
        <v>1</v>
      </c>
    </row>
    <row r="321" spans="1:7" x14ac:dyDescent="0.25">
      <c r="A321">
        <v>511</v>
      </c>
      <c r="B321" s="3">
        <v>45595.478289363396</v>
      </c>
      <c r="C321">
        <v>445</v>
      </c>
      <c r="D321" s="4">
        <f t="shared" si="12"/>
        <v>45566</v>
      </c>
      <c r="E321" s="4">
        <f t="shared" si="13"/>
        <v>45292</v>
      </c>
      <c r="F321" s="5">
        <f t="shared" si="14"/>
        <v>9</v>
      </c>
      <c r="G321" s="5">
        <f>IF(COUNTIFS(A$3:A321,A321,F$3:F321,F321)=1,1,0)</f>
        <v>1</v>
      </c>
    </row>
    <row r="322" spans="1:7" x14ac:dyDescent="0.25">
      <c r="A322">
        <v>752</v>
      </c>
      <c r="B322" s="3">
        <v>45405.380564953703</v>
      </c>
      <c r="C322">
        <v>408</v>
      </c>
      <c r="D322" s="4">
        <f t="shared" si="12"/>
        <v>45383</v>
      </c>
      <c r="E322" s="4">
        <f t="shared" si="13"/>
        <v>45323</v>
      </c>
      <c r="F322" s="5">
        <f t="shared" si="14"/>
        <v>2</v>
      </c>
      <c r="G322" s="5">
        <f>IF(COUNTIFS(A$3:A322,A322,F$3:F322,F322)=1,1,0)</f>
        <v>1</v>
      </c>
    </row>
    <row r="323" spans="1:7" x14ac:dyDescent="0.25">
      <c r="A323">
        <v>144</v>
      </c>
      <c r="B323" s="3">
        <v>45532.934236921297</v>
      </c>
      <c r="C323">
        <v>220</v>
      </c>
      <c r="D323" s="4">
        <f t="shared" ref="D323:D386" si="15">EOMONTH(B323,-1)+1</f>
        <v>45505</v>
      </c>
      <c r="E323" s="4">
        <f t="shared" ref="E323:E386" si="16">_xlfn.MINIFS(D$3:D$1002,A$3:A$1002,A323)</f>
        <v>45352</v>
      </c>
      <c r="F323" s="5">
        <f t="shared" ref="F323:F386" si="17">DATEDIF(E323,D323,"M")</f>
        <v>5</v>
      </c>
      <c r="G323" s="5">
        <f>IF(COUNTIFS(A$3:A323,A323,F$3:F323,F323)=1,1,0)</f>
        <v>1</v>
      </c>
    </row>
    <row r="324" spans="1:7" x14ac:dyDescent="0.25">
      <c r="A324">
        <v>609</v>
      </c>
      <c r="B324" s="3">
        <v>45445.898044027803</v>
      </c>
      <c r="C324">
        <v>400</v>
      </c>
      <c r="D324" s="4">
        <f t="shared" si="15"/>
        <v>45444</v>
      </c>
      <c r="E324" s="4">
        <f t="shared" si="16"/>
        <v>45323</v>
      </c>
      <c r="F324" s="5">
        <f t="shared" si="17"/>
        <v>4</v>
      </c>
      <c r="G324" s="5">
        <f>IF(COUNTIFS(A$3:A324,A324,F$3:F324,F324)=1,1,0)</f>
        <v>1</v>
      </c>
    </row>
    <row r="325" spans="1:7" x14ac:dyDescent="0.25">
      <c r="A325">
        <v>201</v>
      </c>
      <c r="B325" s="3">
        <v>45656.101903125003</v>
      </c>
      <c r="C325">
        <v>508</v>
      </c>
      <c r="D325" s="4">
        <f t="shared" si="15"/>
        <v>45627</v>
      </c>
      <c r="E325" s="4">
        <f t="shared" si="16"/>
        <v>45292</v>
      </c>
      <c r="F325" s="5">
        <f t="shared" si="17"/>
        <v>11</v>
      </c>
      <c r="G325" s="5">
        <f>IF(COUNTIFS(A$3:A325,A325,F$3:F325,F325)=1,1,0)</f>
        <v>0</v>
      </c>
    </row>
    <row r="326" spans="1:7" x14ac:dyDescent="0.25">
      <c r="A326">
        <v>124</v>
      </c>
      <c r="B326" s="3">
        <v>45562.945141296303</v>
      </c>
      <c r="C326">
        <v>549</v>
      </c>
      <c r="D326" s="4">
        <f t="shared" si="15"/>
        <v>45536</v>
      </c>
      <c r="E326" s="4">
        <f t="shared" si="16"/>
        <v>45536</v>
      </c>
      <c r="F326" s="5">
        <f t="shared" si="17"/>
        <v>0</v>
      </c>
      <c r="G326" s="5">
        <f>IF(COUNTIFS(A$3:A326,A326,F$3:F326,F326)=1,1,0)</f>
        <v>1</v>
      </c>
    </row>
    <row r="327" spans="1:7" x14ac:dyDescent="0.25">
      <c r="A327">
        <v>187</v>
      </c>
      <c r="B327" s="3">
        <v>45421.394201157404</v>
      </c>
      <c r="C327">
        <v>572</v>
      </c>
      <c r="D327" s="4">
        <f t="shared" si="15"/>
        <v>45413</v>
      </c>
      <c r="E327" s="4">
        <f t="shared" si="16"/>
        <v>45413</v>
      </c>
      <c r="F327" s="5">
        <f t="shared" si="17"/>
        <v>0</v>
      </c>
      <c r="G327" s="5">
        <f>IF(COUNTIFS(A$3:A327,A327,F$3:F327,F327)=1,1,0)</f>
        <v>1</v>
      </c>
    </row>
    <row r="328" spans="1:7" x14ac:dyDescent="0.25">
      <c r="A328">
        <v>326</v>
      </c>
      <c r="B328" s="3">
        <v>45295.788842465299</v>
      </c>
      <c r="C328">
        <v>500</v>
      </c>
      <c r="D328" s="4">
        <f t="shared" si="15"/>
        <v>45292</v>
      </c>
      <c r="E328" s="4">
        <f t="shared" si="16"/>
        <v>45292</v>
      </c>
      <c r="F328" s="5">
        <f t="shared" si="17"/>
        <v>0</v>
      </c>
      <c r="G328" s="5">
        <f>IF(COUNTIFS(A$3:A328,A328,F$3:F328,F328)=1,1,0)</f>
        <v>1</v>
      </c>
    </row>
    <row r="329" spans="1:7" x14ac:dyDescent="0.25">
      <c r="A329">
        <v>464</v>
      </c>
      <c r="B329" s="3">
        <v>45330.279124444503</v>
      </c>
      <c r="C329">
        <v>451</v>
      </c>
      <c r="D329" s="4">
        <f t="shared" si="15"/>
        <v>45323</v>
      </c>
      <c r="E329" s="4">
        <f t="shared" si="16"/>
        <v>45323</v>
      </c>
      <c r="F329" s="5">
        <f t="shared" si="17"/>
        <v>0</v>
      </c>
      <c r="G329" s="5">
        <f>IF(COUNTIFS(A$3:A329,A329,F$3:F329,F329)=1,1,0)</f>
        <v>1</v>
      </c>
    </row>
    <row r="330" spans="1:7" x14ac:dyDescent="0.25">
      <c r="A330">
        <v>349</v>
      </c>
      <c r="B330" s="3">
        <v>45418.599198657401</v>
      </c>
      <c r="C330">
        <v>270</v>
      </c>
      <c r="D330" s="4">
        <f t="shared" si="15"/>
        <v>45413</v>
      </c>
      <c r="E330" s="4">
        <f t="shared" si="16"/>
        <v>45413</v>
      </c>
      <c r="F330" s="5">
        <f t="shared" si="17"/>
        <v>0</v>
      </c>
      <c r="G330" s="5">
        <f>IF(COUNTIFS(A$3:A330,A330,F$3:F330,F330)=1,1,0)</f>
        <v>1</v>
      </c>
    </row>
    <row r="331" spans="1:7" x14ac:dyDescent="0.25">
      <c r="A331">
        <v>771</v>
      </c>
      <c r="B331" s="3">
        <v>45524.283690717602</v>
      </c>
      <c r="C331">
        <v>782</v>
      </c>
      <c r="D331" s="4">
        <f t="shared" si="15"/>
        <v>45505</v>
      </c>
      <c r="E331" s="4">
        <f t="shared" si="16"/>
        <v>45505</v>
      </c>
      <c r="F331" s="5">
        <f t="shared" si="17"/>
        <v>0</v>
      </c>
      <c r="G331" s="5">
        <f>IF(COUNTIFS(A$3:A331,A331,F$3:F331,F331)=1,1,0)</f>
        <v>1</v>
      </c>
    </row>
    <row r="332" spans="1:7" x14ac:dyDescent="0.25">
      <c r="A332">
        <v>660</v>
      </c>
      <c r="B332" s="3">
        <v>45464.998244756898</v>
      </c>
      <c r="C332">
        <v>359</v>
      </c>
      <c r="D332" s="4">
        <f t="shared" si="15"/>
        <v>45444</v>
      </c>
      <c r="E332" s="4">
        <f t="shared" si="16"/>
        <v>45444</v>
      </c>
      <c r="F332" s="5">
        <f t="shared" si="17"/>
        <v>0</v>
      </c>
      <c r="G332" s="5">
        <f>IF(COUNTIFS(A$3:A332,A332,F$3:F332,F332)=1,1,0)</f>
        <v>1</v>
      </c>
    </row>
    <row r="333" spans="1:7" x14ac:dyDescent="0.25">
      <c r="A333">
        <v>764</v>
      </c>
      <c r="B333" s="3">
        <v>45377.904145775501</v>
      </c>
      <c r="C333">
        <v>361</v>
      </c>
      <c r="D333" s="4">
        <f t="shared" si="15"/>
        <v>45352</v>
      </c>
      <c r="E333" s="4">
        <f t="shared" si="16"/>
        <v>45352</v>
      </c>
      <c r="F333" s="5">
        <f t="shared" si="17"/>
        <v>0</v>
      </c>
      <c r="G333" s="5">
        <f>IF(COUNTIFS(A$3:A333,A333,F$3:F333,F333)=1,1,0)</f>
        <v>1</v>
      </c>
    </row>
    <row r="334" spans="1:7" x14ac:dyDescent="0.25">
      <c r="A334">
        <v>955</v>
      </c>
      <c r="B334" s="3">
        <v>45502.235467118102</v>
      </c>
      <c r="C334">
        <v>529</v>
      </c>
      <c r="D334" s="4">
        <f t="shared" si="15"/>
        <v>45474</v>
      </c>
      <c r="E334" s="4">
        <f t="shared" si="16"/>
        <v>45413</v>
      </c>
      <c r="F334" s="5">
        <f t="shared" si="17"/>
        <v>2</v>
      </c>
      <c r="G334" s="5">
        <f>IF(COUNTIFS(A$3:A334,A334,F$3:F334,F334)=1,1,0)</f>
        <v>1</v>
      </c>
    </row>
    <row r="335" spans="1:7" x14ac:dyDescent="0.25">
      <c r="A335">
        <v>932</v>
      </c>
      <c r="B335" s="3">
        <v>45625.878707986099</v>
      </c>
      <c r="C335">
        <v>329</v>
      </c>
      <c r="D335" s="4">
        <f t="shared" si="15"/>
        <v>45597</v>
      </c>
      <c r="E335" s="4">
        <f t="shared" si="16"/>
        <v>45413</v>
      </c>
      <c r="F335" s="5">
        <f t="shared" si="17"/>
        <v>6</v>
      </c>
      <c r="G335" s="5">
        <f>IF(COUNTIFS(A$3:A335,A335,F$3:F335,F335)=1,1,0)</f>
        <v>1</v>
      </c>
    </row>
    <row r="336" spans="1:7" x14ac:dyDescent="0.25">
      <c r="A336">
        <v>403</v>
      </c>
      <c r="B336" s="3">
        <v>45340.618622511603</v>
      </c>
      <c r="C336">
        <v>147</v>
      </c>
      <c r="D336" s="4">
        <f t="shared" si="15"/>
        <v>45323</v>
      </c>
      <c r="E336" s="4">
        <f t="shared" si="16"/>
        <v>45323</v>
      </c>
      <c r="F336" s="5">
        <f t="shared" si="17"/>
        <v>0</v>
      </c>
      <c r="G336" s="5">
        <f>IF(COUNTIFS(A$3:A336,A336,F$3:F336,F336)=1,1,0)</f>
        <v>1</v>
      </c>
    </row>
    <row r="337" spans="1:7" x14ac:dyDescent="0.25">
      <c r="A337">
        <v>346</v>
      </c>
      <c r="B337" s="3">
        <v>45322.260975648198</v>
      </c>
      <c r="C337">
        <v>559</v>
      </c>
      <c r="D337" s="4">
        <f t="shared" si="15"/>
        <v>45292</v>
      </c>
      <c r="E337" s="4">
        <f t="shared" si="16"/>
        <v>45292</v>
      </c>
      <c r="F337" s="5">
        <f t="shared" si="17"/>
        <v>0</v>
      </c>
      <c r="G337" s="5">
        <f>IF(COUNTIFS(A$3:A337,A337,F$3:F337,F337)=1,1,0)</f>
        <v>1</v>
      </c>
    </row>
    <row r="338" spans="1:7" x14ac:dyDescent="0.25">
      <c r="A338">
        <v>963</v>
      </c>
      <c r="B338" s="3">
        <v>45441.2709890857</v>
      </c>
      <c r="C338">
        <v>632</v>
      </c>
      <c r="D338" s="4">
        <f t="shared" si="15"/>
        <v>45413</v>
      </c>
      <c r="E338" s="4">
        <f t="shared" si="16"/>
        <v>45413</v>
      </c>
      <c r="F338" s="5">
        <f t="shared" si="17"/>
        <v>0</v>
      </c>
      <c r="G338" s="5">
        <f>IF(COUNTIFS(A$3:A338,A338,F$3:F338,F338)=1,1,0)</f>
        <v>1</v>
      </c>
    </row>
    <row r="339" spans="1:7" x14ac:dyDescent="0.25">
      <c r="A339">
        <v>511</v>
      </c>
      <c r="B339" s="3">
        <v>45316.848977754598</v>
      </c>
      <c r="C339">
        <v>377</v>
      </c>
      <c r="D339" s="4">
        <f t="shared" si="15"/>
        <v>45292</v>
      </c>
      <c r="E339" s="4">
        <f t="shared" si="16"/>
        <v>45292</v>
      </c>
      <c r="F339" s="5">
        <f t="shared" si="17"/>
        <v>0</v>
      </c>
      <c r="G339" s="5">
        <f>IF(COUNTIFS(A$3:A339,A339,F$3:F339,F339)=1,1,0)</f>
        <v>1</v>
      </c>
    </row>
    <row r="340" spans="1:7" x14ac:dyDescent="0.25">
      <c r="A340">
        <v>147</v>
      </c>
      <c r="B340" s="3">
        <v>45330.213990520802</v>
      </c>
      <c r="C340">
        <v>229</v>
      </c>
      <c r="D340" s="4">
        <f t="shared" si="15"/>
        <v>45323</v>
      </c>
      <c r="E340" s="4">
        <f t="shared" si="16"/>
        <v>45323</v>
      </c>
      <c r="F340" s="5">
        <f t="shared" si="17"/>
        <v>0</v>
      </c>
      <c r="G340" s="5">
        <f>IF(COUNTIFS(A$3:A340,A340,F$3:F340,F340)=1,1,0)</f>
        <v>1</v>
      </c>
    </row>
    <row r="341" spans="1:7" x14ac:dyDescent="0.25">
      <c r="A341">
        <v>148</v>
      </c>
      <c r="B341" s="3">
        <v>45565.9619769907</v>
      </c>
      <c r="C341">
        <v>346</v>
      </c>
      <c r="D341" s="4">
        <f t="shared" si="15"/>
        <v>45536</v>
      </c>
      <c r="E341" s="4">
        <f t="shared" si="16"/>
        <v>45536</v>
      </c>
      <c r="F341" s="5">
        <f t="shared" si="17"/>
        <v>0</v>
      </c>
      <c r="G341" s="5">
        <f>IF(COUNTIFS(A$3:A341,A341,F$3:F341,F341)=1,1,0)</f>
        <v>1</v>
      </c>
    </row>
    <row r="342" spans="1:7" x14ac:dyDescent="0.25">
      <c r="A342">
        <v>864</v>
      </c>
      <c r="B342" s="3">
        <v>45617.412508842601</v>
      </c>
      <c r="C342">
        <v>232</v>
      </c>
      <c r="D342" s="4">
        <f t="shared" si="15"/>
        <v>45597</v>
      </c>
      <c r="E342" s="4">
        <f t="shared" si="16"/>
        <v>45323</v>
      </c>
      <c r="F342" s="5">
        <f t="shared" si="17"/>
        <v>9</v>
      </c>
      <c r="G342" s="5">
        <f>IF(COUNTIFS(A$3:A342,A342,F$3:F342,F342)=1,1,0)</f>
        <v>1</v>
      </c>
    </row>
    <row r="343" spans="1:7" x14ac:dyDescent="0.25">
      <c r="A343">
        <v>711</v>
      </c>
      <c r="B343" s="3">
        <v>45474.546790243097</v>
      </c>
      <c r="C343">
        <v>657</v>
      </c>
      <c r="D343" s="4">
        <f t="shared" si="15"/>
        <v>45474</v>
      </c>
      <c r="E343" s="4">
        <f t="shared" si="16"/>
        <v>45474</v>
      </c>
      <c r="F343" s="5">
        <f t="shared" si="17"/>
        <v>0</v>
      </c>
      <c r="G343" s="5">
        <f>IF(COUNTIFS(A$3:A343,A343,F$3:F343,F343)=1,1,0)</f>
        <v>1</v>
      </c>
    </row>
    <row r="344" spans="1:7" x14ac:dyDescent="0.25">
      <c r="A344">
        <v>820</v>
      </c>
      <c r="B344" s="3">
        <v>45535.732341296301</v>
      </c>
      <c r="C344">
        <v>777</v>
      </c>
      <c r="D344" s="4">
        <f t="shared" si="15"/>
        <v>45505</v>
      </c>
      <c r="E344" s="4">
        <f t="shared" si="16"/>
        <v>45505</v>
      </c>
      <c r="F344" s="5">
        <f t="shared" si="17"/>
        <v>0</v>
      </c>
      <c r="G344" s="5">
        <f>IF(COUNTIFS(A$3:A344,A344,F$3:F344,F344)=1,1,0)</f>
        <v>1</v>
      </c>
    </row>
    <row r="345" spans="1:7" x14ac:dyDescent="0.25">
      <c r="A345">
        <v>489</v>
      </c>
      <c r="B345" s="3">
        <v>45507.704573796298</v>
      </c>
      <c r="C345">
        <v>369</v>
      </c>
      <c r="D345" s="4">
        <f t="shared" si="15"/>
        <v>45505</v>
      </c>
      <c r="E345" s="4">
        <f t="shared" si="16"/>
        <v>45505</v>
      </c>
      <c r="F345" s="5">
        <f t="shared" si="17"/>
        <v>0</v>
      </c>
      <c r="G345" s="5">
        <f>IF(COUNTIFS(A$3:A345,A345,F$3:F345,F345)=1,1,0)</f>
        <v>1</v>
      </c>
    </row>
    <row r="346" spans="1:7" x14ac:dyDescent="0.25">
      <c r="A346">
        <v>929</v>
      </c>
      <c r="B346" s="3">
        <v>45612.827480544001</v>
      </c>
      <c r="C346">
        <v>930</v>
      </c>
      <c r="D346" s="4">
        <f t="shared" si="15"/>
        <v>45597</v>
      </c>
      <c r="E346" s="4">
        <f t="shared" si="16"/>
        <v>45474</v>
      </c>
      <c r="F346" s="5">
        <f t="shared" si="17"/>
        <v>4</v>
      </c>
      <c r="G346" s="5">
        <f>IF(COUNTIFS(A$3:A346,A346,F$3:F346,F346)=1,1,0)</f>
        <v>1</v>
      </c>
    </row>
    <row r="347" spans="1:7" x14ac:dyDescent="0.25">
      <c r="A347">
        <v>936</v>
      </c>
      <c r="B347" s="3">
        <v>45311.979646550899</v>
      </c>
      <c r="C347">
        <v>338</v>
      </c>
      <c r="D347" s="4">
        <f t="shared" si="15"/>
        <v>45292</v>
      </c>
      <c r="E347" s="4">
        <f t="shared" si="16"/>
        <v>45292</v>
      </c>
      <c r="F347" s="5">
        <f t="shared" si="17"/>
        <v>0</v>
      </c>
      <c r="G347" s="5">
        <f>IF(COUNTIFS(A$3:A347,A347,F$3:F347,F347)=1,1,0)</f>
        <v>1</v>
      </c>
    </row>
    <row r="348" spans="1:7" x14ac:dyDescent="0.25">
      <c r="A348">
        <v>640</v>
      </c>
      <c r="B348" s="3">
        <v>45513.469920254603</v>
      </c>
      <c r="C348">
        <v>971</v>
      </c>
      <c r="D348" s="4">
        <f t="shared" si="15"/>
        <v>45505</v>
      </c>
      <c r="E348" s="4">
        <f t="shared" si="16"/>
        <v>45505</v>
      </c>
      <c r="F348" s="5">
        <f t="shared" si="17"/>
        <v>0</v>
      </c>
      <c r="G348" s="5">
        <f>IF(COUNTIFS(A$3:A348,A348,F$3:F348,F348)=1,1,0)</f>
        <v>1</v>
      </c>
    </row>
    <row r="349" spans="1:7" x14ac:dyDescent="0.25">
      <c r="A349">
        <v>551</v>
      </c>
      <c r="B349" s="3">
        <v>45296.372283460703</v>
      </c>
      <c r="C349">
        <v>472</v>
      </c>
      <c r="D349" s="4">
        <f t="shared" si="15"/>
        <v>45292</v>
      </c>
      <c r="E349" s="4">
        <f t="shared" si="16"/>
        <v>45292</v>
      </c>
      <c r="F349" s="5">
        <f t="shared" si="17"/>
        <v>0</v>
      </c>
      <c r="G349" s="5">
        <f>IF(COUNTIFS(A$3:A349,A349,F$3:F349,F349)=1,1,0)</f>
        <v>1</v>
      </c>
    </row>
    <row r="350" spans="1:7" x14ac:dyDescent="0.25">
      <c r="A350">
        <v>338</v>
      </c>
      <c r="B350" s="3">
        <v>45635.939878738398</v>
      </c>
      <c r="C350">
        <v>955</v>
      </c>
      <c r="D350" s="4">
        <f t="shared" si="15"/>
        <v>45627</v>
      </c>
      <c r="E350" s="4">
        <f t="shared" si="16"/>
        <v>45292</v>
      </c>
      <c r="F350" s="5">
        <f t="shared" si="17"/>
        <v>11</v>
      </c>
      <c r="G350" s="5">
        <f>IF(COUNTIFS(A$3:A350,A350,F$3:F350,F350)=1,1,0)</f>
        <v>1</v>
      </c>
    </row>
    <row r="351" spans="1:7" x14ac:dyDescent="0.25">
      <c r="A351">
        <v>872</v>
      </c>
      <c r="B351" s="3">
        <v>45459.8473896875</v>
      </c>
      <c r="C351">
        <v>972</v>
      </c>
      <c r="D351" s="4">
        <f t="shared" si="15"/>
        <v>45444</v>
      </c>
      <c r="E351" s="4">
        <f t="shared" si="16"/>
        <v>45444</v>
      </c>
      <c r="F351" s="5">
        <f t="shared" si="17"/>
        <v>0</v>
      </c>
      <c r="G351" s="5">
        <f>IF(COUNTIFS(A$3:A351,A351,F$3:F351,F351)=1,1,0)</f>
        <v>0</v>
      </c>
    </row>
    <row r="352" spans="1:7" x14ac:dyDescent="0.25">
      <c r="A352">
        <v>641</v>
      </c>
      <c r="B352" s="3">
        <v>45388.332439594902</v>
      </c>
      <c r="C352">
        <v>570</v>
      </c>
      <c r="D352" s="4">
        <f t="shared" si="15"/>
        <v>45383</v>
      </c>
      <c r="E352" s="4">
        <f t="shared" si="16"/>
        <v>45383</v>
      </c>
      <c r="F352" s="5">
        <f t="shared" si="17"/>
        <v>0</v>
      </c>
      <c r="G352" s="5">
        <f>IF(COUNTIFS(A$3:A352,A352,F$3:F352,F352)=1,1,0)</f>
        <v>1</v>
      </c>
    </row>
    <row r="353" spans="1:7" x14ac:dyDescent="0.25">
      <c r="A353">
        <v>779</v>
      </c>
      <c r="B353" s="3">
        <v>45395.658828425898</v>
      </c>
      <c r="C353">
        <v>813</v>
      </c>
      <c r="D353" s="4">
        <f t="shared" si="15"/>
        <v>45383</v>
      </c>
      <c r="E353" s="4">
        <f t="shared" si="16"/>
        <v>45383</v>
      </c>
      <c r="F353" s="5">
        <f t="shared" si="17"/>
        <v>0</v>
      </c>
      <c r="G353" s="5">
        <f>IF(COUNTIFS(A$3:A353,A353,F$3:F353,F353)=1,1,0)</f>
        <v>1</v>
      </c>
    </row>
    <row r="354" spans="1:7" x14ac:dyDescent="0.25">
      <c r="A354">
        <v>988</v>
      </c>
      <c r="B354" s="3">
        <v>45527.288068842601</v>
      </c>
      <c r="C354">
        <v>391</v>
      </c>
      <c r="D354" s="4">
        <f t="shared" si="15"/>
        <v>45505</v>
      </c>
      <c r="E354" s="4">
        <f t="shared" si="16"/>
        <v>45474</v>
      </c>
      <c r="F354" s="5">
        <f t="shared" si="17"/>
        <v>1</v>
      </c>
      <c r="G354" s="5">
        <f>IF(COUNTIFS(A$3:A354,A354,F$3:F354,F354)=1,1,0)</f>
        <v>1</v>
      </c>
    </row>
    <row r="355" spans="1:7" x14ac:dyDescent="0.25">
      <c r="A355">
        <v>953</v>
      </c>
      <c r="B355" s="3">
        <v>45550.024424143499</v>
      </c>
      <c r="C355">
        <v>845</v>
      </c>
      <c r="D355" s="4">
        <f t="shared" si="15"/>
        <v>45536</v>
      </c>
      <c r="E355" s="4">
        <f t="shared" si="16"/>
        <v>45323</v>
      </c>
      <c r="F355" s="5">
        <f t="shared" si="17"/>
        <v>7</v>
      </c>
      <c r="G355" s="5">
        <f>IF(COUNTIFS(A$3:A355,A355,F$3:F355,F355)=1,1,0)</f>
        <v>1</v>
      </c>
    </row>
    <row r="356" spans="1:7" x14ac:dyDescent="0.25">
      <c r="A356">
        <v>473</v>
      </c>
      <c r="B356" s="3">
        <v>45562.282160844901</v>
      </c>
      <c r="C356">
        <v>599</v>
      </c>
      <c r="D356" s="4">
        <f t="shared" si="15"/>
        <v>45536</v>
      </c>
      <c r="E356" s="4">
        <f t="shared" si="16"/>
        <v>45413</v>
      </c>
      <c r="F356" s="5">
        <f t="shared" si="17"/>
        <v>4</v>
      </c>
      <c r="G356" s="5">
        <f>IF(COUNTIFS(A$3:A356,A356,F$3:F356,F356)=1,1,0)</f>
        <v>1</v>
      </c>
    </row>
    <row r="357" spans="1:7" x14ac:dyDescent="0.25">
      <c r="A357">
        <v>946</v>
      </c>
      <c r="B357" s="3">
        <v>45415.757189050899</v>
      </c>
      <c r="C357">
        <v>626</v>
      </c>
      <c r="D357" s="4">
        <f t="shared" si="15"/>
        <v>45413</v>
      </c>
      <c r="E357" s="4">
        <f t="shared" si="16"/>
        <v>45323</v>
      </c>
      <c r="F357" s="5">
        <f t="shared" si="17"/>
        <v>3</v>
      </c>
      <c r="G357" s="5">
        <f>IF(COUNTIFS(A$3:A357,A357,F$3:F357,F357)=1,1,0)</f>
        <v>1</v>
      </c>
    </row>
    <row r="358" spans="1:7" x14ac:dyDescent="0.25">
      <c r="A358">
        <v>151</v>
      </c>
      <c r="B358" s="3">
        <v>45611.617707338002</v>
      </c>
      <c r="C358">
        <v>178</v>
      </c>
      <c r="D358" s="4">
        <f t="shared" si="15"/>
        <v>45597</v>
      </c>
      <c r="E358" s="4">
        <f t="shared" si="16"/>
        <v>45566</v>
      </c>
      <c r="F358" s="5">
        <f t="shared" si="17"/>
        <v>1</v>
      </c>
      <c r="G358" s="5">
        <f>IF(COUNTIFS(A$3:A358,A358,F$3:F358,F358)=1,1,0)</f>
        <v>1</v>
      </c>
    </row>
    <row r="359" spans="1:7" x14ac:dyDescent="0.25">
      <c r="A359">
        <v>415</v>
      </c>
      <c r="B359" s="3">
        <v>45545.574271365702</v>
      </c>
      <c r="C359">
        <v>226</v>
      </c>
      <c r="D359" s="4">
        <f t="shared" si="15"/>
        <v>45536</v>
      </c>
      <c r="E359" s="4">
        <f t="shared" si="16"/>
        <v>45292</v>
      </c>
      <c r="F359" s="5">
        <f t="shared" si="17"/>
        <v>8</v>
      </c>
      <c r="G359" s="5">
        <f>IF(COUNTIFS(A$3:A359,A359,F$3:F359,F359)=1,1,0)</f>
        <v>1</v>
      </c>
    </row>
    <row r="360" spans="1:7" x14ac:dyDescent="0.25">
      <c r="A360">
        <v>990</v>
      </c>
      <c r="B360" s="3">
        <v>45599.7244206713</v>
      </c>
      <c r="C360">
        <v>387</v>
      </c>
      <c r="D360" s="4">
        <f t="shared" si="15"/>
        <v>45597</v>
      </c>
      <c r="E360" s="4">
        <f t="shared" si="16"/>
        <v>45597</v>
      </c>
      <c r="F360" s="5">
        <f t="shared" si="17"/>
        <v>0</v>
      </c>
      <c r="G360" s="5">
        <f>IF(COUNTIFS(A$3:A360,A360,F$3:F360,F360)=1,1,0)</f>
        <v>1</v>
      </c>
    </row>
    <row r="361" spans="1:7" x14ac:dyDescent="0.25">
      <c r="A361">
        <v>298</v>
      </c>
      <c r="B361" s="3">
        <v>45565.386279004597</v>
      </c>
      <c r="C361">
        <v>128</v>
      </c>
      <c r="D361" s="4">
        <f t="shared" si="15"/>
        <v>45536</v>
      </c>
      <c r="E361" s="4">
        <f t="shared" si="16"/>
        <v>45536</v>
      </c>
      <c r="F361" s="5">
        <f t="shared" si="17"/>
        <v>0</v>
      </c>
      <c r="G361" s="5">
        <f>IF(COUNTIFS(A$3:A361,A361,F$3:F361,F361)=1,1,0)</f>
        <v>1</v>
      </c>
    </row>
    <row r="362" spans="1:7" x14ac:dyDescent="0.25">
      <c r="A362">
        <v>611</v>
      </c>
      <c r="B362" s="3">
        <v>45527.510156446799</v>
      </c>
      <c r="C362">
        <v>199</v>
      </c>
      <c r="D362" s="4">
        <f t="shared" si="15"/>
        <v>45505</v>
      </c>
      <c r="E362" s="4">
        <f t="shared" si="16"/>
        <v>45505</v>
      </c>
      <c r="F362" s="5">
        <f t="shared" si="17"/>
        <v>0</v>
      </c>
      <c r="G362" s="5">
        <f>IF(COUNTIFS(A$3:A362,A362,F$3:F362,F362)=1,1,0)</f>
        <v>1</v>
      </c>
    </row>
    <row r="363" spans="1:7" x14ac:dyDescent="0.25">
      <c r="A363">
        <v>263</v>
      </c>
      <c r="B363" s="3">
        <v>45296.478570740699</v>
      </c>
      <c r="C363">
        <v>776</v>
      </c>
      <c r="D363" s="4">
        <f t="shared" si="15"/>
        <v>45292</v>
      </c>
      <c r="E363" s="4">
        <f t="shared" si="16"/>
        <v>45292</v>
      </c>
      <c r="F363" s="5">
        <f t="shared" si="17"/>
        <v>0</v>
      </c>
      <c r="G363" s="5">
        <f>IF(COUNTIFS(A$3:A363,A363,F$3:F363,F363)=1,1,0)</f>
        <v>1</v>
      </c>
    </row>
    <row r="364" spans="1:7" x14ac:dyDescent="0.25">
      <c r="A364">
        <v>764</v>
      </c>
      <c r="B364" s="3">
        <v>45511.297808020798</v>
      </c>
      <c r="C364">
        <v>379</v>
      </c>
      <c r="D364" s="4">
        <f t="shared" si="15"/>
        <v>45505</v>
      </c>
      <c r="E364" s="4">
        <f t="shared" si="16"/>
        <v>45352</v>
      </c>
      <c r="F364" s="5">
        <f t="shared" si="17"/>
        <v>5</v>
      </c>
      <c r="G364" s="5">
        <f>IF(COUNTIFS(A$3:A364,A364,F$3:F364,F364)=1,1,0)</f>
        <v>1</v>
      </c>
    </row>
    <row r="365" spans="1:7" x14ac:dyDescent="0.25">
      <c r="A365">
        <v>144</v>
      </c>
      <c r="B365" s="3">
        <v>45587.784082036997</v>
      </c>
      <c r="C365">
        <v>787</v>
      </c>
      <c r="D365" s="4">
        <f t="shared" si="15"/>
        <v>45566</v>
      </c>
      <c r="E365" s="4">
        <f t="shared" si="16"/>
        <v>45352</v>
      </c>
      <c r="F365" s="5">
        <f t="shared" si="17"/>
        <v>7</v>
      </c>
      <c r="G365" s="5">
        <f>IF(COUNTIFS(A$3:A365,A365,F$3:F365,F365)=1,1,0)</f>
        <v>1</v>
      </c>
    </row>
    <row r="366" spans="1:7" x14ac:dyDescent="0.25">
      <c r="A366">
        <v>346</v>
      </c>
      <c r="B366" s="3">
        <v>45502.2872912616</v>
      </c>
      <c r="C366">
        <v>158</v>
      </c>
      <c r="D366" s="4">
        <f t="shared" si="15"/>
        <v>45474</v>
      </c>
      <c r="E366" s="4">
        <f t="shared" si="16"/>
        <v>45292</v>
      </c>
      <c r="F366" s="5">
        <f t="shared" si="17"/>
        <v>6</v>
      </c>
      <c r="G366" s="5">
        <f>IF(COUNTIFS(A$3:A366,A366,F$3:F366,F366)=1,1,0)</f>
        <v>1</v>
      </c>
    </row>
    <row r="367" spans="1:7" x14ac:dyDescent="0.25">
      <c r="A367">
        <v>624</v>
      </c>
      <c r="B367" s="3">
        <v>45526.690421990701</v>
      </c>
      <c r="C367">
        <v>685</v>
      </c>
      <c r="D367" s="4">
        <f t="shared" si="15"/>
        <v>45505</v>
      </c>
      <c r="E367" s="4">
        <f t="shared" si="16"/>
        <v>45505</v>
      </c>
      <c r="F367" s="5">
        <f t="shared" si="17"/>
        <v>0</v>
      </c>
      <c r="G367" s="5">
        <f>IF(COUNTIFS(A$3:A367,A367,F$3:F367,F367)=1,1,0)</f>
        <v>1</v>
      </c>
    </row>
    <row r="368" spans="1:7" x14ac:dyDescent="0.25">
      <c r="A368">
        <v>572</v>
      </c>
      <c r="B368" s="3">
        <v>45424.070627060202</v>
      </c>
      <c r="C368">
        <v>661</v>
      </c>
      <c r="D368" s="4">
        <f t="shared" si="15"/>
        <v>45413</v>
      </c>
      <c r="E368" s="4">
        <f t="shared" si="16"/>
        <v>45413</v>
      </c>
      <c r="F368" s="5">
        <f t="shared" si="17"/>
        <v>0</v>
      </c>
      <c r="G368" s="5">
        <f>IF(COUNTIFS(A$3:A368,A368,F$3:F368,F368)=1,1,0)</f>
        <v>1</v>
      </c>
    </row>
    <row r="369" spans="1:7" x14ac:dyDescent="0.25">
      <c r="A369">
        <v>881</v>
      </c>
      <c r="B369" s="3">
        <v>45434.133810185202</v>
      </c>
      <c r="C369">
        <v>868</v>
      </c>
      <c r="D369" s="4">
        <f t="shared" si="15"/>
        <v>45413</v>
      </c>
      <c r="E369" s="4">
        <f t="shared" si="16"/>
        <v>45413</v>
      </c>
      <c r="F369" s="5">
        <f t="shared" si="17"/>
        <v>0</v>
      </c>
      <c r="G369" s="5">
        <f>IF(COUNTIFS(A$3:A369,A369,F$3:F369,F369)=1,1,0)</f>
        <v>1</v>
      </c>
    </row>
    <row r="370" spans="1:7" x14ac:dyDescent="0.25">
      <c r="A370">
        <v>2</v>
      </c>
      <c r="B370" s="3">
        <v>45308.052351689803</v>
      </c>
      <c r="C370">
        <v>497</v>
      </c>
      <c r="D370" s="4">
        <f t="shared" si="15"/>
        <v>45292</v>
      </c>
      <c r="E370" s="4">
        <f t="shared" si="16"/>
        <v>45292</v>
      </c>
      <c r="F370" s="5">
        <f t="shared" si="17"/>
        <v>0</v>
      </c>
      <c r="G370" s="5">
        <f>IF(COUNTIFS(A$3:A370,A370,F$3:F370,F370)=1,1,0)</f>
        <v>1</v>
      </c>
    </row>
    <row r="371" spans="1:7" x14ac:dyDescent="0.25">
      <c r="A371">
        <v>897</v>
      </c>
      <c r="B371" s="3">
        <v>45438.079276631899</v>
      </c>
      <c r="C371">
        <v>779</v>
      </c>
      <c r="D371" s="4">
        <f t="shared" si="15"/>
        <v>45413</v>
      </c>
      <c r="E371" s="4">
        <f t="shared" si="16"/>
        <v>45323</v>
      </c>
      <c r="F371" s="5">
        <f t="shared" si="17"/>
        <v>3</v>
      </c>
      <c r="G371" s="5">
        <f>IF(COUNTIFS(A$3:A371,A371,F$3:F371,F371)=1,1,0)</f>
        <v>1</v>
      </c>
    </row>
    <row r="372" spans="1:7" x14ac:dyDescent="0.25">
      <c r="A372">
        <v>304</v>
      </c>
      <c r="B372" s="3">
        <v>45493.945108136599</v>
      </c>
      <c r="C372">
        <v>383</v>
      </c>
      <c r="D372" s="4">
        <f t="shared" si="15"/>
        <v>45474</v>
      </c>
      <c r="E372" s="4">
        <f t="shared" si="16"/>
        <v>45474</v>
      </c>
      <c r="F372" s="5">
        <f t="shared" si="17"/>
        <v>0</v>
      </c>
      <c r="G372" s="5">
        <f>IF(COUNTIFS(A$3:A372,A372,F$3:F372,F372)=1,1,0)</f>
        <v>1</v>
      </c>
    </row>
    <row r="373" spans="1:7" x14ac:dyDescent="0.25">
      <c r="A373">
        <v>254</v>
      </c>
      <c r="B373" s="3">
        <v>45297.803133738402</v>
      </c>
      <c r="C373">
        <v>790</v>
      </c>
      <c r="D373" s="4">
        <f t="shared" si="15"/>
        <v>45292</v>
      </c>
      <c r="E373" s="4">
        <f t="shared" si="16"/>
        <v>45292</v>
      </c>
      <c r="F373" s="5">
        <f t="shared" si="17"/>
        <v>0</v>
      </c>
      <c r="G373" s="5">
        <f>IF(COUNTIFS(A$3:A373,A373,F$3:F373,F373)=1,1,0)</f>
        <v>1</v>
      </c>
    </row>
    <row r="374" spans="1:7" x14ac:dyDescent="0.25">
      <c r="A374">
        <v>652</v>
      </c>
      <c r="B374" s="3">
        <v>45355.956532013901</v>
      </c>
      <c r="C374">
        <v>702</v>
      </c>
      <c r="D374" s="4">
        <f t="shared" si="15"/>
        <v>45352</v>
      </c>
      <c r="E374" s="4">
        <f t="shared" si="16"/>
        <v>45352</v>
      </c>
      <c r="F374" s="5">
        <f t="shared" si="17"/>
        <v>0</v>
      </c>
      <c r="G374" s="5">
        <f>IF(COUNTIFS(A$3:A374,A374,F$3:F374,F374)=1,1,0)</f>
        <v>1</v>
      </c>
    </row>
    <row r="375" spans="1:7" x14ac:dyDescent="0.25">
      <c r="A375">
        <v>453</v>
      </c>
      <c r="B375" s="3">
        <v>45467.703467476902</v>
      </c>
      <c r="C375">
        <v>169</v>
      </c>
      <c r="D375" s="4">
        <f t="shared" si="15"/>
        <v>45444</v>
      </c>
      <c r="E375" s="4">
        <f t="shared" si="16"/>
        <v>45444</v>
      </c>
      <c r="F375" s="5">
        <f t="shared" si="17"/>
        <v>0</v>
      </c>
      <c r="G375" s="5">
        <f>IF(COUNTIFS(A$3:A375,A375,F$3:F375,F375)=1,1,0)</f>
        <v>1</v>
      </c>
    </row>
    <row r="376" spans="1:7" x14ac:dyDescent="0.25">
      <c r="A376">
        <v>37</v>
      </c>
      <c r="B376" s="3">
        <v>45465.482220717597</v>
      </c>
      <c r="C376">
        <v>360</v>
      </c>
      <c r="D376" s="4">
        <f t="shared" si="15"/>
        <v>45444</v>
      </c>
      <c r="E376" s="4">
        <f t="shared" si="16"/>
        <v>45352</v>
      </c>
      <c r="F376" s="5">
        <f t="shared" si="17"/>
        <v>3</v>
      </c>
      <c r="G376" s="5">
        <f>IF(COUNTIFS(A$3:A376,A376,F$3:F376,F376)=1,1,0)</f>
        <v>1</v>
      </c>
    </row>
    <row r="377" spans="1:7" x14ac:dyDescent="0.25">
      <c r="A377">
        <v>160</v>
      </c>
      <c r="B377" s="3">
        <v>45342.452420578702</v>
      </c>
      <c r="C377">
        <v>921</v>
      </c>
      <c r="D377" s="4">
        <f t="shared" si="15"/>
        <v>45323</v>
      </c>
      <c r="E377" s="4">
        <f t="shared" si="16"/>
        <v>45323</v>
      </c>
      <c r="F377" s="5">
        <f t="shared" si="17"/>
        <v>0</v>
      </c>
      <c r="G377" s="5">
        <f>IF(COUNTIFS(A$3:A377,A377,F$3:F377,F377)=1,1,0)</f>
        <v>1</v>
      </c>
    </row>
    <row r="378" spans="1:7" x14ac:dyDescent="0.25">
      <c r="A378">
        <v>9</v>
      </c>
      <c r="B378" s="3">
        <v>45412.326929618102</v>
      </c>
      <c r="C378">
        <v>297</v>
      </c>
      <c r="D378" s="4">
        <f t="shared" si="15"/>
        <v>45383</v>
      </c>
      <c r="E378" s="4">
        <f t="shared" si="16"/>
        <v>45383</v>
      </c>
      <c r="F378" s="5">
        <f t="shared" si="17"/>
        <v>0</v>
      </c>
      <c r="G378" s="5">
        <f>IF(COUNTIFS(A$3:A378,A378,F$3:F378,F378)=1,1,0)</f>
        <v>1</v>
      </c>
    </row>
    <row r="379" spans="1:7" x14ac:dyDescent="0.25">
      <c r="A379">
        <v>233</v>
      </c>
      <c r="B379" s="3">
        <v>45365.572963669001</v>
      </c>
      <c r="C379">
        <v>297</v>
      </c>
      <c r="D379" s="4">
        <f t="shared" si="15"/>
        <v>45352</v>
      </c>
      <c r="E379" s="4">
        <f t="shared" si="16"/>
        <v>45352</v>
      </c>
      <c r="F379" s="5">
        <f t="shared" si="17"/>
        <v>0</v>
      </c>
      <c r="G379" s="5">
        <f>IF(COUNTIFS(A$3:A379,A379,F$3:F379,F379)=1,1,0)</f>
        <v>1</v>
      </c>
    </row>
    <row r="380" spans="1:7" x14ac:dyDescent="0.25">
      <c r="A380">
        <v>99</v>
      </c>
      <c r="B380" s="3">
        <v>45423.8859717245</v>
      </c>
      <c r="C380">
        <v>901</v>
      </c>
      <c r="D380" s="4">
        <f t="shared" si="15"/>
        <v>45413</v>
      </c>
      <c r="E380" s="4">
        <f t="shared" si="16"/>
        <v>45323</v>
      </c>
      <c r="F380" s="5">
        <f t="shared" si="17"/>
        <v>3</v>
      </c>
      <c r="G380" s="5">
        <f>IF(COUNTIFS(A$3:A380,A380,F$3:F380,F380)=1,1,0)</f>
        <v>1</v>
      </c>
    </row>
    <row r="381" spans="1:7" x14ac:dyDescent="0.25">
      <c r="A381">
        <v>659</v>
      </c>
      <c r="B381" s="3">
        <v>45600.220394502299</v>
      </c>
      <c r="C381">
        <v>235</v>
      </c>
      <c r="D381" s="4">
        <f t="shared" si="15"/>
        <v>45597</v>
      </c>
      <c r="E381" s="4">
        <f t="shared" si="16"/>
        <v>45444</v>
      </c>
      <c r="F381" s="5">
        <f t="shared" si="17"/>
        <v>5</v>
      </c>
      <c r="G381" s="5">
        <f>IF(COUNTIFS(A$3:A381,A381,F$3:F381,F381)=1,1,0)</f>
        <v>1</v>
      </c>
    </row>
    <row r="382" spans="1:7" x14ac:dyDescent="0.25">
      <c r="A382">
        <v>816</v>
      </c>
      <c r="B382" s="3">
        <v>45511.859002928199</v>
      </c>
      <c r="C382">
        <v>532</v>
      </c>
      <c r="D382" s="4">
        <f t="shared" si="15"/>
        <v>45505</v>
      </c>
      <c r="E382" s="4">
        <f t="shared" si="16"/>
        <v>45444</v>
      </c>
      <c r="F382" s="5">
        <f t="shared" si="17"/>
        <v>2</v>
      </c>
      <c r="G382" s="5">
        <f>IF(COUNTIFS(A$3:A382,A382,F$3:F382,F382)=1,1,0)</f>
        <v>1</v>
      </c>
    </row>
    <row r="383" spans="1:7" x14ac:dyDescent="0.25">
      <c r="A383">
        <v>208</v>
      </c>
      <c r="B383" s="3">
        <v>45637.194163055603</v>
      </c>
      <c r="C383">
        <v>531</v>
      </c>
      <c r="D383" s="4">
        <f t="shared" si="15"/>
        <v>45627</v>
      </c>
      <c r="E383" s="4">
        <f t="shared" si="16"/>
        <v>45627</v>
      </c>
      <c r="F383" s="5">
        <f t="shared" si="17"/>
        <v>0</v>
      </c>
      <c r="G383" s="5">
        <f>IF(COUNTIFS(A$3:A383,A383,F$3:F383,F383)=1,1,0)</f>
        <v>1</v>
      </c>
    </row>
    <row r="384" spans="1:7" x14ac:dyDescent="0.25">
      <c r="A384">
        <v>131</v>
      </c>
      <c r="B384" s="3">
        <v>45578.7681116319</v>
      </c>
      <c r="C384">
        <v>792</v>
      </c>
      <c r="D384" s="4">
        <f t="shared" si="15"/>
        <v>45566</v>
      </c>
      <c r="E384" s="4">
        <f t="shared" si="16"/>
        <v>45413</v>
      </c>
      <c r="F384" s="5">
        <f t="shared" si="17"/>
        <v>5</v>
      </c>
      <c r="G384" s="5">
        <f>IF(COUNTIFS(A$3:A384,A384,F$3:F384,F384)=1,1,0)</f>
        <v>0</v>
      </c>
    </row>
    <row r="385" spans="1:7" x14ac:dyDescent="0.25">
      <c r="A385">
        <v>404</v>
      </c>
      <c r="B385" s="3">
        <v>45554.653611793998</v>
      </c>
      <c r="C385">
        <v>282</v>
      </c>
      <c r="D385" s="4">
        <f t="shared" si="15"/>
        <v>45536</v>
      </c>
      <c r="E385" s="4">
        <f t="shared" si="16"/>
        <v>45536</v>
      </c>
      <c r="F385" s="5">
        <f t="shared" si="17"/>
        <v>0</v>
      </c>
      <c r="G385" s="5">
        <f>IF(COUNTIFS(A$3:A385,A385,F$3:F385,F385)=1,1,0)</f>
        <v>1</v>
      </c>
    </row>
    <row r="386" spans="1:7" x14ac:dyDescent="0.25">
      <c r="A386">
        <v>152</v>
      </c>
      <c r="B386" s="3">
        <v>45327.630147129603</v>
      </c>
      <c r="C386">
        <v>945</v>
      </c>
      <c r="D386" s="4">
        <f t="shared" si="15"/>
        <v>45323</v>
      </c>
      <c r="E386" s="4">
        <f t="shared" si="16"/>
        <v>45323</v>
      </c>
      <c r="F386" s="5">
        <f t="shared" si="17"/>
        <v>0</v>
      </c>
      <c r="G386" s="5">
        <f>IF(COUNTIFS(A$3:A386,A386,F$3:F386,F386)=1,1,0)</f>
        <v>1</v>
      </c>
    </row>
    <row r="387" spans="1:7" x14ac:dyDescent="0.25">
      <c r="A387">
        <v>54</v>
      </c>
      <c r="B387" s="3">
        <v>45629.580863576397</v>
      </c>
      <c r="C387">
        <v>411</v>
      </c>
      <c r="D387" s="4">
        <f t="shared" ref="D387:D450" si="18">EOMONTH(B387,-1)+1</f>
        <v>45627</v>
      </c>
      <c r="E387" s="4">
        <f t="shared" ref="E387:E450" si="19">_xlfn.MINIFS(D$3:D$1002,A$3:A$1002,A387)</f>
        <v>45566</v>
      </c>
      <c r="F387" s="5">
        <f t="shared" ref="F387:F450" si="20">DATEDIF(E387,D387,"M")</f>
        <v>2</v>
      </c>
      <c r="G387" s="5">
        <f>IF(COUNTIFS(A$3:A387,A387,F$3:F387,F387)=1,1,0)</f>
        <v>1</v>
      </c>
    </row>
    <row r="388" spans="1:7" x14ac:dyDescent="0.25">
      <c r="A388">
        <v>120</v>
      </c>
      <c r="B388" s="3">
        <v>45472.026225254602</v>
      </c>
      <c r="C388">
        <v>192</v>
      </c>
      <c r="D388" s="4">
        <f t="shared" si="18"/>
        <v>45444</v>
      </c>
      <c r="E388" s="4">
        <f t="shared" si="19"/>
        <v>45444</v>
      </c>
      <c r="F388" s="5">
        <f t="shared" si="20"/>
        <v>0</v>
      </c>
      <c r="G388" s="5">
        <f>IF(COUNTIFS(A$3:A388,A388,F$3:F388,F388)=1,1,0)</f>
        <v>1</v>
      </c>
    </row>
    <row r="389" spans="1:7" x14ac:dyDescent="0.25">
      <c r="A389">
        <v>673</v>
      </c>
      <c r="B389" s="3">
        <v>45485.751325196798</v>
      </c>
      <c r="C389">
        <v>978</v>
      </c>
      <c r="D389" s="4">
        <f t="shared" si="18"/>
        <v>45474</v>
      </c>
      <c r="E389" s="4">
        <f t="shared" si="19"/>
        <v>45474</v>
      </c>
      <c r="F389" s="5">
        <f t="shared" si="20"/>
        <v>0</v>
      </c>
      <c r="G389" s="5">
        <f>IF(COUNTIFS(A$3:A389,A389,F$3:F389,F389)=1,1,0)</f>
        <v>1</v>
      </c>
    </row>
    <row r="390" spans="1:7" x14ac:dyDescent="0.25">
      <c r="A390">
        <v>920</v>
      </c>
      <c r="B390" s="3">
        <v>45499.990576481498</v>
      </c>
      <c r="C390">
        <v>674</v>
      </c>
      <c r="D390" s="4">
        <f t="shared" si="18"/>
        <v>45474</v>
      </c>
      <c r="E390" s="4">
        <f t="shared" si="19"/>
        <v>45444</v>
      </c>
      <c r="F390" s="5">
        <f t="shared" si="20"/>
        <v>1</v>
      </c>
      <c r="G390" s="5">
        <f>IF(COUNTIFS(A$3:A390,A390,F$3:F390,F390)=1,1,0)</f>
        <v>1</v>
      </c>
    </row>
    <row r="391" spans="1:7" x14ac:dyDescent="0.25">
      <c r="A391">
        <v>628</v>
      </c>
      <c r="B391" s="3">
        <v>45621.468858761596</v>
      </c>
      <c r="C391">
        <v>497</v>
      </c>
      <c r="D391" s="4">
        <f t="shared" si="18"/>
        <v>45597</v>
      </c>
      <c r="E391" s="4">
        <f t="shared" si="19"/>
        <v>45292</v>
      </c>
      <c r="F391" s="5">
        <f t="shared" si="20"/>
        <v>10</v>
      </c>
      <c r="G391" s="5">
        <f>IF(COUNTIFS(A$3:A391,A391,F$3:F391,F391)=1,1,0)</f>
        <v>1</v>
      </c>
    </row>
    <row r="392" spans="1:7" x14ac:dyDescent="0.25">
      <c r="A392">
        <v>587</v>
      </c>
      <c r="B392" s="3">
        <v>45366.607401574103</v>
      </c>
      <c r="C392">
        <v>836</v>
      </c>
      <c r="D392" s="4">
        <f t="shared" si="18"/>
        <v>45352</v>
      </c>
      <c r="E392" s="4">
        <f t="shared" si="19"/>
        <v>45352</v>
      </c>
      <c r="F392" s="5">
        <f t="shared" si="20"/>
        <v>0</v>
      </c>
      <c r="G392" s="5">
        <f>IF(COUNTIFS(A$3:A392,A392,F$3:F392,F392)=1,1,0)</f>
        <v>1</v>
      </c>
    </row>
    <row r="393" spans="1:7" x14ac:dyDescent="0.25">
      <c r="A393">
        <v>625</v>
      </c>
      <c r="B393" s="3">
        <v>45463.182751990702</v>
      </c>
      <c r="C393">
        <v>855</v>
      </c>
      <c r="D393" s="4">
        <f t="shared" si="18"/>
        <v>45444</v>
      </c>
      <c r="E393" s="4">
        <f t="shared" si="19"/>
        <v>45323</v>
      </c>
      <c r="F393" s="5">
        <f t="shared" si="20"/>
        <v>4</v>
      </c>
      <c r="G393" s="5">
        <f>IF(COUNTIFS(A$3:A393,A393,F$3:F393,F393)=1,1,0)</f>
        <v>1</v>
      </c>
    </row>
    <row r="394" spans="1:7" x14ac:dyDescent="0.25">
      <c r="A394">
        <v>968</v>
      </c>
      <c r="B394" s="3">
        <v>45361.608483807897</v>
      </c>
      <c r="C394">
        <v>133</v>
      </c>
      <c r="D394" s="4">
        <f t="shared" si="18"/>
        <v>45352</v>
      </c>
      <c r="E394" s="4">
        <f t="shared" si="19"/>
        <v>45352</v>
      </c>
      <c r="F394" s="5">
        <f t="shared" si="20"/>
        <v>0</v>
      </c>
      <c r="G394" s="5">
        <f>IF(COUNTIFS(A$3:A394,A394,F$3:F394,F394)=1,1,0)</f>
        <v>1</v>
      </c>
    </row>
    <row r="395" spans="1:7" x14ac:dyDescent="0.25">
      <c r="A395">
        <v>420</v>
      </c>
      <c r="B395" s="3">
        <v>45578.006317430598</v>
      </c>
      <c r="C395">
        <v>994</v>
      </c>
      <c r="D395" s="4">
        <f t="shared" si="18"/>
        <v>45566</v>
      </c>
      <c r="E395" s="4">
        <f t="shared" si="19"/>
        <v>45566</v>
      </c>
      <c r="F395" s="5">
        <f t="shared" si="20"/>
        <v>0</v>
      </c>
      <c r="G395" s="5">
        <f>IF(COUNTIFS(A$3:A395,A395,F$3:F395,F395)=1,1,0)</f>
        <v>1</v>
      </c>
    </row>
    <row r="396" spans="1:7" x14ac:dyDescent="0.25">
      <c r="A396">
        <v>422</v>
      </c>
      <c r="B396" s="3">
        <v>45311.4227644329</v>
      </c>
      <c r="C396">
        <v>635</v>
      </c>
      <c r="D396" s="4">
        <f t="shared" si="18"/>
        <v>45292</v>
      </c>
      <c r="E396" s="4">
        <f t="shared" si="19"/>
        <v>45292</v>
      </c>
      <c r="F396" s="5">
        <f t="shared" si="20"/>
        <v>0</v>
      </c>
      <c r="G396" s="5">
        <f>IF(COUNTIFS(A$3:A396,A396,F$3:F396,F396)=1,1,0)</f>
        <v>1</v>
      </c>
    </row>
    <row r="397" spans="1:7" x14ac:dyDescent="0.25">
      <c r="A397">
        <v>104</v>
      </c>
      <c r="B397" s="3">
        <v>45349.164223078697</v>
      </c>
      <c r="C397">
        <v>799</v>
      </c>
      <c r="D397" s="4">
        <f t="shared" si="18"/>
        <v>45323</v>
      </c>
      <c r="E397" s="4">
        <f t="shared" si="19"/>
        <v>45323</v>
      </c>
      <c r="F397" s="5">
        <f t="shared" si="20"/>
        <v>0</v>
      </c>
      <c r="G397" s="5">
        <f>IF(COUNTIFS(A$3:A397,A397,F$3:F397,F397)=1,1,0)</f>
        <v>1</v>
      </c>
    </row>
    <row r="398" spans="1:7" x14ac:dyDescent="0.25">
      <c r="A398">
        <v>852</v>
      </c>
      <c r="B398" s="3">
        <v>45656.129424351901</v>
      </c>
      <c r="C398">
        <v>423</v>
      </c>
      <c r="D398" s="4">
        <f t="shared" si="18"/>
        <v>45627</v>
      </c>
      <c r="E398" s="4">
        <f t="shared" si="19"/>
        <v>45566</v>
      </c>
      <c r="F398" s="5">
        <f t="shared" si="20"/>
        <v>2</v>
      </c>
      <c r="G398" s="5">
        <f>IF(COUNTIFS(A$3:A398,A398,F$3:F398,F398)=1,1,0)</f>
        <v>1</v>
      </c>
    </row>
    <row r="399" spans="1:7" x14ac:dyDescent="0.25">
      <c r="A399">
        <v>254</v>
      </c>
      <c r="B399" s="3">
        <v>45455.847538703703</v>
      </c>
      <c r="C399">
        <v>989</v>
      </c>
      <c r="D399" s="4">
        <f t="shared" si="18"/>
        <v>45444</v>
      </c>
      <c r="E399" s="4">
        <f t="shared" si="19"/>
        <v>45292</v>
      </c>
      <c r="F399" s="5">
        <f t="shared" si="20"/>
        <v>5</v>
      </c>
      <c r="G399" s="5">
        <f>IF(COUNTIFS(A$3:A399,A399,F$3:F399,F399)=1,1,0)</f>
        <v>1</v>
      </c>
    </row>
    <row r="400" spans="1:7" x14ac:dyDescent="0.25">
      <c r="A400">
        <v>227</v>
      </c>
      <c r="B400" s="3">
        <v>45631.386912453701</v>
      </c>
      <c r="C400">
        <v>734</v>
      </c>
      <c r="D400" s="4">
        <f t="shared" si="18"/>
        <v>45627</v>
      </c>
      <c r="E400" s="4">
        <f t="shared" si="19"/>
        <v>45292</v>
      </c>
      <c r="F400" s="5">
        <f t="shared" si="20"/>
        <v>11</v>
      </c>
      <c r="G400" s="5">
        <f>IF(COUNTIFS(A$3:A400,A400,F$3:F400,F400)=1,1,0)</f>
        <v>1</v>
      </c>
    </row>
    <row r="401" spans="1:7" x14ac:dyDescent="0.25">
      <c r="A401">
        <v>112</v>
      </c>
      <c r="B401" s="3">
        <v>45550.017429629603</v>
      </c>
      <c r="C401">
        <v>181</v>
      </c>
      <c r="D401" s="4">
        <f t="shared" si="18"/>
        <v>45536</v>
      </c>
      <c r="E401" s="4">
        <f t="shared" si="19"/>
        <v>45536</v>
      </c>
      <c r="F401" s="5">
        <f t="shared" si="20"/>
        <v>0</v>
      </c>
      <c r="G401" s="5">
        <f>IF(COUNTIFS(A$3:A401,A401,F$3:F401,F401)=1,1,0)</f>
        <v>1</v>
      </c>
    </row>
    <row r="402" spans="1:7" x14ac:dyDescent="0.25">
      <c r="A402">
        <v>510</v>
      </c>
      <c r="B402" s="3">
        <v>45425.170473645798</v>
      </c>
      <c r="C402">
        <v>297</v>
      </c>
      <c r="D402" s="4">
        <f t="shared" si="18"/>
        <v>45413</v>
      </c>
      <c r="E402" s="4">
        <f t="shared" si="19"/>
        <v>45352</v>
      </c>
      <c r="F402" s="5">
        <f t="shared" si="20"/>
        <v>2</v>
      </c>
      <c r="G402" s="5">
        <f>IF(COUNTIFS(A$3:A402,A402,F$3:F402,F402)=1,1,0)</f>
        <v>1</v>
      </c>
    </row>
    <row r="403" spans="1:7" x14ac:dyDescent="0.25">
      <c r="A403">
        <v>473</v>
      </c>
      <c r="B403" s="3">
        <v>45630.267221747701</v>
      </c>
      <c r="C403">
        <v>444</v>
      </c>
      <c r="D403" s="4">
        <f t="shared" si="18"/>
        <v>45627</v>
      </c>
      <c r="E403" s="4">
        <f t="shared" si="19"/>
        <v>45413</v>
      </c>
      <c r="F403" s="5">
        <f t="shared" si="20"/>
        <v>7</v>
      </c>
      <c r="G403" s="5">
        <f>IF(COUNTIFS(A$3:A403,A403,F$3:F403,F403)=1,1,0)</f>
        <v>1</v>
      </c>
    </row>
    <row r="404" spans="1:7" x14ac:dyDescent="0.25">
      <c r="A404">
        <v>99</v>
      </c>
      <c r="B404" s="3">
        <v>45335.547782719899</v>
      </c>
      <c r="C404">
        <v>695</v>
      </c>
      <c r="D404" s="4">
        <f t="shared" si="18"/>
        <v>45323</v>
      </c>
      <c r="E404" s="4">
        <f t="shared" si="19"/>
        <v>45323</v>
      </c>
      <c r="F404" s="5">
        <f t="shared" si="20"/>
        <v>0</v>
      </c>
      <c r="G404" s="5">
        <f>IF(COUNTIFS(A$3:A404,A404,F$3:F404,F404)=1,1,0)</f>
        <v>1</v>
      </c>
    </row>
    <row r="405" spans="1:7" x14ac:dyDescent="0.25">
      <c r="A405">
        <v>153</v>
      </c>
      <c r="B405" s="3">
        <v>45355.176618703699</v>
      </c>
      <c r="C405">
        <v>122</v>
      </c>
      <c r="D405" s="4">
        <f t="shared" si="18"/>
        <v>45352</v>
      </c>
      <c r="E405" s="4">
        <f t="shared" si="19"/>
        <v>45352</v>
      </c>
      <c r="F405" s="5">
        <f t="shared" si="20"/>
        <v>0</v>
      </c>
      <c r="G405" s="5">
        <f>IF(COUNTIFS(A$3:A405,A405,F$3:F405,F405)=1,1,0)</f>
        <v>1</v>
      </c>
    </row>
    <row r="406" spans="1:7" x14ac:dyDescent="0.25">
      <c r="A406">
        <v>861</v>
      </c>
      <c r="B406" s="3">
        <v>45344.674125671299</v>
      </c>
      <c r="C406">
        <v>897</v>
      </c>
      <c r="D406" s="4">
        <f t="shared" si="18"/>
        <v>45323</v>
      </c>
      <c r="E406" s="4">
        <f t="shared" si="19"/>
        <v>45323</v>
      </c>
      <c r="F406" s="5">
        <f t="shared" si="20"/>
        <v>0</v>
      </c>
      <c r="G406" s="5">
        <f>IF(COUNTIFS(A$3:A406,A406,F$3:F406,F406)=1,1,0)</f>
        <v>1</v>
      </c>
    </row>
    <row r="407" spans="1:7" x14ac:dyDescent="0.25">
      <c r="A407">
        <v>914</v>
      </c>
      <c r="B407" s="3">
        <v>45599.664484131899</v>
      </c>
      <c r="C407">
        <v>926</v>
      </c>
      <c r="D407" s="4">
        <f t="shared" si="18"/>
        <v>45597</v>
      </c>
      <c r="E407" s="4">
        <f t="shared" si="19"/>
        <v>45597</v>
      </c>
      <c r="F407" s="5">
        <f t="shared" si="20"/>
        <v>0</v>
      </c>
      <c r="G407" s="5">
        <f>IF(COUNTIFS(A$3:A407,A407,F$3:F407,F407)=1,1,0)</f>
        <v>1</v>
      </c>
    </row>
    <row r="408" spans="1:7" x14ac:dyDescent="0.25">
      <c r="A408">
        <v>896</v>
      </c>
      <c r="B408" s="3">
        <v>45625.447687673601</v>
      </c>
      <c r="C408">
        <v>131</v>
      </c>
      <c r="D408" s="4">
        <f t="shared" si="18"/>
        <v>45597</v>
      </c>
      <c r="E408" s="4">
        <f t="shared" si="19"/>
        <v>45444</v>
      </c>
      <c r="F408" s="5">
        <f t="shared" si="20"/>
        <v>5</v>
      </c>
      <c r="G408" s="5">
        <f>IF(COUNTIFS(A$3:A408,A408,F$3:F408,F408)=1,1,0)</f>
        <v>1</v>
      </c>
    </row>
    <row r="409" spans="1:7" x14ac:dyDescent="0.25">
      <c r="A409">
        <v>878</v>
      </c>
      <c r="B409" s="3">
        <v>45565.897478009298</v>
      </c>
      <c r="C409">
        <v>553</v>
      </c>
      <c r="D409" s="4">
        <f t="shared" si="18"/>
        <v>45536</v>
      </c>
      <c r="E409" s="4">
        <f t="shared" si="19"/>
        <v>45536</v>
      </c>
      <c r="F409" s="5">
        <f t="shared" si="20"/>
        <v>0</v>
      </c>
      <c r="G409" s="5">
        <f>IF(COUNTIFS(A$3:A409,A409,F$3:F409,F409)=1,1,0)</f>
        <v>1</v>
      </c>
    </row>
    <row r="410" spans="1:7" x14ac:dyDescent="0.25">
      <c r="A410">
        <v>338</v>
      </c>
      <c r="B410" s="3">
        <v>45324.0724934838</v>
      </c>
      <c r="C410">
        <v>231</v>
      </c>
      <c r="D410" s="4">
        <f t="shared" si="18"/>
        <v>45323</v>
      </c>
      <c r="E410" s="4">
        <f t="shared" si="19"/>
        <v>45292</v>
      </c>
      <c r="F410" s="5">
        <f t="shared" si="20"/>
        <v>1</v>
      </c>
      <c r="G410" s="5">
        <f>IF(COUNTIFS(A$3:A410,A410,F$3:F410,F410)=1,1,0)</f>
        <v>1</v>
      </c>
    </row>
    <row r="411" spans="1:7" x14ac:dyDescent="0.25">
      <c r="A411">
        <v>706</v>
      </c>
      <c r="B411" s="3">
        <v>45312.630172997699</v>
      </c>
      <c r="C411">
        <v>640</v>
      </c>
      <c r="D411" s="4">
        <f t="shared" si="18"/>
        <v>45292</v>
      </c>
      <c r="E411" s="4">
        <f t="shared" si="19"/>
        <v>45292</v>
      </c>
      <c r="F411" s="5">
        <f t="shared" si="20"/>
        <v>0</v>
      </c>
      <c r="G411" s="5">
        <f>IF(COUNTIFS(A$3:A411,A411,F$3:F411,F411)=1,1,0)</f>
        <v>1</v>
      </c>
    </row>
    <row r="412" spans="1:7" x14ac:dyDescent="0.25">
      <c r="A412">
        <v>822</v>
      </c>
      <c r="B412" s="3">
        <v>45408.423199386598</v>
      </c>
      <c r="C412">
        <v>48</v>
      </c>
      <c r="D412" s="4">
        <f t="shared" si="18"/>
        <v>45383</v>
      </c>
      <c r="E412" s="4">
        <f t="shared" si="19"/>
        <v>45383</v>
      </c>
      <c r="F412" s="5">
        <f t="shared" si="20"/>
        <v>0</v>
      </c>
      <c r="G412" s="5">
        <f>IF(COUNTIFS(A$3:A412,A412,F$3:F412,F412)=1,1,0)</f>
        <v>1</v>
      </c>
    </row>
    <row r="413" spans="1:7" x14ac:dyDescent="0.25">
      <c r="A413">
        <v>163</v>
      </c>
      <c r="B413" s="3">
        <v>45575.517295381898</v>
      </c>
      <c r="C413">
        <v>506</v>
      </c>
      <c r="D413" s="4">
        <f t="shared" si="18"/>
        <v>45566</v>
      </c>
      <c r="E413" s="4">
        <f t="shared" si="19"/>
        <v>45566</v>
      </c>
      <c r="F413" s="5">
        <f t="shared" si="20"/>
        <v>0</v>
      </c>
      <c r="G413" s="5">
        <f>IF(COUNTIFS(A$3:A413,A413,F$3:F413,F413)=1,1,0)</f>
        <v>1</v>
      </c>
    </row>
    <row r="414" spans="1:7" x14ac:dyDescent="0.25">
      <c r="A414">
        <v>720</v>
      </c>
      <c r="B414" s="3">
        <v>45429.616063530098</v>
      </c>
      <c r="C414">
        <v>789</v>
      </c>
      <c r="D414" s="4">
        <f t="shared" si="18"/>
        <v>45413</v>
      </c>
      <c r="E414" s="4">
        <f t="shared" si="19"/>
        <v>45413</v>
      </c>
      <c r="F414" s="5">
        <f t="shared" si="20"/>
        <v>0</v>
      </c>
      <c r="G414" s="5">
        <f>IF(COUNTIFS(A$3:A414,A414,F$3:F414,F414)=1,1,0)</f>
        <v>0</v>
      </c>
    </row>
    <row r="415" spans="1:7" x14ac:dyDescent="0.25">
      <c r="A415">
        <v>957</v>
      </c>
      <c r="B415" s="3">
        <v>45350.1792071991</v>
      </c>
      <c r="C415">
        <v>242</v>
      </c>
      <c r="D415" s="4">
        <f t="shared" si="18"/>
        <v>45323</v>
      </c>
      <c r="E415" s="4">
        <f t="shared" si="19"/>
        <v>45323</v>
      </c>
      <c r="F415" s="5">
        <f t="shared" si="20"/>
        <v>0</v>
      </c>
      <c r="G415" s="5">
        <f>IF(COUNTIFS(A$3:A415,A415,F$3:F415,F415)=1,1,0)</f>
        <v>1</v>
      </c>
    </row>
    <row r="416" spans="1:7" x14ac:dyDescent="0.25">
      <c r="A416">
        <v>681</v>
      </c>
      <c r="B416" s="3">
        <v>45535.335953182897</v>
      </c>
      <c r="C416">
        <v>952</v>
      </c>
      <c r="D416" s="4">
        <f t="shared" si="18"/>
        <v>45505</v>
      </c>
      <c r="E416" s="4">
        <f t="shared" si="19"/>
        <v>45505</v>
      </c>
      <c r="F416" s="5">
        <f t="shared" si="20"/>
        <v>0</v>
      </c>
      <c r="G416" s="5">
        <f>IF(COUNTIFS(A$3:A416,A416,F$3:F416,F416)=1,1,0)</f>
        <v>1</v>
      </c>
    </row>
    <row r="417" spans="1:7" x14ac:dyDescent="0.25">
      <c r="A417">
        <v>996</v>
      </c>
      <c r="B417" s="3">
        <v>45347.406749548602</v>
      </c>
      <c r="C417">
        <v>539</v>
      </c>
      <c r="D417" s="4">
        <f t="shared" si="18"/>
        <v>45323</v>
      </c>
      <c r="E417" s="4">
        <f t="shared" si="19"/>
        <v>45323</v>
      </c>
      <c r="F417" s="5">
        <f t="shared" si="20"/>
        <v>0</v>
      </c>
      <c r="G417" s="5">
        <f>IF(COUNTIFS(A$3:A417,A417,F$3:F417,F417)=1,1,0)</f>
        <v>1</v>
      </c>
    </row>
    <row r="418" spans="1:7" x14ac:dyDescent="0.25">
      <c r="A418">
        <v>161</v>
      </c>
      <c r="B418" s="3">
        <v>45586.839636099503</v>
      </c>
      <c r="C418">
        <v>158</v>
      </c>
      <c r="D418" s="4">
        <f t="shared" si="18"/>
        <v>45566</v>
      </c>
      <c r="E418" s="4">
        <f t="shared" si="19"/>
        <v>45383</v>
      </c>
      <c r="F418" s="5">
        <f t="shared" si="20"/>
        <v>6</v>
      </c>
      <c r="G418" s="5">
        <f>IF(COUNTIFS(A$3:A418,A418,F$3:F418,F418)=1,1,0)</f>
        <v>1</v>
      </c>
    </row>
    <row r="419" spans="1:7" x14ac:dyDescent="0.25">
      <c r="A419">
        <v>580</v>
      </c>
      <c r="B419" s="3">
        <v>45533.153880625003</v>
      </c>
      <c r="C419">
        <v>406</v>
      </c>
      <c r="D419" s="4">
        <f t="shared" si="18"/>
        <v>45505</v>
      </c>
      <c r="E419" s="4">
        <f t="shared" si="19"/>
        <v>45505</v>
      </c>
      <c r="F419" s="5">
        <f t="shared" si="20"/>
        <v>0</v>
      </c>
      <c r="G419" s="5">
        <f>IF(COUNTIFS(A$3:A419,A419,F$3:F419,F419)=1,1,0)</f>
        <v>1</v>
      </c>
    </row>
    <row r="420" spans="1:7" x14ac:dyDescent="0.25">
      <c r="A420">
        <v>801</v>
      </c>
      <c r="B420" s="3">
        <v>45488.216791435203</v>
      </c>
      <c r="C420">
        <v>670</v>
      </c>
      <c r="D420" s="4">
        <f t="shared" si="18"/>
        <v>45474</v>
      </c>
      <c r="E420" s="4">
        <f t="shared" si="19"/>
        <v>45474</v>
      </c>
      <c r="F420" s="5">
        <f t="shared" si="20"/>
        <v>0</v>
      </c>
      <c r="G420" s="5">
        <f>IF(COUNTIFS(A$3:A420,A420,F$3:F420,F420)=1,1,0)</f>
        <v>1</v>
      </c>
    </row>
    <row r="421" spans="1:7" x14ac:dyDescent="0.25">
      <c r="A421">
        <v>398</v>
      </c>
      <c r="B421" s="3">
        <v>45639.212335011602</v>
      </c>
      <c r="C421">
        <v>647</v>
      </c>
      <c r="D421" s="4">
        <f t="shared" si="18"/>
        <v>45627</v>
      </c>
      <c r="E421" s="4">
        <f t="shared" si="19"/>
        <v>45474</v>
      </c>
      <c r="F421" s="5">
        <f t="shared" si="20"/>
        <v>5</v>
      </c>
      <c r="G421" s="5">
        <f>IF(COUNTIFS(A$3:A421,A421,F$3:F421,F421)=1,1,0)</f>
        <v>1</v>
      </c>
    </row>
    <row r="422" spans="1:7" x14ac:dyDescent="0.25">
      <c r="A422">
        <v>277</v>
      </c>
      <c r="B422" s="3">
        <v>45580.3780581713</v>
      </c>
      <c r="C422">
        <v>913</v>
      </c>
      <c r="D422" s="4">
        <f t="shared" si="18"/>
        <v>45566</v>
      </c>
      <c r="E422" s="4">
        <f t="shared" si="19"/>
        <v>45323</v>
      </c>
      <c r="F422" s="5">
        <f t="shared" si="20"/>
        <v>8</v>
      </c>
      <c r="G422" s="5">
        <f>IF(COUNTIFS(A$3:A422,A422,F$3:F422,F422)=1,1,0)</f>
        <v>1</v>
      </c>
    </row>
    <row r="423" spans="1:7" x14ac:dyDescent="0.25">
      <c r="A423">
        <v>816</v>
      </c>
      <c r="B423" s="3">
        <v>45484.664806099499</v>
      </c>
      <c r="C423">
        <v>311</v>
      </c>
      <c r="D423" s="4">
        <f t="shared" si="18"/>
        <v>45474</v>
      </c>
      <c r="E423" s="4">
        <f t="shared" si="19"/>
        <v>45444</v>
      </c>
      <c r="F423" s="5">
        <f t="shared" si="20"/>
        <v>1</v>
      </c>
      <c r="G423" s="5">
        <f>IF(COUNTIFS(A$3:A423,A423,F$3:F423,F423)=1,1,0)</f>
        <v>1</v>
      </c>
    </row>
    <row r="424" spans="1:7" x14ac:dyDescent="0.25">
      <c r="A424">
        <v>916</v>
      </c>
      <c r="B424" s="3">
        <v>45555.375818472203</v>
      </c>
      <c r="C424">
        <v>369</v>
      </c>
      <c r="D424" s="4">
        <f t="shared" si="18"/>
        <v>45536</v>
      </c>
      <c r="E424" s="4">
        <f t="shared" si="19"/>
        <v>45536</v>
      </c>
      <c r="F424" s="5">
        <f t="shared" si="20"/>
        <v>0</v>
      </c>
      <c r="G424" s="5">
        <f>IF(COUNTIFS(A$3:A424,A424,F$3:F424,F424)=1,1,0)</f>
        <v>1</v>
      </c>
    </row>
    <row r="425" spans="1:7" x14ac:dyDescent="0.25">
      <c r="A425">
        <v>504</v>
      </c>
      <c r="B425" s="3">
        <v>45357.819880486102</v>
      </c>
      <c r="C425">
        <v>247</v>
      </c>
      <c r="D425" s="4">
        <f t="shared" si="18"/>
        <v>45352</v>
      </c>
      <c r="E425" s="4">
        <f t="shared" si="19"/>
        <v>45352</v>
      </c>
      <c r="F425" s="5">
        <f t="shared" si="20"/>
        <v>0</v>
      </c>
      <c r="G425" s="5">
        <f>IF(COUNTIFS(A$3:A425,A425,F$3:F425,F425)=1,1,0)</f>
        <v>1</v>
      </c>
    </row>
    <row r="426" spans="1:7" x14ac:dyDescent="0.25">
      <c r="A426">
        <v>896</v>
      </c>
      <c r="B426" s="3">
        <v>45450.621199166701</v>
      </c>
      <c r="C426">
        <v>656</v>
      </c>
      <c r="D426" s="4">
        <f t="shared" si="18"/>
        <v>45444</v>
      </c>
      <c r="E426" s="4">
        <f t="shared" si="19"/>
        <v>45444</v>
      </c>
      <c r="F426" s="5">
        <f t="shared" si="20"/>
        <v>0</v>
      </c>
      <c r="G426" s="5">
        <f>IF(COUNTIFS(A$3:A426,A426,F$3:F426,F426)=1,1,0)</f>
        <v>1</v>
      </c>
    </row>
    <row r="427" spans="1:7" x14ac:dyDescent="0.25">
      <c r="A427">
        <v>392</v>
      </c>
      <c r="B427" s="3">
        <v>45417.488008240703</v>
      </c>
      <c r="C427">
        <v>672</v>
      </c>
      <c r="D427" s="4">
        <f t="shared" si="18"/>
        <v>45413</v>
      </c>
      <c r="E427" s="4">
        <f t="shared" si="19"/>
        <v>45323</v>
      </c>
      <c r="F427" s="5">
        <f t="shared" si="20"/>
        <v>3</v>
      </c>
      <c r="G427" s="5">
        <f>IF(COUNTIFS(A$3:A427,A427,F$3:F427,F427)=1,1,0)</f>
        <v>1</v>
      </c>
    </row>
    <row r="428" spans="1:7" x14ac:dyDescent="0.25">
      <c r="A428">
        <v>135</v>
      </c>
      <c r="B428" s="3">
        <v>45577.474345254603</v>
      </c>
      <c r="C428">
        <v>245</v>
      </c>
      <c r="D428" s="4">
        <f t="shared" si="18"/>
        <v>45566</v>
      </c>
      <c r="E428" s="4">
        <f t="shared" si="19"/>
        <v>45566</v>
      </c>
      <c r="F428" s="5">
        <f t="shared" si="20"/>
        <v>0</v>
      </c>
      <c r="G428" s="5">
        <f>IF(COUNTIFS(A$3:A428,A428,F$3:F428,F428)=1,1,0)</f>
        <v>0</v>
      </c>
    </row>
    <row r="429" spans="1:7" x14ac:dyDescent="0.25">
      <c r="A429">
        <v>195</v>
      </c>
      <c r="B429" s="3">
        <v>45433.076800972201</v>
      </c>
      <c r="C429">
        <v>745</v>
      </c>
      <c r="D429" s="4">
        <f t="shared" si="18"/>
        <v>45413</v>
      </c>
      <c r="E429" s="4">
        <f t="shared" si="19"/>
        <v>45413</v>
      </c>
      <c r="F429" s="5">
        <f t="shared" si="20"/>
        <v>0</v>
      </c>
      <c r="G429" s="5">
        <f>IF(COUNTIFS(A$3:A429,A429,F$3:F429,F429)=1,1,0)</f>
        <v>1</v>
      </c>
    </row>
    <row r="430" spans="1:7" x14ac:dyDescent="0.25">
      <c r="A430">
        <v>401</v>
      </c>
      <c r="B430" s="3">
        <v>45374.608183229197</v>
      </c>
      <c r="C430">
        <v>212</v>
      </c>
      <c r="D430" s="4">
        <f t="shared" si="18"/>
        <v>45352</v>
      </c>
      <c r="E430" s="4">
        <f t="shared" si="19"/>
        <v>45352</v>
      </c>
      <c r="F430" s="5">
        <f t="shared" si="20"/>
        <v>0</v>
      </c>
      <c r="G430" s="5">
        <f>IF(COUNTIFS(A$3:A430,A430,F$3:F430,F430)=1,1,0)</f>
        <v>1</v>
      </c>
    </row>
    <row r="431" spans="1:7" x14ac:dyDescent="0.25">
      <c r="A431">
        <v>640</v>
      </c>
      <c r="B431" s="3">
        <v>45633.371274027799</v>
      </c>
      <c r="C431">
        <v>265</v>
      </c>
      <c r="D431" s="4">
        <f t="shared" si="18"/>
        <v>45627</v>
      </c>
      <c r="E431" s="4">
        <f t="shared" si="19"/>
        <v>45505</v>
      </c>
      <c r="F431" s="5">
        <f t="shared" si="20"/>
        <v>4</v>
      </c>
      <c r="G431" s="5">
        <f>IF(COUNTIFS(A$3:A431,A431,F$3:F431,F431)=1,1,0)</f>
        <v>1</v>
      </c>
    </row>
    <row r="432" spans="1:7" x14ac:dyDescent="0.25">
      <c r="A432">
        <v>33</v>
      </c>
      <c r="B432" s="3">
        <v>45569.117402418997</v>
      </c>
      <c r="C432">
        <v>607</v>
      </c>
      <c r="D432" s="4">
        <f t="shared" si="18"/>
        <v>45566</v>
      </c>
      <c r="E432" s="4">
        <f t="shared" si="19"/>
        <v>45566</v>
      </c>
      <c r="F432" s="5">
        <f t="shared" si="20"/>
        <v>0</v>
      </c>
      <c r="G432" s="5">
        <f>IF(COUNTIFS(A$3:A432,A432,F$3:F432,F432)=1,1,0)</f>
        <v>1</v>
      </c>
    </row>
    <row r="433" spans="1:7" x14ac:dyDescent="0.25">
      <c r="A433">
        <v>688</v>
      </c>
      <c r="B433" s="3">
        <v>45313.325148414398</v>
      </c>
      <c r="C433">
        <v>671</v>
      </c>
      <c r="D433" s="4">
        <f t="shared" si="18"/>
        <v>45292</v>
      </c>
      <c r="E433" s="4">
        <f t="shared" si="19"/>
        <v>45292</v>
      </c>
      <c r="F433" s="5">
        <f t="shared" si="20"/>
        <v>0</v>
      </c>
      <c r="G433" s="5">
        <f>IF(COUNTIFS(A$3:A433,A433,F$3:F433,F433)=1,1,0)</f>
        <v>1</v>
      </c>
    </row>
    <row r="434" spans="1:7" x14ac:dyDescent="0.25">
      <c r="A434">
        <v>460</v>
      </c>
      <c r="B434" s="3">
        <v>45509.475355393501</v>
      </c>
      <c r="C434">
        <v>244</v>
      </c>
      <c r="D434" s="4">
        <f t="shared" si="18"/>
        <v>45505</v>
      </c>
      <c r="E434" s="4">
        <f t="shared" si="19"/>
        <v>45444</v>
      </c>
      <c r="F434" s="5">
        <f t="shared" si="20"/>
        <v>2</v>
      </c>
      <c r="G434" s="5">
        <f>IF(COUNTIFS(A$3:A434,A434,F$3:F434,F434)=1,1,0)</f>
        <v>1</v>
      </c>
    </row>
    <row r="435" spans="1:7" x14ac:dyDescent="0.25">
      <c r="A435">
        <v>955</v>
      </c>
      <c r="B435" s="3">
        <v>45440.016827662002</v>
      </c>
      <c r="C435">
        <v>354</v>
      </c>
      <c r="D435" s="4">
        <f t="shared" si="18"/>
        <v>45413</v>
      </c>
      <c r="E435" s="4">
        <f t="shared" si="19"/>
        <v>45413</v>
      </c>
      <c r="F435" s="5">
        <f t="shared" si="20"/>
        <v>0</v>
      </c>
      <c r="G435" s="5">
        <f>IF(COUNTIFS(A$3:A435,A435,F$3:F435,F435)=1,1,0)</f>
        <v>1</v>
      </c>
    </row>
    <row r="436" spans="1:7" x14ac:dyDescent="0.25">
      <c r="A436">
        <v>883</v>
      </c>
      <c r="B436" s="3">
        <v>45620.621373900503</v>
      </c>
      <c r="C436">
        <v>543</v>
      </c>
      <c r="D436" s="4">
        <f t="shared" si="18"/>
        <v>45597</v>
      </c>
      <c r="E436" s="4">
        <f t="shared" si="19"/>
        <v>45505</v>
      </c>
      <c r="F436" s="5">
        <f t="shared" si="20"/>
        <v>3</v>
      </c>
      <c r="G436" s="5">
        <f>IF(COUNTIFS(A$3:A436,A436,F$3:F436,F436)=1,1,0)</f>
        <v>1</v>
      </c>
    </row>
    <row r="437" spans="1:7" x14ac:dyDescent="0.25">
      <c r="A437">
        <v>470</v>
      </c>
      <c r="B437" s="3">
        <v>45481.019818472203</v>
      </c>
      <c r="C437">
        <v>869</v>
      </c>
      <c r="D437" s="4">
        <f t="shared" si="18"/>
        <v>45474</v>
      </c>
      <c r="E437" s="4">
        <f t="shared" si="19"/>
        <v>45474</v>
      </c>
      <c r="F437" s="5">
        <f t="shared" si="20"/>
        <v>0</v>
      </c>
      <c r="G437" s="5">
        <f>IF(COUNTIFS(A$3:A437,A437,F$3:F437,F437)=1,1,0)</f>
        <v>1</v>
      </c>
    </row>
    <row r="438" spans="1:7" x14ac:dyDescent="0.25">
      <c r="A438">
        <v>375</v>
      </c>
      <c r="B438" s="3">
        <v>45415.883893726903</v>
      </c>
      <c r="C438">
        <v>806</v>
      </c>
      <c r="D438" s="4">
        <f t="shared" si="18"/>
        <v>45413</v>
      </c>
      <c r="E438" s="4">
        <f t="shared" si="19"/>
        <v>45413</v>
      </c>
      <c r="F438" s="5">
        <f t="shared" si="20"/>
        <v>0</v>
      </c>
      <c r="G438" s="5">
        <f>IF(COUNTIFS(A$3:A438,A438,F$3:F438,F438)=1,1,0)</f>
        <v>1</v>
      </c>
    </row>
    <row r="439" spans="1:7" x14ac:dyDescent="0.25">
      <c r="A439">
        <v>22</v>
      </c>
      <c r="B439" s="3">
        <v>45477.815677372702</v>
      </c>
      <c r="C439">
        <v>790</v>
      </c>
      <c r="D439" s="4">
        <f t="shared" si="18"/>
        <v>45474</v>
      </c>
      <c r="E439" s="4">
        <f t="shared" si="19"/>
        <v>45413</v>
      </c>
      <c r="F439" s="5">
        <f t="shared" si="20"/>
        <v>2</v>
      </c>
      <c r="G439" s="5">
        <f>IF(COUNTIFS(A$3:A439,A439,F$3:F439,F439)=1,1,0)</f>
        <v>1</v>
      </c>
    </row>
    <row r="440" spans="1:7" x14ac:dyDescent="0.25">
      <c r="A440">
        <v>750</v>
      </c>
      <c r="B440" s="3">
        <v>45620.667102071799</v>
      </c>
      <c r="C440">
        <v>475</v>
      </c>
      <c r="D440" s="4">
        <f t="shared" si="18"/>
        <v>45597</v>
      </c>
      <c r="E440" s="4">
        <f t="shared" si="19"/>
        <v>45536</v>
      </c>
      <c r="F440" s="5">
        <f t="shared" si="20"/>
        <v>2</v>
      </c>
      <c r="G440" s="5">
        <f>IF(COUNTIFS(A$3:A440,A440,F$3:F440,F440)=1,1,0)</f>
        <v>1</v>
      </c>
    </row>
    <row r="441" spans="1:7" x14ac:dyDescent="0.25">
      <c r="A441">
        <v>670</v>
      </c>
      <c r="B441" s="3">
        <v>45638.1183357755</v>
      </c>
      <c r="C441">
        <v>779</v>
      </c>
      <c r="D441" s="4">
        <f t="shared" si="18"/>
        <v>45627</v>
      </c>
      <c r="E441" s="4">
        <f t="shared" si="19"/>
        <v>45474</v>
      </c>
      <c r="F441" s="5">
        <f t="shared" si="20"/>
        <v>5</v>
      </c>
      <c r="G441" s="5">
        <f>IF(COUNTIFS(A$3:A441,A441,F$3:F441,F441)=1,1,0)</f>
        <v>1</v>
      </c>
    </row>
    <row r="442" spans="1:7" x14ac:dyDescent="0.25">
      <c r="A442">
        <v>38</v>
      </c>
      <c r="B442" s="3">
        <v>45536.187613981499</v>
      </c>
      <c r="C442">
        <v>550</v>
      </c>
      <c r="D442" s="4">
        <f t="shared" si="18"/>
        <v>45536</v>
      </c>
      <c r="E442" s="4">
        <f t="shared" si="19"/>
        <v>45536</v>
      </c>
      <c r="F442" s="5">
        <f t="shared" si="20"/>
        <v>0</v>
      </c>
      <c r="G442" s="5">
        <f>IF(COUNTIFS(A$3:A442,A442,F$3:F442,F442)=1,1,0)</f>
        <v>1</v>
      </c>
    </row>
    <row r="443" spans="1:7" x14ac:dyDescent="0.25">
      <c r="A443">
        <v>230</v>
      </c>
      <c r="B443" s="3">
        <v>45400.100285057903</v>
      </c>
      <c r="C443">
        <v>222</v>
      </c>
      <c r="D443" s="4">
        <f t="shared" si="18"/>
        <v>45383</v>
      </c>
      <c r="E443" s="4">
        <f t="shared" si="19"/>
        <v>45383</v>
      </c>
      <c r="F443" s="5">
        <f t="shared" si="20"/>
        <v>0</v>
      </c>
      <c r="G443" s="5">
        <f>IF(COUNTIFS(A$3:A443,A443,F$3:F443,F443)=1,1,0)</f>
        <v>1</v>
      </c>
    </row>
    <row r="444" spans="1:7" x14ac:dyDescent="0.25">
      <c r="A444">
        <v>365</v>
      </c>
      <c r="B444" s="3">
        <v>45578.071518888901</v>
      </c>
      <c r="C444">
        <v>472</v>
      </c>
      <c r="D444" s="4">
        <f t="shared" si="18"/>
        <v>45566</v>
      </c>
      <c r="E444" s="4">
        <f t="shared" si="19"/>
        <v>45352</v>
      </c>
      <c r="F444" s="5">
        <f t="shared" si="20"/>
        <v>7</v>
      </c>
      <c r="G444" s="5">
        <f>IF(COUNTIFS(A$3:A444,A444,F$3:F444,F444)=1,1,0)</f>
        <v>1</v>
      </c>
    </row>
    <row r="445" spans="1:7" x14ac:dyDescent="0.25">
      <c r="A445">
        <v>563</v>
      </c>
      <c r="B445" s="3">
        <v>45441.444812256901</v>
      </c>
      <c r="C445">
        <v>445</v>
      </c>
      <c r="D445" s="4">
        <f t="shared" si="18"/>
        <v>45413</v>
      </c>
      <c r="E445" s="4">
        <f t="shared" si="19"/>
        <v>45352</v>
      </c>
      <c r="F445" s="5">
        <f t="shared" si="20"/>
        <v>2</v>
      </c>
      <c r="G445" s="5">
        <f>IF(COUNTIFS(A$3:A445,A445,F$3:F445,F445)=1,1,0)</f>
        <v>1</v>
      </c>
    </row>
    <row r="446" spans="1:7" x14ac:dyDescent="0.25">
      <c r="A446">
        <v>438</v>
      </c>
      <c r="B446" s="3">
        <v>45369.7825558681</v>
      </c>
      <c r="C446">
        <v>292</v>
      </c>
      <c r="D446" s="4">
        <f t="shared" si="18"/>
        <v>45352</v>
      </c>
      <c r="E446" s="4">
        <f t="shared" si="19"/>
        <v>45352</v>
      </c>
      <c r="F446" s="5">
        <f t="shared" si="20"/>
        <v>0</v>
      </c>
      <c r="G446" s="5">
        <f>IF(COUNTIFS(A$3:A446,A446,F$3:F446,F446)=1,1,0)</f>
        <v>1</v>
      </c>
    </row>
    <row r="447" spans="1:7" x14ac:dyDescent="0.25">
      <c r="A447">
        <v>776</v>
      </c>
      <c r="B447" s="3">
        <v>45398.121164872697</v>
      </c>
      <c r="C447">
        <v>571</v>
      </c>
      <c r="D447" s="4">
        <f t="shared" si="18"/>
        <v>45383</v>
      </c>
      <c r="E447" s="4">
        <f t="shared" si="19"/>
        <v>45352</v>
      </c>
      <c r="F447" s="5">
        <f t="shared" si="20"/>
        <v>1</v>
      </c>
      <c r="G447" s="5">
        <f>IF(COUNTIFS(A$3:A447,A447,F$3:F447,F447)=1,1,0)</f>
        <v>1</v>
      </c>
    </row>
    <row r="448" spans="1:7" x14ac:dyDescent="0.25">
      <c r="A448">
        <v>283</v>
      </c>
      <c r="B448" s="3">
        <v>45595.2154946644</v>
      </c>
      <c r="C448">
        <v>616</v>
      </c>
      <c r="D448" s="4">
        <f t="shared" si="18"/>
        <v>45566</v>
      </c>
      <c r="E448" s="4">
        <f t="shared" si="19"/>
        <v>45292</v>
      </c>
      <c r="F448" s="5">
        <f t="shared" si="20"/>
        <v>9</v>
      </c>
      <c r="G448" s="5">
        <f>IF(COUNTIFS(A$3:A448,A448,F$3:F448,F448)=1,1,0)</f>
        <v>1</v>
      </c>
    </row>
    <row r="449" spans="1:7" x14ac:dyDescent="0.25">
      <c r="A449">
        <v>27</v>
      </c>
      <c r="B449" s="3">
        <v>45481.5587075</v>
      </c>
      <c r="C449">
        <v>472</v>
      </c>
      <c r="D449" s="4">
        <f t="shared" si="18"/>
        <v>45474</v>
      </c>
      <c r="E449" s="4">
        <f t="shared" si="19"/>
        <v>45474</v>
      </c>
      <c r="F449" s="5">
        <f t="shared" si="20"/>
        <v>0</v>
      </c>
      <c r="G449" s="5">
        <f>IF(COUNTIFS(A$3:A449,A449,F$3:F449,F449)=1,1,0)</f>
        <v>1</v>
      </c>
    </row>
    <row r="450" spans="1:7" x14ac:dyDescent="0.25">
      <c r="A450">
        <v>226</v>
      </c>
      <c r="B450" s="3">
        <v>45620.5787417014</v>
      </c>
      <c r="C450">
        <v>416</v>
      </c>
      <c r="D450" s="4">
        <f t="shared" si="18"/>
        <v>45597</v>
      </c>
      <c r="E450" s="4">
        <f t="shared" si="19"/>
        <v>45597</v>
      </c>
      <c r="F450" s="5">
        <f t="shared" si="20"/>
        <v>0</v>
      </c>
      <c r="G450" s="5">
        <f>IF(COUNTIFS(A$3:A450,A450,F$3:F450,F450)=1,1,0)</f>
        <v>1</v>
      </c>
    </row>
    <row r="451" spans="1:7" x14ac:dyDescent="0.25">
      <c r="A451">
        <v>277</v>
      </c>
      <c r="B451" s="3">
        <v>45596.414223692103</v>
      </c>
      <c r="C451">
        <v>97</v>
      </c>
      <c r="D451" s="4">
        <f t="shared" ref="D451:D514" si="21">EOMONTH(B451,-1)+1</f>
        <v>45566</v>
      </c>
      <c r="E451" s="4">
        <f t="shared" ref="E451:E514" si="22">_xlfn.MINIFS(D$3:D$1002,A$3:A$1002,A451)</f>
        <v>45323</v>
      </c>
      <c r="F451" s="5">
        <f t="shared" ref="F451:F514" si="23">DATEDIF(E451,D451,"M")</f>
        <v>8</v>
      </c>
      <c r="G451" s="5">
        <f>IF(COUNTIFS(A$3:A451,A451,F$3:F451,F451)=1,1,0)</f>
        <v>0</v>
      </c>
    </row>
    <row r="452" spans="1:7" x14ac:dyDescent="0.25">
      <c r="A452">
        <v>798</v>
      </c>
      <c r="B452" s="3">
        <v>45450.602659363401</v>
      </c>
      <c r="C452">
        <v>53</v>
      </c>
      <c r="D452" s="4">
        <f t="shared" si="21"/>
        <v>45444</v>
      </c>
      <c r="E452" s="4">
        <f t="shared" si="22"/>
        <v>45323</v>
      </c>
      <c r="F452" s="5">
        <f t="shared" si="23"/>
        <v>4</v>
      </c>
      <c r="G452" s="5">
        <f>IF(COUNTIFS(A$3:A452,A452,F$3:F452,F452)=1,1,0)</f>
        <v>1</v>
      </c>
    </row>
    <row r="453" spans="1:7" x14ac:dyDescent="0.25">
      <c r="A453">
        <v>609</v>
      </c>
      <c r="B453" s="3">
        <v>45325.016603217598</v>
      </c>
      <c r="C453">
        <v>470</v>
      </c>
      <c r="D453" s="4">
        <f t="shared" si="21"/>
        <v>45323</v>
      </c>
      <c r="E453" s="4">
        <f t="shared" si="22"/>
        <v>45323</v>
      </c>
      <c r="F453" s="5">
        <f t="shared" si="23"/>
        <v>0</v>
      </c>
      <c r="G453" s="5">
        <f>IF(COUNTIFS(A$3:A453,A453,F$3:F453,F453)=1,1,0)</f>
        <v>1</v>
      </c>
    </row>
    <row r="454" spans="1:7" x14ac:dyDescent="0.25">
      <c r="A454">
        <v>284</v>
      </c>
      <c r="B454" s="3">
        <v>45393.202562580998</v>
      </c>
      <c r="C454">
        <v>287</v>
      </c>
      <c r="D454" s="4">
        <f t="shared" si="21"/>
        <v>45383</v>
      </c>
      <c r="E454" s="4">
        <f t="shared" si="22"/>
        <v>45383</v>
      </c>
      <c r="F454" s="5">
        <f t="shared" si="23"/>
        <v>0</v>
      </c>
      <c r="G454" s="5">
        <f>IF(COUNTIFS(A$3:A454,A454,F$3:F454,F454)=1,1,0)</f>
        <v>1</v>
      </c>
    </row>
    <row r="455" spans="1:7" x14ac:dyDescent="0.25">
      <c r="A455">
        <v>879</v>
      </c>
      <c r="B455" s="3">
        <v>45413.285855636597</v>
      </c>
      <c r="C455">
        <v>692</v>
      </c>
      <c r="D455" s="4">
        <f t="shared" si="21"/>
        <v>45413</v>
      </c>
      <c r="E455" s="4">
        <f t="shared" si="22"/>
        <v>45352</v>
      </c>
      <c r="F455" s="5">
        <f t="shared" si="23"/>
        <v>2</v>
      </c>
      <c r="G455" s="5">
        <f>IF(COUNTIFS(A$3:A455,A455,F$3:F455,F455)=1,1,0)</f>
        <v>1</v>
      </c>
    </row>
    <row r="456" spans="1:7" x14ac:dyDescent="0.25">
      <c r="A456">
        <v>960</v>
      </c>
      <c r="B456" s="3">
        <v>45367.819764641201</v>
      </c>
      <c r="C456">
        <v>430</v>
      </c>
      <c r="D456" s="4">
        <f t="shared" si="21"/>
        <v>45352</v>
      </c>
      <c r="E456" s="4">
        <f t="shared" si="22"/>
        <v>45352</v>
      </c>
      <c r="F456" s="5">
        <f t="shared" si="23"/>
        <v>0</v>
      </c>
      <c r="G456" s="5">
        <f>IF(COUNTIFS(A$3:A456,A456,F$3:F456,F456)=1,1,0)</f>
        <v>1</v>
      </c>
    </row>
    <row r="457" spans="1:7" x14ac:dyDescent="0.25">
      <c r="A457">
        <v>481</v>
      </c>
      <c r="B457" s="3">
        <v>45485.672343634302</v>
      </c>
      <c r="C457">
        <v>710</v>
      </c>
      <c r="D457" s="4">
        <f t="shared" si="21"/>
        <v>45474</v>
      </c>
      <c r="E457" s="4">
        <f t="shared" si="22"/>
        <v>45474</v>
      </c>
      <c r="F457" s="5">
        <f t="shared" si="23"/>
        <v>0</v>
      </c>
      <c r="G457" s="5">
        <f>IF(COUNTIFS(A$3:A457,A457,F$3:F457,F457)=1,1,0)</f>
        <v>1</v>
      </c>
    </row>
    <row r="458" spans="1:7" x14ac:dyDescent="0.25">
      <c r="A458">
        <v>453</v>
      </c>
      <c r="B458" s="3">
        <v>45624.631782627301</v>
      </c>
      <c r="C458">
        <v>362</v>
      </c>
      <c r="D458" s="4">
        <f t="shared" si="21"/>
        <v>45597</v>
      </c>
      <c r="E458" s="4">
        <f t="shared" si="22"/>
        <v>45444</v>
      </c>
      <c r="F458" s="5">
        <f t="shared" si="23"/>
        <v>5</v>
      </c>
      <c r="G458" s="5">
        <f>IF(COUNTIFS(A$3:A458,A458,F$3:F458,F458)=1,1,0)</f>
        <v>1</v>
      </c>
    </row>
    <row r="459" spans="1:7" x14ac:dyDescent="0.25">
      <c r="A459">
        <v>829</v>
      </c>
      <c r="B459" s="3">
        <v>45444.555501226903</v>
      </c>
      <c r="C459">
        <v>705</v>
      </c>
      <c r="D459" s="4">
        <f t="shared" si="21"/>
        <v>45444</v>
      </c>
      <c r="E459" s="4">
        <f t="shared" si="22"/>
        <v>45383</v>
      </c>
      <c r="F459" s="5">
        <f t="shared" si="23"/>
        <v>2</v>
      </c>
      <c r="G459" s="5">
        <f>IF(COUNTIFS(A$3:A459,A459,F$3:F459,F459)=1,1,0)</f>
        <v>1</v>
      </c>
    </row>
    <row r="460" spans="1:7" x14ac:dyDescent="0.25">
      <c r="A460">
        <v>816</v>
      </c>
      <c r="B460" s="3">
        <v>45462.674367592597</v>
      </c>
      <c r="C460">
        <v>524</v>
      </c>
      <c r="D460" s="4">
        <f t="shared" si="21"/>
        <v>45444</v>
      </c>
      <c r="E460" s="4">
        <f t="shared" si="22"/>
        <v>45444</v>
      </c>
      <c r="F460" s="5">
        <f t="shared" si="23"/>
        <v>0</v>
      </c>
      <c r="G460" s="5">
        <f>IF(COUNTIFS(A$3:A460,A460,F$3:F460,F460)=1,1,0)</f>
        <v>1</v>
      </c>
    </row>
    <row r="461" spans="1:7" x14ac:dyDescent="0.25">
      <c r="A461">
        <v>659</v>
      </c>
      <c r="B461" s="3">
        <v>45450.227466226897</v>
      </c>
      <c r="C461">
        <v>712</v>
      </c>
      <c r="D461" s="4">
        <f t="shared" si="21"/>
        <v>45444</v>
      </c>
      <c r="E461" s="4">
        <f t="shared" si="22"/>
        <v>45444</v>
      </c>
      <c r="F461" s="5">
        <f t="shared" si="23"/>
        <v>0</v>
      </c>
      <c r="G461" s="5">
        <f>IF(COUNTIFS(A$3:A461,A461,F$3:F461,F461)=1,1,0)</f>
        <v>1</v>
      </c>
    </row>
    <row r="462" spans="1:7" x14ac:dyDescent="0.25">
      <c r="A462">
        <v>516</v>
      </c>
      <c r="B462" s="3">
        <v>45460.768833240698</v>
      </c>
      <c r="C462">
        <v>639</v>
      </c>
      <c r="D462" s="4">
        <f t="shared" si="21"/>
        <v>45444</v>
      </c>
      <c r="E462" s="4">
        <f t="shared" si="22"/>
        <v>45352</v>
      </c>
      <c r="F462" s="5">
        <f t="shared" si="23"/>
        <v>3</v>
      </c>
      <c r="G462" s="5">
        <f>IF(COUNTIFS(A$3:A462,A462,F$3:F462,F462)=1,1,0)</f>
        <v>1</v>
      </c>
    </row>
    <row r="463" spans="1:7" x14ac:dyDescent="0.25">
      <c r="A463">
        <v>547</v>
      </c>
      <c r="B463" s="3">
        <v>45413.005054722198</v>
      </c>
      <c r="C463">
        <v>28</v>
      </c>
      <c r="D463" s="4">
        <f t="shared" si="21"/>
        <v>45413</v>
      </c>
      <c r="E463" s="4">
        <f t="shared" si="22"/>
        <v>45413</v>
      </c>
      <c r="F463" s="5">
        <f t="shared" si="23"/>
        <v>0</v>
      </c>
      <c r="G463" s="5">
        <f>IF(COUNTIFS(A$3:A463,A463,F$3:F463,F463)=1,1,0)</f>
        <v>1</v>
      </c>
    </row>
    <row r="464" spans="1:7" x14ac:dyDescent="0.25">
      <c r="A464">
        <v>192</v>
      </c>
      <c r="B464" s="3">
        <v>45610.806005300903</v>
      </c>
      <c r="C464">
        <v>32</v>
      </c>
      <c r="D464" s="4">
        <f t="shared" si="21"/>
        <v>45597</v>
      </c>
      <c r="E464" s="4">
        <f t="shared" si="22"/>
        <v>45444</v>
      </c>
      <c r="F464" s="5">
        <f t="shared" si="23"/>
        <v>5</v>
      </c>
      <c r="G464" s="5">
        <f>IF(COUNTIFS(A$3:A464,A464,F$3:F464,F464)=1,1,0)</f>
        <v>1</v>
      </c>
    </row>
    <row r="465" spans="1:7" x14ac:dyDescent="0.25">
      <c r="A465">
        <v>49</v>
      </c>
      <c r="B465" s="3">
        <v>45596.512956643499</v>
      </c>
      <c r="C465">
        <v>422</v>
      </c>
      <c r="D465" s="4">
        <f t="shared" si="21"/>
        <v>45566</v>
      </c>
      <c r="E465" s="4">
        <f t="shared" si="22"/>
        <v>45566</v>
      </c>
      <c r="F465" s="5">
        <f t="shared" si="23"/>
        <v>0</v>
      </c>
      <c r="G465" s="5">
        <f>IF(COUNTIFS(A$3:A465,A465,F$3:F465,F465)=1,1,0)</f>
        <v>1</v>
      </c>
    </row>
    <row r="466" spans="1:7" x14ac:dyDescent="0.25">
      <c r="A466">
        <v>512</v>
      </c>
      <c r="B466" s="3">
        <v>45458.815032754603</v>
      </c>
      <c r="C466">
        <v>39</v>
      </c>
      <c r="D466" s="4">
        <f t="shared" si="21"/>
        <v>45444</v>
      </c>
      <c r="E466" s="4">
        <f t="shared" si="22"/>
        <v>45444</v>
      </c>
      <c r="F466" s="5">
        <f t="shared" si="23"/>
        <v>0</v>
      </c>
      <c r="G466" s="5">
        <f>IF(COUNTIFS(A$3:A466,A466,F$3:F466,F466)=1,1,0)</f>
        <v>1</v>
      </c>
    </row>
    <row r="467" spans="1:7" x14ac:dyDescent="0.25">
      <c r="A467">
        <v>17</v>
      </c>
      <c r="B467" s="3">
        <v>45500.438169537003</v>
      </c>
      <c r="C467">
        <v>816</v>
      </c>
      <c r="D467" s="4">
        <f t="shared" si="21"/>
        <v>45474</v>
      </c>
      <c r="E467" s="4">
        <f t="shared" si="22"/>
        <v>45474</v>
      </c>
      <c r="F467" s="5">
        <f t="shared" si="23"/>
        <v>0</v>
      </c>
      <c r="G467" s="5">
        <f>IF(COUNTIFS(A$3:A467,A467,F$3:F467,F467)=1,1,0)</f>
        <v>1</v>
      </c>
    </row>
    <row r="468" spans="1:7" x14ac:dyDescent="0.25">
      <c r="A468">
        <v>172</v>
      </c>
      <c r="B468" s="3">
        <v>45298.663932118099</v>
      </c>
      <c r="C468">
        <v>117</v>
      </c>
      <c r="D468" s="4">
        <f t="shared" si="21"/>
        <v>45292</v>
      </c>
      <c r="E468" s="4">
        <f t="shared" si="22"/>
        <v>45292</v>
      </c>
      <c r="F468" s="5">
        <f t="shared" si="23"/>
        <v>0</v>
      </c>
      <c r="G468" s="5">
        <f>IF(COUNTIFS(A$3:A468,A468,F$3:F468,F468)=1,1,0)</f>
        <v>1</v>
      </c>
    </row>
    <row r="469" spans="1:7" x14ac:dyDescent="0.25">
      <c r="A469">
        <v>220</v>
      </c>
      <c r="B469" s="3">
        <v>45325.6052560069</v>
      </c>
      <c r="C469">
        <v>376</v>
      </c>
      <c r="D469" s="4">
        <f t="shared" si="21"/>
        <v>45323</v>
      </c>
      <c r="E469" s="4">
        <f t="shared" si="22"/>
        <v>45323</v>
      </c>
      <c r="F469" s="5">
        <f t="shared" si="23"/>
        <v>0</v>
      </c>
      <c r="G469" s="5">
        <f>IF(COUNTIFS(A$3:A469,A469,F$3:F469,F469)=1,1,0)</f>
        <v>1</v>
      </c>
    </row>
    <row r="470" spans="1:7" x14ac:dyDescent="0.25">
      <c r="A470">
        <v>158</v>
      </c>
      <c r="B470" s="3">
        <v>45484.839834675899</v>
      </c>
      <c r="C470">
        <v>290</v>
      </c>
      <c r="D470" s="4">
        <f t="shared" si="21"/>
        <v>45474</v>
      </c>
      <c r="E470" s="4">
        <f t="shared" si="22"/>
        <v>45474</v>
      </c>
      <c r="F470" s="5">
        <f t="shared" si="23"/>
        <v>0</v>
      </c>
      <c r="G470" s="5">
        <f>IF(COUNTIFS(A$3:A470,A470,F$3:F470,F470)=1,1,0)</f>
        <v>1</v>
      </c>
    </row>
    <row r="471" spans="1:7" x14ac:dyDescent="0.25">
      <c r="A471">
        <v>477</v>
      </c>
      <c r="B471" s="3">
        <v>45470.747730393501</v>
      </c>
      <c r="C471">
        <v>137</v>
      </c>
      <c r="D471" s="4">
        <f t="shared" si="21"/>
        <v>45444</v>
      </c>
      <c r="E471" s="4">
        <f t="shared" si="22"/>
        <v>45352</v>
      </c>
      <c r="F471" s="5">
        <f t="shared" si="23"/>
        <v>3</v>
      </c>
      <c r="G471" s="5">
        <f>IF(COUNTIFS(A$3:A471,A471,F$3:F471,F471)=1,1,0)</f>
        <v>1</v>
      </c>
    </row>
    <row r="472" spans="1:7" x14ac:dyDescent="0.25">
      <c r="A472">
        <v>46</v>
      </c>
      <c r="B472" s="3">
        <v>45383.548845405101</v>
      </c>
      <c r="C472">
        <v>238</v>
      </c>
      <c r="D472" s="4">
        <f t="shared" si="21"/>
        <v>45383</v>
      </c>
      <c r="E472" s="4">
        <f t="shared" si="22"/>
        <v>45383</v>
      </c>
      <c r="F472" s="5">
        <f t="shared" si="23"/>
        <v>0</v>
      </c>
      <c r="G472" s="5">
        <f>IF(COUNTIFS(A$3:A472,A472,F$3:F472,F472)=1,1,0)</f>
        <v>1</v>
      </c>
    </row>
    <row r="473" spans="1:7" x14ac:dyDescent="0.25">
      <c r="A473">
        <v>373</v>
      </c>
      <c r="B473" s="3">
        <v>45646.5589287037</v>
      </c>
      <c r="C473">
        <v>120</v>
      </c>
      <c r="D473" s="4">
        <f t="shared" si="21"/>
        <v>45627</v>
      </c>
      <c r="E473" s="4">
        <f t="shared" si="22"/>
        <v>45413</v>
      </c>
      <c r="F473" s="5">
        <f t="shared" si="23"/>
        <v>7</v>
      </c>
      <c r="G473" s="5">
        <f>IF(COUNTIFS(A$3:A473,A473,F$3:F473,F473)=1,1,0)</f>
        <v>0</v>
      </c>
    </row>
    <row r="474" spans="1:7" x14ac:dyDescent="0.25">
      <c r="A474">
        <v>518</v>
      </c>
      <c r="B474" s="3">
        <v>45375.934435057898</v>
      </c>
      <c r="C474">
        <v>145</v>
      </c>
      <c r="D474" s="4">
        <f t="shared" si="21"/>
        <v>45352</v>
      </c>
      <c r="E474" s="4">
        <f t="shared" si="22"/>
        <v>45352</v>
      </c>
      <c r="F474" s="5">
        <f t="shared" si="23"/>
        <v>0</v>
      </c>
      <c r="G474" s="5">
        <f>IF(COUNTIFS(A$3:A474,A474,F$3:F474,F474)=1,1,0)</f>
        <v>1</v>
      </c>
    </row>
    <row r="475" spans="1:7" x14ac:dyDescent="0.25">
      <c r="A475">
        <v>99</v>
      </c>
      <c r="B475" s="3">
        <v>45482.312462546302</v>
      </c>
      <c r="C475">
        <v>371</v>
      </c>
      <c r="D475" s="4">
        <f t="shared" si="21"/>
        <v>45474</v>
      </c>
      <c r="E475" s="4">
        <f t="shared" si="22"/>
        <v>45323</v>
      </c>
      <c r="F475" s="5">
        <f t="shared" si="23"/>
        <v>5</v>
      </c>
      <c r="G475" s="5">
        <f>IF(COUNTIFS(A$3:A475,A475,F$3:F475,F475)=1,1,0)</f>
        <v>1</v>
      </c>
    </row>
    <row r="476" spans="1:7" x14ac:dyDescent="0.25">
      <c r="A476">
        <v>892</v>
      </c>
      <c r="B476" s="3">
        <v>45550.793225925903</v>
      </c>
      <c r="C476">
        <v>195</v>
      </c>
      <c r="D476" s="4">
        <f t="shared" si="21"/>
        <v>45536</v>
      </c>
      <c r="E476" s="4">
        <f t="shared" si="22"/>
        <v>45292</v>
      </c>
      <c r="F476" s="5">
        <f t="shared" si="23"/>
        <v>8</v>
      </c>
      <c r="G476" s="5">
        <f>IF(COUNTIFS(A$3:A476,A476,F$3:F476,F476)=1,1,0)</f>
        <v>1</v>
      </c>
    </row>
    <row r="477" spans="1:7" x14ac:dyDescent="0.25">
      <c r="A477">
        <v>745</v>
      </c>
      <c r="B477" s="3">
        <v>45426.253214999997</v>
      </c>
      <c r="C477">
        <v>665</v>
      </c>
      <c r="D477" s="4">
        <f t="shared" si="21"/>
        <v>45413</v>
      </c>
      <c r="E477" s="4">
        <f t="shared" si="22"/>
        <v>45383</v>
      </c>
      <c r="F477" s="5">
        <f t="shared" si="23"/>
        <v>1</v>
      </c>
      <c r="G477" s="5">
        <f>IF(COUNTIFS(A$3:A477,A477,F$3:F477,F477)=1,1,0)</f>
        <v>1</v>
      </c>
    </row>
    <row r="478" spans="1:7" x14ac:dyDescent="0.25">
      <c r="A478">
        <v>37</v>
      </c>
      <c r="B478" s="3">
        <v>45406.780486516203</v>
      </c>
      <c r="C478">
        <v>593</v>
      </c>
      <c r="D478" s="4">
        <f t="shared" si="21"/>
        <v>45383</v>
      </c>
      <c r="E478" s="4">
        <f t="shared" si="22"/>
        <v>45352</v>
      </c>
      <c r="F478" s="5">
        <f t="shared" si="23"/>
        <v>1</v>
      </c>
      <c r="G478" s="5">
        <f>IF(COUNTIFS(A$3:A478,A478,F$3:F478,F478)=1,1,0)</f>
        <v>1</v>
      </c>
    </row>
    <row r="479" spans="1:7" x14ac:dyDescent="0.25">
      <c r="A479">
        <v>280</v>
      </c>
      <c r="B479" s="3">
        <v>45497.664830196802</v>
      </c>
      <c r="C479">
        <v>138</v>
      </c>
      <c r="D479" s="4">
        <f t="shared" si="21"/>
        <v>45474</v>
      </c>
      <c r="E479" s="4">
        <f t="shared" si="22"/>
        <v>45474</v>
      </c>
      <c r="F479" s="5">
        <f t="shared" si="23"/>
        <v>0</v>
      </c>
      <c r="G479" s="5">
        <f>IF(COUNTIFS(A$3:A479,A479,F$3:F479,F479)=1,1,0)</f>
        <v>1</v>
      </c>
    </row>
    <row r="480" spans="1:7" x14ac:dyDescent="0.25">
      <c r="A480">
        <v>349</v>
      </c>
      <c r="B480" s="3">
        <v>45496.588877673603</v>
      </c>
      <c r="C480">
        <v>885</v>
      </c>
      <c r="D480" s="4">
        <f t="shared" si="21"/>
        <v>45474</v>
      </c>
      <c r="E480" s="4">
        <f t="shared" si="22"/>
        <v>45413</v>
      </c>
      <c r="F480" s="5">
        <f t="shared" si="23"/>
        <v>2</v>
      </c>
      <c r="G480" s="5">
        <f>IF(COUNTIFS(A$3:A480,A480,F$3:F480,F480)=1,1,0)</f>
        <v>1</v>
      </c>
    </row>
    <row r="481" spans="1:7" x14ac:dyDescent="0.25">
      <c r="A481">
        <v>497</v>
      </c>
      <c r="B481" s="3">
        <v>45645.306703344897</v>
      </c>
      <c r="C481">
        <v>270</v>
      </c>
      <c r="D481" s="4">
        <f t="shared" si="21"/>
        <v>45627</v>
      </c>
      <c r="E481" s="4">
        <f t="shared" si="22"/>
        <v>45292</v>
      </c>
      <c r="F481" s="5">
        <f t="shared" si="23"/>
        <v>11</v>
      </c>
      <c r="G481" s="5">
        <f>IF(COUNTIFS(A$3:A481,A481,F$3:F481,F481)=1,1,0)</f>
        <v>1</v>
      </c>
    </row>
    <row r="482" spans="1:7" x14ac:dyDescent="0.25">
      <c r="A482">
        <v>302</v>
      </c>
      <c r="B482" s="3">
        <v>45632.193840023101</v>
      </c>
      <c r="C482">
        <v>524</v>
      </c>
      <c r="D482" s="4">
        <f t="shared" si="21"/>
        <v>45627</v>
      </c>
      <c r="E482" s="4">
        <f t="shared" si="22"/>
        <v>45474</v>
      </c>
      <c r="F482" s="5">
        <f t="shared" si="23"/>
        <v>5</v>
      </c>
      <c r="G482" s="5">
        <f>IF(COUNTIFS(A$3:A482,A482,F$3:F482,F482)=1,1,0)</f>
        <v>1</v>
      </c>
    </row>
    <row r="483" spans="1:7" x14ac:dyDescent="0.25">
      <c r="A483">
        <v>181</v>
      </c>
      <c r="B483" s="3">
        <v>45626.709979479201</v>
      </c>
      <c r="C483">
        <v>458</v>
      </c>
      <c r="D483" s="4">
        <f t="shared" si="21"/>
        <v>45597</v>
      </c>
      <c r="E483" s="4">
        <f t="shared" si="22"/>
        <v>45597</v>
      </c>
      <c r="F483" s="5">
        <f t="shared" si="23"/>
        <v>0</v>
      </c>
      <c r="G483" s="5">
        <f>IF(COUNTIFS(A$3:A483,A483,F$3:F483,F483)=1,1,0)</f>
        <v>1</v>
      </c>
    </row>
    <row r="484" spans="1:7" x14ac:dyDescent="0.25">
      <c r="A484">
        <v>607</v>
      </c>
      <c r="B484" s="3">
        <v>45527.376290034699</v>
      </c>
      <c r="C484">
        <v>909</v>
      </c>
      <c r="D484" s="4">
        <f t="shared" si="21"/>
        <v>45505</v>
      </c>
      <c r="E484" s="4">
        <f t="shared" si="22"/>
        <v>45505</v>
      </c>
      <c r="F484" s="5">
        <f t="shared" si="23"/>
        <v>0</v>
      </c>
      <c r="G484" s="5">
        <f>IF(COUNTIFS(A$3:A484,A484,F$3:F484,F484)=1,1,0)</f>
        <v>1</v>
      </c>
    </row>
    <row r="485" spans="1:7" x14ac:dyDescent="0.25">
      <c r="A485">
        <v>99</v>
      </c>
      <c r="B485" s="3">
        <v>45625.769717488402</v>
      </c>
      <c r="C485">
        <v>113</v>
      </c>
      <c r="D485" s="4">
        <f t="shared" si="21"/>
        <v>45597</v>
      </c>
      <c r="E485" s="4">
        <f t="shared" si="22"/>
        <v>45323</v>
      </c>
      <c r="F485" s="5">
        <f t="shared" si="23"/>
        <v>9</v>
      </c>
      <c r="G485" s="5">
        <f>IF(COUNTIFS(A$3:A485,A485,F$3:F485,F485)=1,1,0)</f>
        <v>1</v>
      </c>
    </row>
    <row r="486" spans="1:7" x14ac:dyDescent="0.25">
      <c r="A486">
        <v>700</v>
      </c>
      <c r="B486" s="3">
        <v>45620.859085972203</v>
      </c>
      <c r="C486">
        <v>492</v>
      </c>
      <c r="D486" s="4">
        <f t="shared" si="21"/>
        <v>45597</v>
      </c>
      <c r="E486" s="4">
        <f t="shared" si="22"/>
        <v>45292</v>
      </c>
      <c r="F486" s="5">
        <f t="shared" si="23"/>
        <v>10</v>
      </c>
      <c r="G486" s="5">
        <f>IF(COUNTIFS(A$3:A486,A486,F$3:F486,F486)=1,1,0)</f>
        <v>1</v>
      </c>
    </row>
    <row r="487" spans="1:7" x14ac:dyDescent="0.25">
      <c r="A487">
        <v>993</v>
      </c>
      <c r="B487" s="3">
        <v>45582.364668194401</v>
      </c>
      <c r="C487">
        <v>233</v>
      </c>
      <c r="D487" s="4">
        <f t="shared" si="21"/>
        <v>45566</v>
      </c>
      <c r="E487" s="4">
        <f t="shared" si="22"/>
        <v>45292</v>
      </c>
      <c r="F487" s="5">
        <f t="shared" si="23"/>
        <v>9</v>
      </c>
      <c r="G487" s="5">
        <f>IF(COUNTIFS(A$3:A487,A487,F$3:F487,F487)=1,1,0)</f>
        <v>1</v>
      </c>
    </row>
    <row r="488" spans="1:7" x14ac:dyDescent="0.25">
      <c r="A488">
        <v>116</v>
      </c>
      <c r="B488" s="3">
        <v>45409.926707303202</v>
      </c>
      <c r="C488">
        <v>841</v>
      </c>
      <c r="D488" s="4">
        <f t="shared" si="21"/>
        <v>45383</v>
      </c>
      <c r="E488" s="4">
        <f t="shared" si="22"/>
        <v>45383</v>
      </c>
      <c r="F488" s="5">
        <f t="shared" si="23"/>
        <v>0</v>
      </c>
      <c r="G488" s="5">
        <f>IF(COUNTIFS(A$3:A488,A488,F$3:F488,F488)=1,1,0)</f>
        <v>1</v>
      </c>
    </row>
    <row r="489" spans="1:7" x14ac:dyDescent="0.25">
      <c r="A489">
        <v>191</v>
      </c>
      <c r="B489" s="3">
        <v>45426.559300763904</v>
      </c>
      <c r="C489">
        <v>883</v>
      </c>
      <c r="D489" s="4">
        <f t="shared" si="21"/>
        <v>45413</v>
      </c>
      <c r="E489" s="4">
        <f t="shared" si="22"/>
        <v>45413</v>
      </c>
      <c r="F489" s="5">
        <f t="shared" si="23"/>
        <v>0</v>
      </c>
      <c r="G489" s="5">
        <f>IF(COUNTIFS(A$3:A489,A489,F$3:F489,F489)=1,1,0)</f>
        <v>1</v>
      </c>
    </row>
    <row r="490" spans="1:7" x14ac:dyDescent="0.25">
      <c r="A490">
        <v>253</v>
      </c>
      <c r="B490" s="3">
        <v>45646.757060752301</v>
      </c>
      <c r="C490">
        <v>875</v>
      </c>
      <c r="D490" s="4">
        <f t="shared" si="21"/>
        <v>45627</v>
      </c>
      <c r="E490" s="4">
        <f t="shared" si="22"/>
        <v>45383</v>
      </c>
      <c r="F490" s="5">
        <f t="shared" si="23"/>
        <v>8</v>
      </c>
      <c r="G490" s="5">
        <f>IF(COUNTIFS(A$3:A490,A490,F$3:F490,F490)=1,1,0)</f>
        <v>1</v>
      </c>
    </row>
    <row r="491" spans="1:7" x14ac:dyDescent="0.25">
      <c r="A491">
        <v>981</v>
      </c>
      <c r="B491" s="3">
        <v>45440.447247534699</v>
      </c>
      <c r="C491">
        <v>500</v>
      </c>
      <c r="D491" s="4">
        <f t="shared" si="21"/>
        <v>45413</v>
      </c>
      <c r="E491" s="4">
        <f t="shared" si="22"/>
        <v>45413</v>
      </c>
      <c r="F491" s="5">
        <f t="shared" si="23"/>
        <v>0</v>
      </c>
      <c r="G491" s="5">
        <f>IF(COUNTIFS(A$3:A491,A491,F$3:F491,F491)=1,1,0)</f>
        <v>1</v>
      </c>
    </row>
    <row r="492" spans="1:7" x14ac:dyDescent="0.25">
      <c r="A492">
        <v>928</v>
      </c>
      <c r="B492" s="3">
        <v>45598.404881863396</v>
      </c>
      <c r="C492">
        <v>482</v>
      </c>
      <c r="D492" s="4">
        <f t="shared" si="21"/>
        <v>45597</v>
      </c>
      <c r="E492" s="4">
        <f t="shared" si="22"/>
        <v>45597</v>
      </c>
      <c r="F492" s="5">
        <f t="shared" si="23"/>
        <v>0</v>
      </c>
      <c r="G492" s="5">
        <f>IF(COUNTIFS(A$3:A492,A492,F$3:F492,F492)=1,1,0)</f>
        <v>1</v>
      </c>
    </row>
    <row r="493" spans="1:7" x14ac:dyDescent="0.25">
      <c r="A493">
        <v>983</v>
      </c>
      <c r="B493" s="3">
        <v>45559.770766678201</v>
      </c>
      <c r="C493">
        <v>19</v>
      </c>
      <c r="D493" s="4">
        <f t="shared" si="21"/>
        <v>45536</v>
      </c>
      <c r="E493" s="4">
        <f t="shared" si="22"/>
        <v>45536</v>
      </c>
      <c r="F493" s="5">
        <f t="shared" si="23"/>
        <v>0</v>
      </c>
      <c r="G493" s="5">
        <f>IF(COUNTIFS(A$3:A493,A493,F$3:F493,F493)=1,1,0)</f>
        <v>1</v>
      </c>
    </row>
    <row r="494" spans="1:7" x14ac:dyDescent="0.25">
      <c r="A494">
        <v>161</v>
      </c>
      <c r="B494" s="3">
        <v>45397.877157800896</v>
      </c>
      <c r="C494">
        <v>414</v>
      </c>
      <c r="D494" s="4">
        <f t="shared" si="21"/>
        <v>45383</v>
      </c>
      <c r="E494" s="4">
        <f t="shared" si="22"/>
        <v>45383</v>
      </c>
      <c r="F494" s="5">
        <f t="shared" si="23"/>
        <v>0</v>
      </c>
      <c r="G494" s="5">
        <f>IF(COUNTIFS(A$3:A494,A494,F$3:F494,F494)=1,1,0)</f>
        <v>1</v>
      </c>
    </row>
    <row r="495" spans="1:7" x14ac:dyDescent="0.25">
      <c r="A495">
        <v>256</v>
      </c>
      <c r="B495" s="3">
        <v>45526.664409872697</v>
      </c>
      <c r="C495">
        <v>905</v>
      </c>
      <c r="D495" s="4">
        <f t="shared" si="21"/>
        <v>45505</v>
      </c>
      <c r="E495" s="4">
        <f t="shared" si="22"/>
        <v>45352</v>
      </c>
      <c r="F495" s="5">
        <f t="shared" si="23"/>
        <v>5</v>
      </c>
      <c r="G495" s="5">
        <f>IF(COUNTIFS(A$3:A495,A495,F$3:F495,F495)=1,1,0)</f>
        <v>1</v>
      </c>
    </row>
    <row r="496" spans="1:7" x14ac:dyDescent="0.25">
      <c r="A496">
        <v>323</v>
      </c>
      <c r="B496" s="3">
        <v>45528.249313935201</v>
      </c>
      <c r="C496">
        <v>311</v>
      </c>
      <c r="D496" s="4">
        <f t="shared" si="21"/>
        <v>45505</v>
      </c>
      <c r="E496" s="4">
        <f t="shared" si="22"/>
        <v>45292</v>
      </c>
      <c r="F496" s="5">
        <f t="shared" si="23"/>
        <v>7</v>
      </c>
      <c r="G496" s="5">
        <f>IF(COUNTIFS(A$3:A496,A496,F$3:F496,F496)=1,1,0)</f>
        <v>1</v>
      </c>
    </row>
    <row r="497" spans="1:7" x14ac:dyDescent="0.25">
      <c r="A497">
        <v>128</v>
      </c>
      <c r="B497" s="3">
        <v>45319.673799201402</v>
      </c>
      <c r="C497">
        <v>240</v>
      </c>
      <c r="D497" s="4">
        <f t="shared" si="21"/>
        <v>45292</v>
      </c>
      <c r="E497" s="4">
        <f t="shared" si="22"/>
        <v>45292</v>
      </c>
      <c r="F497" s="5">
        <f t="shared" si="23"/>
        <v>0</v>
      </c>
      <c r="G497" s="5">
        <f>IF(COUNTIFS(A$3:A497,A497,F$3:F497,F497)=1,1,0)</f>
        <v>1</v>
      </c>
    </row>
    <row r="498" spans="1:7" x14ac:dyDescent="0.25">
      <c r="A498">
        <v>18</v>
      </c>
      <c r="B498" s="3">
        <v>45587.967971794002</v>
      </c>
      <c r="C498">
        <v>740</v>
      </c>
      <c r="D498" s="4">
        <f t="shared" si="21"/>
        <v>45566</v>
      </c>
      <c r="E498" s="4">
        <f t="shared" si="22"/>
        <v>45566</v>
      </c>
      <c r="F498" s="5">
        <f t="shared" si="23"/>
        <v>0</v>
      </c>
      <c r="G498" s="5">
        <f>IF(COUNTIFS(A$3:A498,A498,F$3:F498,F498)=1,1,0)</f>
        <v>1</v>
      </c>
    </row>
    <row r="499" spans="1:7" x14ac:dyDescent="0.25">
      <c r="A499">
        <v>793</v>
      </c>
      <c r="B499" s="3">
        <v>45545.189792986101</v>
      </c>
      <c r="C499">
        <v>932</v>
      </c>
      <c r="D499" s="4">
        <f t="shared" si="21"/>
        <v>45536</v>
      </c>
      <c r="E499" s="4">
        <f t="shared" si="22"/>
        <v>45536</v>
      </c>
      <c r="F499" s="5">
        <f t="shared" si="23"/>
        <v>0</v>
      </c>
      <c r="G499" s="5">
        <f>IF(COUNTIFS(A$3:A499,A499,F$3:F499,F499)=1,1,0)</f>
        <v>1</v>
      </c>
    </row>
    <row r="500" spans="1:7" x14ac:dyDescent="0.25">
      <c r="A500">
        <v>735</v>
      </c>
      <c r="B500" s="3">
        <v>45522.065106863403</v>
      </c>
      <c r="C500">
        <v>75</v>
      </c>
      <c r="D500" s="4">
        <f t="shared" si="21"/>
        <v>45505</v>
      </c>
      <c r="E500" s="4">
        <f t="shared" si="22"/>
        <v>45505</v>
      </c>
      <c r="F500" s="5">
        <f t="shared" si="23"/>
        <v>0</v>
      </c>
      <c r="G500" s="5">
        <f>IF(COUNTIFS(A$3:A500,A500,F$3:F500,F500)=1,1,0)</f>
        <v>1</v>
      </c>
    </row>
    <row r="501" spans="1:7" x14ac:dyDescent="0.25">
      <c r="A501">
        <v>566</v>
      </c>
      <c r="B501" s="3">
        <v>45355.155153252301</v>
      </c>
      <c r="C501">
        <v>946</v>
      </c>
      <c r="D501" s="4">
        <f t="shared" si="21"/>
        <v>45352</v>
      </c>
      <c r="E501" s="4">
        <f t="shared" si="22"/>
        <v>45292</v>
      </c>
      <c r="F501" s="5">
        <f t="shared" si="23"/>
        <v>2</v>
      </c>
      <c r="G501" s="5">
        <f>IF(COUNTIFS(A$3:A501,A501,F$3:F501,F501)=1,1,0)</f>
        <v>1</v>
      </c>
    </row>
    <row r="502" spans="1:7" x14ac:dyDescent="0.25">
      <c r="A502">
        <v>570</v>
      </c>
      <c r="B502" s="3">
        <v>45589.681650300903</v>
      </c>
      <c r="C502">
        <v>121</v>
      </c>
      <c r="D502" s="4">
        <f t="shared" si="21"/>
        <v>45566</v>
      </c>
      <c r="E502" s="4">
        <f t="shared" si="22"/>
        <v>45323</v>
      </c>
      <c r="F502" s="5">
        <f t="shared" si="23"/>
        <v>8</v>
      </c>
      <c r="G502" s="5">
        <f>IF(COUNTIFS(A$3:A502,A502,F$3:F502,F502)=1,1,0)</f>
        <v>1</v>
      </c>
    </row>
    <row r="503" spans="1:7" x14ac:dyDescent="0.25">
      <c r="A503">
        <v>323</v>
      </c>
      <c r="B503" s="3">
        <v>45300.275373449098</v>
      </c>
      <c r="C503">
        <v>22</v>
      </c>
      <c r="D503" s="4">
        <f t="shared" si="21"/>
        <v>45292</v>
      </c>
      <c r="E503" s="4">
        <f t="shared" si="22"/>
        <v>45292</v>
      </c>
      <c r="F503" s="5">
        <f t="shared" si="23"/>
        <v>0</v>
      </c>
      <c r="G503" s="5">
        <f>IF(COUNTIFS(A$3:A503,A503,F$3:F503,F503)=1,1,0)</f>
        <v>1</v>
      </c>
    </row>
    <row r="504" spans="1:7" x14ac:dyDescent="0.25">
      <c r="A504">
        <v>872</v>
      </c>
      <c r="B504" s="3">
        <v>45615.276640289398</v>
      </c>
      <c r="C504">
        <v>402</v>
      </c>
      <c r="D504" s="4">
        <f t="shared" si="21"/>
        <v>45597</v>
      </c>
      <c r="E504" s="4">
        <f t="shared" si="22"/>
        <v>45444</v>
      </c>
      <c r="F504" s="5">
        <f t="shared" si="23"/>
        <v>5</v>
      </c>
      <c r="G504" s="5">
        <f>IF(COUNTIFS(A$3:A504,A504,F$3:F504,F504)=1,1,0)</f>
        <v>1</v>
      </c>
    </row>
    <row r="505" spans="1:7" x14ac:dyDescent="0.25">
      <c r="A505">
        <v>686</v>
      </c>
      <c r="B505" s="3">
        <v>45603.077121967603</v>
      </c>
      <c r="C505">
        <v>509</v>
      </c>
      <c r="D505" s="4">
        <f t="shared" si="21"/>
        <v>45597</v>
      </c>
      <c r="E505" s="4">
        <f t="shared" si="22"/>
        <v>45597</v>
      </c>
      <c r="F505" s="5">
        <f t="shared" si="23"/>
        <v>0</v>
      </c>
      <c r="G505" s="5">
        <f>IF(COUNTIFS(A$3:A505,A505,F$3:F505,F505)=1,1,0)</f>
        <v>1</v>
      </c>
    </row>
    <row r="506" spans="1:7" x14ac:dyDescent="0.25">
      <c r="A506">
        <v>792</v>
      </c>
      <c r="B506" s="3">
        <v>45450.5126180324</v>
      </c>
      <c r="C506">
        <v>941</v>
      </c>
      <c r="D506" s="4">
        <f t="shared" si="21"/>
        <v>45444</v>
      </c>
      <c r="E506" s="4">
        <f t="shared" si="22"/>
        <v>45444</v>
      </c>
      <c r="F506" s="5">
        <f t="shared" si="23"/>
        <v>0</v>
      </c>
      <c r="G506" s="5">
        <f>IF(COUNTIFS(A$3:A506,A506,F$3:F506,F506)=1,1,0)</f>
        <v>1</v>
      </c>
    </row>
    <row r="507" spans="1:7" x14ac:dyDescent="0.25">
      <c r="A507">
        <v>626</v>
      </c>
      <c r="B507" s="3">
        <v>45545.806929571801</v>
      </c>
      <c r="C507">
        <v>607</v>
      </c>
      <c r="D507" s="4">
        <f t="shared" si="21"/>
        <v>45536</v>
      </c>
      <c r="E507" s="4">
        <f t="shared" si="22"/>
        <v>45505</v>
      </c>
      <c r="F507" s="5">
        <f t="shared" si="23"/>
        <v>1</v>
      </c>
      <c r="G507" s="5">
        <f>IF(COUNTIFS(A$3:A507,A507,F$3:F507,F507)=1,1,0)</f>
        <v>1</v>
      </c>
    </row>
    <row r="508" spans="1:7" x14ac:dyDescent="0.25">
      <c r="A508">
        <v>288</v>
      </c>
      <c r="B508" s="3">
        <v>45616.6062009491</v>
      </c>
      <c r="C508">
        <v>243</v>
      </c>
      <c r="D508" s="4">
        <f t="shared" si="21"/>
        <v>45597</v>
      </c>
      <c r="E508" s="4">
        <f t="shared" si="22"/>
        <v>45597</v>
      </c>
      <c r="F508" s="5">
        <f t="shared" si="23"/>
        <v>0</v>
      </c>
      <c r="G508" s="5">
        <f>IF(COUNTIFS(A$3:A508,A508,F$3:F508,F508)=1,1,0)</f>
        <v>1</v>
      </c>
    </row>
    <row r="509" spans="1:7" x14ac:dyDescent="0.25">
      <c r="A509">
        <v>943</v>
      </c>
      <c r="B509" s="3">
        <v>45626.164660300899</v>
      </c>
      <c r="C509">
        <v>611</v>
      </c>
      <c r="D509" s="4">
        <f t="shared" si="21"/>
        <v>45597</v>
      </c>
      <c r="E509" s="4">
        <f t="shared" si="22"/>
        <v>45474</v>
      </c>
      <c r="F509" s="5">
        <f t="shared" si="23"/>
        <v>4</v>
      </c>
      <c r="G509" s="5">
        <f>IF(COUNTIFS(A$3:A509,A509,F$3:F509,F509)=1,1,0)</f>
        <v>1</v>
      </c>
    </row>
    <row r="510" spans="1:7" x14ac:dyDescent="0.25">
      <c r="A510">
        <v>854</v>
      </c>
      <c r="B510" s="3">
        <v>45337.274914780101</v>
      </c>
      <c r="C510">
        <v>323</v>
      </c>
      <c r="D510" s="4">
        <f t="shared" si="21"/>
        <v>45323</v>
      </c>
      <c r="E510" s="4">
        <f t="shared" si="22"/>
        <v>45292</v>
      </c>
      <c r="F510" s="5">
        <f t="shared" si="23"/>
        <v>1</v>
      </c>
      <c r="G510" s="5">
        <f>IF(COUNTIFS(A$3:A510,A510,F$3:F510,F510)=1,1,0)</f>
        <v>1</v>
      </c>
    </row>
    <row r="511" spans="1:7" x14ac:dyDescent="0.25">
      <c r="A511">
        <v>663</v>
      </c>
      <c r="B511" s="3">
        <v>45585.065383449102</v>
      </c>
      <c r="C511">
        <v>575</v>
      </c>
      <c r="D511" s="4">
        <f t="shared" si="21"/>
        <v>45566</v>
      </c>
      <c r="E511" s="4">
        <f t="shared" si="22"/>
        <v>45566</v>
      </c>
      <c r="F511" s="5">
        <f t="shared" si="23"/>
        <v>0</v>
      </c>
      <c r="G511" s="5">
        <f>IF(COUNTIFS(A$3:A511,A511,F$3:F511,F511)=1,1,0)</f>
        <v>1</v>
      </c>
    </row>
    <row r="512" spans="1:7" x14ac:dyDescent="0.25">
      <c r="A512">
        <v>962</v>
      </c>
      <c r="B512" s="3">
        <v>45421.091351655101</v>
      </c>
      <c r="C512">
        <v>21</v>
      </c>
      <c r="D512" s="4">
        <f t="shared" si="21"/>
        <v>45413</v>
      </c>
      <c r="E512" s="4">
        <f t="shared" si="22"/>
        <v>45413</v>
      </c>
      <c r="F512" s="5">
        <f t="shared" si="23"/>
        <v>0</v>
      </c>
      <c r="G512" s="5">
        <f>IF(COUNTIFS(A$3:A512,A512,F$3:F512,F512)=1,1,0)</f>
        <v>1</v>
      </c>
    </row>
    <row r="513" spans="1:7" x14ac:dyDescent="0.25">
      <c r="A513">
        <v>639</v>
      </c>
      <c r="B513" s="3">
        <v>45319.784311909702</v>
      </c>
      <c r="C513">
        <v>218</v>
      </c>
      <c r="D513" s="4">
        <f t="shared" si="21"/>
        <v>45292</v>
      </c>
      <c r="E513" s="4">
        <f t="shared" si="22"/>
        <v>45292</v>
      </c>
      <c r="F513" s="5">
        <f t="shared" si="23"/>
        <v>0</v>
      </c>
      <c r="G513" s="5">
        <f>IF(COUNTIFS(A$3:A513,A513,F$3:F513,F513)=1,1,0)</f>
        <v>1</v>
      </c>
    </row>
    <row r="514" spans="1:7" x14ac:dyDescent="0.25">
      <c r="A514">
        <v>155</v>
      </c>
      <c r="B514" s="3">
        <v>45509.415655983801</v>
      </c>
      <c r="C514">
        <v>983</v>
      </c>
      <c r="D514" s="4">
        <f t="shared" si="21"/>
        <v>45505</v>
      </c>
      <c r="E514" s="4">
        <f t="shared" si="22"/>
        <v>45505</v>
      </c>
      <c r="F514" s="5">
        <f t="shared" si="23"/>
        <v>0</v>
      </c>
      <c r="G514" s="5">
        <f>IF(COUNTIFS(A$3:A514,A514,F$3:F514,F514)=1,1,0)</f>
        <v>1</v>
      </c>
    </row>
    <row r="515" spans="1:7" x14ac:dyDescent="0.25">
      <c r="A515">
        <v>490</v>
      </c>
      <c r="B515" s="3">
        <v>45491.467182592598</v>
      </c>
      <c r="C515">
        <v>23</v>
      </c>
      <c r="D515" s="4">
        <f t="shared" ref="D515:D578" si="24">EOMONTH(B515,-1)+1</f>
        <v>45474</v>
      </c>
      <c r="E515" s="4">
        <f t="shared" ref="E515:E578" si="25">_xlfn.MINIFS(D$3:D$1002,A$3:A$1002,A515)</f>
        <v>45292</v>
      </c>
      <c r="F515" s="5">
        <f t="shared" ref="F515:F578" si="26">DATEDIF(E515,D515,"M")</f>
        <v>6</v>
      </c>
      <c r="G515" s="5">
        <f>IF(COUNTIFS(A$3:A515,A515,F$3:F515,F515)=1,1,0)</f>
        <v>1</v>
      </c>
    </row>
    <row r="516" spans="1:7" x14ac:dyDescent="0.25">
      <c r="A516">
        <v>386</v>
      </c>
      <c r="B516" s="3">
        <v>45548.8355845486</v>
      </c>
      <c r="C516">
        <v>642</v>
      </c>
      <c r="D516" s="4">
        <f t="shared" si="24"/>
        <v>45536</v>
      </c>
      <c r="E516" s="4">
        <f t="shared" si="25"/>
        <v>45474</v>
      </c>
      <c r="F516" s="5">
        <f t="shared" si="26"/>
        <v>2</v>
      </c>
      <c r="G516" s="5">
        <f>IF(COUNTIFS(A$3:A516,A516,F$3:F516,F516)=1,1,0)</f>
        <v>0</v>
      </c>
    </row>
    <row r="517" spans="1:7" x14ac:dyDescent="0.25">
      <c r="A517">
        <v>986</v>
      </c>
      <c r="B517" s="3">
        <v>45575.004334919002</v>
      </c>
      <c r="C517">
        <v>427</v>
      </c>
      <c r="D517" s="4">
        <f t="shared" si="24"/>
        <v>45566</v>
      </c>
      <c r="E517" s="4">
        <f t="shared" si="25"/>
        <v>45566</v>
      </c>
      <c r="F517" s="5">
        <f t="shared" si="26"/>
        <v>0</v>
      </c>
      <c r="G517" s="5">
        <f>IF(COUNTIFS(A$3:A517,A517,F$3:F517,F517)=1,1,0)</f>
        <v>1</v>
      </c>
    </row>
    <row r="518" spans="1:7" x14ac:dyDescent="0.25">
      <c r="A518">
        <v>785</v>
      </c>
      <c r="B518" s="3">
        <v>45550.159261099499</v>
      </c>
      <c r="C518">
        <v>446</v>
      </c>
      <c r="D518" s="4">
        <f t="shared" si="24"/>
        <v>45536</v>
      </c>
      <c r="E518" s="4">
        <f t="shared" si="25"/>
        <v>45536</v>
      </c>
      <c r="F518" s="5">
        <f t="shared" si="26"/>
        <v>0</v>
      </c>
      <c r="G518" s="5">
        <f>IF(COUNTIFS(A$3:A518,A518,F$3:F518,F518)=1,1,0)</f>
        <v>1</v>
      </c>
    </row>
    <row r="519" spans="1:7" x14ac:dyDescent="0.25">
      <c r="A519">
        <v>104</v>
      </c>
      <c r="B519" s="3">
        <v>45359.236362418997</v>
      </c>
      <c r="C519">
        <v>386</v>
      </c>
      <c r="D519" s="4">
        <f t="shared" si="24"/>
        <v>45352</v>
      </c>
      <c r="E519" s="4">
        <f t="shared" si="25"/>
        <v>45323</v>
      </c>
      <c r="F519" s="5">
        <f t="shared" si="26"/>
        <v>1</v>
      </c>
      <c r="G519" s="5">
        <f>IF(COUNTIFS(A$3:A519,A519,F$3:F519,F519)=1,1,0)</f>
        <v>1</v>
      </c>
    </row>
    <row r="520" spans="1:7" x14ac:dyDescent="0.25">
      <c r="A520">
        <v>929</v>
      </c>
      <c r="B520" s="3">
        <v>45499.048250011598</v>
      </c>
      <c r="C520">
        <v>29</v>
      </c>
      <c r="D520" s="4">
        <f t="shared" si="24"/>
        <v>45474</v>
      </c>
      <c r="E520" s="4">
        <f t="shared" si="25"/>
        <v>45474</v>
      </c>
      <c r="F520" s="5">
        <f t="shared" si="26"/>
        <v>0</v>
      </c>
      <c r="G520" s="5">
        <f>IF(COUNTIFS(A$3:A520,A520,F$3:F520,F520)=1,1,0)</f>
        <v>1</v>
      </c>
    </row>
    <row r="521" spans="1:7" x14ac:dyDescent="0.25">
      <c r="A521">
        <v>393</v>
      </c>
      <c r="B521" s="3">
        <v>45334.927852488399</v>
      </c>
      <c r="C521">
        <v>596</v>
      </c>
      <c r="D521" s="4">
        <f t="shared" si="24"/>
        <v>45323</v>
      </c>
      <c r="E521" s="4">
        <f t="shared" si="25"/>
        <v>45323</v>
      </c>
      <c r="F521" s="5">
        <f t="shared" si="26"/>
        <v>0</v>
      </c>
      <c r="G521" s="5">
        <f>IF(COUNTIFS(A$3:A521,A521,F$3:F521,F521)=1,1,0)</f>
        <v>1</v>
      </c>
    </row>
    <row r="522" spans="1:7" x14ac:dyDescent="0.25">
      <c r="A522">
        <v>811</v>
      </c>
      <c r="B522" s="3">
        <v>45451.440389930598</v>
      </c>
      <c r="C522">
        <v>921</v>
      </c>
      <c r="D522" s="4">
        <f t="shared" si="24"/>
        <v>45444</v>
      </c>
      <c r="E522" s="4">
        <f t="shared" si="25"/>
        <v>45444</v>
      </c>
      <c r="F522" s="5">
        <f t="shared" si="26"/>
        <v>0</v>
      </c>
      <c r="G522" s="5">
        <f>IF(COUNTIFS(A$3:A522,A522,F$3:F522,F522)=1,1,0)</f>
        <v>1</v>
      </c>
    </row>
    <row r="523" spans="1:7" x14ac:dyDescent="0.25">
      <c r="A523">
        <v>246</v>
      </c>
      <c r="B523" s="3">
        <v>45482.314025289401</v>
      </c>
      <c r="C523">
        <v>764</v>
      </c>
      <c r="D523" s="4">
        <f t="shared" si="24"/>
        <v>45474</v>
      </c>
      <c r="E523" s="4">
        <f t="shared" si="25"/>
        <v>45474</v>
      </c>
      <c r="F523" s="5">
        <f t="shared" si="26"/>
        <v>0</v>
      </c>
      <c r="G523" s="5">
        <f>IF(COUNTIFS(A$3:A523,A523,F$3:F523,F523)=1,1,0)</f>
        <v>1</v>
      </c>
    </row>
    <row r="524" spans="1:7" x14ac:dyDescent="0.25">
      <c r="A524">
        <v>176</v>
      </c>
      <c r="B524" s="3">
        <v>45353.402265532401</v>
      </c>
      <c r="C524">
        <v>744</v>
      </c>
      <c r="D524" s="4">
        <f t="shared" si="24"/>
        <v>45352</v>
      </c>
      <c r="E524" s="4">
        <f t="shared" si="25"/>
        <v>45352</v>
      </c>
      <c r="F524" s="5">
        <f t="shared" si="26"/>
        <v>0</v>
      </c>
      <c r="G524" s="5">
        <f>IF(COUNTIFS(A$3:A524,A524,F$3:F524,F524)=1,1,0)</f>
        <v>1</v>
      </c>
    </row>
    <row r="525" spans="1:7" x14ac:dyDescent="0.25">
      <c r="A525">
        <v>39</v>
      </c>
      <c r="B525" s="3">
        <v>45402.142338576399</v>
      </c>
      <c r="C525">
        <v>79</v>
      </c>
      <c r="D525" s="4">
        <f t="shared" si="24"/>
        <v>45383</v>
      </c>
      <c r="E525" s="4">
        <f t="shared" si="25"/>
        <v>45383</v>
      </c>
      <c r="F525" s="5">
        <f t="shared" si="26"/>
        <v>0</v>
      </c>
      <c r="G525" s="5">
        <f>IF(COUNTIFS(A$3:A525,A525,F$3:F525,F525)=1,1,0)</f>
        <v>1</v>
      </c>
    </row>
    <row r="526" spans="1:7" x14ac:dyDescent="0.25">
      <c r="A526">
        <v>477</v>
      </c>
      <c r="B526" s="3">
        <v>45548.6420240972</v>
      </c>
      <c r="C526">
        <v>833</v>
      </c>
      <c r="D526" s="4">
        <f t="shared" si="24"/>
        <v>45536</v>
      </c>
      <c r="E526" s="4">
        <f t="shared" si="25"/>
        <v>45352</v>
      </c>
      <c r="F526" s="5">
        <f t="shared" si="26"/>
        <v>6</v>
      </c>
      <c r="G526" s="5">
        <f>IF(COUNTIFS(A$3:A526,A526,F$3:F526,F526)=1,1,0)</f>
        <v>1</v>
      </c>
    </row>
    <row r="527" spans="1:7" x14ac:dyDescent="0.25">
      <c r="A527">
        <v>682</v>
      </c>
      <c r="B527" s="3">
        <v>45367.288301944398</v>
      </c>
      <c r="C527">
        <v>220</v>
      </c>
      <c r="D527" s="4">
        <f t="shared" si="24"/>
        <v>45352</v>
      </c>
      <c r="E527" s="4">
        <f t="shared" si="25"/>
        <v>45352</v>
      </c>
      <c r="F527" s="5">
        <f t="shared" si="26"/>
        <v>0</v>
      </c>
      <c r="G527" s="5">
        <f>IF(COUNTIFS(A$3:A527,A527,F$3:F527,F527)=1,1,0)</f>
        <v>1</v>
      </c>
    </row>
    <row r="528" spans="1:7" x14ac:dyDescent="0.25">
      <c r="A528">
        <v>759</v>
      </c>
      <c r="B528" s="3">
        <v>45499.821562754601</v>
      </c>
      <c r="C528">
        <v>110</v>
      </c>
      <c r="D528" s="4">
        <f t="shared" si="24"/>
        <v>45474</v>
      </c>
      <c r="E528" s="4">
        <f t="shared" si="25"/>
        <v>45383</v>
      </c>
      <c r="F528" s="5">
        <f t="shared" si="26"/>
        <v>3</v>
      </c>
      <c r="G528" s="5">
        <f>IF(COUNTIFS(A$3:A528,A528,F$3:F528,F528)=1,1,0)</f>
        <v>1</v>
      </c>
    </row>
    <row r="529" spans="1:7" x14ac:dyDescent="0.25">
      <c r="A529">
        <v>538</v>
      </c>
      <c r="B529" s="3">
        <v>45295.822650000002</v>
      </c>
      <c r="C529">
        <v>707</v>
      </c>
      <c r="D529" s="4">
        <f t="shared" si="24"/>
        <v>45292</v>
      </c>
      <c r="E529" s="4">
        <f t="shared" si="25"/>
        <v>45292</v>
      </c>
      <c r="F529" s="5">
        <f t="shared" si="26"/>
        <v>0</v>
      </c>
      <c r="G529" s="5">
        <f>IF(COUNTIFS(A$3:A529,A529,F$3:F529,F529)=1,1,0)</f>
        <v>1</v>
      </c>
    </row>
    <row r="530" spans="1:7" x14ac:dyDescent="0.25">
      <c r="A530">
        <v>867</v>
      </c>
      <c r="B530" s="3">
        <v>45455.800186423599</v>
      </c>
      <c r="C530">
        <v>141</v>
      </c>
      <c r="D530" s="4">
        <f t="shared" si="24"/>
        <v>45444</v>
      </c>
      <c r="E530" s="4">
        <f t="shared" si="25"/>
        <v>45444</v>
      </c>
      <c r="F530" s="5">
        <f t="shared" si="26"/>
        <v>0</v>
      </c>
      <c r="G530" s="5">
        <f>IF(COUNTIFS(A$3:A530,A530,F$3:F530,F530)=1,1,0)</f>
        <v>1</v>
      </c>
    </row>
    <row r="531" spans="1:7" x14ac:dyDescent="0.25">
      <c r="A531">
        <v>818</v>
      </c>
      <c r="B531" s="3">
        <v>45306.332279039401</v>
      </c>
      <c r="C531">
        <v>632</v>
      </c>
      <c r="D531" s="4">
        <f t="shared" si="24"/>
        <v>45292</v>
      </c>
      <c r="E531" s="4">
        <f t="shared" si="25"/>
        <v>45292</v>
      </c>
      <c r="F531" s="5">
        <f t="shared" si="26"/>
        <v>0</v>
      </c>
      <c r="G531" s="5">
        <f>IF(COUNTIFS(A$3:A531,A531,F$3:F531,F531)=1,1,0)</f>
        <v>1</v>
      </c>
    </row>
    <row r="532" spans="1:7" x14ac:dyDescent="0.25">
      <c r="A532">
        <v>921</v>
      </c>
      <c r="B532" s="3">
        <v>45382.947597349499</v>
      </c>
      <c r="C532">
        <v>390</v>
      </c>
      <c r="D532" s="4">
        <f t="shared" si="24"/>
        <v>45352</v>
      </c>
      <c r="E532" s="4">
        <f t="shared" si="25"/>
        <v>45352</v>
      </c>
      <c r="F532" s="5">
        <f t="shared" si="26"/>
        <v>0</v>
      </c>
      <c r="G532" s="5">
        <f>IF(COUNTIFS(A$3:A532,A532,F$3:F532,F532)=1,1,0)</f>
        <v>1</v>
      </c>
    </row>
    <row r="533" spans="1:7" x14ac:dyDescent="0.25">
      <c r="A533">
        <v>408</v>
      </c>
      <c r="B533" s="3">
        <v>45443.185930671301</v>
      </c>
      <c r="C533">
        <v>141</v>
      </c>
      <c r="D533" s="4">
        <f t="shared" si="24"/>
        <v>45413</v>
      </c>
      <c r="E533" s="4">
        <f t="shared" si="25"/>
        <v>45413</v>
      </c>
      <c r="F533" s="5">
        <f t="shared" si="26"/>
        <v>0</v>
      </c>
      <c r="G533" s="5">
        <f>IF(COUNTIFS(A$3:A533,A533,F$3:F533,F533)=1,1,0)</f>
        <v>1</v>
      </c>
    </row>
    <row r="534" spans="1:7" x14ac:dyDescent="0.25">
      <c r="A534">
        <v>525</v>
      </c>
      <c r="B534" s="3">
        <v>45623.3913201389</v>
      </c>
      <c r="C534">
        <v>29</v>
      </c>
      <c r="D534" s="4">
        <f t="shared" si="24"/>
        <v>45597</v>
      </c>
      <c r="E534" s="4">
        <f t="shared" si="25"/>
        <v>45292</v>
      </c>
      <c r="F534" s="5">
        <f t="shared" si="26"/>
        <v>10</v>
      </c>
      <c r="G534" s="5">
        <f>IF(COUNTIFS(A$3:A534,A534,F$3:F534,F534)=1,1,0)</f>
        <v>1</v>
      </c>
    </row>
    <row r="535" spans="1:7" x14ac:dyDescent="0.25">
      <c r="A535">
        <v>828</v>
      </c>
      <c r="B535" s="3">
        <v>45586.636320555597</v>
      </c>
      <c r="C535">
        <v>915</v>
      </c>
      <c r="D535" s="4">
        <f t="shared" si="24"/>
        <v>45566</v>
      </c>
      <c r="E535" s="4">
        <f t="shared" si="25"/>
        <v>45566</v>
      </c>
      <c r="F535" s="5">
        <f t="shared" si="26"/>
        <v>0</v>
      </c>
      <c r="G535" s="5">
        <f>IF(COUNTIFS(A$3:A535,A535,F$3:F535,F535)=1,1,0)</f>
        <v>1</v>
      </c>
    </row>
    <row r="536" spans="1:7" x14ac:dyDescent="0.25">
      <c r="A536">
        <v>506</v>
      </c>
      <c r="B536" s="3">
        <v>45539.956005428197</v>
      </c>
      <c r="C536">
        <v>545</v>
      </c>
      <c r="D536" s="4">
        <f t="shared" si="24"/>
        <v>45536</v>
      </c>
      <c r="E536" s="4">
        <f t="shared" si="25"/>
        <v>45536</v>
      </c>
      <c r="F536" s="5">
        <f t="shared" si="26"/>
        <v>0</v>
      </c>
      <c r="G536" s="5">
        <f>IF(COUNTIFS(A$3:A536,A536,F$3:F536,F536)=1,1,0)</f>
        <v>1</v>
      </c>
    </row>
    <row r="537" spans="1:7" x14ac:dyDescent="0.25">
      <c r="A537">
        <v>903</v>
      </c>
      <c r="B537" s="3">
        <v>45536.046846840298</v>
      </c>
      <c r="C537">
        <v>236</v>
      </c>
      <c r="D537" s="4">
        <f t="shared" si="24"/>
        <v>45536</v>
      </c>
      <c r="E537" s="4">
        <f t="shared" si="25"/>
        <v>45323</v>
      </c>
      <c r="F537" s="5">
        <f t="shared" si="26"/>
        <v>7</v>
      </c>
      <c r="G537" s="5">
        <f>IF(COUNTIFS(A$3:A537,A537,F$3:F537,F537)=1,1,0)</f>
        <v>1</v>
      </c>
    </row>
    <row r="538" spans="1:7" x14ac:dyDescent="0.25">
      <c r="A538">
        <v>825</v>
      </c>
      <c r="B538" s="3">
        <v>45293.725038819401</v>
      </c>
      <c r="C538">
        <v>163</v>
      </c>
      <c r="D538" s="4">
        <f t="shared" si="24"/>
        <v>45292</v>
      </c>
      <c r="E538" s="4">
        <f t="shared" si="25"/>
        <v>45292</v>
      </c>
      <c r="F538" s="5">
        <f t="shared" si="26"/>
        <v>0</v>
      </c>
      <c r="G538" s="5">
        <f>IF(COUNTIFS(A$3:A538,A538,F$3:F538,F538)=1,1,0)</f>
        <v>1</v>
      </c>
    </row>
    <row r="539" spans="1:7" x14ac:dyDescent="0.25">
      <c r="A539">
        <v>36</v>
      </c>
      <c r="B539" s="3">
        <v>45642.805047546302</v>
      </c>
      <c r="C539">
        <v>814</v>
      </c>
      <c r="D539" s="4">
        <f t="shared" si="24"/>
        <v>45627</v>
      </c>
      <c r="E539" s="4">
        <f t="shared" si="25"/>
        <v>45474</v>
      </c>
      <c r="F539" s="5">
        <f t="shared" si="26"/>
        <v>5</v>
      </c>
      <c r="G539" s="5">
        <f>IF(COUNTIFS(A$3:A539,A539,F$3:F539,F539)=1,1,0)</f>
        <v>1</v>
      </c>
    </row>
    <row r="540" spans="1:7" x14ac:dyDescent="0.25">
      <c r="A540">
        <v>685</v>
      </c>
      <c r="B540" s="3">
        <v>45400.403800949098</v>
      </c>
      <c r="C540">
        <v>751</v>
      </c>
      <c r="D540" s="4">
        <f t="shared" si="24"/>
        <v>45383</v>
      </c>
      <c r="E540" s="4">
        <f t="shared" si="25"/>
        <v>45383</v>
      </c>
      <c r="F540" s="5">
        <f t="shared" si="26"/>
        <v>0</v>
      </c>
      <c r="G540" s="5">
        <f>IF(COUNTIFS(A$3:A540,A540,F$3:F540,F540)=1,1,0)</f>
        <v>1</v>
      </c>
    </row>
    <row r="541" spans="1:7" x14ac:dyDescent="0.25">
      <c r="A541">
        <v>20</v>
      </c>
      <c r="B541" s="3">
        <v>45421.954350416701</v>
      </c>
      <c r="C541">
        <v>478</v>
      </c>
      <c r="D541" s="4">
        <f t="shared" si="24"/>
        <v>45413</v>
      </c>
      <c r="E541" s="4">
        <f t="shared" si="25"/>
        <v>45413</v>
      </c>
      <c r="F541" s="5">
        <f t="shared" si="26"/>
        <v>0</v>
      </c>
      <c r="G541" s="5">
        <f>IF(COUNTIFS(A$3:A541,A541,F$3:F541,F541)=1,1,0)</f>
        <v>1</v>
      </c>
    </row>
    <row r="542" spans="1:7" x14ac:dyDescent="0.25">
      <c r="A542">
        <v>321</v>
      </c>
      <c r="B542" s="3">
        <v>45308.270372291699</v>
      </c>
      <c r="C542">
        <v>831</v>
      </c>
      <c r="D542" s="4">
        <f t="shared" si="24"/>
        <v>45292</v>
      </c>
      <c r="E542" s="4">
        <f t="shared" si="25"/>
        <v>45292</v>
      </c>
      <c r="F542" s="5">
        <f t="shared" si="26"/>
        <v>0</v>
      </c>
      <c r="G542" s="5">
        <f>IF(COUNTIFS(A$3:A542,A542,F$3:F542,F542)=1,1,0)</f>
        <v>1</v>
      </c>
    </row>
    <row r="543" spans="1:7" x14ac:dyDescent="0.25">
      <c r="A543">
        <v>776</v>
      </c>
      <c r="B543" s="3">
        <v>45414.4173477199</v>
      </c>
      <c r="C543">
        <v>880</v>
      </c>
      <c r="D543" s="4">
        <f t="shared" si="24"/>
        <v>45413</v>
      </c>
      <c r="E543" s="4">
        <f t="shared" si="25"/>
        <v>45352</v>
      </c>
      <c r="F543" s="5">
        <f t="shared" si="26"/>
        <v>2</v>
      </c>
      <c r="G543" s="5">
        <f>IF(COUNTIFS(A$3:A543,A543,F$3:F543,F543)=1,1,0)</f>
        <v>1</v>
      </c>
    </row>
    <row r="544" spans="1:7" x14ac:dyDescent="0.25">
      <c r="A544">
        <v>512</v>
      </c>
      <c r="B544" s="3">
        <v>45462.695274745398</v>
      </c>
      <c r="C544">
        <v>414</v>
      </c>
      <c r="D544" s="4">
        <f t="shared" si="24"/>
        <v>45444</v>
      </c>
      <c r="E544" s="4">
        <f t="shared" si="25"/>
        <v>45444</v>
      </c>
      <c r="F544" s="5">
        <f t="shared" si="26"/>
        <v>0</v>
      </c>
      <c r="G544" s="5">
        <f>IF(COUNTIFS(A$3:A544,A544,F$3:F544,F544)=1,1,0)</f>
        <v>0</v>
      </c>
    </row>
    <row r="545" spans="1:7" x14ac:dyDescent="0.25">
      <c r="A545">
        <v>400</v>
      </c>
      <c r="B545" s="3">
        <v>45488.919892372702</v>
      </c>
      <c r="C545">
        <v>211</v>
      </c>
      <c r="D545" s="4">
        <f t="shared" si="24"/>
        <v>45474</v>
      </c>
      <c r="E545" s="4">
        <f t="shared" si="25"/>
        <v>45474</v>
      </c>
      <c r="F545" s="5">
        <f t="shared" si="26"/>
        <v>0</v>
      </c>
      <c r="G545" s="5">
        <f>IF(COUNTIFS(A$3:A545,A545,F$3:F545,F545)=1,1,0)</f>
        <v>1</v>
      </c>
    </row>
    <row r="546" spans="1:7" x14ac:dyDescent="0.25">
      <c r="A546">
        <v>654</v>
      </c>
      <c r="B546" s="3">
        <v>45493.782730034698</v>
      </c>
      <c r="C546">
        <v>47</v>
      </c>
      <c r="D546" s="4">
        <f t="shared" si="24"/>
        <v>45474</v>
      </c>
      <c r="E546" s="4">
        <f t="shared" si="25"/>
        <v>45474</v>
      </c>
      <c r="F546" s="5">
        <f t="shared" si="26"/>
        <v>0</v>
      </c>
      <c r="G546" s="5">
        <f>IF(COUNTIFS(A$3:A546,A546,F$3:F546,F546)=1,1,0)</f>
        <v>1</v>
      </c>
    </row>
    <row r="547" spans="1:7" x14ac:dyDescent="0.25">
      <c r="A547">
        <v>972</v>
      </c>
      <c r="B547" s="3">
        <v>45308.251119050903</v>
      </c>
      <c r="C547">
        <v>951</v>
      </c>
      <c r="D547" s="4">
        <f t="shared" si="24"/>
        <v>45292</v>
      </c>
      <c r="E547" s="4">
        <f t="shared" si="25"/>
        <v>45292</v>
      </c>
      <c r="F547" s="5">
        <f t="shared" si="26"/>
        <v>0</v>
      </c>
      <c r="G547" s="5">
        <f>IF(COUNTIFS(A$3:A547,A547,F$3:F547,F547)=1,1,0)</f>
        <v>1</v>
      </c>
    </row>
    <row r="548" spans="1:7" x14ac:dyDescent="0.25">
      <c r="A548">
        <v>883</v>
      </c>
      <c r="B548" s="3">
        <v>45516.022028425898</v>
      </c>
      <c r="C548">
        <v>781</v>
      </c>
      <c r="D548" s="4">
        <f t="shared" si="24"/>
        <v>45505</v>
      </c>
      <c r="E548" s="4">
        <f t="shared" si="25"/>
        <v>45505</v>
      </c>
      <c r="F548" s="5">
        <f t="shared" si="26"/>
        <v>0</v>
      </c>
      <c r="G548" s="5">
        <f>IF(COUNTIFS(A$3:A548,A548,F$3:F548,F548)=1,1,0)</f>
        <v>1</v>
      </c>
    </row>
    <row r="549" spans="1:7" x14ac:dyDescent="0.25">
      <c r="A549">
        <v>471</v>
      </c>
      <c r="B549" s="3">
        <v>45345.395553032402</v>
      </c>
      <c r="C549">
        <v>197</v>
      </c>
      <c r="D549" s="4">
        <f t="shared" si="24"/>
        <v>45323</v>
      </c>
      <c r="E549" s="4">
        <f t="shared" si="25"/>
        <v>45323</v>
      </c>
      <c r="F549" s="5">
        <f t="shared" si="26"/>
        <v>0</v>
      </c>
      <c r="G549" s="5">
        <f>IF(COUNTIFS(A$3:A549,A549,F$3:F549,F549)=1,1,0)</f>
        <v>1</v>
      </c>
    </row>
    <row r="550" spans="1:7" x14ac:dyDescent="0.25">
      <c r="A550">
        <v>143</v>
      </c>
      <c r="B550" s="3">
        <v>45632.489796134301</v>
      </c>
      <c r="C550">
        <v>66</v>
      </c>
      <c r="D550" s="4">
        <f t="shared" si="24"/>
        <v>45627</v>
      </c>
      <c r="E550" s="4">
        <f t="shared" si="25"/>
        <v>45413</v>
      </c>
      <c r="F550" s="5">
        <f t="shared" si="26"/>
        <v>7</v>
      </c>
      <c r="G550" s="5">
        <f>IF(COUNTIFS(A$3:A550,A550,F$3:F550,F550)=1,1,0)</f>
        <v>1</v>
      </c>
    </row>
    <row r="551" spans="1:7" x14ac:dyDescent="0.25">
      <c r="A551">
        <v>92</v>
      </c>
      <c r="B551" s="3">
        <v>45455.088063136602</v>
      </c>
      <c r="C551">
        <v>950</v>
      </c>
      <c r="D551" s="4">
        <f t="shared" si="24"/>
        <v>45444</v>
      </c>
      <c r="E551" s="4">
        <f t="shared" si="25"/>
        <v>45444</v>
      </c>
      <c r="F551" s="5">
        <f t="shared" si="26"/>
        <v>0</v>
      </c>
      <c r="G551" s="5">
        <f>IF(COUNTIFS(A$3:A551,A551,F$3:F551,F551)=1,1,0)</f>
        <v>1</v>
      </c>
    </row>
    <row r="552" spans="1:7" x14ac:dyDescent="0.25">
      <c r="A552">
        <v>354</v>
      </c>
      <c r="B552" s="3">
        <v>45498.690029953701</v>
      </c>
      <c r="C552">
        <v>29</v>
      </c>
      <c r="D552" s="4">
        <f t="shared" si="24"/>
        <v>45474</v>
      </c>
      <c r="E552" s="4">
        <f t="shared" si="25"/>
        <v>45474</v>
      </c>
      <c r="F552" s="5">
        <f t="shared" si="26"/>
        <v>0</v>
      </c>
      <c r="G552" s="5">
        <f>IF(COUNTIFS(A$3:A552,A552,F$3:F552,F552)=1,1,0)</f>
        <v>1</v>
      </c>
    </row>
    <row r="553" spans="1:7" x14ac:dyDescent="0.25">
      <c r="A553">
        <v>834</v>
      </c>
      <c r="B553" s="3">
        <v>45597.995497256998</v>
      </c>
      <c r="C553">
        <v>282</v>
      </c>
      <c r="D553" s="4">
        <f t="shared" si="24"/>
        <v>45597</v>
      </c>
      <c r="E553" s="4">
        <f t="shared" si="25"/>
        <v>45597</v>
      </c>
      <c r="F553" s="5">
        <f t="shared" si="26"/>
        <v>0</v>
      </c>
      <c r="G553" s="5">
        <f>IF(COUNTIFS(A$3:A553,A553,F$3:F553,F553)=1,1,0)</f>
        <v>1</v>
      </c>
    </row>
    <row r="554" spans="1:7" x14ac:dyDescent="0.25">
      <c r="A554">
        <v>800</v>
      </c>
      <c r="B554" s="3">
        <v>45637.478265902799</v>
      </c>
      <c r="C554">
        <v>128</v>
      </c>
      <c r="D554" s="4">
        <f t="shared" si="24"/>
        <v>45627</v>
      </c>
      <c r="E554" s="4">
        <f t="shared" si="25"/>
        <v>45627</v>
      </c>
      <c r="F554" s="5">
        <f t="shared" si="26"/>
        <v>0</v>
      </c>
      <c r="G554" s="5">
        <f>IF(COUNTIFS(A$3:A554,A554,F$3:F554,F554)=1,1,0)</f>
        <v>1</v>
      </c>
    </row>
    <row r="555" spans="1:7" x14ac:dyDescent="0.25">
      <c r="A555">
        <v>727</v>
      </c>
      <c r="B555" s="3">
        <v>45633.081649409702</v>
      </c>
      <c r="C555">
        <v>592</v>
      </c>
      <c r="D555" s="4">
        <f t="shared" si="24"/>
        <v>45627</v>
      </c>
      <c r="E555" s="4">
        <f t="shared" si="25"/>
        <v>45383</v>
      </c>
      <c r="F555" s="5">
        <f t="shared" si="26"/>
        <v>8</v>
      </c>
      <c r="G555" s="5">
        <f>IF(COUNTIFS(A$3:A555,A555,F$3:F555,F555)=1,1,0)</f>
        <v>0</v>
      </c>
    </row>
    <row r="556" spans="1:7" x14ac:dyDescent="0.25">
      <c r="A556">
        <v>959</v>
      </c>
      <c r="B556" s="3">
        <v>45506.763073217597</v>
      </c>
      <c r="C556">
        <v>525</v>
      </c>
      <c r="D556" s="4">
        <f t="shared" si="24"/>
        <v>45505</v>
      </c>
      <c r="E556" s="4">
        <f t="shared" si="25"/>
        <v>45383</v>
      </c>
      <c r="F556" s="5">
        <f t="shared" si="26"/>
        <v>4</v>
      </c>
      <c r="G556" s="5">
        <f>IF(COUNTIFS(A$3:A556,A556,F$3:F556,F556)=1,1,0)</f>
        <v>1</v>
      </c>
    </row>
    <row r="557" spans="1:7" x14ac:dyDescent="0.25">
      <c r="A557">
        <v>854</v>
      </c>
      <c r="B557" s="3">
        <v>45317.157349201399</v>
      </c>
      <c r="C557">
        <v>230</v>
      </c>
      <c r="D557" s="4">
        <f t="shared" si="24"/>
        <v>45292</v>
      </c>
      <c r="E557" s="4">
        <f t="shared" si="25"/>
        <v>45292</v>
      </c>
      <c r="F557" s="5">
        <f t="shared" si="26"/>
        <v>0</v>
      </c>
      <c r="G557" s="5">
        <f>IF(COUNTIFS(A$3:A557,A557,F$3:F557,F557)=1,1,0)</f>
        <v>1</v>
      </c>
    </row>
    <row r="558" spans="1:7" x14ac:dyDescent="0.25">
      <c r="A558">
        <v>51</v>
      </c>
      <c r="B558" s="3">
        <v>45422.431640092604</v>
      </c>
      <c r="C558">
        <v>535</v>
      </c>
      <c r="D558" s="4">
        <f t="shared" si="24"/>
        <v>45413</v>
      </c>
      <c r="E558" s="4">
        <f t="shared" si="25"/>
        <v>45413</v>
      </c>
      <c r="F558" s="5">
        <f t="shared" si="26"/>
        <v>0</v>
      </c>
      <c r="G558" s="5">
        <f>IF(COUNTIFS(A$3:A558,A558,F$3:F558,F558)=1,1,0)</f>
        <v>1</v>
      </c>
    </row>
    <row r="559" spans="1:7" x14ac:dyDescent="0.25">
      <c r="A559">
        <v>665</v>
      </c>
      <c r="B559" s="3">
        <v>45390.685303067097</v>
      </c>
      <c r="C559">
        <v>524</v>
      </c>
      <c r="D559" s="4">
        <f t="shared" si="24"/>
        <v>45383</v>
      </c>
      <c r="E559" s="4">
        <f t="shared" si="25"/>
        <v>45383</v>
      </c>
      <c r="F559" s="5">
        <f t="shared" si="26"/>
        <v>0</v>
      </c>
      <c r="G559" s="5">
        <f>IF(COUNTIFS(A$3:A559,A559,F$3:F559,F559)=1,1,0)</f>
        <v>1</v>
      </c>
    </row>
    <row r="560" spans="1:7" x14ac:dyDescent="0.25">
      <c r="A560">
        <v>698</v>
      </c>
      <c r="B560" s="3">
        <v>45324.657244259302</v>
      </c>
      <c r="C560">
        <v>737</v>
      </c>
      <c r="D560" s="4">
        <f t="shared" si="24"/>
        <v>45323</v>
      </c>
      <c r="E560" s="4">
        <f t="shared" si="25"/>
        <v>45323</v>
      </c>
      <c r="F560" s="5">
        <f t="shared" si="26"/>
        <v>0</v>
      </c>
      <c r="G560" s="5">
        <f>IF(COUNTIFS(A$3:A560,A560,F$3:F560,F560)=1,1,0)</f>
        <v>1</v>
      </c>
    </row>
    <row r="561" spans="1:7" x14ac:dyDescent="0.25">
      <c r="A561">
        <v>575</v>
      </c>
      <c r="B561" s="3">
        <v>45352.159842731497</v>
      </c>
      <c r="C561">
        <v>750</v>
      </c>
      <c r="D561" s="4">
        <f t="shared" si="24"/>
        <v>45352</v>
      </c>
      <c r="E561" s="4">
        <f t="shared" si="25"/>
        <v>45352</v>
      </c>
      <c r="F561" s="5">
        <f t="shared" si="26"/>
        <v>0</v>
      </c>
      <c r="G561" s="5">
        <f>IF(COUNTIFS(A$3:A561,A561,F$3:F561,F561)=1,1,0)</f>
        <v>1</v>
      </c>
    </row>
    <row r="562" spans="1:7" x14ac:dyDescent="0.25">
      <c r="A562">
        <v>190</v>
      </c>
      <c r="B562" s="3">
        <v>45565.037178634302</v>
      </c>
      <c r="C562">
        <v>345</v>
      </c>
      <c r="D562" s="4">
        <f t="shared" si="24"/>
        <v>45536</v>
      </c>
      <c r="E562" s="4">
        <f t="shared" si="25"/>
        <v>45323</v>
      </c>
      <c r="F562" s="5">
        <f t="shared" si="26"/>
        <v>7</v>
      </c>
      <c r="G562" s="5">
        <f>IF(COUNTIFS(A$3:A562,A562,F$3:F562,F562)=1,1,0)</f>
        <v>1</v>
      </c>
    </row>
    <row r="563" spans="1:7" x14ac:dyDescent="0.25">
      <c r="A563">
        <v>125</v>
      </c>
      <c r="B563" s="3">
        <v>45591.603235023198</v>
      </c>
      <c r="C563">
        <v>707</v>
      </c>
      <c r="D563" s="4">
        <f t="shared" si="24"/>
        <v>45566</v>
      </c>
      <c r="E563" s="4">
        <f t="shared" si="25"/>
        <v>45566</v>
      </c>
      <c r="F563" s="5">
        <f t="shared" si="26"/>
        <v>0</v>
      </c>
      <c r="G563" s="5">
        <f>IF(COUNTIFS(A$3:A563,A563,F$3:F563,F563)=1,1,0)</f>
        <v>1</v>
      </c>
    </row>
    <row r="564" spans="1:7" x14ac:dyDescent="0.25">
      <c r="A564">
        <v>150</v>
      </c>
      <c r="B564" s="3">
        <v>45650.016022430602</v>
      </c>
      <c r="C564">
        <v>64</v>
      </c>
      <c r="D564" s="4">
        <f t="shared" si="24"/>
        <v>45627</v>
      </c>
      <c r="E564" s="4">
        <f t="shared" si="25"/>
        <v>45627</v>
      </c>
      <c r="F564" s="5">
        <f t="shared" si="26"/>
        <v>0</v>
      </c>
      <c r="G564" s="5">
        <f>IF(COUNTIFS(A$3:A564,A564,F$3:F564,F564)=1,1,0)</f>
        <v>1</v>
      </c>
    </row>
    <row r="565" spans="1:7" x14ac:dyDescent="0.25">
      <c r="A565">
        <v>314</v>
      </c>
      <c r="B565" s="3">
        <v>45409.644864363399</v>
      </c>
      <c r="C565">
        <v>509</v>
      </c>
      <c r="D565" s="4">
        <f t="shared" si="24"/>
        <v>45383</v>
      </c>
      <c r="E565" s="4">
        <f t="shared" si="25"/>
        <v>45383</v>
      </c>
      <c r="F565" s="5">
        <f t="shared" si="26"/>
        <v>0</v>
      </c>
      <c r="G565" s="5">
        <f>IF(COUNTIFS(A$3:A565,A565,F$3:F565,F565)=1,1,0)</f>
        <v>1</v>
      </c>
    </row>
    <row r="566" spans="1:7" x14ac:dyDescent="0.25">
      <c r="A566">
        <v>570</v>
      </c>
      <c r="B566" s="3">
        <v>45345.100472500002</v>
      </c>
      <c r="C566">
        <v>909</v>
      </c>
      <c r="D566" s="4">
        <f t="shared" si="24"/>
        <v>45323</v>
      </c>
      <c r="E566" s="4">
        <f t="shared" si="25"/>
        <v>45323</v>
      </c>
      <c r="F566" s="5">
        <f t="shared" si="26"/>
        <v>0</v>
      </c>
      <c r="G566" s="5">
        <f>IF(COUNTIFS(A$3:A566,A566,F$3:F566,F566)=1,1,0)</f>
        <v>1</v>
      </c>
    </row>
    <row r="567" spans="1:7" x14ac:dyDescent="0.25">
      <c r="A567">
        <v>342</v>
      </c>
      <c r="B567" s="3">
        <v>45499.601228900501</v>
      </c>
      <c r="C567">
        <v>897</v>
      </c>
      <c r="D567" s="4">
        <f t="shared" si="24"/>
        <v>45474</v>
      </c>
      <c r="E567" s="4">
        <f t="shared" si="25"/>
        <v>45474</v>
      </c>
      <c r="F567" s="5">
        <f t="shared" si="26"/>
        <v>0</v>
      </c>
      <c r="G567" s="5">
        <f>IF(COUNTIFS(A$3:A567,A567,F$3:F567,F567)=1,1,0)</f>
        <v>1</v>
      </c>
    </row>
    <row r="568" spans="1:7" x14ac:dyDescent="0.25">
      <c r="A568">
        <v>305</v>
      </c>
      <c r="B568" s="3">
        <v>45314.782125127298</v>
      </c>
      <c r="C568">
        <v>775</v>
      </c>
      <c r="D568" s="4">
        <f t="shared" si="24"/>
        <v>45292</v>
      </c>
      <c r="E568" s="4">
        <f t="shared" si="25"/>
        <v>45292</v>
      </c>
      <c r="F568" s="5">
        <f t="shared" si="26"/>
        <v>0</v>
      </c>
      <c r="G568" s="5">
        <f>IF(COUNTIFS(A$3:A568,A568,F$3:F568,F568)=1,1,0)</f>
        <v>1</v>
      </c>
    </row>
    <row r="569" spans="1:7" x14ac:dyDescent="0.25">
      <c r="A569">
        <v>692</v>
      </c>
      <c r="B569" s="3">
        <v>45576.3288400116</v>
      </c>
      <c r="C569">
        <v>545</v>
      </c>
      <c r="D569" s="4">
        <f t="shared" si="24"/>
        <v>45566</v>
      </c>
      <c r="E569" s="4">
        <f t="shared" si="25"/>
        <v>45383</v>
      </c>
      <c r="F569" s="5">
        <f t="shared" si="26"/>
        <v>6</v>
      </c>
      <c r="G569" s="5">
        <f>IF(COUNTIFS(A$3:A569,A569,F$3:F569,F569)=1,1,0)</f>
        <v>1</v>
      </c>
    </row>
    <row r="570" spans="1:7" x14ac:dyDescent="0.25">
      <c r="A570">
        <v>682</v>
      </c>
      <c r="B570" s="3">
        <v>45521.693769224497</v>
      </c>
      <c r="C570">
        <v>171</v>
      </c>
      <c r="D570" s="4">
        <f t="shared" si="24"/>
        <v>45505</v>
      </c>
      <c r="E570" s="4">
        <f t="shared" si="25"/>
        <v>45352</v>
      </c>
      <c r="F570" s="5">
        <f t="shared" si="26"/>
        <v>5</v>
      </c>
      <c r="G570" s="5">
        <f>IF(COUNTIFS(A$3:A570,A570,F$3:F570,F570)=1,1,0)</f>
        <v>1</v>
      </c>
    </row>
    <row r="571" spans="1:7" x14ac:dyDescent="0.25">
      <c r="A571">
        <v>838</v>
      </c>
      <c r="B571" s="3">
        <v>45335.946708368101</v>
      </c>
      <c r="C571">
        <v>679</v>
      </c>
      <c r="D571" s="4">
        <f t="shared" si="24"/>
        <v>45323</v>
      </c>
      <c r="E571" s="4">
        <f t="shared" si="25"/>
        <v>45323</v>
      </c>
      <c r="F571" s="5">
        <f t="shared" si="26"/>
        <v>0</v>
      </c>
      <c r="G571" s="5">
        <f>IF(COUNTIFS(A$3:A571,A571,F$3:F571,F571)=1,1,0)</f>
        <v>1</v>
      </c>
    </row>
    <row r="572" spans="1:7" x14ac:dyDescent="0.25">
      <c r="A572">
        <v>783</v>
      </c>
      <c r="B572" s="3">
        <v>45388.7756102083</v>
      </c>
      <c r="C572">
        <v>603</v>
      </c>
      <c r="D572" s="4">
        <f t="shared" si="24"/>
        <v>45383</v>
      </c>
      <c r="E572" s="4">
        <f t="shared" si="25"/>
        <v>45383</v>
      </c>
      <c r="F572" s="5">
        <f t="shared" si="26"/>
        <v>0</v>
      </c>
      <c r="G572" s="5">
        <f>IF(COUNTIFS(A$3:A572,A572,F$3:F572,F572)=1,1,0)</f>
        <v>1</v>
      </c>
    </row>
    <row r="573" spans="1:7" x14ac:dyDescent="0.25">
      <c r="A573">
        <v>54</v>
      </c>
      <c r="B573" s="3">
        <v>45596.004083449101</v>
      </c>
      <c r="C573">
        <v>924</v>
      </c>
      <c r="D573" s="4">
        <f t="shared" si="24"/>
        <v>45566</v>
      </c>
      <c r="E573" s="4">
        <f t="shared" si="25"/>
        <v>45566</v>
      </c>
      <c r="F573" s="5">
        <f t="shared" si="26"/>
        <v>0</v>
      </c>
      <c r="G573" s="5">
        <f>IF(COUNTIFS(A$3:A573,A573,F$3:F573,F573)=1,1,0)</f>
        <v>1</v>
      </c>
    </row>
    <row r="574" spans="1:7" x14ac:dyDescent="0.25">
      <c r="A574">
        <v>444</v>
      </c>
      <c r="B574" s="3">
        <v>45455.013355578703</v>
      </c>
      <c r="C574">
        <v>168</v>
      </c>
      <c r="D574" s="4">
        <f t="shared" si="24"/>
        <v>45444</v>
      </c>
      <c r="E574" s="4">
        <f t="shared" si="25"/>
        <v>45444</v>
      </c>
      <c r="F574" s="5">
        <f t="shared" si="26"/>
        <v>0</v>
      </c>
      <c r="G574" s="5">
        <f>IF(COUNTIFS(A$3:A574,A574,F$3:F574,F574)=1,1,0)</f>
        <v>1</v>
      </c>
    </row>
    <row r="575" spans="1:7" x14ac:dyDescent="0.25">
      <c r="A575">
        <v>613</v>
      </c>
      <c r="B575" s="3">
        <v>45377.8233330324</v>
      </c>
      <c r="C575">
        <v>197</v>
      </c>
      <c r="D575" s="4">
        <f t="shared" si="24"/>
        <v>45352</v>
      </c>
      <c r="E575" s="4">
        <f t="shared" si="25"/>
        <v>45352</v>
      </c>
      <c r="F575" s="5">
        <f t="shared" si="26"/>
        <v>0</v>
      </c>
      <c r="G575" s="5">
        <f>IF(COUNTIFS(A$3:A575,A575,F$3:F575,F575)=1,1,0)</f>
        <v>1</v>
      </c>
    </row>
    <row r="576" spans="1:7" x14ac:dyDescent="0.25">
      <c r="A576">
        <v>993</v>
      </c>
      <c r="B576" s="3">
        <v>45294.429587500003</v>
      </c>
      <c r="C576">
        <v>69</v>
      </c>
      <c r="D576" s="4">
        <f t="shared" si="24"/>
        <v>45292</v>
      </c>
      <c r="E576" s="4">
        <f t="shared" si="25"/>
        <v>45292</v>
      </c>
      <c r="F576" s="5">
        <f t="shared" si="26"/>
        <v>0</v>
      </c>
      <c r="G576" s="5">
        <f>IF(COUNTIFS(A$3:A576,A576,F$3:F576,F576)=1,1,0)</f>
        <v>1</v>
      </c>
    </row>
    <row r="577" spans="1:7" x14ac:dyDescent="0.25">
      <c r="A577">
        <v>264</v>
      </c>
      <c r="B577" s="3">
        <v>45452.081059930599</v>
      </c>
      <c r="C577">
        <v>924</v>
      </c>
      <c r="D577" s="4">
        <f t="shared" si="24"/>
        <v>45444</v>
      </c>
      <c r="E577" s="4">
        <f t="shared" si="25"/>
        <v>45444</v>
      </c>
      <c r="F577" s="5">
        <f t="shared" si="26"/>
        <v>0</v>
      </c>
      <c r="G577" s="5">
        <f>IF(COUNTIFS(A$3:A577,A577,F$3:F577,F577)=1,1,0)</f>
        <v>1</v>
      </c>
    </row>
    <row r="578" spans="1:7" x14ac:dyDescent="0.25">
      <c r="A578">
        <v>53</v>
      </c>
      <c r="B578" s="3">
        <v>45633.180570046301</v>
      </c>
      <c r="C578">
        <v>826</v>
      </c>
      <c r="D578" s="4">
        <f t="shared" si="24"/>
        <v>45627</v>
      </c>
      <c r="E578" s="4">
        <f t="shared" si="25"/>
        <v>45474</v>
      </c>
      <c r="F578" s="5">
        <f t="shared" si="26"/>
        <v>5</v>
      </c>
      <c r="G578" s="5">
        <f>IF(COUNTIFS(A$3:A578,A578,F$3:F578,F578)=1,1,0)</f>
        <v>0</v>
      </c>
    </row>
    <row r="579" spans="1:7" x14ac:dyDescent="0.25">
      <c r="A579">
        <v>572</v>
      </c>
      <c r="B579" s="3">
        <v>45534.2159844907</v>
      </c>
      <c r="C579">
        <v>328</v>
      </c>
      <c r="D579" s="4">
        <f t="shared" ref="D579:D642" si="27">EOMONTH(B579,-1)+1</f>
        <v>45505</v>
      </c>
      <c r="E579" s="4">
        <f t="shared" ref="E579:E642" si="28">_xlfn.MINIFS(D$3:D$1002,A$3:A$1002,A579)</f>
        <v>45413</v>
      </c>
      <c r="F579" s="5">
        <f t="shared" ref="F579:F642" si="29">DATEDIF(E579,D579,"M")</f>
        <v>3</v>
      </c>
      <c r="G579" s="5">
        <f>IF(COUNTIFS(A$3:A579,A579,F$3:F579,F579)=1,1,0)</f>
        <v>1</v>
      </c>
    </row>
    <row r="580" spans="1:7" x14ac:dyDescent="0.25">
      <c r="A580">
        <v>620</v>
      </c>
      <c r="B580" s="3">
        <v>45573.986769224502</v>
      </c>
      <c r="C580">
        <v>887</v>
      </c>
      <c r="D580" s="4">
        <f t="shared" si="27"/>
        <v>45566</v>
      </c>
      <c r="E580" s="4">
        <f t="shared" si="28"/>
        <v>45444</v>
      </c>
      <c r="F580" s="5">
        <f t="shared" si="29"/>
        <v>4</v>
      </c>
      <c r="G580" s="5">
        <f>IF(COUNTIFS(A$3:A580,A580,F$3:F580,F580)=1,1,0)</f>
        <v>1</v>
      </c>
    </row>
    <row r="581" spans="1:7" x14ac:dyDescent="0.25">
      <c r="A581">
        <v>5</v>
      </c>
      <c r="B581" s="3">
        <v>45420.882324814796</v>
      </c>
      <c r="C581">
        <v>220</v>
      </c>
      <c r="D581" s="4">
        <f t="shared" si="27"/>
        <v>45413</v>
      </c>
      <c r="E581" s="4">
        <f t="shared" si="28"/>
        <v>45352</v>
      </c>
      <c r="F581" s="5">
        <f t="shared" si="29"/>
        <v>2</v>
      </c>
      <c r="G581" s="5">
        <f>IF(COUNTIFS(A$3:A581,A581,F$3:F581,F581)=1,1,0)</f>
        <v>1</v>
      </c>
    </row>
    <row r="582" spans="1:7" x14ac:dyDescent="0.25">
      <c r="A582">
        <v>103</v>
      </c>
      <c r="B582" s="3">
        <v>45625.2307819907</v>
      </c>
      <c r="C582">
        <v>415</v>
      </c>
      <c r="D582" s="4">
        <f t="shared" si="27"/>
        <v>45597</v>
      </c>
      <c r="E582" s="4">
        <f t="shared" si="28"/>
        <v>45352</v>
      </c>
      <c r="F582" s="5">
        <f t="shared" si="29"/>
        <v>8</v>
      </c>
      <c r="G582" s="5">
        <f>IF(COUNTIFS(A$3:A582,A582,F$3:F582,F582)=1,1,0)</f>
        <v>1</v>
      </c>
    </row>
    <row r="583" spans="1:7" x14ac:dyDescent="0.25">
      <c r="A583">
        <v>196</v>
      </c>
      <c r="B583" s="3">
        <v>45313.975009120397</v>
      </c>
      <c r="C583">
        <v>673</v>
      </c>
      <c r="D583" s="4">
        <f t="shared" si="27"/>
        <v>45292</v>
      </c>
      <c r="E583" s="4">
        <f t="shared" si="28"/>
        <v>45292</v>
      </c>
      <c r="F583" s="5">
        <f t="shared" si="29"/>
        <v>0</v>
      </c>
      <c r="G583" s="5">
        <f>IF(COUNTIFS(A$3:A583,A583,F$3:F583,F583)=1,1,0)</f>
        <v>1</v>
      </c>
    </row>
    <row r="584" spans="1:7" x14ac:dyDescent="0.25">
      <c r="A584">
        <v>774</v>
      </c>
      <c r="B584" s="3">
        <v>45635.391993703699</v>
      </c>
      <c r="C584">
        <v>118</v>
      </c>
      <c r="D584" s="4">
        <f t="shared" si="27"/>
        <v>45627</v>
      </c>
      <c r="E584" s="4">
        <f t="shared" si="28"/>
        <v>45627</v>
      </c>
      <c r="F584" s="5">
        <f t="shared" si="29"/>
        <v>0</v>
      </c>
      <c r="G584" s="5">
        <f>IF(COUNTIFS(A$3:A584,A584,F$3:F584,F584)=1,1,0)</f>
        <v>1</v>
      </c>
    </row>
    <row r="585" spans="1:7" x14ac:dyDescent="0.25">
      <c r="A585">
        <v>877</v>
      </c>
      <c r="B585" s="3">
        <v>45404.409146365702</v>
      </c>
      <c r="C585">
        <v>85</v>
      </c>
      <c r="D585" s="4">
        <f t="shared" si="27"/>
        <v>45383</v>
      </c>
      <c r="E585" s="4">
        <f t="shared" si="28"/>
        <v>45383</v>
      </c>
      <c r="F585" s="5">
        <f t="shared" si="29"/>
        <v>0</v>
      </c>
      <c r="G585" s="5">
        <f>IF(COUNTIFS(A$3:A585,A585,F$3:F585,F585)=1,1,0)</f>
        <v>1</v>
      </c>
    </row>
    <row r="586" spans="1:7" x14ac:dyDescent="0.25">
      <c r="A586">
        <v>992</v>
      </c>
      <c r="B586" s="3">
        <v>45653.364894189799</v>
      </c>
      <c r="C586">
        <v>551</v>
      </c>
      <c r="D586" s="4">
        <f t="shared" si="27"/>
        <v>45627</v>
      </c>
      <c r="E586" s="4">
        <f t="shared" si="28"/>
        <v>45627</v>
      </c>
      <c r="F586" s="5">
        <f t="shared" si="29"/>
        <v>0</v>
      </c>
      <c r="G586" s="5">
        <f>IF(COUNTIFS(A$3:A586,A586,F$3:F586,F586)=1,1,0)</f>
        <v>1</v>
      </c>
    </row>
    <row r="587" spans="1:7" x14ac:dyDescent="0.25">
      <c r="A587">
        <v>884</v>
      </c>
      <c r="B587" s="3">
        <v>45445.173673530102</v>
      </c>
      <c r="C587">
        <v>323</v>
      </c>
      <c r="D587" s="4">
        <f t="shared" si="27"/>
        <v>45444</v>
      </c>
      <c r="E587" s="4">
        <f t="shared" si="28"/>
        <v>45352</v>
      </c>
      <c r="F587" s="5">
        <f t="shared" si="29"/>
        <v>3</v>
      </c>
      <c r="G587" s="5">
        <f>IF(COUNTIFS(A$3:A587,A587,F$3:F587,F587)=1,1,0)</f>
        <v>1</v>
      </c>
    </row>
    <row r="588" spans="1:7" x14ac:dyDescent="0.25">
      <c r="A588">
        <v>350</v>
      </c>
      <c r="B588" s="3">
        <v>45495.715872152803</v>
      </c>
      <c r="C588">
        <v>126</v>
      </c>
      <c r="D588" s="4">
        <f t="shared" si="27"/>
        <v>45474</v>
      </c>
      <c r="E588" s="4">
        <f t="shared" si="28"/>
        <v>45474</v>
      </c>
      <c r="F588" s="5">
        <f t="shared" si="29"/>
        <v>0</v>
      </c>
      <c r="G588" s="5">
        <f>IF(COUNTIFS(A$3:A588,A588,F$3:F588,F588)=1,1,0)</f>
        <v>1</v>
      </c>
    </row>
    <row r="589" spans="1:7" x14ac:dyDescent="0.25">
      <c r="A589">
        <v>47</v>
      </c>
      <c r="B589" s="3">
        <v>45300.1046816667</v>
      </c>
      <c r="C589">
        <v>936</v>
      </c>
      <c r="D589" s="4">
        <f t="shared" si="27"/>
        <v>45292</v>
      </c>
      <c r="E589" s="4">
        <f t="shared" si="28"/>
        <v>45292</v>
      </c>
      <c r="F589" s="5">
        <f t="shared" si="29"/>
        <v>0</v>
      </c>
      <c r="G589" s="5">
        <f>IF(COUNTIFS(A$3:A589,A589,F$3:F589,F589)=1,1,0)</f>
        <v>1</v>
      </c>
    </row>
    <row r="590" spans="1:7" x14ac:dyDescent="0.25">
      <c r="A590">
        <v>867</v>
      </c>
      <c r="B590" s="3">
        <v>45546.754941701402</v>
      </c>
      <c r="C590">
        <v>877</v>
      </c>
      <c r="D590" s="4">
        <f t="shared" si="27"/>
        <v>45536</v>
      </c>
      <c r="E590" s="4">
        <f t="shared" si="28"/>
        <v>45444</v>
      </c>
      <c r="F590" s="5">
        <f t="shared" si="29"/>
        <v>3</v>
      </c>
      <c r="G590" s="5">
        <f>IF(COUNTIFS(A$3:A590,A590,F$3:F590,F590)=1,1,0)</f>
        <v>1</v>
      </c>
    </row>
    <row r="591" spans="1:7" x14ac:dyDescent="0.25">
      <c r="A591">
        <v>823</v>
      </c>
      <c r="B591" s="3">
        <v>45489.038376284698</v>
      </c>
      <c r="C591">
        <v>713</v>
      </c>
      <c r="D591" s="4">
        <f t="shared" si="27"/>
        <v>45474</v>
      </c>
      <c r="E591" s="4">
        <f t="shared" si="28"/>
        <v>45474</v>
      </c>
      <c r="F591" s="5">
        <f t="shared" si="29"/>
        <v>0</v>
      </c>
      <c r="G591" s="5">
        <f>IF(COUNTIFS(A$3:A591,A591,F$3:F591,F591)=1,1,0)</f>
        <v>1</v>
      </c>
    </row>
    <row r="592" spans="1:7" x14ac:dyDescent="0.25">
      <c r="A592">
        <v>936</v>
      </c>
      <c r="B592" s="3">
        <v>45409.111138136599</v>
      </c>
      <c r="C592">
        <v>28</v>
      </c>
      <c r="D592" s="4">
        <f t="shared" si="27"/>
        <v>45383</v>
      </c>
      <c r="E592" s="4">
        <f t="shared" si="28"/>
        <v>45292</v>
      </c>
      <c r="F592" s="5">
        <f t="shared" si="29"/>
        <v>3</v>
      </c>
      <c r="G592" s="5">
        <f>IF(COUNTIFS(A$3:A592,A592,F$3:F592,F592)=1,1,0)</f>
        <v>1</v>
      </c>
    </row>
    <row r="593" spans="1:7" x14ac:dyDescent="0.25">
      <c r="A593">
        <v>820</v>
      </c>
      <c r="B593" s="3">
        <v>45614.7940973148</v>
      </c>
      <c r="C593">
        <v>441</v>
      </c>
      <c r="D593" s="4">
        <f t="shared" si="27"/>
        <v>45597</v>
      </c>
      <c r="E593" s="4">
        <f t="shared" si="28"/>
        <v>45505</v>
      </c>
      <c r="F593" s="5">
        <f t="shared" si="29"/>
        <v>3</v>
      </c>
      <c r="G593" s="5">
        <f>IF(COUNTIFS(A$3:A593,A593,F$3:F593,F593)=1,1,0)</f>
        <v>1</v>
      </c>
    </row>
    <row r="594" spans="1:7" x14ac:dyDescent="0.25">
      <c r="A594">
        <v>656</v>
      </c>
      <c r="B594" s="3">
        <v>45561.502686689797</v>
      </c>
      <c r="C594">
        <v>694</v>
      </c>
      <c r="D594" s="4">
        <f t="shared" si="27"/>
        <v>45536</v>
      </c>
      <c r="E594" s="4">
        <f t="shared" si="28"/>
        <v>45536</v>
      </c>
      <c r="F594" s="5">
        <f t="shared" si="29"/>
        <v>0</v>
      </c>
      <c r="G594" s="5">
        <f>IF(COUNTIFS(A$3:A594,A594,F$3:F594,F594)=1,1,0)</f>
        <v>1</v>
      </c>
    </row>
    <row r="595" spans="1:7" x14ac:dyDescent="0.25">
      <c r="A595">
        <v>269</v>
      </c>
      <c r="B595" s="3">
        <v>45345.579390532403</v>
      </c>
      <c r="C595">
        <v>749</v>
      </c>
      <c r="D595" s="4">
        <f t="shared" si="27"/>
        <v>45323</v>
      </c>
      <c r="E595" s="4">
        <f t="shared" si="28"/>
        <v>45323</v>
      </c>
      <c r="F595" s="5">
        <f t="shared" si="29"/>
        <v>0</v>
      </c>
      <c r="G595" s="5">
        <f>IF(COUNTIFS(A$3:A595,A595,F$3:F595,F595)=1,1,0)</f>
        <v>1</v>
      </c>
    </row>
    <row r="596" spans="1:7" x14ac:dyDescent="0.25">
      <c r="A596">
        <v>370</v>
      </c>
      <c r="B596" s="3">
        <v>45313.645036493101</v>
      </c>
      <c r="C596">
        <v>359</v>
      </c>
      <c r="D596" s="4">
        <f t="shared" si="27"/>
        <v>45292</v>
      </c>
      <c r="E596" s="4">
        <f t="shared" si="28"/>
        <v>45292</v>
      </c>
      <c r="F596" s="5">
        <f t="shared" si="29"/>
        <v>0</v>
      </c>
      <c r="G596" s="5">
        <f>IF(COUNTIFS(A$3:A596,A596,F$3:F596,F596)=1,1,0)</f>
        <v>1</v>
      </c>
    </row>
    <row r="597" spans="1:7" x14ac:dyDescent="0.25">
      <c r="A597">
        <v>636</v>
      </c>
      <c r="B597" s="3">
        <v>45308.075823587998</v>
      </c>
      <c r="C597">
        <v>192</v>
      </c>
      <c r="D597" s="4">
        <f t="shared" si="27"/>
        <v>45292</v>
      </c>
      <c r="E597" s="4">
        <f t="shared" si="28"/>
        <v>45292</v>
      </c>
      <c r="F597" s="5">
        <f t="shared" si="29"/>
        <v>0</v>
      </c>
      <c r="G597" s="5">
        <f>IF(COUNTIFS(A$3:A597,A597,F$3:F597,F597)=1,1,0)</f>
        <v>1</v>
      </c>
    </row>
    <row r="598" spans="1:7" x14ac:dyDescent="0.25">
      <c r="A598">
        <v>106</v>
      </c>
      <c r="B598" s="3">
        <v>45374.728912094899</v>
      </c>
      <c r="C598">
        <v>122</v>
      </c>
      <c r="D598" s="4">
        <f t="shared" si="27"/>
        <v>45352</v>
      </c>
      <c r="E598" s="4">
        <f t="shared" si="28"/>
        <v>45352</v>
      </c>
      <c r="F598" s="5">
        <f t="shared" si="29"/>
        <v>0</v>
      </c>
      <c r="G598" s="5">
        <f>IF(COUNTIFS(A$3:A598,A598,F$3:F598,F598)=1,1,0)</f>
        <v>1</v>
      </c>
    </row>
    <row r="599" spans="1:7" x14ac:dyDescent="0.25">
      <c r="A599">
        <v>670</v>
      </c>
      <c r="B599" s="3">
        <v>45494.2371245139</v>
      </c>
      <c r="C599">
        <v>192</v>
      </c>
      <c r="D599" s="4">
        <f t="shared" si="27"/>
        <v>45474</v>
      </c>
      <c r="E599" s="4">
        <f t="shared" si="28"/>
        <v>45474</v>
      </c>
      <c r="F599" s="5">
        <f t="shared" si="29"/>
        <v>0</v>
      </c>
      <c r="G599" s="5">
        <f>IF(COUNTIFS(A$3:A599,A599,F$3:F599,F599)=1,1,0)</f>
        <v>1</v>
      </c>
    </row>
    <row r="600" spans="1:7" x14ac:dyDescent="0.25">
      <c r="A600">
        <v>659</v>
      </c>
      <c r="B600" s="3">
        <v>45651.030790601901</v>
      </c>
      <c r="C600">
        <v>490</v>
      </c>
      <c r="D600" s="4">
        <f t="shared" si="27"/>
        <v>45627</v>
      </c>
      <c r="E600" s="4">
        <f t="shared" si="28"/>
        <v>45444</v>
      </c>
      <c r="F600" s="5">
        <f t="shared" si="29"/>
        <v>6</v>
      </c>
      <c r="G600" s="5">
        <f>IF(COUNTIFS(A$3:A600,A600,F$3:F600,F600)=1,1,0)</f>
        <v>1</v>
      </c>
    </row>
    <row r="601" spans="1:7" x14ac:dyDescent="0.25">
      <c r="A601">
        <v>657</v>
      </c>
      <c r="B601" s="3">
        <v>45374.353600416704</v>
      </c>
      <c r="C601">
        <v>155</v>
      </c>
      <c r="D601" s="4">
        <f t="shared" si="27"/>
        <v>45352</v>
      </c>
      <c r="E601" s="4">
        <f t="shared" si="28"/>
        <v>45352</v>
      </c>
      <c r="F601" s="5">
        <f t="shared" si="29"/>
        <v>0</v>
      </c>
      <c r="G601" s="5">
        <f>IF(COUNTIFS(A$3:A601,A601,F$3:F601,F601)=1,1,0)</f>
        <v>1</v>
      </c>
    </row>
    <row r="602" spans="1:7" x14ac:dyDescent="0.25">
      <c r="A602">
        <v>120</v>
      </c>
      <c r="B602" s="3">
        <v>45597.482827187501</v>
      </c>
      <c r="C602">
        <v>840</v>
      </c>
      <c r="D602" s="4">
        <f t="shared" si="27"/>
        <v>45597</v>
      </c>
      <c r="E602" s="4">
        <f t="shared" si="28"/>
        <v>45444</v>
      </c>
      <c r="F602" s="5">
        <f t="shared" si="29"/>
        <v>5</v>
      </c>
      <c r="G602" s="5">
        <f>IF(COUNTIFS(A$3:A602,A602,F$3:F602,F602)=1,1,0)</f>
        <v>1</v>
      </c>
    </row>
    <row r="603" spans="1:7" x14ac:dyDescent="0.25">
      <c r="A603">
        <v>831</v>
      </c>
      <c r="B603" s="3">
        <v>45330.926430266198</v>
      </c>
      <c r="C603">
        <v>637</v>
      </c>
      <c r="D603" s="4">
        <f t="shared" si="27"/>
        <v>45323</v>
      </c>
      <c r="E603" s="4">
        <f t="shared" si="28"/>
        <v>45323</v>
      </c>
      <c r="F603" s="5">
        <f t="shared" si="29"/>
        <v>0</v>
      </c>
      <c r="G603" s="5">
        <f>IF(COUNTIFS(A$3:A603,A603,F$3:F603,F603)=1,1,0)</f>
        <v>1</v>
      </c>
    </row>
    <row r="604" spans="1:7" x14ac:dyDescent="0.25">
      <c r="A604">
        <v>787</v>
      </c>
      <c r="B604" s="3">
        <v>45535.5732012269</v>
      </c>
      <c r="C604">
        <v>122</v>
      </c>
      <c r="D604" s="4">
        <f t="shared" si="27"/>
        <v>45505</v>
      </c>
      <c r="E604" s="4">
        <f t="shared" si="28"/>
        <v>45505</v>
      </c>
      <c r="F604" s="5">
        <f t="shared" si="29"/>
        <v>0</v>
      </c>
      <c r="G604" s="5">
        <f>IF(COUNTIFS(A$3:A604,A604,F$3:F604,F604)=1,1,0)</f>
        <v>1</v>
      </c>
    </row>
    <row r="605" spans="1:7" x14ac:dyDescent="0.25">
      <c r="A605">
        <v>604</v>
      </c>
      <c r="B605" s="3">
        <v>45493.622751296301</v>
      </c>
      <c r="C605">
        <v>772</v>
      </c>
      <c r="D605" s="4">
        <f t="shared" si="27"/>
        <v>45474</v>
      </c>
      <c r="E605" s="4">
        <f t="shared" si="28"/>
        <v>45474</v>
      </c>
      <c r="F605" s="5">
        <f t="shared" si="29"/>
        <v>0</v>
      </c>
      <c r="G605" s="5">
        <f>IF(COUNTIFS(A$3:A605,A605,F$3:F605,F605)=1,1,0)</f>
        <v>1</v>
      </c>
    </row>
    <row r="606" spans="1:7" x14ac:dyDescent="0.25">
      <c r="A606">
        <v>58</v>
      </c>
      <c r="B606" s="3">
        <v>45321.721644618097</v>
      </c>
      <c r="C606">
        <v>485</v>
      </c>
      <c r="D606" s="4">
        <f t="shared" si="27"/>
        <v>45292</v>
      </c>
      <c r="E606" s="4">
        <f t="shared" si="28"/>
        <v>45292</v>
      </c>
      <c r="F606" s="5">
        <f t="shared" si="29"/>
        <v>0</v>
      </c>
      <c r="G606" s="5">
        <f>IF(COUNTIFS(A$3:A606,A606,F$3:F606,F606)=1,1,0)</f>
        <v>1</v>
      </c>
    </row>
    <row r="607" spans="1:7" x14ac:dyDescent="0.25">
      <c r="A607">
        <v>951</v>
      </c>
      <c r="B607" s="3">
        <v>45330.416099247697</v>
      </c>
      <c r="C607">
        <v>772</v>
      </c>
      <c r="D607" s="4">
        <f t="shared" si="27"/>
        <v>45323</v>
      </c>
      <c r="E607" s="4">
        <f t="shared" si="28"/>
        <v>45323</v>
      </c>
      <c r="F607" s="5">
        <f t="shared" si="29"/>
        <v>0</v>
      </c>
      <c r="G607" s="5">
        <f>IF(COUNTIFS(A$3:A607,A607,F$3:F607,F607)=1,1,0)</f>
        <v>1</v>
      </c>
    </row>
    <row r="608" spans="1:7" x14ac:dyDescent="0.25">
      <c r="A608">
        <v>346</v>
      </c>
      <c r="B608" s="3">
        <v>45467.107151493103</v>
      </c>
      <c r="C608">
        <v>312</v>
      </c>
      <c r="D608" s="4">
        <f t="shared" si="27"/>
        <v>45444</v>
      </c>
      <c r="E608" s="4">
        <f t="shared" si="28"/>
        <v>45292</v>
      </c>
      <c r="F608" s="5">
        <f t="shared" si="29"/>
        <v>5</v>
      </c>
      <c r="G608" s="5">
        <f>IF(COUNTIFS(A$3:A608,A608,F$3:F608,F608)=1,1,0)</f>
        <v>1</v>
      </c>
    </row>
    <row r="609" spans="1:7" x14ac:dyDescent="0.25">
      <c r="A609">
        <v>741</v>
      </c>
      <c r="B609" s="3">
        <v>45386.593572164398</v>
      </c>
      <c r="C609">
        <v>980</v>
      </c>
      <c r="D609" s="4">
        <f t="shared" si="27"/>
        <v>45383</v>
      </c>
      <c r="E609" s="4">
        <f t="shared" si="28"/>
        <v>45383</v>
      </c>
      <c r="F609" s="5">
        <f t="shared" si="29"/>
        <v>0</v>
      </c>
      <c r="G609" s="5">
        <f>IF(COUNTIFS(A$3:A609,A609,F$3:F609,F609)=1,1,0)</f>
        <v>1</v>
      </c>
    </row>
    <row r="610" spans="1:7" x14ac:dyDescent="0.25">
      <c r="A610">
        <v>474</v>
      </c>
      <c r="B610" s="3">
        <v>45469.789359745402</v>
      </c>
      <c r="C610">
        <v>834</v>
      </c>
      <c r="D610" s="4">
        <f t="shared" si="27"/>
        <v>45444</v>
      </c>
      <c r="E610" s="4">
        <f t="shared" si="28"/>
        <v>45323</v>
      </c>
      <c r="F610" s="5">
        <f t="shared" si="29"/>
        <v>4</v>
      </c>
      <c r="G610" s="5">
        <f>IF(COUNTIFS(A$3:A610,A610,F$3:F610,F610)=1,1,0)</f>
        <v>1</v>
      </c>
    </row>
    <row r="611" spans="1:7" x14ac:dyDescent="0.25">
      <c r="A611">
        <v>117</v>
      </c>
      <c r="B611" s="3">
        <v>45319.298317314802</v>
      </c>
      <c r="C611">
        <v>127</v>
      </c>
      <c r="D611" s="4">
        <f t="shared" si="27"/>
        <v>45292</v>
      </c>
      <c r="E611" s="4">
        <f t="shared" si="28"/>
        <v>45292</v>
      </c>
      <c r="F611" s="5">
        <f t="shared" si="29"/>
        <v>0</v>
      </c>
      <c r="G611" s="5">
        <f>IF(COUNTIFS(A$3:A611,A611,F$3:F611,F611)=1,1,0)</f>
        <v>1</v>
      </c>
    </row>
    <row r="612" spans="1:7" x14ac:dyDescent="0.25">
      <c r="A612">
        <v>830</v>
      </c>
      <c r="B612" s="3">
        <v>45634.663807291698</v>
      </c>
      <c r="C612">
        <v>822</v>
      </c>
      <c r="D612" s="4">
        <f t="shared" si="27"/>
        <v>45627</v>
      </c>
      <c r="E612" s="4">
        <f t="shared" si="28"/>
        <v>45536</v>
      </c>
      <c r="F612" s="5">
        <f t="shared" si="29"/>
        <v>3</v>
      </c>
      <c r="G612" s="5">
        <f>IF(COUNTIFS(A$3:A612,A612,F$3:F612,F612)=1,1,0)</f>
        <v>1</v>
      </c>
    </row>
    <row r="613" spans="1:7" x14ac:dyDescent="0.25">
      <c r="A613">
        <v>791</v>
      </c>
      <c r="B613" s="3">
        <v>45543.931775451398</v>
      </c>
      <c r="C613">
        <v>170</v>
      </c>
      <c r="D613" s="4">
        <f t="shared" si="27"/>
        <v>45536</v>
      </c>
      <c r="E613" s="4">
        <f t="shared" si="28"/>
        <v>45536</v>
      </c>
      <c r="F613" s="5">
        <f t="shared" si="29"/>
        <v>0</v>
      </c>
      <c r="G613" s="5">
        <f>IF(COUNTIFS(A$3:A613,A613,F$3:F613,F613)=1,1,0)</f>
        <v>1</v>
      </c>
    </row>
    <row r="614" spans="1:7" x14ac:dyDescent="0.25">
      <c r="A614">
        <v>127</v>
      </c>
      <c r="B614" s="3">
        <v>45388.226176400502</v>
      </c>
      <c r="C614">
        <v>410</v>
      </c>
      <c r="D614" s="4">
        <f t="shared" si="27"/>
        <v>45383</v>
      </c>
      <c r="E614" s="4">
        <f t="shared" si="28"/>
        <v>45383</v>
      </c>
      <c r="F614" s="5">
        <f t="shared" si="29"/>
        <v>0</v>
      </c>
      <c r="G614" s="5">
        <f>IF(COUNTIFS(A$3:A614,A614,F$3:F614,F614)=1,1,0)</f>
        <v>1</v>
      </c>
    </row>
    <row r="615" spans="1:7" x14ac:dyDescent="0.25">
      <c r="A615">
        <v>393</v>
      </c>
      <c r="B615" s="3">
        <v>45537.405188449098</v>
      </c>
      <c r="C615">
        <v>207</v>
      </c>
      <c r="D615" s="4">
        <f t="shared" si="27"/>
        <v>45536</v>
      </c>
      <c r="E615" s="4">
        <f t="shared" si="28"/>
        <v>45323</v>
      </c>
      <c r="F615" s="5">
        <f t="shared" si="29"/>
        <v>7</v>
      </c>
      <c r="G615" s="5">
        <f>IF(COUNTIFS(A$3:A615,A615,F$3:F615,F615)=1,1,0)</f>
        <v>1</v>
      </c>
    </row>
    <row r="616" spans="1:7" x14ac:dyDescent="0.25">
      <c r="A616">
        <v>908</v>
      </c>
      <c r="B616" s="3">
        <v>45428.4659654977</v>
      </c>
      <c r="C616">
        <v>269</v>
      </c>
      <c r="D616" s="4">
        <f t="shared" si="27"/>
        <v>45413</v>
      </c>
      <c r="E616" s="4">
        <f t="shared" si="28"/>
        <v>45413</v>
      </c>
      <c r="F616" s="5">
        <f t="shared" si="29"/>
        <v>0</v>
      </c>
      <c r="G616" s="5">
        <f>IF(COUNTIFS(A$3:A616,A616,F$3:F616,F616)=1,1,0)</f>
        <v>1</v>
      </c>
    </row>
    <row r="617" spans="1:7" x14ac:dyDescent="0.25">
      <c r="A617">
        <v>641</v>
      </c>
      <c r="B617" s="3">
        <v>45579.075881099503</v>
      </c>
      <c r="C617">
        <v>669</v>
      </c>
      <c r="D617" s="4">
        <f t="shared" si="27"/>
        <v>45566</v>
      </c>
      <c r="E617" s="4">
        <f t="shared" si="28"/>
        <v>45383</v>
      </c>
      <c r="F617" s="5">
        <f t="shared" si="29"/>
        <v>6</v>
      </c>
      <c r="G617" s="5">
        <f>IF(COUNTIFS(A$3:A617,A617,F$3:F617,F617)=1,1,0)</f>
        <v>1</v>
      </c>
    </row>
    <row r="618" spans="1:7" x14ac:dyDescent="0.25">
      <c r="A618">
        <v>58</v>
      </c>
      <c r="B618" s="3">
        <v>45369.275151944399</v>
      </c>
      <c r="C618">
        <v>761</v>
      </c>
      <c r="D618" s="4">
        <f t="shared" si="27"/>
        <v>45352</v>
      </c>
      <c r="E618" s="4">
        <f t="shared" si="28"/>
        <v>45292</v>
      </c>
      <c r="F618" s="5">
        <f t="shared" si="29"/>
        <v>2</v>
      </c>
      <c r="G618" s="5">
        <f>IF(COUNTIFS(A$3:A618,A618,F$3:F618,F618)=1,1,0)</f>
        <v>1</v>
      </c>
    </row>
    <row r="619" spans="1:7" x14ac:dyDescent="0.25">
      <c r="A619">
        <v>634</v>
      </c>
      <c r="B619" s="3">
        <v>45479.065821817101</v>
      </c>
      <c r="C619">
        <v>56</v>
      </c>
      <c r="D619" s="4">
        <f t="shared" si="27"/>
        <v>45474</v>
      </c>
      <c r="E619" s="4">
        <f t="shared" si="28"/>
        <v>45323</v>
      </c>
      <c r="F619" s="5">
        <f t="shared" si="29"/>
        <v>5</v>
      </c>
      <c r="G619" s="5">
        <f>IF(COUNTIFS(A$3:A619,A619,F$3:F619,F619)=1,1,0)</f>
        <v>1</v>
      </c>
    </row>
    <row r="620" spans="1:7" x14ac:dyDescent="0.25">
      <c r="A620">
        <v>513</v>
      </c>
      <c r="B620" s="3">
        <v>45645.297298935198</v>
      </c>
      <c r="C620">
        <v>996</v>
      </c>
      <c r="D620" s="4">
        <f t="shared" si="27"/>
        <v>45627</v>
      </c>
      <c r="E620" s="4">
        <f t="shared" si="28"/>
        <v>45383</v>
      </c>
      <c r="F620" s="5">
        <f t="shared" si="29"/>
        <v>8</v>
      </c>
      <c r="G620" s="5">
        <f>IF(COUNTIFS(A$3:A620,A620,F$3:F620,F620)=1,1,0)</f>
        <v>1</v>
      </c>
    </row>
    <row r="621" spans="1:7" x14ac:dyDescent="0.25">
      <c r="A621">
        <v>751</v>
      </c>
      <c r="B621" s="3">
        <v>45418.012409664399</v>
      </c>
      <c r="C621">
        <v>408</v>
      </c>
      <c r="D621" s="4">
        <f t="shared" si="27"/>
        <v>45413</v>
      </c>
      <c r="E621" s="4">
        <f t="shared" si="28"/>
        <v>45292</v>
      </c>
      <c r="F621" s="5">
        <f t="shared" si="29"/>
        <v>4</v>
      </c>
      <c r="G621" s="5">
        <f>IF(COUNTIFS(A$3:A621,A621,F$3:F621,F621)=1,1,0)</f>
        <v>1</v>
      </c>
    </row>
    <row r="622" spans="1:7" x14ac:dyDescent="0.25">
      <c r="A622">
        <v>802</v>
      </c>
      <c r="B622" s="3">
        <v>45332.387678669002</v>
      </c>
      <c r="C622">
        <v>719</v>
      </c>
      <c r="D622" s="4">
        <f t="shared" si="27"/>
        <v>45323</v>
      </c>
      <c r="E622" s="4">
        <f t="shared" si="28"/>
        <v>45323</v>
      </c>
      <c r="F622" s="5">
        <f t="shared" si="29"/>
        <v>0</v>
      </c>
      <c r="G622" s="5">
        <f>IF(COUNTIFS(A$3:A622,A622,F$3:F622,F622)=1,1,0)</f>
        <v>1</v>
      </c>
    </row>
    <row r="623" spans="1:7" x14ac:dyDescent="0.25">
      <c r="A623">
        <v>96</v>
      </c>
      <c r="B623" s="3">
        <v>45512.069200161997</v>
      </c>
      <c r="C623">
        <v>568</v>
      </c>
      <c r="D623" s="4">
        <f t="shared" si="27"/>
        <v>45505</v>
      </c>
      <c r="E623" s="4">
        <f t="shared" si="28"/>
        <v>45505</v>
      </c>
      <c r="F623" s="5">
        <f t="shared" si="29"/>
        <v>0</v>
      </c>
      <c r="G623" s="5">
        <f>IF(COUNTIFS(A$3:A623,A623,F$3:F623,F623)=1,1,0)</f>
        <v>1</v>
      </c>
    </row>
    <row r="624" spans="1:7" x14ac:dyDescent="0.25">
      <c r="A624">
        <v>638</v>
      </c>
      <c r="B624" s="3">
        <v>45377.413383402803</v>
      </c>
      <c r="C624">
        <v>87</v>
      </c>
      <c r="D624" s="4">
        <f t="shared" si="27"/>
        <v>45352</v>
      </c>
      <c r="E624" s="4">
        <f t="shared" si="28"/>
        <v>45352</v>
      </c>
      <c r="F624" s="5">
        <f t="shared" si="29"/>
        <v>0</v>
      </c>
      <c r="G624" s="5">
        <f>IF(COUNTIFS(A$3:A624,A624,F$3:F624,F624)=1,1,0)</f>
        <v>1</v>
      </c>
    </row>
    <row r="625" spans="1:7" x14ac:dyDescent="0.25">
      <c r="A625">
        <v>118</v>
      </c>
      <c r="B625" s="3">
        <v>45337.934518854199</v>
      </c>
      <c r="C625">
        <v>133</v>
      </c>
      <c r="D625" s="4">
        <f t="shared" si="27"/>
        <v>45323</v>
      </c>
      <c r="E625" s="4">
        <f t="shared" si="28"/>
        <v>45323</v>
      </c>
      <c r="F625" s="5">
        <f t="shared" si="29"/>
        <v>0</v>
      </c>
      <c r="G625" s="5">
        <f>IF(COUNTIFS(A$3:A625,A625,F$3:F625,F625)=1,1,0)</f>
        <v>1</v>
      </c>
    </row>
    <row r="626" spans="1:7" x14ac:dyDescent="0.25">
      <c r="A626">
        <v>560</v>
      </c>
      <c r="B626" s="3">
        <v>45615.339779062502</v>
      </c>
      <c r="C626">
        <v>84</v>
      </c>
      <c r="D626" s="4">
        <f t="shared" si="27"/>
        <v>45597</v>
      </c>
      <c r="E626" s="4">
        <f t="shared" si="28"/>
        <v>45597</v>
      </c>
      <c r="F626" s="5">
        <f t="shared" si="29"/>
        <v>0</v>
      </c>
      <c r="G626" s="5">
        <f>IF(COUNTIFS(A$3:A626,A626,F$3:F626,F626)=1,1,0)</f>
        <v>1</v>
      </c>
    </row>
    <row r="627" spans="1:7" x14ac:dyDescent="0.25">
      <c r="A627">
        <v>601</v>
      </c>
      <c r="B627" s="3">
        <v>45360.930859629603</v>
      </c>
      <c r="C627">
        <v>880</v>
      </c>
      <c r="D627" s="4">
        <f t="shared" si="27"/>
        <v>45352</v>
      </c>
      <c r="E627" s="4">
        <f t="shared" si="28"/>
        <v>45352</v>
      </c>
      <c r="F627" s="5">
        <f t="shared" si="29"/>
        <v>0</v>
      </c>
      <c r="G627" s="5">
        <f>IF(COUNTIFS(A$3:A627,A627,F$3:F627,F627)=1,1,0)</f>
        <v>1</v>
      </c>
    </row>
    <row r="628" spans="1:7" x14ac:dyDescent="0.25">
      <c r="A628">
        <v>488</v>
      </c>
      <c r="B628" s="3">
        <v>45306.195057800898</v>
      </c>
      <c r="C628">
        <v>146</v>
      </c>
      <c r="D628" s="4">
        <f t="shared" si="27"/>
        <v>45292</v>
      </c>
      <c r="E628" s="4">
        <f t="shared" si="28"/>
        <v>45292</v>
      </c>
      <c r="F628" s="5">
        <f t="shared" si="29"/>
        <v>0</v>
      </c>
      <c r="G628" s="5">
        <f>IF(COUNTIFS(A$3:A628,A628,F$3:F628,F628)=1,1,0)</f>
        <v>1</v>
      </c>
    </row>
    <row r="629" spans="1:7" x14ac:dyDescent="0.25">
      <c r="A629">
        <v>237</v>
      </c>
      <c r="B629" s="3">
        <v>45366.681615763897</v>
      </c>
      <c r="C629">
        <v>611</v>
      </c>
      <c r="D629" s="4">
        <f t="shared" si="27"/>
        <v>45352</v>
      </c>
      <c r="E629" s="4">
        <f t="shared" si="28"/>
        <v>45352</v>
      </c>
      <c r="F629" s="5">
        <f t="shared" si="29"/>
        <v>0</v>
      </c>
      <c r="G629" s="5">
        <f>IF(COUNTIFS(A$3:A629,A629,F$3:F629,F629)=1,1,0)</f>
        <v>1</v>
      </c>
    </row>
    <row r="630" spans="1:7" x14ac:dyDescent="0.25">
      <c r="A630">
        <v>885</v>
      </c>
      <c r="B630" s="3">
        <v>45465.323267534703</v>
      </c>
      <c r="C630">
        <v>409</v>
      </c>
      <c r="D630" s="4">
        <f t="shared" si="27"/>
        <v>45444</v>
      </c>
      <c r="E630" s="4">
        <f t="shared" si="28"/>
        <v>45323</v>
      </c>
      <c r="F630" s="5">
        <f t="shared" si="29"/>
        <v>4</v>
      </c>
      <c r="G630" s="5">
        <f>IF(COUNTIFS(A$3:A630,A630,F$3:F630,F630)=1,1,0)</f>
        <v>1</v>
      </c>
    </row>
    <row r="631" spans="1:7" x14ac:dyDescent="0.25">
      <c r="A631">
        <v>897</v>
      </c>
      <c r="B631" s="3">
        <v>45337.763131620399</v>
      </c>
      <c r="C631">
        <v>846</v>
      </c>
      <c r="D631" s="4">
        <f t="shared" si="27"/>
        <v>45323</v>
      </c>
      <c r="E631" s="4">
        <f t="shared" si="28"/>
        <v>45323</v>
      </c>
      <c r="F631" s="5">
        <f t="shared" si="29"/>
        <v>0</v>
      </c>
      <c r="G631" s="5">
        <f>IF(COUNTIFS(A$3:A631,A631,F$3:F631,F631)=1,1,0)</f>
        <v>1</v>
      </c>
    </row>
    <row r="632" spans="1:7" x14ac:dyDescent="0.25">
      <c r="A632">
        <v>272</v>
      </c>
      <c r="B632" s="3">
        <v>45643.173276655099</v>
      </c>
      <c r="C632">
        <v>514</v>
      </c>
      <c r="D632" s="4">
        <f t="shared" si="27"/>
        <v>45627</v>
      </c>
      <c r="E632" s="4">
        <f t="shared" si="28"/>
        <v>45627</v>
      </c>
      <c r="F632" s="5">
        <f t="shared" si="29"/>
        <v>0</v>
      </c>
      <c r="G632" s="5">
        <f>IF(COUNTIFS(A$3:A632,A632,F$3:F632,F632)=1,1,0)</f>
        <v>1</v>
      </c>
    </row>
    <row r="633" spans="1:7" x14ac:dyDescent="0.25">
      <c r="A633">
        <v>189</v>
      </c>
      <c r="B633" s="3">
        <v>45434.464613576398</v>
      </c>
      <c r="C633">
        <v>509</v>
      </c>
      <c r="D633" s="4">
        <f t="shared" si="27"/>
        <v>45413</v>
      </c>
      <c r="E633" s="4">
        <f t="shared" si="28"/>
        <v>45413</v>
      </c>
      <c r="F633" s="5">
        <f t="shared" si="29"/>
        <v>0</v>
      </c>
      <c r="G633" s="5">
        <f>IF(COUNTIFS(A$3:A633,A633,F$3:F633,F633)=1,1,0)</f>
        <v>1</v>
      </c>
    </row>
    <row r="634" spans="1:7" x14ac:dyDescent="0.25">
      <c r="A634">
        <v>999</v>
      </c>
      <c r="B634" s="3">
        <v>45440.209564814802</v>
      </c>
      <c r="C634">
        <v>582</v>
      </c>
      <c r="D634" s="4">
        <f t="shared" si="27"/>
        <v>45413</v>
      </c>
      <c r="E634" s="4">
        <f t="shared" si="28"/>
        <v>45413</v>
      </c>
      <c r="F634" s="5">
        <f t="shared" si="29"/>
        <v>0</v>
      </c>
      <c r="G634" s="5">
        <f>IF(COUNTIFS(A$3:A634,A634,F$3:F634,F634)=1,1,0)</f>
        <v>1</v>
      </c>
    </row>
    <row r="635" spans="1:7" x14ac:dyDescent="0.25">
      <c r="A635">
        <v>704</v>
      </c>
      <c r="B635" s="3">
        <v>45346.773007546297</v>
      </c>
      <c r="C635">
        <v>147</v>
      </c>
      <c r="D635" s="4">
        <f t="shared" si="27"/>
        <v>45323</v>
      </c>
      <c r="E635" s="4">
        <f t="shared" si="28"/>
        <v>45323</v>
      </c>
      <c r="F635" s="5">
        <f t="shared" si="29"/>
        <v>0</v>
      </c>
      <c r="G635" s="5">
        <f>IF(COUNTIFS(A$3:A635,A635,F$3:F635,F635)=1,1,0)</f>
        <v>1</v>
      </c>
    </row>
    <row r="636" spans="1:7" x14ac:dyDescent="0.25">
      <c r="A636">
        <v>447</v>
      </c>
      <c r="B636" s="3">
        <v>45528.993400266198</v>
      </c>
      <c r="C636">
        <v>59</v>
      </c>
      <c r="D636" s="4">
        <f t="shared" si="27"/>
        <v>45505</v>
      </c>
      <c r="E636" s="4">
        <f t="shared" si="28"/>
        <v>45505</v>
      </c>
      <c r="F636" s="5">
        <f t="shared" si="29"/>
        <v>0</v>
      </c>
      <c r="G636" s="5">
        <f>IF(COUNTIFS(A$3:A636,A636,F$3:F636,F636)=1,1,0)</f>
        <v>1</v>
      </c>
    </row>
    <row r="637" spans="1:7" x14ac:dyDescent="0.25">
      <c r="A637">
        <v>581</v>
      </c>
      <c r="B637" s="3">
        <v>45458.043059965297</v>
      </c>
      <c r="C637">
        <v>780</v>
      </c>
      <c r="D637" s="4">
        <f t="shared" si="27"/>
        <v>45444</v>
      </c>
      <c r="E637" s="4">
        <f t="shared" si="28"/>
        <v>45444</v>
      </c>
      <c r="F637" s="5">
        <f t="shared" si="29"/>
        <v>0</v>
      </c>
      <c r="G637" s="5">
        <f>IF(COUNTIFS(A$3:A637,A637,F$3:F637,F637)=1,1,0)</f>
        <v>1</v>
      </c>
    </row>
    <row r="638" spans="1:7" x14ac:dyDescent="0.25">
      <c r="A638">
        <v>790</v>
      </c>
      <c r="B638" s="3">
        <v>45624.1633412269</v>
      </c>
      <c r="C638">
        <v>982</v>
      </c>
      <c r="D638" s="4">
        <f t="shared" si="27"/>
        <v>45597</v>
      </c>
      <c r="E638" s="4">
        <f t="shared" si="28"/>
        <v>45597</v>
      </c>
      <c r="F638" s="5">
        <f t="shared" si="29"/>
        <v>0</v>
      </c>
      <c r="G638" s="5">
        <f>IF(COUNTIFS(A$3:A638,A638,F$3:F638,F638)=1,1,0)</f>
        <v>1</v>
      </c>
    </row>
    <row r="639" spans="1:7" x14ac:dyDescent="0.25">
      <c r="A639">
        <v>861</v>
      </c>
      <c r="B639" s="3">
        <v>45533.447170034699</v>
      </c>
      <c r="C639">
        <v>628</v>
      </c>
      <c r="D639" s="4">
        <f t="shared" si="27"/>
        <v>45505</v>
      </c>
      <c r="E639" s="4">
        <f t="shared" si="28"/>
        <v>45323</v>
      </c>
      <c r="F639" s="5">
        <f t="shared" si="29"/>
        <v>6</v>
      </c>
      <c r="G639" s="5">
        <f>IF(COUNTIFS(A$3:A639,A639,F$3:F639,F639)=1,1,0)</f>
        <v>1</v>
      </c>
    </row>
    <row r="640" spans="1:7" x14ac:dyDescent="0.25">
      <c r="A640">
        <v>247</v>
      </c>
      <c r="B640" s="3">
        <v>45616.756581273199</v>
      </c>
      <c r="C640">
        <v>634</v>
      </c>
      <c r="D640" s="4">
        <f t="shared" si="27"/>
        <v>45597</v>
      </c>
      <c r="E640" s="4">
        <f t="shared" si="28"/>
        <v>45566</v>
      </c>
      <c r="F640" s="5">
        <f t="shared" si="29"/>
        <v>1</v>
      </c>
      <c r="G640" s="5">
        <f>IF(COUNTIFS(A$3:A640,A640,F$3:F640,F640)=1,1,0)</f>
        <v>1</v>
      </c>
    </row>
    <row r="641" spans="1:7" x14ac:dyDescent="0.25">
      <c r="A641">
        <v>963</v>
      </c>
      <c r="B641" s="3">
        <v>45599.227697349503</v>
      </c>
      <c r="C641">
        <v>871</v>
      </c>
      <c r="D641" s="4">
        <f t="shared" si="27"/>
        <v>45597</v>
      </c>
      <c r="E641" s="4">
        <f t="shared" si="28"/>
        <v>45413</v>
      </c>
      <c r="F641" s="5">
        <f t="shared" si="29"/>
        <v>6</v>
      </c>
      <c r="G641" s="5">
        <f>IF(COUNTIFS(A$3:A641,A641,F$3:F641,F641)=1,1,0)</f>
        <v>1</v>
      </c>
    </row>
    <row r="642" spans="1:7" x14ac:dyDescent="0.25">
      <c r="A642">
        <v>76</v>
      </c>
      <c r="B642" s="3">
        <v>45337.707807523198</v>
      </c>
      <c r="C642">
        <v>263</v>
      </c>
      <c r="D642" s="4">
        <f t="shared" si="27"/>
        <v>45323</v>
      </c>
      <c r="E642" s="4">
        <f t="shared" si="28"/>
        <v>45323</v>
      </c>
      <c r="F642" s="5">
        <f t="shared" si="29"/>
        <v>0</v>
      </c>
      <c r="G642" s="5">
        <f>IF(COUNTIFS(A$3:A642,A642,F$3:F642,F642)=1,1,0)</f>
        <v>1</v>
      </c>
    </row>
    <row r="643" spans="1:7" x14ac:dyDescent="0.25">
      <c r="A643">
        <v>154</v>
      </c>
      <c r="B643" s="3">
        <v>45564.4739538426</v>
      </c>
      <c r="C643">
        <v>639</v>
      </c>
      <c r="D643" s="4">
        <f t="shared" ref="D643:D706" si="30">EOMONTH(B643,-1)+1</f>
        <v>45536</v>
      </c>
      <c r="E643" s="4">
        <f t="shared" ref="E643:E706" si="31">_xlfn.MINIFS(D$3:D$1002,A$3:A$1002,A643)</f>
        <v>45536</v>
      </c>
      <c r="F643" s="5">
        <f t="shared" ref="F643:F706" si="32">DATEDIF(E643,D643,"M")</f>
        <v>0</v>
      </c>
      <c r="G643" s="5">
        <f>IF(COUNTIFS(A$3:A643,A643,F$3:F643,F643)=1,1,0)</f>
        <v>1</v>
      </c>
    </row>
    <row r="644" spans="1:7" x14ac:dyDescent="0.25">
      <c r="A644">
        <v>656</v>
      </c>
      <c r="B644" s="3">
        <v>45577.848146354198</v>
      </c>
      <c r="C644">
        <v>719</v>
      </c>
      <c r="D644" s="4">
        <f t="shared" si="30"/>
        <v>45566</v>
      </c>
      <c r="E644" s="4">
        <f t="shared" si="31"/>
        <v>45536</v>
      </c>
      <c r="F644" s="5">
        <f t="shared" si="32"/>
        <v>1</v>
      </c>
      <c r="G644" s="5">
        <f>IF(COUNTIFS(A$3:A644,A644,F$3:F644,F644)=1,1,0)</f>
        <v>1</v>
      </c>
    </row>
    <row r="645" spans="1:7" x14ac:dyDescent="0.25">
      <c r="A645">
        <v>435</v>
      </c>
      <c r="B645" s="3">
        <v>45521.943724039404</v>
      </c>
      <c r="C645">
        <v>858</v>
      </c>
      <c r="D645" s="4">
        <f t="shared" si="30"/>
        <v>45505</v>
      </c>
      <c r="E645" s="4">
        <f t="shared" si="31"/>
        <v>45505</v>
      </c>
      <c r="F645" s="5">
        <f t="shared" si="32"/>
        <v>0</v>
      </c>
      <c r="G645" s="5">
        <f>IF(COUNTIFS(A$3:A645,A645,F$3:F645,F645)=1,1,0)</f>
        <v>1</v>
      </c>
    </row>
    <row r="646" spans="1:7" x14ac:dyDescent="0.25">
      <c r="A646">
        <v>997</v>
      </c>
      <c r="B646" s="3">
        <v>45410.207817013899</v>
      </c>
      <c r="C646">
        <v>886</v>
      </c>
      <c r="D646" s="4">
        <f t="shared" si="30"/>
        <v>45383</v>
      </c>
      <c r="E646" s="4">
        <f t="shared" si="31"/>
        <v>45352</v>
      </c>
      <c r="F646" s="5">
        <f t="shared" si="32"/>
        <v>1</v>
      </c>
      <c r="G646" s="5">
        <f>IF(COUNTIFS(A$3:A646,A646,F$3:F646,F646)=1,1,0)</f>
        <v>1</v>
      </c>
    </row>
    <row r="647" spans="1:7" x14ac:dyDescent="0.25">
      <c r="A647">
        <v>86</v>
      </c>
      <c r="B647" s="3">
        <v>45590.1697114005</v>
      </c>
      <c r="C647">
        <v>572</v>
      </c>
      <c r="D647" s="4">
        <f t="shared" si="30"/>
        <v>45566</v>
      </c>
      <c r="E647" s="4">
        <f t="shared" si="31"/>
        <v>45566</v>
      </c>
      <c r="F647" s="5">
        <f t="shared" si="32"/>
        <v>0</v>
      </c>
      <c r="G647" s="5">
        <f>IF(COUNTIFS(A$3:A647,A647,F$3:F647,F647)=1,1,0)</f>
        <v>1</v>
      </c>
    </row>
    <row r="648" spans="1:7" x14ac:dyDescent="0.25">
      <c r="A648">
        <v>697</v>
      </c>
      <c r="B648" s="3">
        <v>45598.521480705997</v>
      </c>
      <c r="C648">
        <v>766</v>
      </c>
      <c r="D648" s="4">
        <f t="shared" si="30"/>
        <v>45597</v>
      </c>
      <c r="E648" s="4">
        <f t="shared" si="31"/>
        <v>45597</v>
      </c>
      <c r="F648" s="5">
        <f t="shared" si="32"/>
        <v>0</v>
      </c>
      <c r="G648" s="5">
        <f>IF(COUNTIFS(A$3:A648,A648,F$3:F648,F648)=1,1,0)</f>
        <v>1</v>
      </c>
    </row>
    <row r="649" spans="1:7" x14ac:dyDescent="0.25">
      <c r="A649">
        <v>285</v>
      </c>
      <c r="B649" s="3">
        <v>45549.535194560201</v>
      </c>
      <c r="C649">
        <v>924</v>
      </c>
      <c r="D649" s="4">
        <f t="shared" si="30"/>
        <v>45536</v>
      </c>
      <c r="E649" s="4">
        <f t="shared" si="31"/>
        <v>45536</v>
      </c>
      <c r="F649" s="5">
        <f t="shared" si="32"/>
        <v>0</v>
      </c>
      <c r="G649" s="5">
        <f>IF(COUNTIFS(A$3:A649,A649,F$3:F649,F649)=1,1,0)</f>
        <v>1</v>
      </c>
    </row>
    <row r="650" spans="1:7" x14ac:dyDescent="0.25">
      <c r="A650">
        <v>974</v>
      </c>
      <c r="B650" s="3">
        <v>45588.8974911111</v>
      </c>
      <c r="C650">
        <v>435</v>
      </c>
      <c r="D650" s="4">
        <f t="shared" si="30"/>
        <v>45566</v>
      </c>
      <c r="E650" s="4">
        <f t="shared" si="31"/>
        <v>45566</v>
      </c>
      <c r="F650" s="5">
        <f t="shared" si="32"/>
        <v>0</v>
      </c>
      <c r="G650" s="5">
        <f>IF(COUNTIFS(A$3:A650,A650,F$3:F650,F650)=1,1,0)</f>
        <v>1</v>
      </c>
    </row>
    <row r="651" spans="1:7" x14ac:dyDescent="0.25">
      <c r="A651">
        <v>220</v>
      </c>
      <c r="B651" s="3">
        <v>45512.598146562501</v>
      </c>
      <c r="C651">
        <v>556</v>
      </c>
      <c r="D651" s="4">
        <f t="shared" si="30"/>
        <v>45505</v>
      </c>
      <c r="E651" s="4">
        <f t="shared" si="31"/>
        <v>45323</v>
      </c>
      <c r="F651" s="5">
        <f t="shared" si="32"/>
        <v>6</v>
      </c>
      <c r="G651" s="5">
        <f>IF(COUNTIFS(A$3:A651,A651,F$3:F651,F651)=1,1,0)</f>
        <v>1</v>
      </c>
    </row>
    <row r="652" spans="1:7" x14ac:dyDescent="0.25">
      <c r="A652">
        <v>69</v>
      </c>
      <c r="B652" s="3">
        <v>45560.667057036997</v>
      </c>
      <c r="C652">
        <v>311</v>
      </c>
      <c r="D652" s="4">
        <f t="shared" si="30"/>
        <v>45536</v>
      </c>
      <c r="E652" s="4">
        <f t="shared" si="31"/>
        <v>45505</v>
      </c>
      <c r="F652" s="5">
        <f t="shared" si="32"/>
        <v>1</v>
      </c>
      <c r="G652" s="5">
        <f>IF(COUNTIFS(A$3:A652,A652,F$3:F652,F652)=1,1,0)</f>
        <v>1</v>
      </c>
    </row>
    <row r="653" spans="1:7" x14ac:dyDescent="0.25">
      <c r="A653">
        <v>47</v>
      </c>
      <c r="B653" s="3">
        <v>45552.542399571801</v>
      </c>
      <c r="C653">
        <v>931</v>
      </c>
      <c r="D653" s="4">
        <f t="shared" si="30"/>
        <v>45536</v>
      </c>
      <c r="E653" s="4">
        <f t="shared" si="31"/>
        <v>45292</v>
      </c>
      <c r="F653" s="5">
        <f t="shared" si="32"/>
        <v>8</v>
      </c>
      <c r="G653" s="5">
        <f>IF(COUNTIFS(A$3:A653,A653,F$3:F653,F653)=1,1,0)</f>
        <v>1</v>
      </c>
    </row>
    <row r="654" spans="1:7" x14ac:dyDescent="0.25">
      <c r="A654">
        <v>94</v>
      </c>
      <c r="B654" s="3">
        <v>45374.307445590297</v>
      </c>
      <c r="C654">
        <v>590</v>
      </c>
      <c r="D654" s="4">
        <f t="shared" si="30"/>
        <v>45352</v>
      </c>
      <c r="E654" s="4">
        <f t="shared" si="31"/>
        <v>45352</v>
      </c>
      <c r="F654" s="5">
        <f t="shared" si="32"/>
        <v>0</v>
      </c>
      <c r="G654" s="5">
        <f>IF(COUNTIFS(A$3:A654,A654,F$3:F654,F654)=1,1,0)</f>
        <v>1</v>
      </c>
    </row>
    <row r="655" spans="1:7" x14ac:dyDescent="0.25">
      <c r="A655">
        <v>750</v>
      </c>
      <c r="B655" s="3">
        <v>45564.468992604197</v>
      </c>
      <c r="C655">
        <v>358</v>
      </c>
      <c r="D655" s="4">
        <f t="shared" si="30"/>
        <v>45536</v>
      </c>
      <c r="E655" s="4">
        <f t="shared" si="31"/>
        <v>45536</v>
      </c>
      <c r="F655" s="5">
        <f t="shared" si="32"/>
        <v>0</v>
      </c>
      <c r="G655" s="5">
        <f>IF(COUNTIFS(A$3:A655,A655,F$3:F655,F655)=1,1,0)</f>
        <v>1</v>
      </c>
    </row>
    <row r="656" spans="1:7" x14ac:dyDescent="0.25">
      <c r="A656">
        <v>958</v>
      </c>
      <c r="B656" s="3">
        <v>45489.698734907397</v>
      </c>
      <c r="C656">
        <v>841</v>
      </c>
      <c r="D656" s="4">
        <f t="shared" si="30"/>
        <v>45474</v>
      </c>
      <c r="E656" s="4">
        <f t="shared" si="31"/>
        <v>45292</v>
      </c>
      <c r="F656" s="5">
        <f t="shared" si="32"/>
        <v>6</v>
      </c>
      <c r="G656" s="5">
        <f>IF(COUNTIFS(A$3:A656,A656,F$3:F656,F656)=1,1,0)</f>
        <v>1</v>
      </c>
    </row>
    <row r="657" spans="1:7" x14ac:dyDescent="0.25">
      <c r="A657">
        <v>453</v>
      </c>
      <c r="B657" s="3">
        <v>45594.308540046302</v>
      </c>
      <c r="C657">
        <v>942</v>
      </c>
      <c r="D657" s="4">
        <f t="shared" si="30"/>
        <v>45566</v>
      </c>
      <c r="E657" s="4">
        <f t="shared" si="31"/>
        <v>45444</v>
      </c>
      <c r="F657" s="5">
        <f t="shared" si="32"/>
        <v>4</v>
      </c>
      <c r="G657" s="5">
        <f>IF(COUNTIFS(A$3:A657,A657,F$3:F657,F657)=1,1,0)</f>
        <v>1</v>
      </c>
    </row>
    <row r="658" spans="1:7" x14ac:dyDescent="0.25">
      <c r="A658">
        <v>204</v>
      </c>
      <c r="B658" s="3">
        <v>45636.897678171299</v>
      </c>
      <c r="C658">
        <v>989</v>
      </c>
      <c r="D658" s="4">
        <f t="shared" si="30"/>
        <v>45627</v>
      </c>
      <c r="E658" s="4">
        <f t="shared" si="31"/>
        <v>45627</v>
      </c>
      <c r="F658" s="5">
        <f t="shared" si="32"/>
        <v>0</v>
      </c>
      <c r="G658" s="5">
        <f>IF(COUNTIFS(A$3:A658,A658,F$3:F658,F658)=1,1,0)</f>
        <v>1</v>
      </c>
    </row>
    <row r="659" spans="1:7" x14ac:dyDescent="0.25">
      <c r="A659">
        <v>912</v>
      </c>
      <c r="B659" s="3">
        <v>45516.949309872703</v>
      </c>
      <c r="C659">
        <v>58</v>
      </c>
      <c r="D659" s="4">
        <f t="shared" si="30"/>
        <v>45505</v>
      </c>
      <c r="E659" s="4">
        <f t="shared" si="31"/>
        <v>45505</v>
      </c>
      <c r="F659" s="5">
        <f t="shared" si="32"/>
        <v>0</v>
      </c>
      <c r="G659" s="5">
        <f>IF(COUNTIFS(A$3:A659,A659,F$3:F659,F659)=1,1,0)</f>
        <v>1</v>
      </c>
    </row>
    <row r="660" spans="1:7" x14ac:dyDescent="0.25">
      <c r="A660">
        <v>218</v>
      </c>
      <c r="B660" s="3">
        <v>45317.767298298597</v>
      </c>
      <c r="C660">
        <v>926</v>
      </c>
      <c r="D660" s="4">
        <f t="shared" si="30"/>
        <v>45292</v>
      </c>
      <c r="E660" s="4">
        <f t="shared" si="31"/>
        <v>45292</v>
      </c>
      <c r="F660" s="5">
        <f t="shared" si="32"/>
        <v>0</v>
      </c>
      <c r="G660" s="5">
        <f>IF(COUNTIFS(A$3:A660,A660,F$3:F660,F660)=1,1,0)</f>
        <v>1</v>
      </c>
    </row>
    <row r="661" spans="1:7" x14ac:dyDescent="0.25">
      <c r="A661">
        <v>474</v>
      </c>
      <c r="B661" s="3">
        <v>45331.667234629604</v>
      </c>
      <c r="C661">
        <v>83</v>
      </c>
      <c r="D661" s="4">
        <f t="shared" si="30"/>
        <v>45323</v>
      </c>
      <c r="E661" s="4">
        <f t="shared" si="31"/>
        <v>45323</v>
      </c>
      <c r="F661" s="5">
        <f t="shared" si="32"/>
        <v>0</v>
      </c>
      <c r="G661" s="5">
        <f>IF(COUNTIFS(A$3:A661,A661,F$3:F661,F661)=1,1,0)</f>
        <v>1</v>
      </c>
    </row>
    <row r="662" spans="1:7" x14ac:dyDescent="0.25">
      <c r="A662">
        <v>432</v>
      </c>
      <c r="B662" s="3">
        <v>45295.931249560199</v>
      </c>
      <c r="C662">
        <v>713</v>
      </c>
      <c r="D662" s="4">
        <f t="shared" si="30"/>
        <v>45292</v>
      </c>
      <c r="E662" s="4">
        <f t="shared" si="31"/>
        <v>45292</v>
      </c>
      <c r="F662" s="5">
        <f t="shared" si="32"/>
        <v>0</v>
      </c>
      <c r="G662" s="5">
        <f>IF(COUNTIFS(A$3:A662,A662,F$3:F662,F662)=1,1,0)</f>
        <v>1</v>
      </c>
    </row>
    <row r="663" spans="1:7" x14ac:dyDescent="0.25">
      <c r="A663">
        <v>341</v>
      </c>
      <c r="B663" s="3">
        <v>45424.029062291702</v>
      </c>
      <c r="C663">
        <v>270</v>
      </c>
      <c r="D663" s="4">
        <f t="shared" si="30"/>
        <v>45413</v>
      </c>
      <c r="E663" s="4">
        <f t="shared" si="31"/>
        <v>45413</v>
      </c>
      <c r="F663" s="5">
        <f t="shared" si="32"/>
        <v>0</v>
      </c>
      <c r="G663" s="5">
        <f>IF(COUNTIFS(A$3:A663,A663,F$3:F663,F663)=1,1,0)</f>
        <v>1</v>
      </c>
    </row>
    <row r="664" spans="1:7" x14ac:dyDescent="0.25">
      <c r="A664">
        <v>551</v>
      </c>
      <c r="B664" s="3">
        <v>45570.831127349498</v>
      </c>
      <c r="C664">
        <v>365</v>
      </c>
      <c r="D664" s="4">
        <f t="shared" si="30"/>
        <v>45566</v>
      </c>
      <c r="E664" s="4">
        <f t="shared" si="31"/>
        <v>45292</v>
      </c>
      <c r="F664" s="5">
        <f t="shared" si="32"/>
        <v>9</v>
      </c>
      <c r="G664" s="5">
        <f>IF(COUNTIFS(A$3:A664,A664,F$3:F664,F664)=1,1,0)</f>
        <v>1</v>
      </c>
    </row>
    <row r="665" spans="1:7" x14ac:dyDescent="0.25">
      <c r="A665">
        <v>612</v>
      </c>
      <c r="B665" s="3">
        <v>45582.403028669003</v>
      </c>
      <c r="C665">
        <v>591</v>
      </c>
      <c r="D665" s="4">
        <f t="shared" si="30"/>
        <v>45566</v>
      </c>
      <c r="E665" s="4">
        <f t="shared" si="31"/>
        <v>45352</v>
      </c>
      <c r="F665" s="5">
        <f t="shared" si="32"/>
        <v>7</v>
      </c>
      <c r="G665" s="5">
        <f>IF(COUNTIFS(A$3:A665,A665,F$3:F665,F665)=1,1,0)</f>
        <v>1</v>
      </c>
    </row>
    <row r="666" spans="1:7" x14ac:dyDescent="0.25">
      <c r="A666">
        <v>289</v>
      </c>
      <c r="B666" s="3">
        <v>45656.8653584028</v>
      </c>
      <c r="C666">
        <v>611</v>
      </c>
      <c r="D666" s="4">
        <f t="shared" si="30"/>
        <v>45627</v>
      </c>
      <c r="E666" s="4">
        <f t="shared" si="31"/>
        <v>45474</v>
      </c>
      <c r="F666" s="5">
        <f t="shared" si="32"/>
        <v>5</v>
      </c>
      <c r="G666" s="5">
        <f>IF(COUNTIFS(A$3:A666,A666,F$3:F666,F666)=1,1,0)</f>
        <v>1</v>
      </c>
    </row>
    <row r="667" spans="1:7" x14ac:dyDescent="0.25">
      <c r="A667">
        <v>254</v>
      </c>
      <c r="B667" s="3">
        <v>45594.1678801042</v>
      </c>
      <c r="C667">
        <v>269</v>
      </c>
      <c r="D667" s="4">
        <f t="shared" si="30"/>
        <v>45566</v>
      </c>
      <c r="E667" s="4">
        <f t="shared" si="31"/>
        <v>45292</v>
      </c>
      <c r="F667" s="5">
        <f t="shared" si="32"/>
        <v>9</v>
      </c>
      <c r="G667" s="5">
        <f>IF(COUNTIFS(A$3:A667,A667,F$3:F667,F667)=1,1,0)</f>
        <v>1</v>
      </c>
    </row>
    <row r="668" spans="1:7" x14ac:dyDescent="0.25">
      <c r="A668">
        <v>734</v>
      </c>
      <c r="B668" s="3">
        <v>45438.058686053198</v>
      </c>
      <c r="C668">
        <v>647</v>
      </c>
      <c r="D668" s="4">
        <f t="shared" si="30"/>
        <v>45413</v>
      </c>
      <c r="E668" s="4">
        <f t="shared" si="31"/>
        <v>45413</v>
      </c>
      <c r="F668" s="5">
        <f t="shared" si="32"/>
        <v>0</v>
      </c>
      <c r="G668" s="5">
        <f>IF(COUNTIFS(A$3:A668,A668,F$3:F668,F668)=1,1,0)</f>
        <v>1</v>
      </c>
    </row>
    <row r="669" spans="1:7" x14ac:dyDescent="0.25">
      <c r="A669">
        <v>357</v>
      </c>
      <c r="B669" s="3">
        <v>45322.323073067098</v>
      </c>
      <c r="C669">
        <v>752</v>
      </c>
      <c r="D669" s="4">
        <f t="shared" si="30"/>
        <v>45292</v>
      </c>
      <c r="E669" s="4">
        <f t="shared" si="31"/>
        <v>45292</v>
      </c>
      <c r="F669" s="5">
        <f t="shared" si="32"/>
        <v>0</v>
      </c>
      <c r="G669" s="5">
        <f>IF(COUNTIFS(A$3:A669,A669,F$3:F669,F669)=1,1,0)</f>
        <v>1</v>
      </c>
    </row>
    <row r="670" spans="1:7" x14ac:dyDescent="0.25">
      <c r="A670">
        <v>23</v>
      </c>
      <c r="B670" s="3">
        <v>45330.700124965297</v>
      </c>
      <c r="C670">
        <v>304</v>
      </c>
      <c r="D670" s="4">
        <f t="shared" si="30"/>
        <v>45323</v>
      </c>
      <c r="E670" s="4">
        <f t="shared" si="31"/>
        <v>45323</v>
      </c>
      <c r="F670" s="5">
        <f t="shared" si="32"/>
        <v>0</v>
      </c>
      <c r="G670" s="5">
        <f>IF(COUNTIFS(A$3:A670,A670,F$3:F670,F670)=1,1,0)</f>
        <v>1</v>
      </c>
    </row>
    <row r="671" spans="1:7" x14ac:dyDescent="0.25">
      <c r="A671">
        <v>762</v>
      </c>
      <c r="B671" s="3">
        <v>45595.860086504603</v>
      </c>
      <c r="C671">
        <v>940</v>
      </c>
      <c r="D671" s="4">
        <f t="shared" si="30"/>
        <v>45566</v>
      </c>
      <c r="E671" s="4">
        <f t="shared" si="31"/>
        <v>45352</v>
      </c>
      <c r="F671" s="5">
        <f t="shared" si="32"/>
        <v>7</v>
      </c>
      <c r="G671" s="5">
        <f>IF(COUNTIFS(A$3:A671,A671,F$3:F671,F671)=1,1,0)</f>
        <v>1</v>
      </c>
    </row>
    <row r="672" spans="1:7" x14ac:dyDescent="0.25">
      <c r="A672">
        <v>522</v>
      </c>
      <c r="B672" s="3">
        <v>45379.787477268503</v>
      </c>
      <c r="C672">
        <v>650</v>
      </c>
      <c r="D672" s="4">
        <f t="shared" si="30"/>
        <v>45352</v>
      </c>
      <c r="E672" s="4">
        <f t="shared" si="31"/>
        <v>45352</v>
      </c>
      <c r="F672" s="5">
        <f t="shared" si="32"/>
        <v>0</v>
      </c>
      <c r="G672" s="5">
        <f>IF(COUNTIFS(A$3:A672,A672,F$3:F672,F672)=1,1,0)</f>
        <v>1</v>
      </c>
    </row>
    <row r="673" spans="1:7" x14ac:dyDescent="0.25">
      <c r="A673">
        <v>758</v>
      </c>
      <c r="B673" s="3">
        <v>45430.127721921301</v>
      </c>
      <c r="C673">
        <v>801</v>
      </c>
      <c r="D673" s="4">
        <f t="shared" si="30"/>
        <v>45413</v>
      </c>
      <c r="E673" s="4">
        <f t="shared" si="31"/>
        <v>45413</v>
      </c>
      <c r="F673" s="5">
        <f t="shared" si="32"/>
        <v>0</v>
      </c>
      <c r="G673" s="5">
        <f>IF(COUNTIFS(A$3:A673,A673,F$3:F673,F673)=1,1,0)</f>
        <v>1</v>
      </c>
    </row>
    <row r="674" spans="1:7" x14ac:dyDescent="0.25">
      <c r="A674">
        <v>837</v>
      </c>
      <c r="B674" s="3">
        <v>45638.4120167824</v>
      </c>
      <c r="C674">
        <v>322</v>
      </c>
      <c r="D674" s="4">
        <f t="shared" si="30"/>
        <v>45627</v>
      </c>
      <c r="E674" s="4">
        <f t="shared" si="31"/>
        <v>45474</v>
      </c>
      <c r="F674" s="5">
        <f t="shared" si="32"/>
        <v>5</v>
      </c>
      <c r="G674" s="5">
        <f>IF(COUNTIFS(A$3:A674,A674,F$3:F674,F674)=1,1,0)</f>
        <v>1</v>
      </c>
    </row>
    <row r="675" spans="1:7" x14ac:dyDescent="0.25">
      <c r="A675">
        <v>100</v>
      </c>
      <c r="B675" s="3">
        <v>45451.570808229197</v>
      </c>
      <c r="C675">
        <v>621</v>
      </c>
      <c r="D675" s="4">
        <f t="shared" si="30"/>
        <v>45444</v>
      </c>
      <c r="E675" s="4">
        <f t="shared" si="31"/>
        <v>45383</v>
      </c>
      <c r="F675" s="5">
        <f t="shared" si="32"/>
        <v>2</v>
      </c>
      <c r="G675" s="5">
        <f>IF(COUNTIFS(A$3:A675,A675,F$3:F675,F675)=1,1,0)</f>
        <v>1</v>
      </c>
    </row>
    <row r="676" spans="1:7" x14ac:dyDescent="0.25">
      <c r="A676">
        <v>802</v>
      </c>
      <c r="B676" s="3">
        <v>45410.304372488397</v>
      </c>
      <c r="C676">
        <v>847</v>
      </c>
      <c r="D676" s="4">
        <f t="shared" si="30"/>
        <v>45383</v>
      </c>
      <c r="E676" s="4">
        <f t="shared" si="31"/>
        <v>45323</v>
      </c>
      <c r="F676" s="5">
        <f t="shared" si="32"/>
        <v>2</v>
      </c>
      <c r="G676" s="5">
        <f>IF(COUNTIFS(A$3:A676,A676,F$3:F676,F676)=1,1,0)</f>
        <v>1</v>
      </c>
    </row>
    <row r="677" spans="1:7" x14ac:dyDescent="0.25">
      <c r="A677">
        <v>180</v>
      </c>
      <c r="B677" s="3">
        <v>45410.776909178203</v>
      </c>
      <c r="C677">
        <v>818</v>
      </c>
      <c r="D677" s="4">
        <f t="shared" si="30"/>
        <v>45383</v>
      </c>
      <c r="E677" s="4">
        <f t="shared" si="31"/>
        <v>45383</v>
      </c>
      <c r="F677" s="5">
        <f t="shared" si="32"/>
        <v>0</v>
      </c>
      <c r="G677" s="5">
        <f>IF(COUNTIFS(A$3:A677,A677,F$3:F677,F677)=1,1,0)</f>
        <v>1</v>
      </c>
    </row>
    <row r="678" spans="1:7" x14ac:dyDescent="0.25">
      <c r="A678">
        <v>223</v>
      </c>
      <c r="B678" s="3">
        <v>45300.155156099499</v>
      </c>
      <c r="C678">
        <v>191</v>
      </c>
      <c r="D678" s="4">
        <f t="shared" si="30"/>
        <v>45292</v>
      </c>
      <c r="E678" s="4">
        <f t="shared" si="31"/>
        <v>45292</v>
      </c>
      <c r="F678" s="5">
        <f t="shared" si="32"/>
        <v>0</v>
      </c>
      <c r="G678" s="5">
        <f>IF(COUNTIFS(A$3:A678,A678,F$3:F678,F678)=1,1,0)</f>
        <v>1</v>
      </c>
    </row>
    <row r="679" spans="1:7" x14ac:dyDescent="0.25">
      <c r="A679">
        <v>906</v>
      </c>
      <c r="B679" s="3">
        <v>45594.013706469901</v>
      </c>
      <c r="C679">
        <v>695</v>
      </c>
      <c r="D679" s="4">
        <f t="shared" si="30"/>
        <v>45566</v>
      </c>
      <c r="E679" s="4">
        <f t="shared" si="31"/>
        <v>45566</v>
      </c>
      <c r="F679" s="5">
        <f t="shared" si="32"/>
        <v>0</v>
      </c>
      <c r="G679" s="5">
        <f>IF(COUNTIFS(A$3:A679,A679,F$3:F679,F679)=1,1,0)</f>
        <v>1</v>
      </c>
    </row>
    <row r="680" spans="1:7" x14ac:dyDescent="0.25">
      <c r="A680">
        <v>762</v>
      </c>
      <c r="B680" s="3">
        <v>45363.410620277798</v>
      </c>
      <c r="C680">
        <v>837</v>
      </c>
      <c r="D680" s="4">
        <f t="shared" si="30"/>
        <v>45352</v>
      </c>
      <c r="E680" s="4">
        <f t="shared" si="31"/>
        <v>45352</v>
      </c>
      <c r="F680" s="5">
        <f t="shared" si="32"/>
        <v>0</v>
      </c>
      <c r="G680" s="5">
        <f>IF(COUNTIFS(A$3:A680,A680,F$3:F680,F680)=1,1,0)</f>
        <v>1</v>
      </c>
    </row>
    <row r="681" spans="1:7" x14ac:dyDescent="0.25">
      <c r="A681">
        <v>659</v>
      </c>
      <c r="B681" s="3">
        <v>45471.616301955997</v>
      </c>
      <c r="C681">
        <v>373</v>
      </c>
      <c r="D681" s="4">
        <f t="shared" si="30"/>
        <v>45444</v>
      </c>
      <c r="E681" s="4">
        <f t="shared" si="31"/>
        <v>45444</v>
      </c>
      <c r="F681" s="5">
        <f t="shared" si="32"/>
        <v>0</v>
      </c>
      <c r="G681" s="5">
        <f>IF(COUNTIFS(A$3:A681,A681,F$3:F681,F681)=1,1,0)</f>
        <v>0</v>
      </c>
    </row>
    <row r="682" spans="1:7" x14ac:dyDescent="0.25">
      <c r="A682">
        <v>442</v>
      </c>
      <c r="B682" s="3">
        <v>45498.722602511603</v>
      </c>
      <c r="C682">
        <v>197</v>
      </c>
      <c r="D682" s="4">
        <f t="shared" si="30"/>
        <v>45474</v>
      </c>
      <c r="E682" s="4">
        <f t="shared" si="31"/>
        <v>45444</v>
      </c>
      <c r="F682" s="5">
        <f t="shared" si="32"/>
        <v>1</v>
      </c>
      <c r="G682" s="5">
        <f>IF(COUNTIFS(A$3:A682,A682,F$3:F682,F682)=1,1,0)</f>
        <v>1</v>
      </c>
    </row>
    <row r="683" spans="1:7" x14ac:dyDescent="0.25">
      <c r="A683">
        <v>608</v>
      </c>
      <c r="B683" s="3">
        <v>45568.081459479203</v>
      </c>
      <c r="C683">
        <v>578</v>
      </c>
      <c r="D683" s="4">
        <f t="shared" si="30"/>
        <v>45566</v>
      </c>
      <c r="E683" s="4">
        <f t="shared" si="31"/>
        <v>45444</v>
      </c>
      <c r="F683" s="5">
        <f t="shared" si="32"/>
        <v>4</v>
      </c>
      <c r="G683" s="5">
        <f>IF(COUNTIFS(A$3:A683,A683,F$3:F683,F683)=1,1,0)</f>
        <v>1</v>
      </c>
    </row>
    <row r="684" spans="1:7" x14ac:dyDescent="0.25">
      <c r="A684">
        <v>769</v>
      </c>
      <c r="B684" s="3">
        <v>45517.231752419</v>
      </c>
      <c r="C684">
        <v>552</v>
      </c>
      <c r="D684" s="4">
        <f t="shared" si="30"/>
        <v>45505</v>
      </c>
      <c r="E684" s="4">
        <f t="shared" si="31"/>
        <v>45505</v>
      </c>
      <c r="F684" s="5">
        <f t="shared" si="32"/>
        <v>0</v>
      </c>
      <c r="G684" s="5">
        <f>IF(COUNTIFS(A$3:A684,A684,F$3:F684,F684)=1,1,0)</f>
        <v>1</v>
      </c>
    </row>
    <row r="685" spans="1:7" x14ac:dyDescent="0.25">
      <c r="A685">
        <v>325</v>
      </c>
      <c r="B685" s="3">
        <v>45293.1150978472</v>
      </c>
      <c r="C685">
        <v>605</v>
      </c>
      <c r="D685" s="4">
        <f t="shared" si="30"/>
        <v>45292</v>
      </c>
      <c r="E685" s="4">
        <f t="shared" si="31"/>
        <v>45292</v>
      </c>
      <c r="F685" s="5">
        <f t="shared" si="32"/>
        <v>0</v>
      </c>
      <c r="G685" s="5">
        <f>IF(COUNTIFS(A$3:A685,A685,F$3:F685,F685)=1,1,0)</f>
        <v>1</v>
      </c>
    </row>
    <row r="686" spans="1:7" x14ac:dyDescent="0.25">
      <c r="A686">
        <v>516</v>
      </c>
      <c r="B686" s="3">
        <v>45353.796380798602</v>
      </c>
      <c r="C686">
        <v>673</v>
      </c>
      <c r="D686" s="4">
        <f t="shared" si="30"/>
        <v>45352</v>
      </c>
      <c r="E686" s="4">
        <f t="shared" si="31"/>
        <v>45352</v>
      </c>
      <c r="F686" s="5">
        <f t="shared" si="32"/>
        <v>0</v>
      </c>
      <c r="G686" s="5">
        <f>IF(COUNTIFS(A$3:A686,A686,F$3:F686,F686)=1,1,0)</f>
        <v>1</v>
      </c>
    </row>
    <row r="687" spans="1:7" x14ac:dyDescent="0.25">
      <c r="A687">
        <v>16</v>
      </c>
      <c r="B687" s="3">
        <v>45320.505933287001</v>
      </c>
      <c r="C687">
        <v>994</v>
      </c>
      <c r="D687" s="4">
        <f t="shared" si="30"/>
        <v>45292</v>
      </c>
      <c r="E687" s="4">
        <f t="shared" si="31"/>
        <v>45292</v>
      </c>
      <c r="F687" s="5">
        <f t="shared" si="32"/>
        <v>0</v>
      </c>
      <c r="G687" s="5">
        <f>IF(COUNTIFS(A$3:A687,A687,F$3:F687,F687)=1,1,0)</f>
        <v>1</v>
      </c>
    </row>
    <row r="688" spans="1:7" x14ac:dyDescent="0.25">
      <c r="A688">
        <v>792</v>
      </c>
      <c r="B688" s="3">
        <v>45509.252772280102</v>
      </c>
      <c r="C688">
        <v>557</v>
      </c>
      <c r="D688" s="4">
        <f t="shared" si="30"/>
        <v>45505</v>
      </c>
      <c r="E688" s="4">
        <f t="shared" si="31"/>
        <v>45444</v>
      </c>
      <c r="F688" s="5">
        <f t="shared" si="32"/>
        <v>2</v>
      </c>
      <c r="G688" s="5">
        <f>IF(COUNTIFS(A$3:A688,A688,F$3:F688,F688)=1,1,0)</f>
        <v>1</v>
      </c>
    </row>
    <row r="689" spans="1:7" x14ac:dyDescent="0.25">
      <c r="A689">
        <v>336</v>
      </c>
      <c r="B689" s="3">
        <v>45388.823841689802</v>
      </c>
      <c r="C689">
        <v>734</v>
      </c>
      <c r="D689" s="4">
        <f t="shared" si="30"/>
        <v>45383</v>
      </c>
      <c r="E689" s="4">
        <f t="shared" si="31"/>
        <v>45383</v>
      </c>
      <c r="F689" s="5">
        <f t="shared" si="32"/>
        <v>0</v>
      </c>
      <c r="G689" s="5">
        <f>IF(COUNTIFS(A$3:A689,A689,F$3:F689,F689)=1,1,0)</f>
        <v>1</v>
      </c>
    </row>
    <row r="690" spans="1:7" x14ac:dyDescent="0.25">
      <c r="A690">
        <v>759</v>
      </c>
      <c r="B690" s="3">
        <v>45385.707701956002</v>
      </c>
      <c r="C690">
        <v>935</v>
      </c>
      <c r="D690" s="4">
        <f t="shared" si="30"/>
        <v>45383</v>
      </c>
      <c r="E690" s="4">
        <f t="shared" si="31"/>
        <v>45383</v>
      </c>
      <c r="F690" s="5">
        <f t="shared" si="32"/>
        <v>0</v>
      </c>
      <c r="G690" s="5">
        <f>IF(COUNTIFS(A$3:A690,A690,F$3:F690,F690)=1,1,0)</f>
        <v>1</v>
      </c>
    </row>
    <row r="691" spans="1:7" x14ac:dyDescent="0.25">
      <c r="A691">
        <v>258</v>
      </c>
      <c r="B691" s="3">
        <v>45534.241235925903</v>
      </c>
      <c r="C691">
        <v>417</v>
      </c>
      <c r="D691" s="4">
        <f t="shared" si="30"/>
        <v>45505</v>
      </c>
      <c r="E691" s="4">
        <f t="shared" si="31"/>
        <v>45505</v>
      </c>
      <c r="F691" s="5">
        <f t="shared" si="32"/>
        <v>0</v>
      </c>
      <c r="G691" s="5">
        <f>IF(COUNTIFS(A$3:A691,A691,F$3:F691,F691)=1,1,0)</f>
        <v>1</v>
      </c>
    </row>
    <row r="692" spans="1:7" x14ac:dyDescent="0.25">
      <c r="A692">
        <v>497</v>
      </c>
      <c r="B692" s="3">
        <v>45294.5283484838</v>
      </c>
      <c r="C692">
        <v>885</v>
      </c>
      <c r="D692" s="4">
        <f t="shared" si="30"/>
        <v>45292</v>
      </c>
      <c r="E692" s="4">
        <f t="shared" si="31"/>
        <v>45292</v>
      </c>
      <c r="F692" s="5">
        <f t="shared" si="32"/>
        <v>0</v>
      </c>
      <c r="G692" s="5">
        <f>IF(COUNTIFS(A$3:A692,A692,F$3:F692,F692)=1,1,0)</f>
        <v>0</v>
      </c>
    </row>
    <row r="693" spans="1:7" x14ac:dyDescent="0.25">
      <c r="A693">
        <v>988</v>
      </c>
      <c r="B693" s="3">
        <v>45490.877717037001</v>
      </c>
      <c r="C693">
        <v>627</v>
      </c>
      <c r="D693" s="4">
        <f t="shared" si="30"/>
        <v>45474</v>
      </c>
      <c r="E693" s="4">
        <f t="shared" si="31"/>
        <v>45474</v>
      </c>
      <c r="F693" s="5">
        <f t="shared" si="32"/>
        <v>0</v>
      </c>
      <c r="G693" s="5">
        <f>IF(COUNTIFS(A$3:A693,A693,F$3:F693,F693)=1,1,0)</f>
        <v>1</v>
      </c>
    </row>
    <row r="694" spans="1:7" x14ac:dyDescent="0.25">
      <c r="A694">
        <v>896</v>
      </c>
      <c r="B694" s="3">
        <v>45605.201277280103</v>
      </c>
      <c r="C694">
        <v>423</v>
      </c>
      <c r="D694" s="4">
        <f t="shared" si="30"/>
        <v>45597</v>
      </c>
      <c r="E694" s="4">
        <f t="shared" si="31"/>
        <v>45444</v>
      </c>
      <c r="F694" s="5">
        <f t="shared" si="32"/>
        <v>5</v>
      </c>
      <c r="G694" s="5">
        <f>IF(COUNTIFS(A$3:A694,A694,F$3:F694,F694)=1,1,0)</f>
        <v>0</v>
      </c>
    </row>
    <row r="695" spans="1:7" x14ac:dyDescent="0.25">
      <c r="A695">
        <v>160</v>
      </c>
      <c r="B695" s="3">
        <v>45516.651493171303</v>
      </c>
      <c r="C695">
        <v>351</v>
      </c>
      <c r="D695" s="4">
        <f t="shared" si="30"/>
        <v>45505</v>
      </c>
      <c r="E695" s="4">
        <f t="shared" si="31"/>
        <v>45323</v>
      </c>
      <c r="F695" s="5">
        <f t="shared" si="32"/>
        <v>6</v>
      </c>
      <c r="G695" s="5">
        <f>IF(COUNTIFS(A$3:A695,A695,F$3:F695,F695)=1,1,0)</f>
        <v>0</v>
      </c>
    </row>
    <row r="696" spans="1:7" x14ac:dyDescent="0.25">
      <c r="A696">
        <v>475</v>
      </c>
      <c r="B696" s="3">
        <v>45647.404274838002</v>
      </c>
      <c r="C696">
        <v>229</v>
      </c>
      <c r="D696" s="4">
        <f t="shared" si="30"/>
        <v>45627</v>
      </c>
      <c r="E696" s="4">
        <f t="shared" si="31"/>
        <v>45536</v>
      </c>
      <c r="F696" s="5">
        <f t="shared" si="32"/>
        <v>3</v>
      </c>
      <c r="G696" s="5">
        <f>IF(COUNTIFS(A$3:A696,A696,F$3:F696,F696)=1,1,0)</f>
        <v>1</v>
      </c>
    </row>
    <row r="697" spans="1:7" x14ac:dyDescent="0.25">
      <c r="A697">
        <v>852</v>
      </c>
      <c r="B697" s="3">
        <v>45590.392201493101</v>
      </c>
      <c r="C697">
        <v>912</v>
      </c>
      <c r="D697" s="4">
        <f t="shared" si="30"/>
        <v>45566</v>
      </c>
      <c r="E697" s="4">
        <f t="shared" si="31"/>
        <v>45566</v>
      </c>
      <c r="F697" s="5">
        <f t="shared" si="32"/>
        <v>0</v>
      </c>
      <c r="G697" s="5">
        <f>IF(COUNTIFS(A$3:A697,A697,F$3:F697,F697)=1,1,0)</f>
        <v>1</v>
      </c>
    </row>
    <row r="698" spans="1:7" x14ac:dyDescent="0.25">
      <c r="A698">
        <v>664</v>
      </c>
      <c r="B698" s="3">
        <v>45363.767590902797</v>
      </c>
      <c r="C698">
        <v>172</v>
      </c>
      <c r="D698" s="4">
        <f t="shared" si="30"/>
        <v>45352</v>
      </c>
      <c r="E698" s="4">
        <f t="shared" si="31"/>
        <v>45352</v>
      </c>
      <c r="F698" s="5">
        <f t="shared" si="32"/>
        <v>0</v>
      </c>
      <c r="G698" s="5">
        <f>IF(COUNTIFS(A$3:A698,A698,F$3:F698,F698)=1,1,0)</f>
        <v>1</v>
      </c>
    </row>
    <row r="699" spans="1:7" x14ac:dyDescent="0.25">
      <c r="A699">
        <v>908</v>
      </c>
      <c r="B699" s="3">
        <v>45434.058708611097</v>
      </c>
      <c r="C699">
        <v>960</v>
      </c>
      <c r="D699" s="4">
        <f t="shared" si="30"/>
        <v>45413</v>
      </c>
      <c r="E699" s="4">
        <f t="shared" si="31"/>
        <v>45413</v>
      </c>
      <c r="F699" s="5">
        <f t="shared" si="32"/>
        <v>0</v>
      </c>
      <c r="G699" s="5">
        <f>IF(COUNTIFS(A$3:A699,A699,F$3:F699,F699)=1,1,0)</f>
        <v>0</v>
      </c>
    </row>
    <row r="700" spans="1:7" x14ac:dyDescent="0.25">
      <c r="A700">
        <v>690</v>
      </c>
      <c r="B700" s="3">
        <v>45546.076277407403</v>
      </c>
      <c r="C700">
        <v>229</v>
      </c>
      <c r="D700" s="4">
        <f t="shared" si="30"/>
        <v>45536</v>
      </c>
      <c r="E700" s="4">
        <f t="shared" si="31"/>
        <v>45536</v>
      </c>
      <c r="F700" s="5">
        <f t="shared" si="32"/>
        <v>0</v>
      </c>
      <c r="G700" s="5">
        <f>IF(COUNTIFS(A$3:A700,A700,F$3:F700,F700)=1,1,0)</f>
        <v>1</v>
      </c>
    </row>
    <row r="701" spans="1:7" x14ac:dyDescent="0.25">
      <c r="A701">
        <v>675</v>
      </c>
      <c r="B701" s="3">
        <v>45351.933847662003</v>
      </c>
      <c r="C701">
        <v>279</v>
      </c>
      <c r="D701" s="4">
        <f t="shared" si="30"/>
        <v>45323</v>
      </c>
      <c r="E701" s="4">
        <f t="shared" si="31"/>
        <v>45323</v>
      </c>
      <c r="F701" s="5">
        <f t="shared" si="32"/>
        <v>0</v>
      </c>
      <c r="G701" s="5">
        <f>IF(COUNTIFS(A$3:A701,A701,F$3:F701,F701)=1,1,0)</f>
        <v>1</v>
      </c>
    </row>
    <row r="702" spans="1:7" x14ac:dyDescent="0.25">
      <c r="A702">
        <v>380</v>
      </c>
      <c r="B702" s="3">
        <v>45308.256547418998</v>
      </c>
      <c r="C702">
        <v>641</v>
      </c>
      <c r="D702" s="4">
        <f t="shared" si="30"/>
        <v>45292</v>
      </c>
      <c r="E702" s="4">
        <f t="shared" si="31"/>
        <v>45292</v>
      </c>
      <c r="F702" s="5">
        <f t="shared" si="32"/>
        <v>0</v>
      </c>
      <c r="G702" s="5">
        <f>IF(COUNTIFS(A$3:A702,A702,F$3:F702,F702)=1,1,0)</f>
        <v>1</v>
      </c>
    </row>
    <row r="703" spans="1:7" x14ac:dyDescent="0.25">
      <c r="A703">
        <v>545</v>
      </c>
      <c r="B703" s="3">
        <v>45547.416218333303</v>
      </c>
      <c r="C703">
        <v>915</v>
      </c>
      <c r="D703" s="4">
        <f t="shared" si="30"/>
        <v>45536</v>
      </c>
      <c r="E703" s="4">
        <f t="shared" si="31"/>
        <v>45536</v>
      </c>
      <c r="F703" s="5">
        <f t="shared" si="32"/>
        <v>0</v>
      </c>
      <c r="G703" s="5">
        <f>IF(COUNTIFS(A$3:A703,A703,F$3:F703,F703)=1,1,0)</f>
        <v>1</v>
      </c>
    </row>
    <row r="704" spans="1:7" x14ac:dyDescent="0.25">
      <c r="A704">
        <v>929</v>
      </c>
      <c r="B704" s="3">
        <v>45494.152865335702</v>
      </c>
      <c r="C704">
        <v>857</v>
      </c>
      <c r="D704" s="4">
        <f t="shared" si="30"/>
        <v>45474</v>
      </c>
      <c r="E704" s="4">
        <f t="shared" si="31"/>
        <v>45474</v>
      </c>
      <c r="F704" s="5">
        <f t="shared" si="32"/>
        <v>0</v>
      </c>
      <c r="G704" s="5">
        <f>IF(COUNTIFS(A$3:A704,A704,F$3:F704,F704)=1,1,0)</f>
        <v>0</v>
      </c>
    </row>
    <row r="705" spans="1:7" x14ac:dyDescent="0.25">
      <c r="A705">
        <v>957</v>
      </c>
      <c r="B705" s="3">
        <v>45624.974379201398</v>
      </c>
      <c r="C705">
        <v>409</v>
      </c>
      <c r="D705" s="4">
        <f t="shared" si="30"/>
        <v>45597</v>
      </c>
      <c r="E705" s="4">
        <f t="shared" si="31"/>
        <v>45323</v>
      </c>
      <c r="F705" s="5">
        <f t="shared" si="32"/>
        <v>9</v>
      </c>
      <c r="G705" s="5">
        <f>IF(COUNTIFS(A$3:A705,A705,F$3:F705,F705)=1,1,0)</f>
        <v>1</v>
      </c>
    </row>
    <row r="706" spans="1:7" x14ac:dyDescent="0.25">
      <c r="A706">
        <v>691</v>
      </c>
      <c r="B706" s="3">
        <v>45371.421624768504</v>
      </c>
      <c r="C706">
        <v>191</v>
      </c>
      <c r="D706" s="4">
        <f t="shared" si="30"/>
        <v>45352</v>
      </c>
      <c r="E706" s="4">
        <f t="shared" si="31"/>
        <v>45352</v>
      </c>
      <c r="F706" s="5">
        <f t="shared" si="32"/>
        <v>0</v>
      </c>
      <c r="G706" s="5">
        <f>IF(COUNTIFS(A$3:A706,A706,F$3:F706,F706)=1,1,0)</f>
        <v>1</v>
      </c>
    </row>
    <row r="707" spans="1:7" x14ac:dyDescent="0.25">
      <c r="A707">
        <v>427</v>
      </c>
      <c r="B707" s="3">
        <v>45299.839441794</v>
      </c>
      <c r="C707">
        <v>627</v>
      </c>
      <c r="D707" s="4">
        <f t="shared" ref="D707:D770" si="33">EOMONTH(B707,-1)+1</f>
        <v>45292</v>
      </c>
      <c r="E707" s="4">
        <f t="shared" ref="E707:E770" si="34">_xlfn.MINIFS(D$3:D$1002,A$3:A$1002,A707)</f>
        <v>45292</v>
      </c>
      <c r="F707" s="5">
        <f t="shared" ref="F707:F770" si="35">DATEDIF(E707,D707,"M")</f>
        <v>0</v>
      </c>
      <c r="G707" s="5">
        <f>IF(COUNTIFS(A$3:A707,A707,F$3:F707,F707)=1,1,0)</f>
        <v>1</v>
      </c>
    </row>
    <row r="708" spans="1:7" x14ac:dyDescent="0.25">
      <c r="A708">
        <v>613</v>
      </c>
      <c r="B708" s="3">
        <v>45352.935422812501</v>
      </c>
      <c r="C708">
        <v>738</v>
      </c>
      <c r="D708" s="4">
        <f t="shared" si="33"/>
        <v>45352</v>
      </c>
      <c r="E708" s="4">
        <f t="shared" si="34"/>
        <v>45352</v>
      </c>
      <c r="F708" s="5">
        <f t="shared" si="35"/>
        <v>0</v>
      </c>
      <c r="G708" s="5">
        <f>IF(COUNTIFS(A$3:A708,A708,F$3:F708,F708)=1,1,0)</f>
        <v>0</v>
      </c>
    </row>
    <row r="709" spans="1:7" x14ac:dyDescent="0.25">
      <c r="A709">
        <v>268</v>
      </c>
      <c r="B709" s="3">
        <v>45445.161894062498</v>
      </c>
      <c r="C709">
        <v>214</v>
      </c>
      <c r="D709" s="4">
        <f t="shared" si="33"/>
        <v>45444</v>
      </c>
      <c r="E709" s="4">
        <f t="shared" si="34"/>
        <v>45444</v>
      </c>
      <c r="F709" s="5">
        <f t="shared" si="35"/>
        <v>0</v>
      </c>
      <c r="G709" s="5">
        <f>IF(COUNTIFS(A$3:A709,A709,F$3:F709,F709)=1,1,0)</f>
        <v>1</v>
      </c>
    </row>
    <row r="710" spans="1:7" x14ac:dyDescent="0.25">
      <c r="A710">
        <v>835</v>
      </c>
      <c r="B710" s="3">
        <v>45482.343097175901</v>
      </c>
      <c r="C710">
        <v>591</v>
      </c>
      <c r="D710" s="4">
        <f t="shared" si="33"/>
        <v>45474</v>
      </c>
      <c r="E710" s="4">
        <f t="shared" si="34"/>
        <v>45474</v>
      </c>
      <c r="F710" s="5">
        <f t="shared" si="35"/>
        <v>0</v>
      </c>
      <c r="G710" s="5">
        <f>IF(COUNTIFS(A$3:A710,A710,F$3:F710,F710)=1,1,0)</f>
        <v>1</v>
      </c>
    </row>
    <row r="711" spans="1:7" x14ac:dyDescent="0.25">
      <c r="A711">
        <v>577</v>
      </c>
      <c r="B711" s="3">
        <v>45536.763499212997</v>
      </c>
      <c r="C711">
        <v>565</v>
      </c>
      <c r="D711" s="4">
        <f t="shared" si="33"/>
        <v>45536</v>
      </c>
      <c r="E711" s="4">
        <f t="shared" si="34"/>
        <v>45536</v>
      </c>
      <c r="F711" s="5">
        <f t="shared" si="35"/>
        <v>0</v>
      </c>
      <c r="G711" s="5">
        <f>IF(COUNTIFS(A$3:A711,A711,F$3:F711,F711)=1,1,0)</f>
        <v>1</v>
      </c>
    </row>
    <row r="712" spans="1:7" x14ac:dyDescent="0.25">
      <c r="A712">
        <v>417</v>
      </c>
      <c r="B712" s="3">
        <v>45505.412254201401</v>
      </c>
      <c r="C712">
        <v>850</v>
      </c>
      <c r="D712" s="4">
        <f t="shared" si="33"/>
        <v>45505</v>
      </c>
      <c r="E712" s="4">
        <f t="shared" si="34"/>
        <v>45505</v>
      </c>
      <c r="F712" s="5">
        <f t="shared" si="35"/>
        <v>0</v>
      </c>
      <c r="G712" s="5">
        <f>IF(COUNTIFS(A$3:A712,A712,F$3:F712,F712)=1,1,0)</f>
        <v>1</v>
      </c>
    </row>
    <row r="713" spans="1:7" x14ac:dyDescent="0.25">
      <c r="A713">
        <v>168</v>
      </c>
      <c r="B713" s="3">
        <v>45508.073847580999</v>
      </c>
      <c r="C713">
        <v>822</v>
      </c>
      <c r="D713" s="4">
        <f t="shared" si="33"/>
        <v>45505</v>
      </c>
      <c r="E713" s="4">
        <f t="shared" si="34"/>
        <v>45505</v>
      </c>
      <c r="F713" s="5">
        <f t="shared" si="35"/>
        <v>0</v>
      </c>
      <c r="G713" s="5">
        <f>IF(COUNTIFS(A$3:A713,A713,F$3:F713,F713)=1,1,0)</f>
        <v>1</v>
      </c>
    </row>
    <row r="714" spans="1:7" x14ac:dyDescent="0.25">
      <c r="A714">
        <v>842</v>
      </c>
      <c r="B714" s="3">
        <v>45531.289004537</v>
      </c>
      <c r="C714">
        <v>237</v>
      </c>
      <c r="D714" s="4">
        <f t="shared" si="33"/>
        <v>45505</v>
      </c>
      <c r="E714" s="4">
        <f t="shared" si="34"/>
        <v>45505</v>
      </c>
      <c r="F714" s="5">
        <f t="shared" si="35"/>
        <v>0</v>
      </c>
      <c r="G714" s="5">
        <f>IF(COUNTIFS(A$3:A714,A714,F$3:F714,F714)=1,1,0)</f>
        <v>1</v>
      </c>
    </row>
    <row r="715" spans="1:7" x14ac:dyDescent="0.25">
      <c r="A715">
        <v>43</v>
      </c>
      <c r="B715" s="3">
        <v>45623.327036180599</v>
      </c>
      <c r="C715">
        <v>705</v>
      </c>
      <c r="D715" s="4">
        <f t="shared" si="33"/>
        <v>45597</v>
      </c>
      <c r="E715" s="4">
        <f t="shared" si="34"/>
        <v>45597</v>
      </c>
      <c r="F715" s="5">
        <f t="shared" si="35"/>
        <v>0</v>
      </c>
      <c r="G715" s="5">
        <f>IF(COUNTIFS(A$3:A715,A715,F$3:F715,F715)=1,1,0)</f>
        <v>1</v>
      </c>
    </row>
    <row r="716" spans="1:7" x14ac:dyDescent="0.25">
      <c r="A716">
        <v>556</v>
      </c>
      <c r="B716" s="3">
        <v>45507.528947777799</v>
      </c>
      <c r="C716">
        <v>628</v>
      </c>
      <c r="D716" s="4">
        <f t="shared" si="33"/>
        <v>45505</v>
      </c>
      <c r="E716" s="4">
        <f t="shared" si="34"/>
        <v>45292</v>
      </c>
      <c r="F716" s="5">
        <f t="shared" si="35"/>
        <v>7</v>
      </c>
      <c r="G716" s="5">
        <f>IF(COUNTIFS(A$3:A716,A716,F$3:F716,F716)=1,1,0)</f>
        <v>1</v>
      </c>
    </row>
    <row r="717" spans="1:7" x14ac:dyDescent="0.25">
      <c r="A717">
        <v>285</v>
      </c>
      <c r="B717" s="3">
        <v>45578.427217129603</v>
      </c>
      <c r="C717">
        <v>605</v>
      </c>
      <c r="D717" s="4">
        <f t="shared" si="33"/>
        <v>45566</v>
      </c>
      <c r="E717" s="4">
        <f t="shared" si="34"/>
        <v>45536</v>
      </c>
      <c r="F717" s="5">
        <f t="shared" si="35"/>
        <v>1</v>
      </c>
      <c r="G717" s="5">
        <f>IF(COUNTIFS(A$3:A717,A717,F$3:F717,F717)=1,1,0)</f>
        <v>1</v>
      </c>
    </row>
    <row r="718" spans="1:7" x14ac:dyDescent="0.25">
      <c r="A718">
        <v>397</v>
      </c>
      <c r="B718" s="3">
        <v>45439.278237164399</v>
      </c>
      <c r="C718">
        <v>859</v>
      </c>
      <c r="D718" s="4">
        <f t="shared" si="33"/>
        <v>45413</v>
      </c>
      <c r="E718" s="4">
        <f t="shared" si="34"/>
        <v>45413</v>
      </c>
      <c r="F718" s="5">
        <f t="shared" si="35"/>
        <v>0</v>
      </c>
      <c r="G718" s="5">
        <f>IF(COUNTIFS(A$3:A718,A718,F$3:F718,F718)=1,1,0)</f>
        <v>1</v>
      </c>
    </row>
    <row r="719" spans="1:7" x14ac:dyDescent="0.25">
      <c r="A719">
        <v>12</v>
      </c>
      <c r="B719" s="3">
        <v>45391.063884432901</v>
      </c>
      <c r="C719">
        <v>259</v>
      </c>
      <c r="D719" s="4">
        <f t="shared" si="33"/>
        <v>45383</v>
      </c>
      <c r="E719" s="4">
        <f t="shared" si="34"/>
        <v>45383</v>
      </c>
      <c r="F719" s="5">
        <f t="shared" si="35"/>
        <v>0</v>
      </c>
      <c r="G719" s="5">
        <f>IF(COUNTIFS(A$3:A719,A719,F$3:F719,F719)=1,1,0)</f>
        <v>1</v>
      </c>
    </row>
    <row r="720" spans="1:7" x14ac:dyDescent="0.25">
      <c r="A720">
        <v>607</v>
      </c>
      <c r="B720" s="3">
        <v>45560.135925289404</v>
      </c>
      <c r="C720">
        <v>884</v>
      </c>
      <c r="D720" s="4">
        <f t="shared" si="33"/>
        <v>45536</v>
      </c>
      <c r="E720" s="4">
        <f t="shared" si="34"/>
        <v>45505</v>
      </c>
      <c r="F720" s="5">
        <f t="shared" si="35"/>
        <v>1</v>
      </c>
      <c r="G720" s="5">
        <f>IF(COUNTIFS(A$3:A720,A720,F$3:F720,F720)=1,1,0)</f>
        <v>1</v>
      </c>
    </row>
    <row r="721" spans="1:7" x14ac:dyDescent="0.25">
      <c r="A721">
        <v>302</v>
      </c>
      <c r="B721" s="3">
        <v>45496.598111550898</v>
      </c>
      <c r="C721">
        <v>450</v>
      </c>
      <c r="D721" s="4">
        <f t="shared" si="33"/>
        <v>45474</v>
      </c>
      <c r="E721" s="4">
        <f t="shared" si="34"/>
        <v>45474</v>
      </c>
      <c r="F721" s="5">
        <f t="shared" si="35"/>
        <v>0</v>
      </c>
      <c r="G721" s="5">
        <f>IF(COUNTIFS(A$3:A721,A721,F$3:F721,F721)=1,1,0)</f>
        <v>1</v>
      </c>
    </row>
    <row r="722" spans="1:7" x14ac:dyDescent="0.25">
      <c r="A722">
        <v>898</v>
      </c>
      <c r="B722" s="3">
        <v>45393.902467233798</v>
      </c>
      <c r="C722">
        <v>542</v>
      </c>
      <c r="D722" s="4">
        <f t="shared" si="33"/>
        <v>45383</v>
      </c>
      <c r="E722" s="4">
        <f t="shared" si="34"/>
        <v>45383</v>
      </c>
      <c r="F722" s="5">
        <f t="shared" si="35"/>
        <v>0</v>
      </c>
      <c r="G722" s="5">
        <f>IF(COUNTIFS(A$3:A722,A722,F$3:F722,F722)=1,1,0)</f>
        <v>1</v>
      </c>
    </row>
    <row r="723" spans="1:7" x14ac:dyDescent="0.25">
      <c r="A723">
        <v>253</v>
      </c>
      <c r="B723" s="3">
        <v>45427.790483067103</v>
      </c>
      <c r="C723">
        <v>205</v>
      </c>
      <c r="D723" s="4">
        <f t="shared" si="33"/>
        <v>45413</v>
      </c>
      <c r="E723" s="4">
        <f t="shared" si="34"/>
        <v>45383</v>
      </c>
      <c r="F723" s="5">
        <f t="shared" si="35"/>
        <v>1</v>
      </c>
      <c r="G723" s="5">
        <f>IF(COUNTIFS(A$3:A723,A723,F$3:F723,F723)=1,1,0)</f>
        <v>1</v>
      </c>
    </row>
    <row r="724" spans="1:7" x14ac:dyDescent="0.25">
      <c r="A724">
        <v>499</v>
      </c>
      <c r="B724" s="3">
        <v>45399.745917963002</v>
      </c>
      <c r="C724">
        <v>699</v>
      </c>
      <c r="D724" s="4">
        <f t="shared" si="33"/>
        <v>45383</v>
      </c>
      <c r="E724" s="4">
        <f t="shared" si="34"/>
        <v>45383</v>
      </c>
      <c r="F724" s="5">
        <f t="shared" si="35"/>
        <v>0</v>
      </c>
      <c r="G724" s="5">
        <f>IF(COUNTIFS(A$3:A724,A724,F$3:F724,F724)=1,1,0)</f>
        <v>1</v>
      </c>
    </row>
    <row r="725" spans="1:7" x14ac:dyDescent="0.25">
      <c r="A725">
        <v>754</v>
      </c>
      <c r="B725" s="3">
        <v>45323.778888622699</v>
      </c>
      <c r="C725">
        <v>938</v>
      </c>
      <c r="D725" s="4">
        <f t="shared" si="33"/>
        <v>45323</v>
      </c>
      <c r="E725" s="4">
        <f t="shared" si="34"/>
        <v>45323</v>
      </c>
      <c r="F725" s="5">
        <f t="shared" si="35"/>
        <v>0</v>
      </c>
      <c r="G725" s="5">
        <f>IF(COUNTIFS(A$3:A725,A725,F$3:F725,F725)=1,1,0)</f>
        <v>1</v>
      </c>
    </row>
    <row r="726" spans="1:7" x14ac:dyDescent="0.25">
      <c r="A726">
        <v>35</v>
      </c>
      <c r="B726" s="3">
        <v>45436.340380370399</v>
      </c>
      <c r="C726">
        <v>996</v>
      </c>
      <c r="D726" s="4">
        <f t="shared" si="33"/>
        <v>45413</v>
      </c>
      <c r="E726" s="4">
        <f t="shared" si="34"/>
        <v>45413</v>
      </c>
      <c r="F726" s="5">
        <f t="shared" si="35"/>
        <v>0</v>
      </c>
      <c r="G726" s="5">
        <f>IF(COUNTIFS(A$3:A726,A726,F$3:F726,F726)=1,1,0)</f>
        <v>1</v>
      </c>
    </row>
    <row r="727" spans="1:7" x14ac:dyDescent="0.25">
      <c r="A727">
        <v>727</v>
      </c>
      <c r="B727" s="3">
        <v>45388.456298645797</v>
      </c>
      <c r="C727">
        <v>528</v>
      </c>
      <c r="D727" s="4">
        <f t="shared" si="33"/>
        <v>45383</v>
      </c>
      <c r="E727" s="4">
        <f t="shared" si="34"/>
        <v>45383</v>
      </c>
      <c r="F727" s="5">
        <f t="shared" si="35"/>
        <v>0</v>
      </c>
      <c r="G727" s="5">
        <f>IF(COUNTIFS(A$3:A727,A727,F$3:F727,F727)=1,1,0)</f>
        <v>1</v>
      </c>
    </row>
    <row r="728" spans="1:7" x14ac:dyDescent="0.25">
      <c r="A728">
        <v>849</v>
      </c>
      <c r="B728" s="3">
        <v>45343.277114583303</v>
      </c>
      <c r="C728">
        <v>79</v>
      </c>
      <c r="D728" s="4">
        <f t="shared" si="33"/>
        <v>45323</v>
      </c>
      <c r="E728" s="4">
        <f t="shared" si="34"/>
        <v>45323</v>
      </c>
      <c r="F728" s="5">
        <f t="shared" si="35"/>
        <v>0</v>
      </c>
      <c r="G728" s="5">
        <f>IF(COUNTIFS(A$3:A728,A728,F$3:F728,F728)=1,1,0)</f>
        <v>1</v>
      </c>
    </row>
    <row r="729" spans="1:7" x14ac:dyDescent="0.25">
      <c r="A729">
        <v>90</v>
      </c>
      <c r="B729" s="3">
        <v>45331.238925277801</v>
      </c>
      <c r="C729">
        <v>648</v>
      </c>
      <c r="D729" s="4">
        <f t="shared" si="33"/>
        <v>45323</v>
      </c>
      <c r="E729" s="4">
        <f t="shared" si="34"/>
        <v>45323</v>
      </c>
      <c r="F729" s="5">
        <f t="shared" si="35"/>
        <v>0</v>
      </c>
      <c r="G729" s="5">
        <f>IF(COUNTIFS(A$3:A729,A729,F$3:F729,F729)=1,1,0)</f>
        <v>1</v>
      </c>
    </row>
    <row r="730" spans="1:7" x14ac:dyDescent="0.25">
      <c r="A730">
        <v>776</v>
      </c>
      <c r="B730" s="3">
        <v>45361.111263414401</v>
      </c>
      <c r="C730">
        <v>408</v>
      </c>
      <c r="D730" s="4">
        <f t="shared" si="33"/>
        <v>45352</v>
      </c>
      <c r="E730" s="4">
        <f t="shared" si="34"/>
        <v>45352</v>
      </c>
      <c r="F730" s="5">
        <f t="shared" si="35"/>
        <v>0</v>
      </c>
      <c r="G730" s="5">
        <f>IF(COUNTIFS(A$3:A730,A730,F$3:F730,F730)=1,1,0)</f>
        <v>1</v>
      </c>
    </row>
    <row r="731" spans="1:7" x14ac:dyDescent="0.25">
      <c r="A731">
        <v>605</v>
      </c>
      <c r="B731" s="3">
        <v>45407.450422025497</v>
      </c>
      <c r="C731">
        <v>987</v>
      </c>
      <c r="D731" s="4">
        <f t="shared" si="33"/>
        <v>45383</v>
      </c>
      <c r="E731" s="4">
        <f t="shared" si="34"/>
        <v>45383</v>
      </c>
      <c r="F731" s="5">
        <f t="shared" si="35"/>
        <v>0</v>
      </c>
      <c r="G731" s="5">
        <f>IF(COUNTIFS(A$3:A731,A731,F$3:F731,F731)=1,1,0)</f>
        <v>1</v>
      </c>
    </row>
    <row r="732" spans="1:7" x14ac:dyDescent="0.25">
      <c r="A732">
        <v>922</v>
      </c>
      <c r="B732" s="3">
        <v>45581.432984594903</v>
      </c>
      <c r="C732">
        <v>681</v>
      </c>
      <c r="D732" s="4">
        <f t="shared" si="33"/>
        <v>45566</v>
      </c>
      <c r="E732" s="4">
        <f t="shared" si="34"/>
        <v>45566</v>
      </c>
      <c r="F732" s="5">
        <f t="shared" si="35"/>
        <v>0</v>
      </c>
      <c r="G732" s="5">
        <f>IF(COUNTIFS(A$3:A732,A732,F$3:F732,F732)=1,1,0)</f>
        <v>0</v>
      </c>
    </row>
    <row r="733" spans="1:7" x14ac:dyDescent="0.25">
      <c r="A733">
        <v>970</v>
      </c>
      <c r="B733" s="3">
        <v>45651.852004270797</v>
      </c>
      <c r="C733">
        <v>769</v>
      </c>
      <c r="D733" s="4">
        <f t="shared" si="33"/>
        <v>45627</v>
      </c>
      <c r="E733" s="4">
        <f t="shared" si="34"/>
        <v>45627</v>
      </c>
      <c r="F733" s="5">
        <f t="shared" si="35"/>
        <v>0</v>
      </c>
      <c r="G733" s="5">
        <f>IF(COUNTIFS(A$3:A733,A733,F$3:F733,F733)=1,1,0)</f>
        <v>1</v>
      </c>
    </row>
    <row r="734" spans="1:7" x14ac:dyDescent="0.25">
      <c r="A734">
        <v>602</v>
      </c>
      <c r="B734" s="3">
        <v>45523.652936562503</v>
      </c>
      <c r="C734">
        <v>212</v>
      </c>
      <c r="D734" s="4">
        <f t="shared" si="33"/>
        <v>45505</v>
      </c>
      <c r="E734" s="4">
        <f t="shared" si="34"/>
        <v>45505</v>
      </c>
      <c r="F734" s="5">
        <f t="shared" si="35"/>
        <v>0</v>
      </c>
      <c r="G734" s="5">
        <f>IF(COUNTIFS(A$3:A734,A734,F$3:F734,F734)=1,1,0)</f>
        <v>1</v>
      </c>
    </row>
    <row r="735" spans="1:7" x14ac:dyDescent="0.25">
      <c r="A735">
        <v>418</v>
      </c>
      <c r="B735" s="3">
        <v>45421.505911053202</v>
      </c>
      <c r="C735">
        <v>157</v>
      </c>
      <c r="D735" s="4">
        <f t="shared" si="33"/>
        <v>45413</v>
      </c>
      <c r="E735" s="4">
        <f t="shared" si="34"/>
        <v>45413</v>
      </c>
      <c r="F735" s="5">
        <f t="shared" si="35"/>
        <v>0</v>
      </c>
      <c r="G735" s="5">
        <f>IF(COUNTIFS(A$3:A735,A735,F$3:F735,F735)=1,1,0)</f>
        <v>1</v>
      </c>
    </row>
    <row r="736" spans="1:7" x14ac:dyDescent="0.25">
      <c r="A736">
        <v>115</v>
      </c>
      <c r="B736" s="3">
        <v>45402.813180914403</v>
      </c>
      <c r="C736">
        <v>481</v>
      </c>
      <c r="D736" s="4">
        <f t="shared" si="33"/>
        <v>45383</v>
      </c>
      <c r="E736" s="4">
        <f t="shared" si="34"/>
        <v>45383</v>
      </c>
      <c r="F736" s="5">
        <f t="shared" si="35"/>
        <v>0</v>
      </c>
      <c r="G736" s="5">
        <f>IF(COUNTIFS(A$3:A736,A736,F$3:F736,F736)=1,1,0)</f>
        <v>1</v>
      </c>
    </row>
    <row r="737" spans="1:7" x14ac:dyDescent="0.25">
      <c r="A737">
        <v>617</v>
      </c>
      <c r="B737" s="3">
        <v>45647.528824143497</v>
      </c>
      <c r="C737">
        <v>664</v>
      </c>
      <c r="D737" s="4">
        <f t="shared" si="33"/>
        <v>45627</v>
      </c>
      <c r="E737" s="4">
        <f t="shared" si="34"/>
        <v>45627</v>
      </c>
      <c r="F737" s="5">
        <f t="shared" si="35"/>
        <v>0</v>
      </c>
      <c r="G737" s="5">
        <f>IF(COUNTIFS(A$3:A737,A737,F$3:F737,F737)=1,1,0)</f>
        <v>1</v>
      </c>
    </row>
    <row r="738" spans="1:7" x14ac:dyDescent="0.25">
      <c r="A738">
        <v>903</v>
      </c>
      <c r="B738" s="3">
        <v>45341.503660590301</v>
      </c>
      <c r="C738">
        <v>953</v>
      </c>
      <c r="D738" s="4">
        <f t="shared" si="33"/>
        <v>45323</v>
      </c>
      <c r="E738" s="4">
        <f t="shared" si="34"/>
        <v>45323</v>
      </c>
      <c r="F738" s="5">
        <f t="shared" si="35"/>
        <v>0</v>
      </c>
      <c r="G738" s="5">
        <f>IF(COUNTIFS(A$3:A738,A738,F$3:F738,F738)=1,1,0)</f>
        <v>1</v>
      </c>
    </row>
    <row r="739" spans="1:7" x14ac:dyDescent="0.25">
      <c r="A739">
        <v>196</v>
      </c>
      <c r="B739" s="3">
        <v>45574.132599074102</v>
      </c>
      <c r="C739">
        <v>208</v>
      </c>
      <c r="D739" s="4">
        <f t="shared" si="33"/>
        <v>45566</v>
      </c>
      <c r="E739" s="4">
        <f t="shared" si="34"/>
        <v>45292</v>
      </c>
      <c r="F739" s="5">
        <f t="shared" si="35"/>
        <v>9</v>
      </c>
      <c r="G739" s="5">
        <f>IF(COUNTIFS(A$3:A739,A739,F$3:F739,F739)=1,1,0)</f>
        <v>1</v>
      </c>
    </row>
    <row r="740" spans="1:7" x14ac:dyDescent="0.25">
      <c r="A740">
        <v>826</v>
      </c>
      <c r="B740" s="3">
        <v>45515.473090937499</v>
      </c>
      <c r="C740">
        <v>926</v>
      </c>
      <c r="D740" s="4">
        <f t="shared" si="33"/>
        <v>45505</v>
      </c>
      <c r="E740" s="4">
        <f t="shared" si="34"/>
        <v>45505</v>
      </c>
      <c r="F740" s="5">
        <f t="shared" si="35"/>
        <v>0</v>
      </c>
      <c r="G740" s="5">
        <f>IF(COUNTIFS(A$3:A740,A740,F$3:F740,F740)=1,1,0)</f>
        <v>1</v>
      </c>
    </row>
    <row r="741" spans="1:7" x14ac:dyDescent="0.25">
      <c r="A741">
        <v>501</v>
      </c>
      <c r="B741" s="3">
        <v>45409.5150569213</v>
      </c>
      <c r="C741">
        <v>435</v>
      </c>
      <c r="D741" s="4">
        <f t="shared" si="33"/>
        <v>45383</v>
      </c>
      <c r="E741" s="4">
        <f t="shared" si="34"/>
        <v>45383</v>
      </c>
      <c r="F741" s="5">
        <f t="shared" si="35"/>
        <v>0</v>
      </c>
      <c r="G741" s="5">
        <f>IF(COUNTIFS(A$3:A741,A741,F$3:F741,F741)=1,1,0)</f>
        <v>1</v>
      </c>
    </row>
    <row r="742" spans="1:7" x14ac:dyDescent="0.25">
      <c r="A742">
        <v>626</v>
      </c>
      <c r="B742" s="3">
        <v>45530.146542777802</v>
      </c>
      <c r="C742">
        <v>675</v>
      </c>
      <c r="D742" s="4">
        <f t="shared" si="33"/>
        <v>45505</v>
      </c>
      <c r="E742" s="4">
        <f t="shared" si="34"/>
        <v>45505</v>
      </c>
      <c r="F742" s="5">
        <f t="shared" si="35"/>
        <v>0</v>
      </c>
      <c r="G742" s="5">
        <f>IF(COUNTIFS(A$3:A742,A742,F$3:F742,F742)=1,1,0)</f>
        <v>1</v>
      </c>
    </row>
    <row r="743" spans="1:7" x14ac:dyDescent="0.25">
      <c r="A743">
        <v>493</v>
      </c>
      <c r="B743" s="3">
        <v>45430.411902534703</v>
      </c>
      <c r="C743">
        <v>501</v>
      </c>
      <c r="D743" s="4">
        <f t="shared" si="33"/>
        <v>45413</v>
      </c>
      <c r="E743" s="4">
        <f t="shared" si="34"/>
        <v>45383</v>
      </c>
      <c r="F743" s="5">
        <f t="shared" si="35"/>
        <v>1</v>
      </c>
      <c r="G743" s="5">
        <f>IF(COUNTIFS(A$3:A743,A743,F$3:F743,F743)=1,1,0)</f>
        <v>1</v>
      </c>
    </row>
    <row r="744" spans="1:7" x14ac:dyDescent="0.25">
      <c r="A744">
        <v>75</v>
      </c>
      <c r="B744" s="3">
        <v>45364.766270786997</v>
      </c>
      <c r="C744">
        <v>897</v>
      </c>
      <c r="D744" s="4">
        <f t="shared" si="33"/>
        <v>45352</v>
      </c>
      <c r="E744" s="4">
        <f t="shared" si="34"/>
        <v>45352</v>
      </c>
      <c r="F744" s="5">
        <f t="shared" si="35"/>
        <v>0</v>
      </c>
      <c r="G744" s="5">
        <f>IF(COUNTIFS(A$3:A744,A744,F$3:F744,F744)=1,1,0)</f>
        <v>1</v>
      </c>
    </row>
    <row r="745" spans="1:7" x14ac:dyDescent="0.25">
      <c r="A745">
        <v>413</v>
      </c>
      <c r="B745" s="3">
        <v>45372.354145347199</v>
      </c>
      <c r="C745">
        <v>905</v>
      </c>
      <c r="D745" s="4">
        <f t="shared" si="33"/>
        <v>45352</v>
      </c>
      <c r="E745" s="4">
        <f t="shared" si="34"/>
        <v>45352</v>
      </c>
      <c r="F745" s="5">
        <f t="shared" si="35"/>
        <v>0</v>
      </c>
      <c r="G745" s="5">
        <f>IF(COUNTIFS(A$3:A745,A745,F$3:F745,F745)=1,1,0)</f>
        <v>1</v>
      </c>
    </row>
    <row r="746" spans="1:7" x14ac:dyDescent="0.25">
      <c r="A746">
        <v>376</v>
      </c>
      <c r="B746" s="3">
        <v>45358.449596111102</v>
      </c>
      <c r="C746">
        <v>151</v>
      </c>
      <c r="D746" s="4">
        <f t="shared" si="33"/>
        <v>45352</v>
      </c>
      <c r="E746" s="4">
        <f t="shared" si="34"/>
        <v>45352</v>
      </c>
      <c r="F746" s="5">
        <f t="shared" si="35"/>
        <v>0</v>
      </c>
      <c r="G746" s="5">
        <f>IF(COUNTIFS(A$3:A746,A746,F$3:F746,F746)=1,1,0)</f>
        <v>1</v>
      </c>
    </row>
    <row r="747" spans="1:7" x14ac:dyDescent="0.25">
      <c r="A747">
        <v>420</v>
      </c>
      <c r="B747" s="3">
        <v>45598.840913981498</v>
      </c>
      <c r="C747">
        <v>322</v>
      </c>
      <c r="D747" s="4">
        <f t="shared" si="33"/>
        <v>45597</v>
      </c>
      <c r="E747" s="4">
        <f t="shared" si="34"/>
        <v>45566</v>
      </c>
      <c r="F747" s="5">
        <f t="shared" si="35"/>
        <v>1</v>
      </c>
      <c r="G747" s="5">
        <f>IF(COUNTIFS(A$3:A747,A747,F$3:F747,F747)=1,1,0)</f>
        <v>1</v>
      </c>
    </row>
    <row r="748" spans="1:7" x14ac:dyDescent="0.25">
      <c r="A748">
        <v>729</v>
      </c>
      <c r="B748" s="3">
        <v>45410.165003576403</v>
      </c>
      <c r="C748">
        <v>174</v>
      </c>
      <c r="D748" s="4">
        <f t="shared" si="33"/>
        <v>45383</v>
      </c>
      <c r="E748" s="4">
        <f t="shared" si="34"/>
        <v>45383</v>
      </c>
      <c r="F748" s="5">
        <f t="shared" si="35"/>
        <v>0</v>
      </c>
      <c r="G748" s="5">
        <f>IF(COUNTIFS(A$3:A748,A748,F$3:F748,F748)=1,1,0)</f>
        <v>1</v>
      </c>
    </row>
    <row r="749" spans="1:7" x14ac:dyDescent="0.25">
      <c r="A749">
        <v>277</v>
      </c>
      <c r="B749" s="3">
        <v>45346.224228518498</v>
      </c>
      <c r="C749">
        <v>323</v>
      </c>
      <c r="D749" s="4">
        <f t="shared" si="33"/>
        <v>45323</v>
      </c>
      <c r="E749" s="4">
        <f t="shared" si="34"/>
        <v>45323</v>
      </c>
      <c r="F749" s="5">
        <f t="shared" si="35"/>
        <v>0</v>
      </c>
      <c r="G749" s="5">
        <f>IF(COUNTIFS(A$3:A749,A749,F$3:F749,F749)=1,1,0)</f>
        <v>1</v>
      </c>
    </row>
    <row r="750" spans="1:7" x14ac:dyDescent="0.25">
      <c r="A750">
        <v>761</v>
      </c>
      <c r="B750" s="3">
        <v>45650.219927129598</v>
      </c>
      <c r="C750">
        <v>30</v>
      </c>
      <c r="D750" s="4">
        <f t="shared" si="33"/>
        <v>45627</v>
      </c>
      <c r="E750" s="4">
        <f t="shared" si="34"/>
        <v>45627</v>
      </c>
      <c r="F750" s="5">
        <f t="shared" si="35"/>
        <v>0</v>
      </c>
      <c r="G750" s="5">
        <f>IF(COUNTIFS(A$3:A750,A750,F$3:F750,F750)=1,1,0)</f>
        <v>1</v>
      </c>
    </row>
    <row r="751" spans="1:7" x14ac:dyDescent="0.25">
      <c r="A751">
        <v>676</v>
      </c>
      <c r="B751" s="3">
        <v>45441.632277939803</v>
      </c>
      <c r="C751">
        <v>91</v>
      </c>
      <c r="D751" s="4">
        <f t="shared" si="33"/>
        <v>45413</v>
      </c>
      <c r="E751" s="4">
        <f t="shared" si="34"/>
        <v>45413</v>
      </c>
      <c r="F751" s="5">
        <f t="shared" si="35"/>
        <v>0</v>
      </c>
      <c r="G751" s="5">
        <f>IF(COUNTIFS(A$3:A751,A751,F$3:F751,F751)=1,1,0)</f>
        <v>1</v>
      </c>
    </row>
    <row r="752" spans="1:7" x14ac:dyDescent="0.25">
      <c r="A752">
        <v>394</v>
      </c>
      <c r="B752" s="3">
        <v>45439.563058125001</v>
      </c>
      <c r="C752">
        <v>590</v>
      </c>
      <c r="D752" s="4">
        <f t="shared" si="33"/>
        <v>45413</v>
      </c>
      <c r="E752" s="4">
        <f t="shared" si="34"/>
        <v>45413</v>
      </c>
      <c r="F752" s="5">
        <f t="shared" si="35"/>
        <v>0</v>
      </c>
      <c r="G752" s="5">
        <f>IF(COUNTIFS(A$3:A752,A752,F$3:F752,F752)=1,1,0)</f>
        <v>1</v>
      </c>
    </row>
    <row r="753" spans="1:7" x14ac:dyDescent="0.25">
      <c r="A753">
        <v>869</v>
      </c>
      <c r="B753" s="3">
        <v>45443.225936493101</v>
      </c>
      <c r="C753">
        <v>140</v>
      </c>
      <c r="D753" s="4">
        <f t="shared" si="33"/>
        <v>45413</v>
      </c>
      <c r="E753" s="4">
        <f t="shared" si="34"/>
        <v>45413</v>
      </c>
      <c r="F753" s="5">
        <f t="shared" si="35"/>
        <v>0</v>
      </c>
      <c r="G753" s="5">
        <f>IF(COUNTIFS(A$3:A753,A753,F$3:F753,F753)=1,1,0)</f>
        <v>1</v>
      </c>
    </row>
    <row r="754" spans="1:7" x14ac:dyDescent="0.25">
      <c r="A754">
        <v>457</v>
      </c>
      <c r="B754" s="3">
        <v>45501.492965532401</v>
      </c>
      <c r="C754">
        <v>608</v>
      </c>
      <c r="D754" s="4">
        <f t="shared" si="33"/>
        <v>45474</v>
      </c>
      <c r="E754" s="4">
        <f t="shared" si="34"/>
        <v>45474</v>
      </c>
      <c r="F754" s="5">
        <f t="shared" si="35"/>
        <v>0</v>
      </c>
      <c r="G754" s="5">
        <f>IF(COUNTIFS(A$3:A754,A754,F$3:F754,F754)=1,1,0)</f>
        <v>1</v>
      </c>
    </row>
    <row r="755" spans="1:7" x14ac:dyDescent="0.25">
      <c r="A755">
        <v>920</v>
      </c>
      <c r="B755" s="3">
        <v>45469.079095729197</v>
      </c>
      <c r="C755">
        <v>739</v>
      </c>
      <c r="D755" s="4">
        <f t="shared" si="33"/>
        <v>45444</v>
      </c>
      <c r="E755" s="4">
        <f t="shared" si="34"/>
        <v>45444</v>
      </c>
      <c r="F755" s="5">
        <f t="shared" si="35"/>
        <v>0</v>
      </c>
      <c r="G755" s="5">
        <f>IF(COUNTIFS(A$3:A755,A755,F$3:F755,F755)=1,1,0)</f>
        <v>1</v>
      </c>
    </row>
    <row r="756" spans="1:7" x14ac:dyDescent="0.25">
      <c r="A756">
        <v>192</v>
      </c>
      <c r="B756" s="3">
        <v>45551.449995324103</v>
      </c>
      <c r="C756">
        <v>942</v>
      </c>
      <c r="D756" s="4">
        <f t="shared" si="33"/>
        <v>45536</v>
      </c>
      <c r="E756" s="4">
        <f t="shared" si="34"/>
        <v>45444</v>
      </c>
      <c r="F756" s="5">
        <f t="shared" si="35"/>
        <v>3</v>
      </c>
      <c r="G756" s="5">
        <f>IF(COUNTIFS(A$3:A756,A756,F$3:F756,F756)=1,1,0)</f>
        <v>1</v>
      </c>
    </row>
    <row r="757" spans="1:7" x14ac:dyDescent="0.25">
      <c r="A757">
        <v>739</v>
      </c>
      <c r="B757" s="3">
        <v>45439.738002326398</v>
      </c>
      <c r="C757">
        <v>993</v>
      </c>
      <c r="D757" s="4">
        <f t="shared" si="33"/>
        <v>45413</v>
      </c>
      <c r="E757" s="4">
        <f t="shared" si="34"/>
        <v>45413</v>
      </c>
      <c r="F757" s="5">
        <f t="shared" si="35"/>
        <v>0</v>
      </c>
      <c r="G757" s="5">
        <f>IF(COUNTIFS(A$3:A757,A757,F$3:F757,F757)=1,1,0)</f>
        <v>1</v>
      </c>
    </row>
    <row r="758" spans="1:7" x14ac:dyDescent="0.25">
      <c r="A758">
        <v>689</v>
      </c>
      <c r="B758" s="3">
        <v>45567.303745648198</v>
      </c>
      <c r="C758">
        <v>314</v>
      </c>
      <c r="D758" s="4">
        <f t="shared" si="33"/>
        <v>45566</v>
      </c>
      <c r="E758" s="4">
        <f t="shared" si="34"/>
        <v>45566</v>
      </c>
      <c r="F758" s="5">
        <f t="shared" si="35"/>
        <v>0</v>
      </c>
      <c r="G758" s="5">
        <f>IF(COUNTIFS(A$3:A758,A758,F$3:F758,F758)=1,1,0)</f>
        <v>1</v>
      </c>
    </row>
    <row r="759" spans="1:7" x14ac:dyDescent="0.25">
      <c r="A759">
        <v>99</v>
      </c>
      <c r="B759" s="3">
        <v>45477.635051724501</v>
      </c>
      <c r="C759">
        <v>924</v>
      </c>
      <c r="D759" s="4">
        <f t="shared" si="33"/>
        <v>45474</v>
      </c>
      <c r="E759" s="4">
        <f t="shared" si="34"/>
        <v>45323</v>
      </c>
      <c r="F759" s="5">
        <f t="shared" si="35"/>
        <v>5</v>
      </c>
      <c r="G759" s="5">
        <f>IF(COUNTIFS(A$3:A759,A759,F$3:F759,F759)=1,1,0)</f>
        <v>0</v>
      </c>
    </row>
    <row r="760" spans="1:7" x14ac:dyDescent="0.25">
      <c r="A760">
        <v>548</v>
      </c>
      <c r="B760" s="3">
        <v>45311.291384328702</v>
      </c>
      <c r="C760">
        <v>380</v>
      </c>
      <c r="D760" s="4">
        <f t="shared" si="33"/>
        <v>45292</v>
      </c>
      <c r="E760" s="4">
        <f t="shared" si="34"/>
        <v>45292</v>
      </c>
      <c r="F760" s="5">
        <f t="shared" si="35"/>
        <v>0</v>
      </c>
      <c r="G760" s="5">
        <f>IF(COUNTIFS(A$3:A760,A760,F$3:F760,F760)=1,1,0)</f>
        <v>1</v>
      </c>
    </row>
    <row r="761" spans="1:7" x14ac:dyDescent="0.25">
      <c r="A761">
        <v>978</v>
      </c>
      <c r="B761" s="3">
        <v>45534.824580798602</v>
      </c>
      <c r="C761">
        <v>866</v>
      </c>
      <c r="D761" s="4">
        <f t="shared" si="33"/>
        <v>45505</v>
      </c>
      <c r="E761" s="4">
        <f t="shared" si="34"/>
        <v>45505</v>
      </c>
      <c r="F761" s="5">
        <f t="shared" si="35"/>
        <v>0</v>
      </c>
      <c r="G761" s="5">
        <f>IF(COUNTIFS(A$3:A761,A761,F$3:F761,F761)=1,1,0)</f>
        <v>1</v>
      </c>
    </row>
    <row r="762" spans="1:7" x14ac:dyDescent="0.25">
      <c r="A762">
        <v>999</v>
      </c>
      <c r="B762" s="3">
        <v>45635.587610891198</v>
      </c>
      <c r="C762">
        <v>862</v>
      </c>
      <c r="D762" s="4">
        <f t="shared" si="33"/>
        <v>45627</v>
      </c>
      <c r="E762" s="4">
        <f t="shared" si="34"/>
        <v>45413</v>
      </c>
      <c r="F762" s="5">
        <f t="shared" si="35"/>
        <v>7</v>
      </c>
      <c r="G762" s="5">
        <f>IF(COUNTIFS(A$3:A762,A762,F$3:F762,F762)=1,1,0)</f>
        <v>1</v>
      </c>
    </row>
    <row r="763" spans="1:7" x14ac:dyDescent="0.25">
      <c r="A763">
        <v>96</v>
      </c>
      <c r="B763" s="3">
        <v>45536.5645636111</v>
      </c>
      <c r="C763">
        <v>393</v>
      </c>
      <c r="D763" s="4">
        <f t="shared" si="33"/>
        <v>45536</v>
      </c>
      <c r="E763" s="4">
        <f t="shared" si="34"/>
        <v>45505</v>
      </c>
      <c r="F763" s="5">
        <f t="shared" si="35"/>
        <v>1</v>
      </c>
      <c r="G763" s="5">
        <f>IF(COUNTIFS(A$3:A763,A763,F$3:F763,F763)=1,1,0)</f>
        <v>1</v>
      </c>
    </row>
    <row r="764" spans="1:7" x14ac:dyDescent="0.25">
      <c r="A764">
        <v>664</v>
      </c>
      <c r="B764" s="3">
        <v>45538.378467291703</v>
      </c>
      <c r="C764">
        <v>917</v>
      </c>
      <c r="D764" s="4">
        <f t="shared" si="33"/>
        <v>45536</v>
      </c>
      <c r="E764" s="4">
        <f t="shared" si="34"/>
        <v>45352</v>
      </c>
      <c r="F764" s="5">
        <f t="shared" si="35"/>
        <v>6</v>
      </c>
      <c r="G764" s="5">
        <f>IF(COUNTIFS(A$3:A764,A764,F$3:F764,F764)=1,1,0)</f>
        <v>1</v>
      </c>
    </row>
    <row r="765" spans="1:7" x14ac:dyDescent="0.25">
      <c r="A765">
        <v>663</v>
      </c>
      <c r="B765" s="3">
        <v>45594.000111018497</v>
      </c>
      <c r="C765">
        <v>454</v>
      </c>
      <c r="D765" s="4">
        <f t="shared" si="33"/>
        <v>45566</v>
      </c>
      <c r="E765" s="4">
        <f t="shared" si="34"/>
        <v>45566</v>
      </c>
      <c r="F765" s="5">
        <f t="shared" si="35"/>
        <v>0</v>
      </c>
      <c r="G765" s="5">
        <f>IF(COUNTIFS(A$3:A765,A765,F$3:F765,F765)=1,1,0)</f>
        <v>0</v>
      </c>
    </row>
    <row r="766" spans="1:7" x14ac:dyDescent="0.25">
      <c r="A766">
        <v>190</v>
      </c>
      <c r="B766" s="3">
        <v>45389.473204675902</v>
      </c>
      <c r="C766">
        <v>434</v>
      </c>
      <c r="D766" s="4">
        <f t="shared" si="33"/>
        <v>45383</v>
      </c>
      <c r="E766" s="4">
        <f t="shared" si="34"/>
        <v>45323</v>
      </c>
      <c r="F766" s="5">
        <f t="shared" si="35"/>
        <v>2</v>
      </c>
      <c r="G766" s="5">
        <f>IF(COUNTIFS(A$3:A766,A766,F$3:F766,F766)=1,1,0)</f>
        <v>1</v>
      </c>
    </row>
    <row r="767" spans="1:7" x14ac:dyDescent="0.25">
      <c r="A767">
        <v>736</v>
      </c>
      <c r="B767" s="3">
        <v>45433.409034282398</v>
      </c>
      <c r="C767">
        <v>170</v>
      </c>
      <c r="D767" s="4">
        <f t="shared" si="33"/>
        <v>45413</v>
      </c>
      <c r="E767" s="4">
        <f t="shared" si="34"/>
        <v>45292</v>
      </c>
      <c r="F767" s="5">
        <f t="shared" si="35"/>
        <v>4</v>
      </c>
      <c r="G767" s="5">
        <f>IF(COUNTIFS(A$3:A767,A767,F$3:F767,F767)=1,1,0)</f>
        <v>1</v>
      </c>
    </row>
    <row r="768" spans="1:7" x14ac:dyDescent="0.25">
      <c r="A768">
        <v>37</v>
      </c>
      <c r="B768" s="3">
        <v>45360.519137291703</v>
      </c>
      <c r="C768">
        <v>187</v>
      </c>
      <c r="D768" s="4">
        <f t="shared" si="33"/>
        <v>45352</v>
      </c>
      <c r="E768" s="4">
        <f t="shared" si="34"/>
        <v>45352</v>
      </c>
      <c r="F768" s="5">
        <f t="shared" si="35"/>
        <v>0</v>
      </c>
      <c r="G768" s="5">
        <f>IF(COUNTIFS(A$3:A768,A768,F$3:F768,F768)=1,1,0)</f>
        <v>1</v>
      </c>
    </row>
    <row r="769" spans="1:7" x14ac:dyDescent="0.25">
      <c r="A769">
        <v>780</v>
      </c>
      <c r="B769" s="3">
        <v>45395.9050025463</v>
      </c>
      <c r="C769">
        <v>638</v>
      </c>
      <c r="D769" s="4">
        <f t="shared" si="33"/>
        <v>45383</v>
      </c>
      <c r="E769" s="4">
        <f t="shared" si="34"/>
        <v>45383</v>
      </c>
      <c r="F769" s="5">
        <f t="shared" si="35"/>
        <v>0</v>
      </c>
      <c r="G769" s="5">
        <f>IF(COUNTIFS(A$3:A769,A769,F$3:F769,F769)=1,1,0)</f>
        <v>1</v>
      </c>
    </row>
    <row r="770" spans="1:7" x14ac:dyDescent="0.25">
      <c r="A770">
        <v>369</v>
      </c>
      <c r="B770" s="3">
        <v>45499.380039629599</v>
      </c>
      <c r="C770">
        <v>717</v>
      </c>
      <c r="D770" s="4">
        <f t="shared" si="33"/>
        <v>45474</v>
      </c>
      <c r="E770" s="4">
        <f t="shared" si="34"/>
        <v>45474</v>
      </c>
      <c r="F770" s="5">
        <f t="shared" si="35"/>
        <v>0</v>
      </c>
      <c r="G770" s="5">
        <f>IF(COUNTIFS(A$3:A770,A770,F$3:F770,F770)=1,1,0)</f>
        <v>1</v>
      </c>
    </row>
    <row r="771" spans="1:7" x14ac:dyDescent="0.25">
      <c r="A771">
        <v>695</v>
      </c>
      <c r="B771" s="3">
        <v>45299.605651307902</v>
      </c>
      <c r="C771">
        <v>904</v>
      </c>
      <c r="D771" s="4">
        <f t="shared" ref="D771:D834" si="36">EOMONTH(B771,-1)+1</f>
        <v>45292</v>
      </c>
      <c r="E771" s="4">
        <f t="shared" ref="E771:E834" si="37">_xlfn.MINIFS(D$3:D$1002,A$3:A$1002,A771)</f>
        <v>45292</v>
      </c>
      <c r="F771" s="5">
        <f t="shared" ref="F771:F834" si="38">DATEDIF(E771,D771,"M")</f>
        <v>0</v>
      </c>
      <c r="G771" s="5">
        <f>IF(COUNTIFS(A$3:A771,A771,F$3:F771,F771)=1,1,0)</f>
        <v>1</v>
      </c>
    </row>
    <row r="772" spans="1:7" x14ac:dyDescent="0.25">
      <c r="A772">
        <v>525</v>
      </c>
      <c r="B772" s="3">
        <v>45295.050589838</v>
      </c>
      <c r="C772">
        <v>499</v>
      </c>
      <c r="D772" s="4">
        <f t="shared" si="36"/>
        <v>45292</v>
      </c>
      <c r="E772" s="4">
        <f t="shared" si="37"/>
        <v>45292</v>
      </c>
      <c r="F772" s="5">
        <f t="shared" si="38"/>
        <v>0</v>
      </c>
      <c r="G772" s="5">
        <f>IF(COUNTIFS(A$3:A772,A772,F$3:F772,F772)=1,1,0)</f>
        <v>1</v>
      </c>
    </row>
    <row r="773" spans="1:7" x14ac:dyDescent="0.25">
      <c r="A773">
        <v>279</v>
      </c>
      <c r="B773" s="3">
        <v>45520.672620787002</v>
      </c>
      <c r="C773">
        <v>336</v>
      </c>
      <c r="D773" s="4">
        <f t="shared" si="36"/>
        <v>45505</v>
      </c>
      <c r="E773" s="4">
        <f t="shared" si="37"/>
        <v>45505</v>
      </c>
      <c r="F773" s="5">
        <f t="shared" si="38"/>
        <v>0</v>
      </c>
      <c r="G773" s="5">
        <f>IF(COUNTIFS(A$3:A773,A773,F$3:F773,F773)=1,1,0)</f>
        <v>1</v>
      </c>
    </row>
    <row r="774" spans="1:7" x14ac:dyDescent="0.25">
      <c r="A774">
        <v>217</v>
      </c>
      <c r="B774" s="3">
        <v>45433.8825661343</v>
      </c>
      <c r="C774">
        <v>607</v>
      </c>
      <c r="D774" s="4">
        <f t="shared" si="36"/>
        <v>45413</v>
      </c>
      <c r="E774" s="4">
        <f t="shared" si="37"/>
        <v>45292</v>
      </c>
      <c r="F774" s="5">
        <f t="shared" si="38"/>
        <v>4</v>
      </c>
      <c r="G774" s="5">
        <f>IF(COUNTIFS(A$3:A774,A774,F$3:F774,F774)=1,1,0)</f>
        <v>1</v>
      </c>
    </row>
    <row r="775" spans="1:7" x14ac:dyDescent="0.25">
      <c r="A775">
        <v>867</v>
      </c>
      <c r="B775" s="3">
        <v>45649.7172320139</v>
      </c>
      <c r="C775">
        <v>298</v>
      </c>
      <c r="D775" s="4">
        <f t="shared" si="36"/>
        <v>45627</v>
      </c>
      <c r="E775" s="4">
        <f t="shared" si="37"/>
        <v>45444</v>
      </c>
      <c r="F775" s="5">
        <f t="shared" si="38"/>
        <v>6</v>
      </c>
      <c r="G775" s="5">
        <f>IF(COUNTIFS(A$3:A775,A775,F$3:F775,F775)=1,1,0)</f>
        <v>1</v>
      </c>
    </row>
    <row r="776" spans="1:7" x14ac:dyDescent="0.25">
      <c r="A776">
        <v>873</v>
      </c>
      <c r="B776" s="3">
        <v>45554.848938449097</v>
      </c>
      <c r="C776">
        <v>602</v>
      </c>
      <c r="D776" s="4">
        <f t="shared" si="36"/>
        <v>45536</v>
      </c>
      <c r="E776" s="4">
        <f t="shared" si="37"/>
        <v>45536</v>
      </c>
      <c r="F776" s="5">
        <f t="shared" si="38"/>
        <v>0</v>
      </c>
      <c r="G776" s="5">
        <f>IF(COUNTIFS(A$3:A776,A776,F$3:F776,F776)=1,1,0)</f>
        <v>1</v>
      </c>
    </row>
    <row r="777" spans="1:7" x14ac:dyDescent="0.25">
      <c r="A777">
        <v>798</v>
      </c>
      <c r="B777" s="3">
        <v>45343.8168640394</v>
      </c>
      <c r="C777">
        <v>673</v>
      </c>
      <c r="D777" s="4">
        <f t="shared" si="36"/>
        <v>45323</v>
      </c>
      <c r="E777" s="4">
        <f t="shared" si="37"/>
        <v>45323</v>
      </c>
      <c r="F777" s="5">
        <f t="shared" si="38"/>
        <v>0</v>
      </c>
      <c r="G777" s="5">
        <f>IF(COUNTIFS(A$3:A777,A777,F$3:F777,F777)=1,1,0)</f>
        <v>1</v>
      </c>
    </row>
    <row r="778" spans="1:7" x14ac:dyDescent="0.25">
      <c r="A778">
        <v>273</v>
      </c>
      <c r="B778" s="3">
        <v>45519.525577812499</v>
      </c>
      <c r="C778">
        <v>582</v>
      </c>
      <c r="D778" s="4">
        <f t="shared" si="36"/>
        <v>45505</v>
      </c>
      <c r="E778" s="4">
        <f t="shared" si="37"/>
        <v>45505</v>
      </c>
      <c r="F778" s="5">
        <f t="shared" si="38"/>
        <v>0</v>
      </c>
      <c r="G778" s="5">
        <f>IF(COUNTIFS(A$3:A778,A778,F$3:F778,F778)=1,1,0)</f>
        <v>1</v>
      </c>
    </row>
    <row r="779" spans="1:7" x14ac:dyDescent="0.25">
      <c r="A779">
        <v>881</v>
      </c>
      <c r="B779" s="3">
        <v>45453.9153529861</v>
      </c>
      <c r="C779">
        <v>582</v>
      </c>
      <c r="D779" s="4">
        <f t="shared" si="36"/>
        <v>45444</v>
      </c>
      <c r="E779" s="4">
        <f t="shared" si="37"/>
        <v>45413</v>
      </c>
      <c r="F779" s="5">
        <f t="shared" si="38"/>
        <v>1</v>
      </c>
      <c r="G779" s="5">
        <f>IF(COUNTIFS(A$3:A779,A779,F$3:F779,F779)=1,1,0)</f>
        <v>1</v>
      </c>
    </row>
    <row r="780" spans="1:7" x14ac:dyDescent="0.25">
      <c r="A780">
        <v>62</v>
      </c>
      <c r="B780" s="3">
        <v>45548.209138101898</v>
      </c>
      <c r="C780">
        <v>363</v>
      </c>
      <c r="D780" s="4">
        <f t="shared" si="36"/>
        <v>45536</v>
      </c>
      <c r="E780" s="4">
        <f t="shared" si="37"/>
        <v>45536</v>
      </c>
      <c r="F780" s="5">
        <f t="shared" si="38"/>
        <v>0</v>
      </c>
      <c r="G780" s="5">
        <f>IF(COUNTIFS(A$3:A780,A780,F$3:F780,F780)=1,1,0)</f>
        <v>1</v>
      </c>
    </row>
    <row r="781" spans="1:7" x14ac:dyDescent="0.25">
      <c r="A781">
        <v>596</v>
      </c>
      <c r="B781" s="3">
        <v>45434.492081319499</v>
      </c>
      <c r="C781">
        <v>37</v>
      </c>
      <c r="D781" s="4">
        <f t="shared" si="36"/>
        <v>45413</v>
      </c>
      <c r="E781" s="4">
        <f t="shared" si="37"/>
        <v>45413</v>
      </c>
      <c r="F781" s="5">
        <f t="shared" si="38"/>
        <v>0</v>
      </c>
      <c r="G781" s="5">
        <f>IF(COUNTIFS(A$3:A781,A781,F$3:F781,F781)=1,1,0)</f>
        <v>1</v>
      </c>
    </row>
    <row r="782" spans="1:7" x14ac:dyDescent="0.25">
      <c r="A782">
        <v>880</v>
      </c>
      <c r="B782" s="3">
        <v>45654.762494745402</v>
      </c>
      <c r="C782">
        <v>963</v>
      </c>
      <c r="D782" s="4">
        <f t="shared" si="36"/>
        <v>45627</v>
      </c>
      <c r="E782" s="4">
        <f t="shared" si="37"/>
        <v>45627</v>
      </c>
      <c r="F782" s="5">
        <f t="shared" si="38"/>
        <v>0</v>
      </c>
      <c r="G782" s="5">
        <f>IF(COUNTIFS(A$3:A782,A782,F$3:F782,F782)=1,1,0)</f>
        <v>1</v>
      </c>
    </row>
    <row r="783" spans="1:7" x14ac:dyDescent="0.25">
      <c r="A783">
        <v>729</v>
      </c>
      <c r="B783" s="3">
        <v>45511.116473761598</v>
      </c>
      <c r="C783">
        <v>52</v>
      </c>
      <c r="D783" s="4">
        <f t="shared" si="36"/>
        <v>45505</v>
      </c>
      <c r="E783" s="4">
        <f t="shared" si="37"/>
        <v>45383</v>
      </c>
      <c r="F783" s="5">
        <f t="shared" si="38"/>
        <v>4</v>
      </c>
      <c r="G783" s="5">
        <f>IF(COUNTIFS(A$3:A783,A783,F$3:F783,F783)=1,1,0)</f>
        <v>1</v>
      </c>
    </row>
    <row r="784" spans="1:7" x14ac:dyDescent="0.25">
      <c r="A784">
        <v>342</v>
      </c>
      <c r="B784" s="3">
        <v>45634.3734859838</v>
      </c>
      <c r="C784">
        <v>690</v>
      </c>
      <c r="D784" s="4">
        <f t="shared" si="36"/>
        <v>45627</v>
      </c>
      <c r="E784" s="4">
        <f t="shared" si="37"/>
        <v>45474</v>
      </c>
      <c r="F784" s="5">
        <f t="shared" si="38"/>
        <v>5</v>
      </c>
      <c r="G784" s="5">
        <f>IF(COUNTIFS(A$3:A784,A784,F$3:F784,F784)=1,1,0)</f>
        <v>1</v>
      </c>
    </row>
    <row r="785" spans="1:7" x14ac:dyDescent="0.25">
      <c r="A785">
        <v>397</v>
      </c>
      <c r="B785" s="3">
        <v>45615.496569155097</v>
      </c>
      <c r="C785">
        <v>432</v>
      </c>
      <c r="D785" s="4">
        <f t="shared" si="36"/>
        <v>45597</v>
      </c>
      <c r="E785" s="4">
        <f t="shared" si="37"/>
        <v>45413</v>
      </c>
      <c r="F785" s="5">
        <f t="shared" si="38"/>
        <v>6</v>
      </c>
      <c r="G785" s="5">
        <f>IF(COUNTIFS(A$3:A785,A785,F$3:F785,F785)=1,1,0)</f>
        <v>1</v>
      </c>
    </row>
    <row r="786" spans="1:7" x14ac:dyDescent="0.25">
      <c r="A786">
        <v>699</v>
      </c>
      <c r="B786" s="3">
        <v>45307.775472384303</v>
      </c>
      <c r="C786">
        <v>607</v>
      </c>
      <c r="D786" s="4">
        <f t="shared" si="36"/>
        <v>45292</v>
      </c>
      <c r="E786" s="4">
        <f t="shared" si="37"/>
        <v>45292</v>
      </c>
      <c r="F786" s="5">
        <f t="shared" si="38"/>
        <v>0</v>
      </c>
      <c r="G786" s="5">
        <f>IF(COUNTIFS(A$3:A786,A786,F$3:F786,F786)=1,1,0)</f>
        <v>1</v>
      </c>
    </row>
    <row r="787" spans="1:7" x14ac:dyDescent="0.25">
      <c r="A787">
        <v>19</v>
      </c>
      <c r="B787" s="3">
        <v>45653.921212106499</v>
      </c>
      <c r="C787">
        <v>186</v>
      </c>
      <c r="D787" s="4">
        <f t="shared" si="36"/>
        <v>45627</v>
      </c>
      <c r="E787" s="4">
        <f t="shared" si="37"/>
        <v>45627</v>
      </c>
      <c r="F787" s="5">
        <f t="shared" si="38"/>
        <v>0</v>
      </c>
      <c r="G787" s="5">
        <f>IF(COUNTIFS(A$3:A787,A787,F$3:F787,F787)=1,1,0)</f>
        <v>1</v>
      </c>
    </row>
    <row r="788" spans="1:7" x14ac:dyDescent="0.25">
      <c r="A788">
        <v>177</v>
      </c>
      <c r="B788" s="3">
        <v>45296.589489791702</v>
      </c>
      <c r="C788">
        <v>538</v>
      </c>
      <c r="D788" s="4">
        <f t="shared" si="36"/>
        <v>45292</v>
      </c>
      <c r="E788" s="4">
        <f t="shared" si="37"/>
        <v>45292</v>
      </c>
      <c r="F788" s="5">
        <f t="shared" si="38"/>
        <v>0</v>
      </c>
      <c r="G788" s="5">
        <f>IF(COUNTIFS(A$3:A788,A788,F$3:F788,F788)=1,1,0)</f>
        <v>1</v>
      </c>
    </row>
    <row r="789" spans="1:7" x14ac:dyDescent="0.25">
      <c r="A789">
        <v>612</v>
      </c>
      <c r="B789" s="3">
        <v>45381.767237638902</v>
      </c>
      <c r="C789">
        <v>619</v>
      </c>
      <c r="D789" s="4">
        <f t="shared" si="36"/>
        <v>45352</v>
      </c>
      <c r="E789" s="4">
        <f t="shared" si="37"/>
        <v>45352</v>
      </c>
      <c r="F789" s="5">
        <f t="shared" si="38"/>
        <v>0</v>
      </c>
      <c r="G789" s="5">
        <f>IF(COUNTIFS(A$3:A789,A789,F$3:F789,F789)=1,1,0)</f>
        <v>1</v>
      </c>
    </row>
    <row r="790" spans="1:7" x14ac:dyDescent="0.25">
      <c r="A790">
        <v>396</v>
      </c>
      <c r="B790" s="3">
        <v>45501.800177037003</v>
      </c>
      <c r="C790">
        <v>975</v>
      </c>
      <c r="D790" s="4">
        <f t="shared" si="36"/>
        <v>45474</v>
      </c>
      <c r="E790" s="4">
        <f t="shared" si="37"/>
        <v>45383</v>
      </c>
      <c r="F790" s="5">
        <f t="shared" si="38"/>
        <v>3</v>
      </c>
      <c r="G790" s="5">
        <f>IF(COUNTIFS(A$3:A790,A790,F$3:F790,F790)=1,1,0)</f>
        <v>1</v>
      </c>
    </row>
    <row r="791" spans="1:7" x14ac:dyDescent="0.25">
      <c r="A791">
        <v>445</v>
      </c>
      <c r="B791" s="3">
        <v>45584.498202372699</v>
      </c>
      <c r="C791">
        <v>503</v>
      </c>
      <c r="D791" s="4">
        <f t="shared" si="36"/>
        <v>45566</v>
      </c>
      <c r="E791" s="4">
        <f t="shared" si="37"/>
        <v>45413</v>
      </c>
      <c r="F791" s="5">
        <f t="shared" si="38"/>
        <v>5</v>
      </c>
      <c r="G791" s="5">
        <f>IF(COUNTIFS(A$3:A791,A791,F$3:F791,F791)=1,1,0)</f>
        <v>1</v>
      </c>
    </row>
    <row r="792" spans="1:7" x14ac:dyDescent="0.25">
      <c r="A792">
        <v>233</v>
      </c>
      <c r="B792" s="3">
        <v>45523.391291400498</v>
      </c>
      <c r="C792">
        <v>207</v>
      </c>
      <c r="D792" s="4">
        <f t="shared" si="36"/>
        <v>45505</v>
      </c>
      <c r="E792" s="4">
        <f t="shared" si="37"/>
        <v>45352</v>
      </c>
      <c r="F792" s="5">
        <f t="shared" si="38"/>
        <v>5</v>
      </c>
      <c r="G792" s="5">
        <f>IF(COUNTIFS(A$3:A792,A792,F$3:F792,F792)=1,1,0)</f>
        <v>1</v>
      </c>
    </row>
    <row r="793" spans="1:7" x14ac:dyDescent="0.25">
      <c r="A793">
        <v>915</v>
      </c>
      <c r="B793" s="3">
        <v>45454.921409016199</v>
      </c>
      <c r="C793">
        <v>619</v>
      </c>
      <c r="D793" s="4">
        <f t="shared" si="36"/>
        <v>45444</v>
      </c>
      <c r="E793" s="4">
        <f t="shared" si="37"/>
        <v>45444</v>
      </c>
      <c r="F793" s="5">
        <f t="shared" si="38"/>
        <v>0</v>
      </c>
      <c r="G793" s="5">
        <f>IF(COUNTIFS(A$3:A793,A793,F$3:F793,F793)=1,1,0)</f>
        <v>1</v>
      </c>
    </row>
    <row r="794" spans="1:7" x14ac:dyDescent="0.25">
      <c r="A794">
        <v>76</v>
      </c>
      <c r="B794" s="3">
        <v>45418.287748645802</v>
      </c>
      <c r="C794">
        <v>586</v>
      </c>
      <c r="D794" s="4">
        <f t="shared" si="36"/>
        <v>45413</v>
      </c>
      <c r="E794" s="4">
        <f t="shared" si="37"/>
        <v>45323</v>
      </c>
      <c r="F794" s="5">
        <f t="shared" si="38"/>
        <v>3</v>
      </c>
      <c r="G794" s="5">
        <f>IF(COUNTIFS(A$3:A794,A794,F$3:F794,F794)=1,1,0)</f>
        <v>1</v>
      </c>
    </row>
    <row r="795" spans="1:7" x14ac:dyDescent="0.25">
      <c r="A795">
        <v>265</v>
      </c>
      <c r="B795" s="3">
        <v>45338.620378032399</v>
      </c>
      <c r="C795">
        <v>851</v>
      </c>
      <c r="D795" s="4">
        <f t="shared" si="36"/>
        <v>45323</v>
      </c>
      <c r="E795" s="4">
        <f t="shared" si="37"/>
        <v>45323</v>
      </c>
      <c r="F795" s="5">
        <f t="shared" si="38"/>
        <v>0</v>
      </c>
      <c r="G795" s="5">
        <f>IF(COUNTIFS(A$3:A795,A795,F$3:F795,F795)=1,1,0)</f>
        <v>1</v>
      </c>
    </row>
    <row r="796" spans="1:7" x14ac:dyDescent="0.25">
      <c r="A796">
        <v>455</v>
      </c>
      <c r="B796" s="3">
        <v>45387.271974814801</v>
      </c>
      <c r="C796">
        <v>862</v>
      </c>
      <c r="D796" s="4">
        <f t="shared" si="36"/>
        <v>45383</v>
      </c>
      <c r="E796" s="4">
        <f t="shared" si="37"/>
        <v>45383</v>
      </c>
      <c r="F796" s="5">
        <f t="shared" si="38"/>
        <v>0</v>
      </c>
      <c r="G796" s="5">
        <f>IF(COUNTIFS(A$3:A796,A796,F$3:F796,F796)=1,1,0)</f>
        <v>1</v>
      </c>
    </row>
    <row r="797" spans="1:7" x14ac:dyDescent="0.25">
      <c r="A797">
        <v>796</v>
      </c>
      <c r="B797" s="3">
        <v>45518.062573865704</v>
      </c>
      <c r="C797">
        <v>526</v>
      </c>
      <c r="D797" s="4">
        <f t="shared" si="36"/>
        <v>45505</v>
      </c>
      <c r="E797" s="4">
        <f t="shared" si="37"/>
        <v>45474</v>
      </c>
      <c r="F797" s="5">
        <f t="shared" si="38"/>
        <v>1</v>
      </c>
      <c r="G797" s="5">
        <f>IF(COUNTIFS(A$3:A797,A797,F$3:F797,F797)=1,1,0)</f>
        <v>1</v>
      </c>
    </row>
    <row r="798" spans="1:7" x14ac:dyDescent="0.25">
      <c r="A798">
        <v>718</v>
      </c>
      <c r="B798" s="3">
        <v>45352.003707557902</v>
      </c>
      <c r="C798">
        <v>523</v>
      </c>
      <c r="D798" s="4">
        <f t="shared" si="36"/>
        <v>45352</v>
      </c>
      <c r="E798" s="4">
        <f t="shared" si="37"/>
        <v>45352</v>
      </c>
      <c r="F798" s="5">
        <f t="shared" si="38"/>
        <v>0</v>
      </c>
      <c r="G798" s="5">
        <f>IF(COUNTIFS(A$3:A798,A798,F$3:F798,F798)=1,1,0)</f>
        <v>1</v>
      </c>
    </row>
    <row r="799" spans="1:7" x14ac:dyDescent="0.25">
      <c r="A799">
        <v>735</v>
      </c>
      <c r="B799" s="3">
        <v>45508.955810208303</v>
      </c>
      <c r="C799">
        <v>31</v>
      </c>
      <c r="D799" s="4">
        <f t="shared" si="36"/>
        <v>45505</v>
      </c>
      <c r="E799" s="4">
        <f t="shared" si="37"/>
        <v>45505</v>
      </c>
      <c r="F799" s="5">
        <f t="shared" si="38"/>
        <v>0</v>
      </c>
      <c r="G799" s="5">
        <f>IF(COUNTIFS(A$3:A799,A799,F$3:F799,F799)=1,1,0)</f>
        <v>0</v>
      </c>
    </row>
    <row r="800" spans="1:7" x14ac:dyDescent="0.25">
      <c r="A800">
        <v>384</v>
      </c>
      <c r="B800" s="3">
        <v>45511.301287638897</v>
      </c>
      <c r="C800">
        <v>121</v>
      </c>
      <c r="D800" s="4">
        <f t="shared" si="36"/>
        <v>45505</v>
      </c>
      <c r="E800" s="4">
        <f t="shared" si="37"/>
        <v>45505</v>
      </c>
      <c r="F800" s="5">
        <f t="shared" si="38"/>
        <v>0</v>
      </c>
      <c r="G800" s="5">
        <f>IF(COUNTIFS(A$3:A800,A800,F$3:F800,F800)=1,1,0)</f>
        <v>1</v>
      </c>
    </row>
    <row r="801" spans="1:7" x14ac:dyDescent="0.25">
      <c r="A801">
        <v>564</v>
      </c>
      <c r="B801" s="3">
        <v>45352.052595046298</v>
      </c>
      <c r="C801">
        <v>66</v>
      </c>
      <c r="D801" s="4">
        <f t="shared" si="36"/>
        <v>45352</v>
      </c>
      <c r="E801" s="4">
        <f t="shared" si="37"/>
        <v>45352</v>
      </c>
      <c r="F801" s="5">
        <f t="shared" si="38"/>
        <v>0</v>
      </c>
      <c r="G801" s="5">
        <f>IF(COUNTIFS(A$3:A801,A801,F$3:F801,F801)=1,1,0)</f>
        <v>1</v>
      </c>
    </row>
    <row r="802" spans="1:7" x14ac:dyDescent="0.25">
      <c r="A802">
        <v>851</v>
      </c>
      <c r="B802" s="3">
        <v>45655.593046516202</v>
      </c>
      <c r="C802">
        <v>75</v>
      </c>
      <c r="D802" s="4">
        <f t="shared" si="36"/>
        <v>45627</v>
      </c>
      <c r="E802" s="4">
        <f t="shared" si="37"/>
        <v>45627</v>
      </c>
      <c r="F802" s="5">
        <f t="shared" si="38"/>
        <v>0</v>
      </c>
      <c r="G802" s="5">
        <f>IF(COUNTIFS(A$3:A802,A802,F$3:F802,F802)=1,1,0)</f>
        <v>1</v>
      </c>
    </row>
    <row r="803" spans="1:7" x14ac:dyDescent="0.25">
      <c r="A803">
        <v>506</v>
      </c>
      <c r="B803" s="3">
        <v>45585.660464282402</v>
      </c>
      <c r="C803">
        <v>851</v>
      </c>
      <c r="D803" s="4">
        <f t="shared" si="36"/>
        <v>45566</v>
      </c>
      <c r="E803" s="4">
        <f t="shared" si="37"/>
        <v>45536</v>
      </c>
      <c r="F803" s="5">
        <f t="shared" si="38"/>
        <v>1</v>
      </c>
      <c r="G803" s="5">
        <f>IF(COUNTIFS(A$3:A803,A803,F$3:F803,F803)=1,1,0)</f>
        <v>0</v>
      </c>
    </row>
    <row r="804" spans="1:7" x14ac:dyDescent="0.25">
      <c r="A804">
        <v>367</v>
      </c>
      <c r="B804" s="3">
        <v>45410.971274548603</v>
      </c>
      <c r="C804">
        <v>107</v>
      </c>
      <c r="D804" s="4">
        <f t="shared" si="36"/>
        <v>45383</v>
      </c>
      <c r="E804" s="4">
        <f t="shared" si="37"/>
        <v>45383</v>
      </c>
      <c r="F804" s="5">
        <f t="shared" si="38"/>
        <v>0</v>
      </c>
      <c r="G804" s="5">
        <f>IF(COUNTIFS(A$3:A804,A804,F$3:F804,F804)=1,1,0)</f>
        <v>1</v>
      </c>
    </row>
    <row r="805" spans="1:7" x14ac:dyDescent="0.25">
      <c r="A805">
        <v>144</v>
      </c>
      <c r="B805" s="3">
        <v>45356.478021550902</v>
      </c>
      <c r="C805">
        <v>153</v>
      </c>
      <c r="D805" s="4">
        <f t="shared" si="36"/>
        <v>45352</v>
      </c>
      <c r="E805" s="4">
        <f t="shared" si="37"/>
        <v>45352</v>
      </c>
      <c r="F805" s="5">
        <f t="shared" si="38"/>
        <v>0</v>
      </c>
      <c r="G805" s="5">
        <f>IF(COUNTIFS(A$3:A805,A805,F$3:F805,F805)=1,1,0)</f>
        <v>1</v>
      </c>
    </row>
    <row r="806" spans="1:7" x14ac:dyDescent="0.25">
      <c r="A806">
        <v>885</v>
      </c>
      <c r="B806" s="3">
        <v>45350.702245266199</v>
      </c>
      <c r="C806">
        <v>889</v>
      </c>
      <c r="D806" s="4">
        <f t="shared" si="36"/>
        <v>45323</v>
      </c>
      <c r="E806" s="4">
        <f t="shared" si="37"/>
        <v>45323</v>
      </c>
      <c r="F806" s="5">
        <f t="shared" si="38"/>
        <v>0</v>
      </c>
      <c r="G806" s="5">
        <f>IF(COUNTIFS(A$3:A806,A806,F$3:F806,F806)=1,1,0)</f>
        <v>1</v>
      </c>
    </row>
    <row r="807" spans="1:7" x14ac:dyDescent="0.25">
      <c r="A807">
        <v>69</v>
      </c>
      <c r="B807" s="3">
        <v>45512.706141481503</v>
      </c>
      <c r="C807">
        <v>444</v>
      </c>
      <c r="D807" s="4">
        <f t="shared" si="36"/>
        <v>45505</v>
      </c>
      <c r="E807" s="4">
        <f t="shared" si="37"/>
        <v>45505</v>
      </c>
      <c r="F807" s="5">
        <f t="shared" si="38"/>
        <v>0</v>
      </c>
      <c r="G807" s="5">
        <f>IF(COUNTIFS(A$3:A807,A807,F$3:F807,F807)=1,1,0)</f>
        <v>1</v>
      </c>
    </row>
    <row r="808" spans="1:7" x14ac:dyDescent="0.25">
      <c r="A808">
        <v>99</v>
      </c>
      <c r="B808" s="3">
        <v>45428.622975462997</v>
      </c>
      <c r="C808">
        <v>646</v>
      </c>
      <c r="D808" s="4">
        <f t="shared" si="36"/>
        <v>45413</v>
      </c>
      <c r="E808" s="4">
        <f t="shared" si="37"/>
        <v>45323</v>
      </c>
      <c r="F808" s="5">
        <f t="shared" si="38"/>
        <v>3</v>
      </c>
      <c r="G808" s="5">
        <f>IF(COUNTIFS(A$3:A808,A808,F$3:F808,F808)=1,1,0)</f>
        <v>0</v>
      </c>
    </row>
    <row r="809" spans="1:7" x14ac:dyDescent="0.25">
      <c r="A809">
        <v>396</v>
      </c>
      <c r="B809" s="3">
        <v>45387.6625409607</v>
      </c>
      <c r="C809">
        <v>688</v>
      </c>
      <c r="D809" s="4">
        <f t="shared" si="36"/>
        <v>45383</v>
      </c>
      <c r="E809" s="4">
        <f t="shared" si="37"/>
        <v>45383</v>
      </c>
      <c r="F809" s="5">
        <f t="shared" si="38"/>
        <v>0</v>
      </c>
      <c r="G809" s="5">
        <f>IF(COUNTIFS(A$3:A809,A809,F$3:F809,F809)=1,1,0)</f>
        <v>1</v>
      </c>
    </row>
    <row r="810" spans="1:7" x14ac:dyDescent="0.25">
      <c r="A810">
        <v>25</v>
      </c>
      <c r="B810" s="3">
        <v>45448.027839374998</v>
      </c>
      <c r="C810">
        <v>95</v>
      </c>
      <c r="D810" s="4">
        <f t="shared" si="36"/>
        <v>45444</v>
      </c>
      <c r="E810" s="4">
        <f t="shared" si="37"/>
        <v>45444</v>
      </c>
      <c r="F810" s="5">
        <f t="shared" si="38"/>
        <v>0</v>
      </c>
      <c r="G810" s="5">
        <f>IF(COUNTIFS(A$3:A810,A810,F$3:F810,F810)=1,1,0)</f>
        <v>1</v>
      </c>
    </row>
    <row r="811" spans="1:7" x14ac:dyDescent="0.25">
      <c r="A811">
        <v>948</v>
      </c>
      <c r="B811" s="3">
        <v>45636.779208263899</v>
      </c>
      <c r="C811">
        <v>597</v>
      </c>
      <c r="D811" s="4">
        <f t="shared" si="36"/>
        <v>45627</v>
      </c>
      <c r="E811" s="4">
        <f t="shared" si="37"/>
        <v>45627</v>
      </c>
      <c r="F811" s="5">
        <f t="shared" si="38"/>
        <v>0</v>
      </c>
      <c r="G811" s="5">
        <f>IF(COUNTIFS(A$3:A811,A811,F$3:F811,F811)=1,1,0)</f>
        <v>1</v>
      </c>
    </row>
    <row r="812" spans="1:7" x14ac:dyDescent="0.25">
      <c r="A812">
        <v>891</v>
      </c>
      <c r="B812" s="3">
        <v>45412.700578229204</v>
      </c>
      <c r="C812">
        <v>353</v>
      </c>
      <c r="D812" s="4">
        <f t="shared" si="36"/>
        <v>45383</v>
      </c>
      <c r="E812" s="4">
        <f t="shared" si="37"/>
        <v>45383</v>
      </c>
      <c r="F812" s="5">
        <f t="shared" si="38"/>
        <v>0</v>
      </c>
      <c r="G812" s="5">
        <f>IF(COUNTIFS(A$3:A812,A812,F$3:F812,F812)=1,1,0)</f>
        <v>1</v>
      </c>
    </row>
    <row r="813" spans="1:7" x14ac:dyDescent="0.25">
      <c r="A813">
        <v>469</v>
      </c>
      <c r="B813" s="3">
        <v>45473.186154745403</v>
      </c>
      <c r="C813">
        <v>945</v>
      </c>
      <c r="D813" s="4">
        <f t="shared" si="36"/>
        <v>45444</v>
      </c>
      <c r="E813" s="4">
        <f t="shared" si="37"/>
        <v>45444</v>
      </c>
      <c r="F813" s="5">
        <f t="shared" si="38"/>
        <v>0</v>
      </c>
      <c r="G813" s="5">
        <f>IF(COUNTIFS(A$3:A813,A813,F$3:F813,F813)=1,1,0)</f>
        <v>1</v>
      </c>
    </row>
    <row r="814" spans="1:7" x14ac:dyDescent="0.25">
      <c r="A814">
        <v>484</v>
      </c>
      <c r="B814" s="3">
        <v>45501.102228912001</v>
      </c>
      <c r="C814">
        <v>303</v>
      </c>
      <c r="D814" s="4">
        <f t="shared" si="36"/>
        <v>45474</v>
      </c>
      <c r="E814" s="4">
        <f t="shared" si="37"/>
        <v>45474</v>
      </c>
      <c r="F814" s="5">
        <f t="shared" si="38"/>
        <v>0</v>
      </c>
      <c r="G814" s="5">
        <f>IF(COUNTIFS(A$3:A814,A814,F$3:F814,F814)=1,1,0)</f>
        <v>1</v>
      </c>
    </row>
    <row r="815" spans="1:7" x14ac:dyDescent="0.25">
      <c r="A815">
        <v>565</v>
      </c>
      <c r="B815" s="3">
        <v>45436.482656724504</v>
      </c>
      <c r="C815">
        <v>965</v>
      </c>
      <c r="D815" s="4">
        <f t="shared" si="36"/>
        <v>45413</v>
      </c>
      <c r="E815" s="4">
        <f t="shared" si="37"/>
        <v>45413</v>
      </c>
      <c r="F815" s="5">
        <f t="shared" si="38"/>
        <v>0</v>
      </c>
      <c r="G815" s="5">
        <f>IF(COUNTIFS(A$3:A815,A815,F$3:F815,F815)=1,1,0)</f>
        <v>1</v>
      </c>
    </row>
    <row r="816" spans="1:7" x14ac:dyDescent="0.25">
      <c r="A816">
        <v>151</v>
      </c>
      <c r="B816" s="3">
        <v>45567.2746020255</v>
      </c>
      <c r="C816">
        <v>580</v>
      </c>
      <c r="D816" s="4">
        <f t="shared" si="36"/>
        <v>45566</v>
      </c>
      <c r="E816" s="4">
        <f t="shared" si="37"/>
        <v>45566</v>
      </c>
      <c r="F816" s="5">
        <f t="shared" si="38"/>
        <v>0</v>
      </c>
      <c r="G816" s="5">
        <f>IF(COUNTIFS(A$3:A816,A816,F$3:F816,F816)=1,1,0)</f>
        <v>1</v>
      </c>
    </row>
    <row r="817" spans="1:7" x14ac:dyDescent="0.25">
      <c r="A817">
        <v>144</v>
      </c>
      <c r="B817" s="3">
        <v>45624.1608372107</v>
      </c>
      <c r="C817">
        <v>659</v>
      </c>
      <c r="D817" s="4">
        <f t="shared" si="36"/>
        <v>45597</v>
      </c>
      <c r="E817" s="4">
        <f t="shared" si="37"/>
        <v>45352</v>
      </c>
      <c r="F817" s="5">
        <f t="shared" si="38"/>
        <v>8</v>
      </c>
      <c r="G817" s="5">
        <f>IF(COUNTIFS(A$3:A817,A817,F$3:F817,F817)=1,1,0)</f>
        <v>1</v>
      </c>
    </row>
    <row r="818" spans="1:7" x14ac:dyDescent="0.25">
      <c r="A818">
        <v>569</v>
      </c>
      <c r="B818" s="3">
        <v>45437.518747997703</v>
      </c>
      <c r="C818">
        <v>620</v>
      </c>
      <c r="D818" s="4">
        <f t="shared" si="36"/>
        <v>45413</v>
      </c>
      <c r="E818" s="4">
        <f t="shared" si="37"/>
        <v>45413</v>
      </c>
      <c r="F818" s="5">
        <f t="shared" si="38"/>
        <v>0</v>
      </c>
      <c r="G818" s="5">
        <f>IF(COUNTIFS(A$3:A818,A818,F$3:F818,F818)=1,1,0)</f>
        <v>1</v>
      </c>
    </row>
    <row r="819" spans="1:7" x14ac:dyDescent="0.25">
      <c r="A819">
        <v>39</v>
      </c>
      <c r="B819" s="3">
        <v>45624.519060486098</v>
      </c>
      <c r="C819">
        <v>713</v>
      </c>
      <c r="D819" s="4">
        <f t="shared" si="36"/>
        <v>45597</v>
      </c>
      <c r="E819" s="4">
        <f t="shared" si="37"/>
        <v>45383</v>
      </c>
      <c r="F819" s="5">
        <f t="shared" si="38"/>
        <v>7</v>
      </c>
      <c r="G819" s="5">
        <f>IF(COUNTIFS(A$3:A819,A819,F$3:F819,F819)=1,1,0)</f>
        <v>1</v>
      </c>
    </row>
    <row r="820" spans="1:7" x14ac:dyDescent="0.25">
      <c r="A820">
        <v>109</v>
      </c>
      <c r="B820" s="3">
        <v>45540.1020263889</v>
      </c>
      <c r="C820">
        <v>252</v>
      </c>
      <c r="D820" s="4">
        <f t="shared" si="36"/>
        <v>45536</v>
      </c>
      <c r="E820" s="4">
        <f t="shared" si="37"/>
        <v>45536</v>
      </c>
      <c r="F820" s="5">
        <f t="shared" si="38"/>
        <v>0</v>
      </c>
      <c r="G820" s="5">
        <f>IF(COUNTIFS(A$3:A820,A820,F$3:F820,F820)=1,1,0)</f>
        <v>1</v>
      </c>
    </row>
    <row r="821" spans="1:7" x14ac:dyDescent="0.25">
      <c r="A821">
        <v>693</v>
      </c>
      <c r="B821" s="3">
        <v>45324.177295023197</v>
      </c>
      <c r="C821">
        <v>840</v>
      </c>
      <c r="D821" s="4">
        <f t="shared" si="36"/>
        <v>45323</v>
      </c>
      <c r="E821" s="4">
        <f t="shared" si="37"/>
        <v>45323</v>
      </c>
      <c r="F821" s="5">
        <f t="shared" si="38"/>
        <v>0</v>
      </c>
      <c r="G821" s="5">
        <f>IF(COUNTIFS(A$3:A821,A821,F$3:F821,F821)=1,1,0)</f>
        <v>1</v>
      </c>
    </row>
    <row r="822" spans="1:7" x14ac:dyDescent="0.25">
      <c r="A822">
        <v>42</v>
      </c>
      <c r="B822" s="3">
        <v>45447.242744016199</v>
      </c>
      <c r="C822">
        <v>570</v>
      </c>
      <c r="D822" s="4">
        <f t="shared" si="36"/>
        <v>45444</v>
      </c>
      <c r="E822" s="4">
        <f t="shared" si="37"/>
        <v>45444</v>
      </c>
      <c r="F822" s="5">
        <f t="shared" si="38"/>
        <v>0</v>
      </c>
      <c r="G822" s="5">
        <f>IF(COUNTIFS(A$3:A822,A822,F$3:F822,F822)=1,1,0)</f>
        <v>1</v>
      </c>
    </row>
    <row r="823" spans="1:7" x14ac:dyDescent="0.25">
      <c r="A823">
        <v>186</v>
      </c>
      <c r="B823" s="3">
        <v>45375.447995057897</v>
      </c>
      <c r="C823">
        <v>969</v>
      </c>
      <c r="D823" s="4">
        <f t="shared" si="36"/>
        <v>45352</v>
      </c>
      <c r="E823" s="4">
        <f t="shared" si="37"/>
        <v>45352</v>
      </c>
      <c r="F823" s="5">
        <f t="shared" si="38"/>
        <v>0</v>
      </c>
      <c r="G823" s="5">
        <f>IF(COUNTIFS(A$3:A823,A823,F$3:F823,F823)=1,1,0)</f>
        <v>1</v>
      </c>
    </row>
    <row r="824" spans="1:7" x14ac:dyDescent="0.25">
      <c r="A824">
        <v>935</v>
      </c>
      <c r="B824" s="3">
        <v>45495.842576053197</v>
      </c>
      <c r="C824">
        <v>41</v>
      </c>
      <c r="D824" s="4">
        <f t="shared" si="36"/>
        <v>45474</v>
      </c>
      <c r="E824" s="4">
        <f t="shared" si="37"/>
        <v>45474</v>
      </c>
      <c r="F824" s="5">
        <f t="shared" si="38"/>
        <v>0</v>
      </c>
      <c r="G824" s="5">
        <f>IF(COUNTIFS(A$3:A824,A824,F$3:F824,F824)=1,1,0)</f>
        <v>1</v>
      </c>
    </row>
    <row r="825" spans="1:7" x14ac:dyDescent="0.25">
      <c r="A825">
        <v>398</v>
      </c>
      <c r="B825" s="3">
        <v>45584.189272476899</v>
      </c>
      <c r="C825">
        <v>400</v>
      </c>
      <c r="D825" s="4">
        <f t="shared" si="36"/>
        <v>45566</v>
      </c>
      <c r="E825" s="4">
        <f t="shared" si="37"/>
        <v>45474</v>
      </c>
      <c r="F825" s="5">
        <f t="shared" si="38"/>
        <v>3</v>
      </c>
      <c r="G825" s="5">
        <f>IF(COUNTIFS(A$3:A825,A825,F$3:F825,F825)=1,1,0)</f>
        <v>1</v>
      </c>
    </row>
    <row r="826" spans="1:7" x14ac:dyDescent="0.25">
      <c r="A826">
        <v>223</v>
      </c>
      <c r="B826" s="3">
        <v>45552.410312673601</v>
      </c>
      <c r="C826">
        <v>286</v>
      </c>
      <c r="D826" s="4">
        <f t="shared" si="36"/>
        <v>45536</v>
      </c>
      <c r="E826" s="4">
        <f t="shared" si="37"/>
        <v>45292</v>
      </c>
      <c r="F826" s="5">
        <f t="shared" si="38"/>
        <v>8</v>
      </c>
      <c r="G826" s="5">
        <f>IF(COUNTIFS(A$3:A826,A826,F$3:F826,F826)=1,1,0)</f>
        <v>1</v>
      </c>
    </row>
    <row r="827" spans="1:7" x14ac:dyDescent="0.25">
      <c r="A827">
        <v>634</v>
      </c>
      <c r="B827" s="3">
        <v>45339.966382604201</v>
      </c>
      <c r="C827">
        <v>541</v>
      </c>
      <c r="D827" s="4">
        <f t="shared" si="36"/>
        <v>45323</v>
      </c>
      <c r="E827" s="4">
        <f t="shared" si="37"/>
        <v>45323</v>
      </c>
      <c r="F827" s="5">
        <f t="shared" si="38"/>
        <v>0</v>
      </c>
      <c r="G827" s="5">
        <f>IF(COUNTIFS(A$3:A827,A827,F$3:F827,F827)=1,1,0)</f>
        <v>1</v>
      </c>
    </row>
    <row r="828" spans="1:7" x14ac:dyDescent="0.25">
      <c r="A828">
        <v>133</v>
      </c>
      <c r="B828" s="3">
        <v>45559.914958368099</v>
      </c>
      <c r="C828">
        <v>163</v>
      </c>
      <c r="D828" s="4">
        <f t="shared" si="36"/>
        <v>45536</v>
      </c>
      <c r="E828" s="4">
        <f t="shared" si="37"/>
        <v>45536</v>
      </c>
      <c r="F828" s="5">
        <f t="shared" si="38"/>
        <v>0</v>
      </c>
      <c r="G828" s="5">
        <f>IF(COUNTIFS(A$3:A828,A828,F$3:F828,F828)=1,1,0)</f>
        <v>1</v>
      </c>
    </row>
    <row r="829" spans="1:7" x14ac:dyDescent="0.25">
      <c r="A829">
        <v>163</v>
      </c>
      <c r="B829" s="3">
        <v>45635.187423958298</v>
      </c>
      <c r="C829">
        <v>392</v>
      </c>
      <c r="D829" s="4">
        <f t="shared" si="36"/>
        <v>45627</v>
      </c>
      <c r="E829" s="4">
        <f t="shared" si="37"/>
        <v>45566</v>
      </c>
      <c r="F829" s="5">
        <f t="shared" si="38"/>
        <v>2</v>
      </c>
      <c r="G829" s="5">
        <f>IF(COUNTIFS(A$3:A829,A829,F$3:F829,F829)=1,1,0)</f>
        <v>1</v>
      </c>
    </row>
    <row r="830" spans="1:7" x14ac:dyDescent="0.25">
      <c r="A830">
        <v>215</v>
      </c>
      <c r="B830" s="3">
        <v>45522.801264594898</v>
      </c>
      <c r="C830">
        <v>77</v>
      </c>
      <c r="D830" s="4">
        <f t="shared" si="36"/>
        <v>45505</v>
      </c>
      <c r="E830" s="4">
        <f t="shared" si="37"/>
        <v>45444</v>
      </c>
      <c r="F830" s="5">
        <f t="shared" si="38"/>
        <v>2</v>
      </c>
      <c r="G830" s="5">
        <f>IF(COUNTIFS(A$3:A830,A830,F$3:F830,F830)=1,1,0)</f>
        <v>1</v>
      </c>
    </row>
    <row r="831" spans="1:7" x14ac:dyDescent="0.25">
      <c r="A831">
        <v>733</v>
      </c>
      <c r="B831" s="3">
        <v>45432.856675231502</v>
      </c>
      <c r="C831">
        <v>887</v>
      </c>
      <c r="D831" s="4">
        <f t="shared" si="36"/>
        <v>45413</v>
      </c>
      <c r="E831" s="4">
        <f t="shared" si="37"/>
        <v>45413</v>
      </c>
      <c r="F831" s="5">
        <f t="shared" si="38"/>
        <v>0</v>
      </c>
      <c r="G831" s="5">
        <f>IF(COUNTIFS(A$3:A831,A831,F$3:F831,F831)=1,1,0)</f>
        <v>1</v>
      </c>
    </row>
    <row r="832" spans="1:7" x14ac:dyDescent="0.25">
      <c r="A832">
        <v>235</v>
      </c>
      <c r="B832" s="3">
        <v>45355.4625047917</v>
      </c>
      <c r="C832">
        <v>893</v>
      </c>
      <c r="D832" s="4">
        <f t="shared" si="36"/>
        <v>45352</v>
      </c>
      <c r="E832" s="4">
        <f t="shared" si="37"/>
        <v>45352</v>
      </c>
      <c r="F832" s="5">
        <f t="shared" si="38"/>
        <v>0</v>
      </c>
      <c r="G832" s="5">
        <f>IF(COUNTIFS(A$3:A832,A832,F$3:F832,F832)=1,1,0)</f>
        <v>1</v>
      </c>
    </row>
    <row r="833" spans="1:7" x14ac:dyDescent="0.25">
      <c r="A833">
        <v>843</v>
      </c>
      <c r="B833" s="3">
        <v>45524.759146759301</v>
      </c>
      <c r="C833">
        <v>223</v>
      </c>
      <c r="D833" s="4">
        <f t="shared" si="36"/>
        <v>45505</v>
      </c>
      <c r="E833" s="4">
        <f t="shared" si="37"/>
        <v>45505</v>
      </c>
      <c r="F833" s="5">
        <f t="shared" si="38"/>
        <v>0</v>
      </c>
      <c r="G833" s="5">
        <f>IF(COUNTIFS(A$3:A833,A833,F$3:F833,F833)=1,1,0)</f>
        <v>1</v>
      </c>
    </row>
    <row r="834" spans="1:7" x14ac:dyDescent="0.25">
      <c r="A834">
        <v>658</v>
      </c>
      <c r="B834" s="3">
        <v>45561.269385312502</v>
      </c>
      <c r="C834">
        <v>664</v>
      </c>
      <c r="D834" s="4">
        <f t="shared" si="36"/>
        <v>45536</v>
      </c>
      <c r="E834" s="4">
        <f t="shared" si="37"/>
        <v>45536</v>
      </c>
      <c r="F834" s="5">
        <f t="shared" si="38"/>
        <v>0</v>
      </c>
      <c r="G834" s="5">
        <f>IF(COUNTIFS(A$3:A834,A834,F$3:F834,F834)=1,1,0)</f>
        <v>1</v>
      </c>
    </row>
    <row r="835" spans="1:7" x14ac:dyDescent="0.25">
      <c r="A835">
        <v>751</v>
      </c>
      <c r="B835" s="3">
        <v>45307.7186814815</v>
      </c>
      <c r="C835">
        <v>385</v>
      </c>
      <c r="D835" s="4">
        <f t="shared" ref="D835:D898" si="39">EOMONTH(B835,-1)+1</f>
        <v>45292</v>
      </c>
      <c r="E835" s="4">
        <f t="shared" ref="E835:E898" si="40">_xlfn.MINIFS(D$3:D$1002,A$3:A$1002,A835)</f>
        <v>45292</v>
      </c>
      <c r="F835" s="5">
        <f t="shared" ref="F835:F898" si="41">DATEDIF(E835,D835,"M")</f>
        <v>0</v>
      </c>
      <c r="G835" s="5">
        <f>IF(COUNTIFS(A$3:A835,A835,F$3:F835,F835)=1,1,0)</f>
        <v>1</v>
      </c>
    </row>
    <row r="836" spans="1:7" x14ac:dyDescent="0.25">
      <c r="A836">
        <v>588</v>
      </c>
      <c r="B836" s="3">
        <v>45448.312978506998</v>
      </c>
      <c r="C836">
        <v>753</v>
      </c>
      <c r="D836" s="4">
        <f t="shared" si="39"/>
        <v>45444</v>
      </c>
      <c r="E836" s="4">
        <f t="shared" si="40"/>
        <v>45444</v>
      </c>
      <c r="F836" s="5">
        <f t="shared" si="41"/>
        <v>0</v>
      </c>
      <c r="G836" s="5">
        <f>IF(COUNTIFS(A$3:A836,A836,F$3:F836,F836)=1,1,0)</f>
        <v>1</v>
      </c>
    </row>
    <row r="837" spans="1:7" x14ac:dyDescent="0.25">
      <c r="A837">
        <v>9</v>
      </c>
      <c r="B837" s="3">
        <v>45469.507167708303</v>
      </c>
      <c r="C837">
        <v>222</v>
      </c>
      <c r="D837" s="4">
        <f t="shared" si="39"/>
        <v>45444</v>
      </c>
      <c r="E837" s="4">
        <f t="shared" si="40"/>
        <v>45383</v>
      </c>
      <c r="F837" s="5">
        <f t="shared" si="41"/>
        <v>2</v>
      </c>
      <c r="G837" s="5">
        <f>IF(COUNTIFS(A$3:A837,A837,F$3:F837,F837)=1,1,0)</f>
        <v>1</v>
      </c>
    </row>
    <row r="838" spans="1:7" x14ac:dyDescent="0.25">
      <c r="A838">
        <v>74</v>
      </c>
      <c r="B838" s="3">
        <v>45437.682895983802</v>
      </c>
      <c r="C838">
        <v>88</v>
      </c>
      <c r="D838" s="4">
        <f t="shared" si="39"/>
        <v>45413</v>
      </c>
      <c r="E838" s="4">
        <f t="shared" si="40"/>
        <v>45413</v>
      </c>
      <c r="F838" s="5">
        <f t="shared" si="41"/>
        <v>0</v>
      </c>
      <c r="G838" s="5">
        <f>IF(COUNTIFS(A$3:A838,A838,F$3:F838,F838)=1,1,0)</f>
        <v>1</v>
      </c>
    </row>
    <row r="839" spans="1:7" x14ac:dyDescent="0.25">
      <c r="A839">
        <v>954</v>
      </c>
      <c r="B839" s="3">
        <v>45566.6260084491</v>
      </c>
      <c r="C839">
        <v>735</v>
      </c>
      <c r="D839" s="4">
        <f t="shared" si="39"/>
        <v>45566</v>
      </c>
      <c r="E839" s="4">
        <f t="shared" si="40"/>
        <v>45566</v>
      </c>
      <c r="F839" s="5">
        <f t="shared" si="41"/>
        <v>0</v>
      </c>
      <c r="G839" s="5">
        <f>IF(COUNTIFS(A$3:A839,A839,F$3:F839,F839)=1,1,0)</f>
        <v>1</v>
      </c>
    </row>
    <row r="840" spans="1:7" x14ac:dyDescent="0.25">
      <c r="A840">
        <v>492</v>
      </c>
      <c r="B840" s="3">
        <v>45471.844824768501</v>
      </c>
      <c r="C840">
        <v>637</v>
      </c>
      <c r="D840" s="4">
        <f t="shared" si="39"/>
        <v>45444</v>
      </c>
      <c r="E840" s="4">
        <f t="shared" si="40"/>
        <v>45444</v>
      </c>
      <c r="F840" s="5">
        <f t="shared" si="41"/>
        <v>0</v>
      </c>
      <c r="G840" s="5">
        <f>IF(COUNTIFS(A$3:A840,A840,F$3:F840,F840)=1,1,0)</f>
        <v>1</v>
      </c>
    </row>
    <row r="841" spans="1:7" x14ac:dyDescent="0.25">
      <c r="A841">
        <v>913</v>
      </c>
      <c r="B841" s="3">
        <v>45532.0390286111</v>
      </c>
      <c r="C841">
        <v>613</v>
      </c>
      <c r="D841" s="4">
        <f t="shared" si="39"/>
        <v>45505</v>
      </c>
      <c r="E841" s="4">
        <f t="shared" si="40"/>
        <v>45505</v>
      </c>
      <c r="F841" s="5">
        <f t="shared" si="41"/>
        <v>0</v>
      </c>
      <c r="G841" s="5">
        <f>IF(COUNTIFS(A$3:A841,A841,F$3:F841,F841)=1,1,0)</f>
        <v>1</v>
      </c>
    </row>
    <row r="842" spans="1:7" x14ac:dyDescent="0.25">
      <c r="A842">
        <v>253</v>
      </c>
      <c r="B842" s="3">
        <v>45632.604982500001</v>
      </c>
      <c r="C842">
        <v>791</v>
      </c>
      <c r="D842" s="4">
        <f t="shared" si="39"/>
        <v>45627</v>
      </c>
      <c r="E842" s="4">
        <f t="shared" si="40"/>
        <v>45383</v>
      </c>
      <c r="F842" s="5">
        <f t="shared" si="41"/>
        <v>8</v>
      </c>
      <c r="G842" s="5">
        <f>IF(COUNTIFS(A$3:A842,A842,F$3:F842,F842)=1,1,0)</f>
        <v>0</v>
      </c>
    </row>
    <row r="843" spans="1:7" x14ac:dyDescent="0.25">
      <c r="A843">
        <v>230</v>
      </c>
      <c r="B843" s="3">
        <v>45583.827995624997</v>
      </c>
      <c r="C843">
        <v>932</v>
      </c>
      <c r="D843" s="4">
        <f t="shared" si="39"/>
        <v>45566</v>
      </c>
      <c r="E843" s="4">
        <f t="shared" si="40"/>
        <v>45383</v>
      </c>
      <c r="F843" s="5">
        <f t="shared" si="41"/>
        <v>6</v>
      </c>
      <c r="G843" s="5">
        <f>IF(COUNTIFS(A$3:A843,A843,F$3:F843,F843)=1,1,0)</f>
        <v>1</v>
      </c>
    </row>
    <row r="844" spans="1:7" x14ac:dyDescent="0.25">
      <c r="A844">
        <v>519</v>
      </c>
      <c r="B844" s="3">
        <v>45577.462879594903</v>
      </c>
      <c r="C844">
        <v>390</v>
      </c>
      <c r="D844" s="4">
        <f t="shared" si="39"/>
        <v>45566</v>
      </c>
      <c r="E844" s="4">
        <f t="shared" si="40"/>
        <v>45566</v>
      </c>
      <c r="F844" s="5">
        <f t="shared" si="41"/>
        <v>0</v>
      </c>
      <c r="G844" s="5">
        <f>IF(COUNTIFS(A$3:A844,A844,F$3:F844,F844)=1,1,0)</f>
        <v>1</v>
      </c>
    </row>
    <row r="845" spans="1:7" x14ac:dyDescent="0.25">
      <c r="A845">
        <v>174</v>
      </c>
      <c r="B845" s="3">
        <v>45422.596079664399</v>
      </c>
      <c r="C845">
        <v>689</v>
      </c>
      <c r="D845" s="4">
        <f t="shared" si="39"/>
        <v>45413</v>
      </c>
      <c r="E845" s="4">
        <f t="shared" si="40"/>
        <v>45413</v>
      </c>
      <c r="F845" s="5">
        <f t="shared" si="41"/>
        <v>0</v>
      </c>
      <c r="G845" s="5">
        <f>IF(COUNTIFS(A$3:A845,A845,F$3:F845,F845)=1,1,0)</f>
        <v>1</v>
      </c>
    </row>
    <row r="846" spans="1:7" x14ac:dyDescent="0.25">
      <c r="A846">
        <v>653</v>
      </c>
      <c r="B846" s="3">
        <v>45432.476101481501</v>
      </c>
      <c r="C846">
        <v>67</v>
      </c>
      <c r="D846" s="4">
        <f t="shared" si="39"/>
        <v>45413</v>
      </c>
      <c r="E846" s="4">
        <f t="shared" si="40"/>
        <v>45413</v>
      </c>
      <c r="F846" s="5">
        <f t="shared" si="41"/>
        <v>0</v>
      </c>
      <c r="G846" s="5">
        <f>IF(COUNTIFS(A$3:A846,A846,F$3:F846,F846)=1,1,0)</f>
        <v>1</v>
      </c>
    </row>
    <row r="847" spans="1:7" x14ac:dyDescent="0.25">
      <c r="A847">
        <v>168</v>
      </c>
      <c r="B847" s="3">
        <v>45636.344218460697</v>
      </c>
      <c r="C847">
        <v>805</v>
      </c>
      <c r="D847" s="4">
        <f t="shared" si="39"/>
        <v>45627</v>
      </c>
      <c r="E847" s="4">
        <f t="shared" si="40"/>
        <v>45505</v>
      </c>
      <c r="F847" s="5">
        <f t="shared" si="41"/>
        <v>4</v>
      </c>
      <c r="G847" s="5">
        <f>IF(COUNTIFS(A$3:A847,A847,F$3:F847,F847)=1,1,0)</f>
        <v>1</v>
      </c>
    </row>
    <row r="848" spans="1:7" x14ac:dyDescent="0.25">
      <c r="A848">
        <v>170</v>
      </c>
      <c r="B848" s="3">
        <v>45534.430626562498</v>
      </c>
      <c r="C848">
        <v>35</v>
      </c>
      <c r="D848" s="4">
        <f t="shared" si="39"/>
        <v>45505</v>
      </c>
      <c r="E848" s="4">
        <f t="shared" si="40"/>
        <v>45505</v>
      </c>
      <c r="F848" s="5">
        <f t="shared" si="41"/>
        <v>0</v>
      </c>
      <c r="G848" s="5">
        <f>IF(COUNTIFS(A$3:A848,A848,F$3:F848,F848)=1,1,0)</f>
        <v>1</v>
      </c>
    </row>
    <row r="849" spans="1:7" x14ac:dyDescent="0.25">
      <c r="A849">
        <v>393</v>
      </c>
      <c r="B849" s="3">
        <v>45422.239926574097</v>
      </c>
      <c r="C849">
        <v>890</v>
      </c>
      <c r="D849" s="4">
        <f t="shared" si="39"/>
        <v>45413</v>
      </c>
      <c r="E849" s="4">
        <f t="shared" si="40"/>
        <v>45323</v>
      </c>
      <c r="F849" s="5">
        <f t="shared" si="41"/>
        <v>3</v>
      </c>
      <c r="G849" s="5">
        <f>IF(COUNTIFS(A$3:A849,A849,F$3:F849,F849)=1,1,0)</f>
        <v>1</v>
      </c>
    </row>
    <row r="850" spans="1:7" x14ac:dyDescent="0.25">
      <c r="A850">
        <v>946</v>
      </c>
      <c r="B850" s="3">
        <v>45327.860198564798</v>
      </c>
      <c r="C850">
        <v>456</v>
      </c>
      <c r="D850" s="4">
        <f t="shared" si="39"/>
        <v>45323</v>
      </c>
      <c r="E850" s="4">
        <f t="shared" si="40"/>
        <v>45323</v>
      </c>
      <c r="F850" s="5">
        <f t="shared" si="41"/>
        <v>0</v>
      </c>
      <c r="G850" s="5">
        <f>IF(COUNTIFS(A$3:A850,A850,F$3:F850,F850)=1,1,0)</f>
        <v>1</v>
      </c>
    </row>
    <row r="851" spans="1:7" x14ac:dyDescent="0.25">
      <c r="A851">
        <v>795</v>
      </c>
      <c r="B851" s="3">
        <v>45625.5855191667</v>
      </c>
      <c r="C851">
        <v>75</v>
      </c>
      <c r="D851" s="4">
        <f t="shared" si="39"/>
        <v>45597</v>
      </c>
      <c r="E851" s="4">
        <f t="shared" si="40"/>
        <v>45292</v>
      </c>
      <c r="F851" s="5">
        <f t="shared" si="41"/>
        <v>10</v>
      </c>
      <c r="G851" s="5">
        <f>IF(COUNTIFS(A$3:A851,A851,F$3:F851,F851)=1,1,0)</f>
        <v>1</v>
      </c>
    </row>
    <row r="852" spans="1:7" x14ac:dyDescent="0.25">
      <c r="A852">
        <v>634</v>
      </c>
      <c r="B852" s="3">
        <v>45475.887330937498</v>
      </c>
      <c r="C852">
        <v>930</v>
      </c>
      <c r="D852" s="4">
        <f t="shared" si="39"/>
        <v>45474</v>
      </c>
      <c r="E852" s="4">
        <f t="shared" si="40"/>
        <v>45323</v>
      </c>
      <c r="F852" s="5">
        <f t="shared" si="41"/>
        <v>5</v>
      </c>
      <c r="G852" s="5">
        <f>IF(COUNTIFS(A$3:A852,A852,F$3:F852,F852)=1,1,0)</f>
        <v>0</v>
      </c>
    </row>
    <row r="853" spans="1:7" x14ac:dyDescent="0.25">
      <c r="A853">
        <v>194</v>
      </c>
      <c r="B853" s="3">
        <v>45628.857736817103</v>
      </c>
      <c r="C853">
        <v>769</v>
      </c>
      <c r="D853" s="4">
        <f t="shared" si="39"/>
        <v>45627</v>
      </c>
      <c r="E853" s="4">
        <f t="shared" si="40"/>
        <v>45627</v>
      </c>
      <c r="F853" s="5">
        <f t="shared" si="41"/>
        <v>0</v>
      </c>
      <c r="G853" s="5">
        <f>IF(COUNTIFS(A$3:A853,A853,F$3:F853,F853)=1,1,0)</f>
        <v>1</v>
      </c>
    </row>
    <row r="854" spans="1:7" x14ac:dyDescent="0.25">
      <c r="A854">
        <v>517</v>
      </c>
      <c r="B854" s="3">
        <v>45549.338826446801</v>
      </c>
      <c r="C854">
        <v>263</v>
      </c>
      <c r="D854" s="4">
        <f t="shared" si="39"/>
        <v>45536</v>
      </c>
      <c r="E854" s="4">
        <f t="shared" si="40"/>
        <v>45536</v>
      </c>
      <c r="F854" s="5">
        <f t="shared" si="41"/>
        <v>0</v>
      </c>
      <c r="G854" s="5">
        <f>IF(COUNTIFS(A$3:A854,A854,F$3:F854,F854)=1,1,0)</f>
        <v>1</v>
      </c>
    </row>
    <row r="855" spans="1:7" x14ac:dyDescent="0.25">
      <c r="A855">
        <v>29</v>
      </c>
      <c r="B855" s="3">
        <v>45412.924897569399</v>
      </c>
      <c r="C855">
        <v>908</v>
      </c>
      <c r="D855" s="4">
        <f t="shared" si="39"/>
        <v>45383</v>
      </c>
      <c r="E855" s="4">
        <f t="shared" si="40"/>
        <v>45383</v>
      </c>
      <c r="F855" s="5">
        <f t="shared" si="41"/>
        <v>0</v>
      </c>
      <c r="G855" s="5">
        <f>IF(COUNTIFS(A$3:A855,A855,F$3:F855,F855)=1,1,0)</f>
        <v>1</v>
      </c>
    </row>
    <row r="856" spans="1:7" x14ac:dyDescent="0.25">
      <c r="A856">
        <v>165</v>
      </c>
      <c r="B856" s="3">
        <v>45492.405178205998</v>
      </c>
      <c r="C856">
        <v>977</v>
      </c>
      <c r="D856" s="4">
        <f t="shared" si="39"/>
        <v>45474</v>
      </c>
      <c r="E856" s="4">
        <f t="shared" si="40"/>
        <v>45474</v>
      </c>
      <c r="F856" s="5">
        <f t="shared" si="41"/>
        <v>0</v>
      </c>
      <c r="G856" s="5">
        <f>IF(COUNTIFS(A$3:A856,A856,F$3:F856,F856)=1,1,0)</f>
        <v>1</v>
      </c>
    </row>
    <row r="857" spans="1:7" x14ac:dyDescent="0.25">
      <c r="A857">
        <v>422</v>
      </c>
      <c r="B857" s="3">
        <v>45299.779600972201</v>
      </c>
      <c r="C857">
        <v>53</v>
      </c>
      <c r="D857" s="4">
        <f t="shared" si="39"/>
        <v>45292</v>
      </c>
      <c r="E857" s="4">
        <f t="shared" si="40"/>
        <v>45292</v>
      </c>
      <c r="F857" s="5">
        <f t="shared" si="41"/>
        <v>0</v>
      </c>
      <c r="G857" s="5">
        <f>IF(COUNTIFS(A$3:A857,A857,F$3:F857,F857)=1,1,0)</f>
        <v>0</v>
      </c>
    </row>
    <row r="858" spans="1:7" x14ac:dyDescent="0.25">
      <c r="A858">
        <v>339</v>
      </c>
      <c r="B858" s="3">
        <v>45596.876383194503</v>
      </c>
      <c r="C858">
        <v>106</v>
      </c>
      <c r="D858" s="4">
        <f t="shared" si="39"/>
        <v>45566</v>
      </c>
      <c r="E858" s="4">
        <f t="shared" si="40"/>
        <v>45566</v>
      </c>
      <c r="F858" s="5">
        <f t="shared" si="41"/>
        <v>0</v>
      </c>
      <c r="G858" s="5">
        <f>IF(COUNTIFS(A$3:A858,A858,F$3:F858,F858)=1,1,0)</f>
        <v>1</v>
      </c>
    </row>
    <row r="859" spans="1:7" x14ac:dyDescent="0.25">
      <c r="A859">
        <v>648</v>
      </c>
      <c r="B859" s="3">
        <v>45520.1148248264</v>
      </c>
      <c r="C859">
        <v>563</v>
      </c>
      <c r="D859" s="4">
        <f t="shared" si="39"/>
        <v>45505</v>
      </c>
      <c r="E859" s="4">
        <f t="shared" si="40"/>
        <v>45323</v>
      </c>
      <c r="F859" s="5">
        <f t="shared" si="41"/>
        <v>6</v>
      </c>
      <c r="G859" s="5">
        <f>IF(COUNTIFS(A$3:A859,A859,F$3:F859,F859)=1,1,0)</f>
        <v>1</v>
      </c>
    </row>
    <row r="860" spans="1:7" x14ac:dyDescent="0.25">
      <c r="A860">
        <v>496</v>
      </c>
      <c r="B860" s="3">
        <v>45616.600387858802</v>
      </c>
      <c r="C860">
        <v>236</v>
      </c>
      <c r="D860" s="4">
        <f t="shared" si="39"/>
        <v>45597</v>
      </c>
      <c r="E860" s="4">
        <f t="shared" si="40"/>
        <v>45597</v>
      </c>
      <c r="F860" s="5">
        <f t="shared" si="41"/>
        <v>0</v>
      </c>
      <c r="G860" s="5">
        <f>IF(COUNTIFS(A$3:A860,A860,F$3:F860,F860)=1,1,0)</f>
        <v>1</v>
      </c>
    </row>
    <row r="861" spans="1:7" x14ac:dyDescent="0.25">
      <c r="A861">
        <v>365</v>
      </c>
      <c r="B861" s="3">
        <v>45370.372745324101</v>
      </c>
      <c r="C861">
        <v>783</v>
      </c>
      <c r="D861" s="4">
        <f t="shared" si="39"/>
        <v>45352</v>
      </c>
      <c r="E861" s="4">
        <f t="shared" si="40"/>
        <v>45352</v>
      </c>
      <c r="F861" s="5">
        <f t="shared" si="41"/>
        <v>0</v>
      </c>
      <c r="G861" s="5">
        <f>IF(COUNTIFS(A$3:A861,A861,F$3:F861,F861)=1,1,0)</f>
        <v>1</v>
      </c>
    </row>
    <row r="862" spans="1:7" x14ac:dyDescent="0.25">
      <c r="A862">
        <v>833</v>
      </c>
      <c r="B862" s="3">
        <v>45554.003126550902</v>
      </c>
      <c r="C862">
        <v>688</v>
      </c>
      <c r="D862" s="4">
        <f t="shared" si="39"/>
        <v>45536</v>
      </c>
      <c r="E862" s="4">
        <f t="shared" si="40"/>
        <v>45536</v>
      </c>
      <c r="F862" s="5">
        <f t="shared" si="41"/>
        <v>0</v>
      </c>
      <c r="G862" s="5">
        <f>IF(COUNTIFS(A$3:A862,A862,F$3:F862,F862)=1,1,0)</f>
        <v>1</v>
      </c>
    </row>
    <row r="863" spans="1:7" x14ac:dyDescent="0.25">
      <c r="A863">
        <v>342</v>
      </c>
      <c r="B863" s="3">
        <v>45642.453750335699</v>
      </c>
      <c r="C863">
        <v>445</v>
      </c>
      <c r="D863" s="4">
        <f t="shared" si="39"/>
        <v>45627</v>
      </c>
      <c r="E863" s="4">
        <f t="shared" si="40"/>
        <v>45474</v>
      </c>
      <c r="F863" s="5">
        <f t="shared" si="41"/>
        <v>5</v>
      </c>
      <c r="G863" s="5">
        <f>IF(COUNTIFS(A$3:A863,A863,F$3:F863,F863)=1,1,0)</f>
        <v>0</v>
      </c>
    </row>
    <row r="864" spans="1:7" x14ac:dyDescent="0.25">
      <c r="A864">
        <v>500</v>
      </c>
      <c r="B864" s="3">
        <v>45325.030902349499</v>
      </c>
      <c r="C864">
        <v>800</v>
      </c>
      <c r="D864" s="4">
        <f t="shared" si="39"/>
        <v>45323</v>
      </c>
      <c r="E864" s="4">
        <f t="shared" si="40"/>
        <v>45323</v>
      </c>
      <c r="F864" s="5">
        <f t="shared" si="41"/>
        <v>0</v>
      </c>
      <c r="G864" s="5">
        <f>IF(COUNTIFS(A$3:A864,A864,F$3:F864,F864)=1,1,0)</f>
        <v>1</v>
      </c>
    </row>
    <row r="865" spans="1:7" x14ac:dyDescent="0.25">
      <c r="A865">
        <v>657</v>
      </c>
      <c r="B865" s="3">
        <v>45596.883453020797</v>
      </c>
      <c r="C865">
        <v>610</v>
      </c>
      <c r="D865" s="4">
        <f t="shared" si="39"/>
        <v>45566</v>
      </c>
      <c r="E865" s="4">
        <f t="shared" si="40"/>
        <v>45352</v>
      </c>
      <c r="F865" s="5">
        <f t="shared" si="41"/>
        <v>7</v>
      </c>
      <c r="G865" s="5">
        <f>IF(COUNTIFS(A$3:A865,A865,F$3:F865,F865)=1,1,0)</f>
        <v>1</v>
      </c>
    </row>
    <row r="866" spans="1:7" x14ac:dyDescent="0.25">
      <c r="A866">
        <v>511</v>
      </c>
      <c r="B866" s="3">
        <v>45551.622051157399</v>
      </c>
      <c r="C866">
        <v>388</v>
      </c>
      <c r="D866" s="4">
        <f t="shared" si="39"/>
        <v>45536</v>
      </c>
      <c r="E866" s="4">
        <f t="shared" si="40"/>
        <v>45292</v>
      </c>
      <c r="F866" s="5">
        <f t="shared" si="41"/>
        <v>8</v>
      </c>
      <c r="G866" s="5">
        <f>IF(COUNTIFS(A$3:A866,A866,F$3:F866,F866)=1,1,0)</f>
        <v>0</v>
      </c>
    </row>
    <row r="867" spans="1:7" x14ac:dyDescent="0.25">
      <c r="A867">
        <v>327</v>
      </c>
      <c r="B867" s="3">
        <v>45335.750626921297</v>
      </c>
      <c r="C867">
        <v>187</v>
      </c>
      <c r="D867" s="4">
        <f t="shared" si="39"/>
        <v>45323</v>
      </c>
      <c r="E867" s="4">
        <f t="shared" si="40"/>
        <v>45323</v>
      </c>
      <c r="F867" s="5">
        <f t="shared" si="41"/>
        <v>0</v>
      </c>
      <c r="G867" s="5">
        <f>IF(COUNTIFS(A$3:A867,A867,F$3:F867,F867)=1,1,0)</f>
        <v>1</v>
      </c>
    </row>
    <row r="868" spans="1:7" x14ac:dyDescent="0.25">
      <c r="A868">
        <v>217</v>
      </c>
      <c r="B868" s="3">
        <v>45442.975010914401</v>
      </c>
      <c r="C868">
        <v>436</v>
      </c>
      <c r="D868" s="4">
        <f t="shared" si="39"/>
        <v>45413</v>
      </c>
      <c r="E868" s="4">
        <f t="shared" si="40"/>
        <v>45292</v>
      </c>
      <c r="F868" s="5">
        <f t="shared" si="41"/>
        <v>4</v>
      </c>
      <c r="G868" s="5">
        <f>IF(COUNTIFS(A$3:A868,A868,F$3:F868,F868)=1,1,0)</f>
        <v>0</v>
      </c>
    </row>
    <row r="869" spans="1:7" x14ac:dyDescent="0.25">
      <c r="A869">
        <v>301</v>
      </c>
      <c r="B869" s="3">
        <v>45490.622829907399</v>
      </c>
      <c r="C869">
        <v>924</v>
      </c>
      <c r="D869" s="4">
        <f t="shared" si="39"/>
        <v>45474</v>
      </c>
      <c r="E869" s="4">
        <f t="shared" si="40"/>
        <v>45474</v>
      </c>
      <c r="F869" s="5">
        <f t="shared" si="41"/>
        <v>0</v>
      </c>
      <c r="G869" s="5">
        <f>IF(COUNTIFS(A$3:A869,A869,F$3:F869,F869)=1,1,0)</f>
        <v>1</v>
      </c>
    </row>
    <row r="870" spans="1:7" x14ac:dyDescent="0.25">
      <c r="A870">
        <v>132</v>
      </c>
      <c r="B870" s="3">
        <v>45344.104994386602</v>
      </c>
      <c r="C870">
        <v>718</v>
      </c>
      <c r="D870" s="4">
        <f t="shared" si="39"/>
        <v>45323</v>
      </c>
      <c r="E870" s="4">
        <f t="shared" si="40"/>
        <v>45323</v>
      </c>
      <c r="F870" s="5">
        <f t="shared" si="41"/>
        <v>0</v>
      </c>
      <c r="G870" s="5">
        <f>IF(COUNTIFS(A$3:A870,A870,F$3:F870,F870)=1,1,0)</f>
        <v>1</v>
      </c>
    </row>
    <row r="871" spans="1:7" x14ac:dyDescent="0.25">
      <c r="A871">
        <v>804</v>
      </c>
      <c r="B871" s="3">
        <v>45366.666105486103</v>
      </c>
      <c r="C871">
        <v>316</v>
      </c>
      <c r="D871" s="4">
        <f t="shared" si="39"/>
        <v>45352</v>
      </c>
      <c r="E871" s="4">
        <f t="shared" si="40"/>
        <v>45352</v>
      </c>
      <c r="F871" s="5">
        <f t="shared" si="41"/>
        <v>0</v>
      </c>
      <c r="G871" s="5">
        <f>IF(COUNTIFS(A$3:A871,A871,F$3:F871,F871)=1,1,0)</f>
        <v>1</v>
      </c>
    </row>
    <row r="872" spans="1:7" x14ac:dyDescent="0.25">
      <c r="A872">
        <v>70</v>
      </c>
      <c r="B872" s="3">
        <v>45420.8321919792</v>
      </c>
      <c r="C872">
        <v>788</v>
      </c>
      <c r="D872" s="4">
        <f t="shared" si="39"/>
        <v>45413</v>
      </c>
      <c r="E872" s="4">
        <f t="shared" si="40"/>
        <v>45413</v>
      </c>
      <c r="F872" s="5">
        <f t="shared" si="41"/>
        <v>0</v>
      </c>
      <c r="G872" s="5">
        <f>IF(COUNTIFS(A$3:A872,A872,F$3:F872,F872)=1,1,0)</f>
        <v>1</v>
      </c>
    </row>
    <row r="873" spans="1:7" x14ac:dyDescent="0.25">
      <c r="A873">
        <v>252</v>
      </c>
      <c r="B873" s="3">
        <v>45479.782459479196</v>
      </c>
      <c r="C873">
        <v>513</v>
      </c>
      <c r="D873" s="4">
        <f t="shared" si="39"/>
        <v>45474</v>
      </c>
      <c r="E873" s="4">
        <f t="shared" si="40"/>
        <v>45352</v>
      </c>
      <c r="F873" s="5">
        <f t="shared" si="41"/>
        <v>4</v>
      </c>
      <c r="G873" s="5">
        <f>IF(COUNTIFS(A$3:A873,A873,F$3:F873,F873)=1,1,0)</f>
        <v>1</v>
      </c>
    </row>
    <row r="874" spans="1:7" x14ac:dyDescent="0.25">
      <c r="A874">
        <v>415</v>
      </c>
      <c r="B874" s="3">
        <v>45303.187293773197</v>
      </c>
      <c r="C874">
        <v>277</v>
      </c>
      <c r="D874" s="4">
        <f t="shared" si="39"/>
        <v>45292</v>
      </c>
      <c r="E874" s="4">
        <f t="shared" si="40"/>
        <v>45292</v>
      </c>
      <c r="F874" s="5">
        <f t="shared" si="41"/>
        <v>0</v>
      </c>
      <c r="G874" s="5">
        <f>IF(COUNTIFS(A$3:A874,A874,F$3:F874,F874)=1,1,0)</f>
        <v>1</v>
      </c>
    </row>
    <row r="875" spans="1:7" x14ac:dyDescent="0.25">
      <c r="A875">
        <v>787</v>
      </c>
      <c r="B875" s="3">
        <v>45613.036867314797</v>
      </c>
      <c r="C875">
        <v>595</v>
      </c>
      <c r="D875" s="4">
        <f t="shared" si="39"/>
        <v>45597</v>
      </c>
      <c r="E875" s="4">
        <f t="shared" si="40"/>
        <v>45505</v>
      </c>
      <c r="F875" s="5">
        <f t="shared" si="41"/>
        <v>3</v>
      </c>
      <c r="G875" s="5">
        <f>IF(COUNTIFS(A$3:A875,A875,F$3:F875,F875)=1,1,0)</f>
        <v>1</v>
      </c>
    </row>
    <row r="876" spans="1:7" x14ac:dyDescent="0.25">
      <c r="A876">
        <v>445</v>
      </c>
      <c r="B876" s="3">
        <v>45434.2464293866</v>
      </c>
      <c r="C876">
        <v>17</v>
      </c>
      <c r="D876" s="4">
        <f t="shared" si="39"/>
        <v>45413</v>
      </c>
      <c r="E876" s="4">
        <f t="shared" si="40"/>
        <v>45413</v>
      </c>
      <c r="F876" s="5">
        <f t="shared" si="41"/>
        <v>0</v>
      </c>
      <c r="G876" s="5">
        <f>IF(COUNTIFS(A$3:A876,A876,F$3:F876,F876)=1,1,0)</f>
        <v>1</v>
      </c>
    </row>
    <row r="877" spans="1:7" x14ac:dyDescent="0.25">
      <c r="A877">
        <v>876</v>
      </c>
      <c r="B877" s="3">
        <v>45345.683353669003</v>
      </c>
      <c r="C877">
        <v>929</v>
      </c>
      <c r="D877" s="4">
        <f t="shared" si="39"/>
        <v>45323</v>
      </c>
      <c r="E877" s="4">
        <f t="shared" si="40"/>
        <v>45323</v>
      </c>
      <c r="F877" s="5">
        <f t="shared" si="41"/>
        <v>0</v>
      </c>
      <c r="G877" s="5">
        <f>IF(COUNTIFS(A$3:A877,A877,F$3:F877,F877)=1,1,0)</f>
        <v>1</v>
      </c>
    </row>
    <row r="878" spans="1:7" x14ac:dyDescent="0.25">
      <c r="A878">
        <v>182</v>
      </c>
      <c r="B878" s="3">
        <v>45591.777239606497</v>
      </c>
      <c r="C878">
        <v>517</v>
      </c>
      <c r="D878" s="4">
        <f t="shared" si="39"/>
        <v>45566</v>
      </c>
      <c r="E878" s="4">
        <f t="shared" si="40"/>
        <v>45566</v>
      </c>
      <c r="F878" s="5">
        <f t="shared" si="41"/>
        <v>0</v>
      </c>
      <c r="G878" s="5">
        <f>IF(COUNTIFS(A$3:A878,A878,F$3:F878,F878)=1,1,0)</f>
        <v>1</v>
      </c>
    </row>
    <row r="879" spans="1:7" x14ac:dyDescent="0.25">
      <c r="A879">
        <v>167</v>
      </c>
      <c r="B879" s="3">
        <v>45567.2856876968</v>
      </c>
      <c r="C879">
        <v>485</v>
      </c>
      <c r="D879" s="4">
        <f t="shared" si="39"/>
        <v>45566</v>
      </c>
      <c r="E879" s="4">
        <f t="shared" si="40"/>
        <v>45413</v>
      </c>
      <c r="F879" s="5">
        <f t="shared" si="41"/>
        <v>5</v>
      </c>
      <c r="G879" s="5">
        <f>IF(COUNTIFS(A$3:A879,A879,F$3:F879,F879)=1,1,0)</f>
        <v>1</v>
      </c>
    </row>
    <row r="880" spans="1:7" x14ac:dyDescent="0.25">
      <c r="A880">
        <v>91</v>
      </c>
      <c r="B880" s="3">
        <v>45374.258243981501</v>
      </c>
      <c r="C880">
        <v>306</v>
      </c>
      <c r="D880" s="4">
        <f t="shared" si="39"/>
        <v>45352</v>
      </c>
      <c r="E880" s="4">
        <f t="shared" si="40"/>
        <v>45352</v>
      </c>
      <c r="F880" s="5">
        <f t="shared" si="41"/>
        <v>0</v>
      </c>
      <c r="G880" s="5">
        <f>IF(COUNTIFS(A$3:A880,A880,F$3:F880,F880)=1,1,0)</f>
        <v>1</v>
      </c>
    </row>
    <row r="881" spans="1:7" x14ac:dyDescent="0.25">
      <c r="A881">
        <v>714</v>
      </c>
      <c r="B881" s="3">
        <v>45312.121337488403</v>
      </c>
      <c r="C881">
        <v>173</v>
      </c>
      <c r="D881" s="4">
        <f t="shared" si="39"/>
        <v>45292</v>
      </c>
      <c r="E881" s="4">
        <f t="shared" si="40"/>
        <v>45292</v>
      </c>
      <c r="F881" s="5">
        <f t="shared" si="41"/>
        <v>0</v>
      </c>
      <c r="G881" s="5">
        <f>IF(COUNTIFS(A$3:A881,A881,F$3:F881,F881)=1,1,0)</f>
        <v>1</v>
      </c>
    </row>
    <row r="882" spans="1:7" x14ac:dyDescent="0.25">
      <c r="A882">
        <v>858</v>
      </c>
      <c r="B882" s="3">
        <v>45377.277941539403</v>
      </c>
      <c r="C882">
        <v>494</v>
      </c>
      <c r="D882" s="4">
        <f t="shared" si="39"/>
        <v>45352</v>
      </c>
      <c r="E882" s="4">
        <f t="shared" si="40"/>
        <v>45352</v>
      </c>
      <c r="F882" s="5">
        <f t="shared" si="41"/>
        <v>0</v>
      </c>
      <c r="G882" s="5">
        <f>IF(COUNTIFS(A$3:A882,A882,F$3:F882,F882)=1,1,0)</f>
        <v>1</v>
      </c>
    </row>
    <row r="883" spans="1:7" x14ac:dyDescent="0.25">
      <c r="A883">
        <v>531</v>
      </c>
      <c r="B883" s="3">
        <v>45395.169011458303</v>
      </c>
      <c r="C883">
        <v>606</v>
      </c>
      <c r="D883" s="4">
        <f t="shared" si="39"/>
        <v>45383</v>
      </c>
      <c r="E883" s="4">
        <f t="shared" si="40"/>
        <v>45383</v>
      </c>
      <c r="F883" s="5">
        <f t="shared" si="41"/>
        <v>0</v>
      </c>
      <c r="G883" s="5">
        <f>IF(COUNTIFS(A$3:A883,A883,F$3:F883,F883)=1,1,0)</f>
        <v>1</v>
      </c>
    </row>
    <row r="884" spans="1:7" x14ac:dyDescent="0.25">
      <c r="A884">
        <v>39</v>
      </c>
      <c r="B884" s="3">
        <v>45550.635749884299</v>
      </c>
      <c r="C884">
        <v>81</v>
      </c>
      <c r="D884" s="4">
        <f t="shared" si="39"/>
        <v>45536</v>
      </c>
      <c r="E884" s="4">
        <f t="shared" si="40"/>
        <v>45383</v>
      </c>
      <c r="F884" s="5">
        <f t="shared" si="41"/>
        <v>5</v>
      </c>
      <c r="G884" s="5">
        <f>IF(COUNTIFS(A$3:A884,A884,F$3:F884,F884)=1,1,0)</f>
        <v>1</v>
      </c>
    </row>
    <row r="885" spans="1:7" x14ac:dyDescent="0.25">
      <c r="A885">
        <v>126</v>
      </c>
      <c r="B885" s="3">
        <v>45395.706247858798</v>
      </c>
      <c r="C885">
        <v>576</v>
      </c>
      <c r="D885" s="4">
        <f t="shared" si="39"/>
        <v>45383</v>
      </c>
      <c r="E885" s="4">
        <f t="shared" si="40"/>
        <v>45383</v>
      </c>
      <c r="F885" s="5">
        <f t="shared" si="41"/>
        <v>0</v>
      </c>
      <c r="G885" s="5">
        <f>IF(COUNTIFS(A$3:A885,A885,F$3:F885,F885)=1,1,0)</f>
        <v>1</v>
      </c>
    </row>
    <row r="886" spans="1:7" x14ac:dyDescent="0.25">
      <c r="A886">
        <v>451</v>
      </c>
      <c r="B886" s="3">
        <v>45575.148985729204</v>
      </c>
      <c r="C886">
        <v>914</v>
      </c>
      <c r="D886" s="4">
        <f t="shared" si="39"/>
        <v>45566</v>
      </c>
      <c r="E886" s="4">
        <f t="shared" si="40"/>
        <v>45566</v>
      </c>
      <c r="F886" s="5">
        <f t="shared" si="41"/>
        <v>0</v>
      </c>
      <c r="G886" s="5">
        <f>IF(COUNTIFS(A$3:A886,A886,F$3:F886,F886)=1,1,0)</f>
        <v>1</v>
      </c>
    </row>
    <row r="887" spans="1:7" x14ac:dyDescent="0.25">
      <c r="A887">
        <v>173</v>
      </c>
      <c r="B887" s="3">
        <v>45387.131662523199</v>
      </c>
      <c r="C887">
        <v>568</v>
      </c>
      <c r="D887" s="4">
        <f t="shared" si="39"/>
        <v>45383</v>
      </c>
      <c r="E887" s="4">
        <f t="shared" si="40"/>
        <v>45383</v>
      </c>
      <c r="F887" s="5">
        <f t="shared" si="41"/>
        <v>0</v>
      </c>
      <c r="G887" s="5">
        <f>IF(COUNTIFS(A$3:A887,A887,F$3:F887,F887)=1,1,0)</f>
        <v>1</v>
      </c>
    </row>
    <row r="888" spans="1:7" x14ac:dyDescent="0.25">
      <c r="A888">
        <v>653</v>
      </c>
      <c r="B888" s="3">
        <v>45431.728649375</v>
      </c>
      <c r="C888">
        <v>920</v>
      </c>
      <c r="D888" s="4">
        <f t="shared" si="39"/>
        <v>45413</v>
      </c>
      <c r="E888" s="4">
        <f t="shared" si="40"/>
        <v>45413</v>
      </c>
      <c r="F888" s="5">
        <f t="shared" si="41"/>
        <v>0</v>
      </c>
      <c r="G888" s="5">
        <f>IF(COUNTIFS(A$3:A888,A888,F$3:F888,F888)=1,1,0)</f>
        <v>0</v>
      </c>
    </row>
    <row r="889" spans="1:7" x14ac:dyDescent="0.25">
      <c r="A889">
        <v>754</v>
      </c>
      <c r="B889" s="3">
        <v>45391.3834768171</v>
      </c>
      <c r="C889">
        <v>953</v>
      </c>
      <c r="D889" s="4">
        <f t="shared" si="39"/>
        <v>45383</v>
      </c>
      <c r="E889" s="4">
        <f t="shared" si="40"/>
        <v>45323</v>
      </c>
      <c r="F889" s="5">
        <f t="shared" si="41"/>
        <v>2</v>
      </c>
      <c r="G889" s="5">
        <f>IF(COUNTIFS(A$3:A889,A889,F$3:F889,F889)=1,1,0)</f>
        <v>1</v>
      </c>
    </row>
    <row r="890" spans="1:7" x14ac:dyDescent="0.25">
      <c r="A890">
        <v>220</v>
      </c>
      <c r="B890" s="3">
        <v>45655.7037410185</v>
      </c>
      <c r="C890">
        <v>247</v>
      </c>
      <c r="D890" s="4">
        <f t="shared" si="39"/>
        <v>45627</v>
      </c>
      <c r="E890" s="4">
        <f t="shared" si="40"/>
        <v>45323</v>
      </c>
      <c r="F890" s="5">
        <f t="shared" si="41"/>
        <v>10</v>
      </c>
      <c r="G890" s="5">
        <f>IF(COUNTIFS(A$3:A890,A890,F$3:F890,F890)=1,1,0)</f>
        <v>1</v>
      </c>
    </row>
    <row r="891" spans="1:7" x14ac:dyDescent="0.25">
      <c r="A891">
        <v>638</v>
      </c>
      <c r="B891" s="3">
        <v>45503.441939467601</v>
      </c>
      <c r="C891">
        <v>113</v>
      </c>
      <c r="D891" s="4">
        <f t="shared" si="39"/>
        <v>45474</v>
      </c>
      <c r="E891" s="4">
        <f t="shared" si="40"/>
        <v>45352</v>
      </c>
      <c r="F891" s="5">
        <f t="shared" si="41"/>
        <v>4</v>
      </c>
      <c r="G891" s="5">
        <f>IF(COUNTIFS(A$3:A891,A891,F$3:F891,F891)=1,1,0)</f>
        <v>1</v>
      </c>
    </row>
    <row r="892" spans="1:7" x14ac:dyDescent="0.25">
      <c r="A892">
        <v>58</v>
      </c>
      <c r="B892" s="3">
        <v>45622.114166736101</v>
      </c>
      <c r="C892">
        <v>219</v>
      </c>
      <c r="D892" s="4">
        <f t="shared" si="39"/>
        <v>45597</v>
      </c>
      <c r="E892" s="4">
        <f t="shared" si="40"/>
        <v>45292</v>
      </c>
      <c r="F892" s="5">
        <f t="shared" si="41"/>
        <v>10</v>
      </c>
      <c r="G892" s="5">
        <f>IF(COUNTIFS(A$3:A892,A892,F$3:F892,F892)=1,1,0)</f>
        <v>1</v>
      </c>
    </row>
    <row r="893" spans="1:7" x14ac:dyDescent="0.25">
      <c r="A893">
        <v>660</v>
      </c>
      <c r="B893" s="3">
        <v>45568.444409502299</v>
      </c>
      <c r="C893">
        <v>563</v>
      </c>
      <c r="D893" s="4">
        <f t="shared" si="39"/>
        <v>45566</v>
      </c>
      <c r="E893" s="4">
        <f t="shared" si="40"/>
        <v>45444</v>
      </c>
      <c r="F893" s="5">
        <f t="shared" si="41"/>
        <v>4</v>
      </c>
      <c r="G893" s="5">
        <f>IF(COUNTIFS(A$3:A893,A893,F$3:F893,F893)=1,1,0)</f>
        <v>1</v>
      </c>
    </row>
    <row r="894" spans="1:7" x14ac:dyDescent="0.25">
      <c r="A894">
        <v>476</v>
      </c>
      <c r="B894" s="3">
        <v>45559.5833414468</v>
      </c>
      <c r="C894">
        <v>837</v>
      </c>
      <c r="D894" s="4">
        <f t="shared" si="39"/>
        <v>45536</v>
      </c>
      <c r="E894" s="4">
        <f t="shared" si="40"/>
        <v>45474</v>
      </c>
      <c r="F894" s="5">
        <f t="shared" si="41"/>
        <v>2</v>
      </c>
      <c r="G894" s="5">
        <f>IF(COUNTIFS(A$3:A894,A894,F$3:F894,F894)=1,1,0)</f>
        <v>1</v>
      </c>
    </row>
    <row r="895" spans="1:7" x14ac:dyDescent="0.25">
      <c r="A895">
        <v>456</v>
      </c>
      <c r="B895" s="3">
        <v>45649.329258946796</v>
      </c>
      <c r="C895">
        <v>477</v>
      </c>
      <c r="D895" s="4">
        <f t="shared" si="39"/>
        <v>45627</v>
      </c>
      <c r="E895" s="4">
        <f t="shared" si="40"/>
        <v>45566</v>
      </c>
      <c r="F895" s="5">
        <f t="shared" si="41"/>
        <v>2</v>
      </c>
      <c r="G895" s="5">
        <f>IF(COUNTIFS(A$3:A895,A895,F$3:F895,F895)=1,1,0)</f>
        <v>1</v>
      </c>
    </row>
    <row r="896" spans="1:7" x14ac:dyDescent="0.25">
      <c r="A896">
        <v>829</v>
      </c>
      <c r="B896" s="3">
        <v>45471.8297079861</v>
      </c>
      <c r="C896">
        <v>463</v>
      </c>
      <c r="D896" s="4">
        <f t="shared" si="39"/>
        <v>45444</v>
      </c>
      <c r="E896" s="4">
        <f t="shared" si="40"/>
        <v>45383</v>
      </c>
      <c r="F896" s="5">
        <f t="shared" si="41"/>
        <v>2</v>
      </c>
      <c r="G896" s="5">
        <f>IF(COUNTIFS(A$3:A896,A896,F$3:F896,F896)=1,1,0)</f>
        <v>0</v>
      </c>
    </row>
    <row r="897" spans="1:7" x14ac:dyDescent="0.25">
      <c r="A897">
        <v>895</v>
      </c>
      <c r="B897" s="3">
        <v>45304.850959444499</v>
      </c>
      <c r="C897">
        <v>277</v>
      </c>
      <c r="D897" s="4">
        <f t="shared" si="39"/>
        <v>45292</v>
      </c>
      <c r="E897" s="4">
        <f t="shared" si="40"/>
        <v>45292</v>
      </c>
      <c r="F897" s="5">
        <f t="shared" si="41"/>
        <v>0</v>
      </c>
      <c r="G897" s="5">
        <f>IF(COUNTIFS(A$3:A897,A897,F$3:F897,F897)=1,1,0)</f>
        <v>1</v>
      </c>
    </row>
    <row r="898" spans="1:7" x14ac:dyDescent="0.25">
      <c r="A898">
        <v>361</v>
      </c>
      <c r="B898" s="3">
        <v>45611.564487418997</v>
      </c>
      <c r="C898">
        <v>395</v>
      </c>
      <c r="D898" s="4">
        <f t="shared" si="39"/>
        <v>45597</v>
      </c>
      <c r="E898" s="4">
        <f t="shared" si="40"/>
        <v>45597</v>
      </c>
      <c r="F898" s="5">
        <f t="shared" si="41"/>
        <v>0</v>
      </c>
      <c r="G898" s="5">
        <f>IF(COUNTIFS(A$3:A898,A898,F$3:F898,F898)=1,1,0)</f>
        <v>1</v>
      </c>
    </row>
    <row r="899" spans="1:7" x14ac:dyDescent="0.25">
      <c r="A899">
        <v>935</v>
      </c>
      <c r="B899" s="3">
        <v>45487.824237963003</v>
      </c>
      <c r="C899">
        <v>784</v>
      </c>
      <c r="D899" s="4">
        <f t="shared" ref="D899:D962" si="42">EOMONTH(B899,-1)+1</f>
        <v>45474</v>
      </c>
      <c r="E899" s="4">
        <f t="shared" ref="E899:E962" si="43">_xlfn.MINIFS(D$3:D$1002,A$3:A$1002,A899)</f>
        <v>45474</v>
      </c>
      <c r="F899" s="5">
        <f t="shared" ref="F899:F962" si="44">DATEDIF(E899,D899,"M")</f>
        <v>0</v>
      </c>
      <c r="G899" s="5">
        <f>IF(COUNTIFS(A$3:A899,A899,F$3:F899,F899)=1,1,0)</f>
        <v>0</v>
      </c>
    </row>
    <row r="900" spans="1:7" x14ac:dyDescent="0.25">
      <c r="A900">
        <v>1</v>
      </c>
      <c r="B900" s="3">
        <v>45648.503942847201</v>
      </c>
      <c r="C900">
        <v>857</v>
      </c>
      <c r="D900" s="4">
        <f t="shared" si="42"/>
        <v>45627</v>
      </c>
      <c r="E900" s="4">
        <f t="shared" si="43"/>
        <v>45627</v>
      </c>
      <c r="F900" s="5">
        <f t="shared" si="44"/>
        <v>0</v>
      </c>
      <c r="G900" s="5">
        <f>IF(COUNTIFS(A$3:A900,A900,F$3:F900,F900)=1,1,0)</f>
        <v>1</v>
      </c>
    </row>
    <row r="901" spans="1:7" x14ac:dyDescent="0.25">
      <c r="A901">
        <v>387</v>
      </c>
      <c r="B901" s="3">
        <v>45430.636520081003</v>
      </c>
      <c r="C901">
        <v>396</v>
      </c>
      <c r="D901" s="4">
        <f t="shared" si="42"/>
        <v>45413</v>
      </c>
      <c r="E901" s="4">
        <f t="shared" si="43"/>
        <v>45413</v>
      </c>
      <c r="F901" s="5">
        <f t="shared" si="44"/>
        <v>0</v>
      </c>
      <c r="G901" s="5">
        <f>IF(COUNTIFS(A$3:A901,A901,F$3:F901,F901)=1,1,0)</f>
        <v>1</v>
      </c>
    </row>
    <row r="902" spans="1:7" x14ac:dyDescent="0.25">
      <c r="A902">
        <v>973</v>
      </c>
      <c r="B902" s="3">
        <v>45354.241161435202</v>
      </c>
      <c r="C902">
        <v>886</v>
      </c>
      <c r="D902" s="4">
        <f t="shared" si="42"/>
        <v>45352</v>
      </c>
      <c r="E902" s="4">
        <f t="shared" si="43"/>
        <v>45292</v>
      </c>
      <c r="F902" s="5">
        <f t="shared" si="44"/>
        <v>2</v>
      </c>
      <c r="G902" s="5">
        <f>IF(COUNTIFS(A$3:A902,A902,F$3:F902,F902)=1,1,0)</f>
        <v>1</v>
      </c>
    </row>
    <row r="903" spans="1:7" x14ac:dyDescent="0.25">
      <c r="A903">
        <v>348</v>
      </c>
      <c r="B903" s="3">
        <v>45313.088417719897</v>
      </c>
      <c r="C903">
        <v>268</v>
      </c>
      <c r="D903" s="4">
        <f t="shared" si="42"/>
        <v>45292</v>
      </c>
      <c r="E903" s="4">
        <f t="shared" si="43"/>
        <v>45292</v>
      </c>
      <c r="F903" s="5">
        <f t="shared" si="44"/>
        <v>0</v>
      </c>
      <c r="G903" s="5">
        <f>IF(COUNTIFS(A$3:A903,A903,F$3:F903,F903)=1,1,0)</f>
        <v>1</v>
      </c>
    </row>
    <row r="904" spans="1:7" x14ac:dyDescent="0.25">
      <c r="A904">
        <v>190</v>
      </c>
      <c r="B904" s="3">
        <v>45454.439594699099</v>
      </c>
      <c r="C904">
        <v>292</v>
      </c>
      <c r="D904" s="4">
        <f t="shared" si="42"/>
        <v>45444</v>
      </c>
      <c r="E904" s="4">
        <f t="shared" si="43"/>
        <v>45323</v>
      </c>
      <c r="F904" s="5">
        <f t="shared" si="44"/>
        <v>4</v>
      </c>
      <c r="G904" s="5">
        <f>IF(COUNTIFS(A$3:A904,A904,F$3:F904,F904)=1,1,0)</f>
        <v>1</v>
      </c>
    </row>
    <row r="905" spans="1:7" x14ac:dyDescent="0.25">
      <c r="A905">
        <v>505</v>
      </c>
      <c r="B905" s="3">
        <v>45496.703098321799</v>
      </c>
      <c r="C905">
        <v>635</v>
      </c>
      <c r="D905" s="4">
        <f t="shared" si="42"/>
        <v>45474</v>
      </c>
      <c r="E905" s="4">
        <f t="shared" si="43"/>
        <v>45352</v>
      </c>
      <c r="F905" s="5">
        <f t="shared" si="44"/>
        <v>4</v>
      </c>
      <c r="G905" s="5">
        <f>IF(COUNTIFS(A$3:A905,A905,F$3:F905,F905)=1,1,0)</f>
        <v>1</v>
      </c>
    </row>
    <row r="906" spans="1:7" x14ac:dyDescent="0.25">
      <c r="A906">
        <v>191</v>
      </c>
      <c r="B906" s="3">
        <v>45571.033755069497</v>
      </c>
      <c r="C906">
        <v>884</v>
      </c>
      <c r="D906" s="4">
        <f t="shared" si="42"/>
        <v>45566</v>
      </c>
      <c r="E906" s="4">
        <f t="shared" si="43"/>
        <v>45413</v>
      </c>
      <c r="F906" s="5">
        <f t="shared" si="44"/>
        <v>5</v>
      </c>
      <c r="G906" s="5">
        <f>IF(COUNTIFS(A$3:A906,A906,F$3:F906,F906)=1,1,0)</f>
        <v>1</v>
      </c>
    </row>
    <row r="907" spans="1:7" x14ac:dyDescent="0.25">
      <c r="A907">
        <v>508</v>
      </c>
      <c r="B907" s="3">
        <v>45535.313922696798</v>
      </c>
      <c r="C907">
        <v>49</v>
      </c>
      <c r="D907" s="4">
        <f t="shared" si="42"/>
        <v>45505</v>
      </c>
      <c r="E907" s="4">
        <f t="shared" si="43"/>
        <v>45505</v>
      </c>
      <c r="F907" s="5">
        <f t="shared" si="44"/>
        <v>0</v>
      </c>
      <c r="G907" s="5">
        <f>IF(COUNTIFS(A$3:A907,A907,F$3:F907,F907)=1,1,0)</f>
        <v>1</v>
      </c>
    </row>
    <row r="908" spans="1:7" x14ac:dyDescent="0.25">
      <c r="A908">
        <v>369</v>
      </c>
      <c r="B908" s="3">
        <v>45599.386227245399</v>
      </c>
      <c r="C908">
        <v>495</v>
      </c>
      <c r="D908" s="4">
        <f t="shared" si="42"/>
        <v>45597</v>
      </c>
      <c r="E908" s="4">
        <f t="shared" si="43"/>
        <v>45474</v>
      </c>
      <c r="F908" s="5">
        <f t="shared" si="44"/>
        <v>4</v>
      </c>
      <c r="G908" s="5">
        <f>IF(COUNTIFS(A$3:A908,A908,F$3:F908,F908)=1,1,0)</f>
        <v>1</v>
      </c>
    </row>
    <row r="909" spans="1:7" x14ac:dyDescent="0.25">
      <c r="A909">
        <v>409</v>
      </c>
      <c r="B909" s="3">
        <v>45461.168845706001</v>
      </c>
      <c r="C909">
        <v>938</v>
      </c>
      <c r="D909" s="4">
        <f t="shared" si="42"/>
        <v>45444</v>
      </c>
      <c r="E909" s="4">
        <f t="shared" si="43"/>
        <v>45444</v>
      </c>
      <c r="F909" s="5">
        <f t="shared" si="44"/>
        <v>0</v>
      </c>
      <c r="G909" s="5">
        <f>IF(COUNTIFS(A$3:A909,A909,F$3:F909,F909)=1,1,0)</f>
        <v>1</v>
      </c>
    </row>
    <row r="910" spans="1:7" x14ac:dyDescent="0.25">
      <c r="A910">
        <v>824</v>
      </c>
      <c r="B910" s="3">
        <v>45604.111004444399</v>
      </c>
      <c r="C910">
        <v>229</v>
      </c>
      <c r="D910" s="4">
        <f t="shared" si="42"/>
        <v>45597</v>
      </c>
      <c r="E910" s="4">
        <f t="shared" si="43"/>
        <v>45292</v>
      </c>
      <c r="F910" s="5">
        <f t="shared" si="44"/>
        <v>10</v>
      </c>
      <c r="G910" s="5">
        <f>IF(COUNTIFS(A$3:A910,A910,F$3:F910,F910)=1,1,0)</f>
        <v>1</v>
      </c>
    </row>
    <row r="911" spans="1:7" x14ac:dyDescent="0.25">
      <c r="A911">
        <v>929</v>
      </c>
      <c r="B911" s="3">
        <v>45597.386434606502</v>
      </c>
      <c r="C911">
        <v>138</v>
      </c>
      <c r="D911" s="4">
        <f t="shared" si="42"/>
        <v>45597</v>
      </c>
      <c r="E911" s="4">
        <f t="shared" si="43"/>
        <v>45474</v>
      </c>
      <c r="F911" s="5">
        <f t="shared" si="44"/>
        <v>4</v>
      </c>
      <c r="G911" s="5">
        <f>IF(COUNTIFS(A$3:A911,A911,F$3:F911,F911)=1,1,0)</f>
        <v>0</v>
      </c>
    </row>
    <row r="912" spans="1:7" x14ac:dyDescent="0.25">
      <c r="A912">
        <v>934</v>
      </c>
      <c r="B912" s="3">
        <v>45305.212904930602</v>
      </c>
      <c r="C912">
        <v>529</v>
      </c>
      <c r="D912" s="4">
        <f t="shared" si="42"/>
        <v>45292</v>
      </c>
      <c r="E912" s="4">
        <f t="shared" si="43"/>
        <v>45292</v>
      </c>
      <c r="F912" s="5">
        <f t="shared" si="44"/>
        <v>0</v>
      </c>
      <c r="G912" s="5">
        <f>IF(COUNTIFS(A$3:A912,A912,F$3:F912,F912)=1,1,0)</f>
        <v>1</v>
      </c>
    </row>
    <row r="913" spans="1:7" x14ac:dyDescent="0.25">
      <c r="A913">
        <v>117</v>
      </c>
      <c r="B913" s="3">
        <v>45592.650484224498</v>
      </c>
      <c r="C913">
        <v>622</v>
      </c>
      <c r="D913" s="4">
        <f t="shared" si="42"/>
        <v>45566</v>
      </c>
      <c r="E913" s="4">
        <f t="shared" si="43"/>
        <v>45292</v>
      </c>
      <c r="F913" s="5">
        <f t="shared" si="44"/>
        <v>9</v>
      </c>
      <c r="G913" s="5">
        <f>IF(COUNTIFS(A$3:A913,A913,F$3:F913,F913)=1,1,0)</f>
        <v>1</v>
      </c>
    </row>
    <row r="914" spans="1:7" x14ac:dyDescent="0.25">
      <c r="A914">
        <v>134</v>
      </c>
      <c r="B914" s="3">
        <v>45485.428285601898</v>
      </c>
      <c r="C914">
        <v>937</v>
      </c>
      <c r="D914" s="4">
        <f t="shared" si="42"/>
        <v>45474</v>
      </c>
      <c r="E914" s="4">
        <f t="shared" si="43"/>
        <v>45474</v>
      </c>
      <c r="F914" s="5">
        <f t="shared" si="44"/>
        <v>0</v>
      </c>
      <c r="G914" s="5">
        <f>IF(COUNTIFS(A$3:A914,A914,F$3:F914,F914)=1,1,0)</f>
        <v>1</v>
      </c>
    </row>
    <row r="915" spans="1:7" x14ac:dyDescent="0.25">
      <c r="A915">
        <v>58</v>
      </c>
      <c r="B915" s="3">
        <v>45442.1795920718</v>
      </c>
      <c r="C915">
        <v>901</v>
      </c>
      <c r="D915" s="4">
        <f t="shared" si="42"/>
        <v>45413</v>
      </c>
      <c r="E915" s="4">
        <f t="shared" si="43"/>
        <v>45292</v>
      </c>
      <c r="F915" s="5">
        <f t="shared" si="44"/>
        <v>4</v>
      </c>
      <c r="G915" s="5">
        <f>IF(COUNTIFS(A$3:A915,A915,F$3:F915,F915)=1,1,0)</f>
        <v>1</v>
      </c>
    </row>
    <row r="916" spans="1:7" x14ac:dyDescent="0.25">
      <c r="A916">
        <v>556</v>
      </c>
      <c r="B916" s="3">
        <v>45299.739065011599</v>
      </c>
      <c r="C916">
        <v>697</v>
      </c>
      <c r="D916" s="4">
        <f t="shared" si="42"/>
        <v>45292</v>
      </c>
      <c r="E916" s="4">
        <f t="shared" si="43"/>
        <v>45292</v>
      </c>
      <c r="F916" s="5">
        <f t="shared" si="44"/>
        <v>0</v>
      </c>
      <c r="G916" s="5">
        <f>IF(COUNTIFS(A$3:A916,A916,F$3:F916,F916)=1,1,0)</f>
        <v>1</v>
      </c>
    </row>
    <row r="917" spans="1:7" x14ac:dyDescent="0.25">
      <c r="A917">
        <v>685</v>
      </c>
      <c r="B917" s="3">
        <v>45531.929752442098</v>
      </c>
      <c r="C917">
        <v>628</v>
      </c>
      <c r="D917" s="4">
        <f t="shared" si="42"/>
        <v>45505</v>
      </c>
      <c r="E917" s="4">
        <f t="shared" si="43"/>
        <v>45383</v>
      </c>
      <c r="F917" s="5">
        <f t="shared" si="44"/>
        <v>4</v>
      </c>
      <c r="G917" s="5">
        <f>IF(COUNTIFS(A$3:A917,A917,F$3:F917,F917)=1,1,0)</f>
        <v>1</v>
      </c>
    </row>
    <row r="918" spans="1:7" x14ac:dyDescent="0.25">
      <c r="A918">
        <v>672</v>
      </c>
      <c r="B918" s="3">
        <v>45570.632365324098</v>
      </c>
      <c r="C918">
        <v>622</v>
      </c>
      <c r="D918" s="4">
        <f t="shared" si="42"/>
        <v>45566</v>
      </c>
      <c r="E918" s="4">
        <f t="shared" si="43"/>
        <v>45474</v>
      </c>
      <c r="F918" s="5">
        <f t="shared" si="44"/>
        <v>3</v>
      </c>
      <c r="G918" s="5">
        <f>IF(COUNTIFS(A$3:A918,A918,F$3:F918,F918)=1,1,0)</f>
        <v>1</v>
      </c>
    </row>
    <row r="919" spans="1:7" x14ac:dyDescent="0.25">
      <c r="A919">
        <v>173</v>
      </c>
      <c r="B919" s="3">
        <v>45590.567056238397</v>
      </c>
      <c r="C919">
        <v>269</v>
      </c>
      <c r="D919" s="4">
        <f t="shared" si="42"/>
        <v>45566</v>
      </c>
      <c r="E919" s="4">
        <f t="shared" si="43"/>
        <v>45383</v>
      </c>
      <c r="F919" s="5">
        <f t="shared" si="44"/>
        <v>6</v>
      </c>
      <c r="G919" s="5">
        <f>IF(COUNTIFS(A$3:A919,A919,F$3:F919,F919)=1,1,0)</f>
        <v>1</v>
      </c>
    </row>
    <row r="920" spans="1:7" x14ac:dyDescent="0.25">
      <c r="A920">
        <v>829</v>
      </c>
      <c r="B920" s="3">
        <v>45386.749738784703</v>
      </c>
      <c r="C920">
        <v>999</v>
      </c>
      <c r="D920" s="4">
        <f t="shared" si="42"/>
        <v>45383</v>
      </c>
      <c r="E920" s="4">
        <f t="shared" si="43"/>
        <v>45383</v>
      </c>
      <c r="F920" s="5">
        <f t="shared" si="44"/>
        <v>0</v>
      </c>
      <c r="G920" s="5">
        <f>IF(COUNTIFS(A$3:A920,A920,F$3:F920,F920)=1,1,0)</f>
        <v>1</v>
      </c>
    </row>
    <row r="921" spans="1:7" x14ac:dyDescent="0.25">
      <c r="A921">
        <v>815</v>
      </c>
      <c r="B921" s="3">
        <v>45364.351563171302</v>
      </c>
      <c r="C921">
        <v>975</v>
      </c>
      <c r="D921" s="4">
        <f t="shared" si="42"/>
        <v>45352</v>
      </c>
      <c r="E921" s="4">
        <f t="shared" si="43"/>
        <v>45352</v>
      </c>
      <c r="F921" s="5">
        <f t="shared" si="44"/>
        <v>0</v>
      </c>
      <c r="G921" s="5">
        <f>IF(COUNTIFS(A$3:A921,A921,F$3:F921,F921)=1,1,0)</f>
        <v>1</v>
      </c>
    </row>
    <row r="922" spans="1:7" x14ac:dyDescent="0.25">
      <c r="A922">
        <v>149</v>
      </c>
      <c r="B922" s="3">
        <v>45341.420458888897</v>
      </c>
      <c r="C922">
        <v>375</v>
      </c>
      <c r="D922" s="4">
        <f t="shared" si="42"/>
        <v>45323</v>
      </c>
      <c r="E922" s="4">
        <f t="shared" si="43"/>
        <v>45323</v>
      </c>
      <c r="F922" s="5">
        <f t="shared" si="44"/>
        <v>0</v>
      </c>
      <c r="G922" s="5">
        <f>IF(COUNTIFS(A$3:A922,A922,F$3:F922,F922)=1,1,0)</f>
        <v>1</v>
      </c>
    </row>
    <row r="923" spans="1:7" x14ac:dyDescent="0.25">
      <c r="A923">
        <v>80</v>
      </c>
      <c r="B923" s="3">
        <v>45302.530158125002</v>
      </c>
      <c r="C923">
        <v>767</v>
      </c>
      <c r="D923" s="4">
        <f t="shared" si="42"/>
        <v>45292</v>
      </c>
      <c r="E923" s="4">
        <f t="shared" si="43"/>
        <v>45292</v>
      </c>
      <c r="F923" s="5">
        <f t="shared" si="44"/>
        <v>0</v>
      </c>
      <c r="G923" s="5">
        <f>IF(COUNTIFS(A$3:A923,A923,F$3:F923,F923)=1,1,0)</f>
        <v>1</v>
      </c>
    </row>
    <row r="924" spans="1:7" x14ac:dyDescent="0.25">
      <c r="A924">
        <v>886</v>
      </c>
      <c r="B924" s="3">
        <v>45469.098478425898</v>
      </c>
      <c r="C924">
        <v>796</v>
      </c>
      <c r="D924" s="4">
        <f t="shared" si="42"/>
        <v>45444</v>
      </c>
      <c r="E924" s="4">
        <f t="shared" si="43"/>
        <v>45323</v>
      </c>
      <c r="F924" s="5">
        <f t="shared" si="44"/>
        <v>4</v>
      </c>
      <c r="G924" s="5">
        <f>IF(COUNTIFS(A$3:A924,A924,F$3:F924,F924)=1,1,0)</f>
        <v>1</v>
      </c>
    </row>
    <row r="925" spans="1:7" x14ac:dyDescent="0.25">
      <c r="A925">
        <v>213</v>
      </c>
      <c r="B925" s="3">
        <v>45589.616855370397</v>
      </c>
      <c r="C925">
        <v>553</v>
      </c>
      <c r="D925" s="4">
        <f t="shared" si="42"/>
        <v>45566</v>
      </c>
      <c r="E925" s="4">
        <f t="shared" si="43"/>
        <v>45566</v>
      </c>
      <c r="F925" s="5">
        <f t="shared" si="44"/>
        <v>0</v>
      </c>
      <c r="G925" s="5">
        <f>IF(COUNTIFS(A$3:A925,A925,F$3:F925,F925)=1,1,0)</f>
        <v>1</v>
      </c>
    </row>
    <row r="926" spans="1:7" x14ac:dyDescent="0.25">
      <c r="A926">
        <v>203</v>
      </c>
      <c r="B926" s="3">
        <v>45615.942777893499</v>
      </c>
      <c r="C926">
        <v>658</v>
      </c>
      <c r="D926" s="4">
        <f t="shared" si="42"/>
        <v>45597</v>
      </c>
      <c r="E926" s="4">
        <f t="shared" si="43"/>
        <v>45536</v>
      </c>
      <c r="F926" s="5">
        <f t="shared" si="44"/>
        <v>2</v>
      </c>
      <c r="G926" s="5">
        <f>IF(COUNTIFS(A$3:A926,A926,F$3:F926,F926)=1,1,0)</f>
        <v>1</v>
      </c>
    </row>
    <row r="927" spans="1:7" x14ac:dyDescent="0.25">
      <c r="A927">
        <v>764</v>
      </c>
      <c r="B927" s="3">
        <v>45528.420881458303</v>
      </c>
      <c r="C927">
        <v>533</v>
      </c>
      <c r="D927" s="4">
        <f t="shared" si="42"/>
        <v>45505</v>
      </c>
      <c r="E927" s="4">
        <f t="shared" si="43"/>
        <v>45352</v>
      </c>
      <c r="F927" s="5">
        <f t="shared" si="44"/>
        <v>5</v>
      </c>
      <c r="G927" s="5">
        <f>IF(COUNTIFS(A$3:A927,A927,F$3:F927,F927)=1,1,0)</f>
        <v>0</v>
      </c>
    </row>
    <row r="928" spans="1:7" x14ac:dyDescent="0.25">
      <c r="A928">
        <v>229</v>
      </c>
      <c r="B928" s="3">
        <v>45634.885193333299</v>
      </c>
      <c r="C928">
        <v>916</v>
      </c>
      <c r="D928" s="4">
        <f t="shared" si="42"/>
        <v>45627</v>
      </c>
      <c r="E928" s="4">
        <f t="shared" si="43"/>
        <v>45627</v>
      </c>
      <c r="F928" s="5">
        <f t="shared" si="44"/>
        <v>0</v>
      </c>
      <c r="G928" s="5">
        <f>IF(COUNTIFS(A$3:A928,A928,F$3:F928,F928)=1,1,0)</f>
        <v>1</v>
      </c>
    </row>
    <row r="929" spans="1:7" x14ac:dyDescent="0.25">
      <c r="A929">
        <v>676</v>
      </c>
      <c r="B929" s="3">
        <v>45478.223089004598</v>
      </c>
      <c r="C929">
        <v>823</v>
      </c>
      <c r="D929" s="4">
        <f t="shared" si="42"/>
        <v>45474</v>
      </c>
      <c r="E929" s="4">
        <f t="shared" si="43"/>
        <v>45413</v>
      </c>
      <c r="F929" s="5">
        <f t="shared" si="44"/>
        <v>2</v>
      </c>
      <c r="G929" s="5">
        <f>IF(COUNTIFS(A$3:A929,A929,F$3:F929,F929)=1,1,0)</f>
        <v>1</v>
      </c>
    </row>
    <row r="930" spans="1:7" x14ac:dyDescent="0.25">
      <c r="A930">
        <v>227</v>
      </c>
      <c r="B930" s="3">
        <v>45295.747602835698</v>
      </c>
      <c r="C930">
        <v>896</v>
      </c>
      <c r="D930" s="4">
        <f t="shared" si="42"/>
        <v>45292</v>
      </c>
      <c r="E930" s="4">
        <f t="shared" si="43"/>
        <v>45292</v>
      </c>
      <c r="F930" s="5">
        <f t="shared" si="44"/>
        <v>0</v>
      </c>
      <c r="G930" s="5">
        <f>IF(COUNTIFS(A$3:A930,A930,F$3:F930,F930)=1,1,0)</f>
        <v>1</v>
      </c>
    </row>
    <row r="931" spans="1:7" x14ac:dyDescent="0.25">
      <c r="A931">
        <v>659</v>
      </c>
      <c r="B931" s="3">
        <v>45630.536071435199</v>
      </c>
      <c r="C931">
        <v>25</v>
      </c>
      <c r="D931" s="4">
        <f t="shared" si="42"/>
        <v>45627</v>
      </c>
      <c r="E931" s="4">
        <f t="shared" si="43"/>
        <v>45444</v>
      </c>
      <c r="F931" s="5">
        <f t="shared" si="44"/>
        <v>6</v>
      </c>
      <c r="G931" s="5">
        <f>IF(COUNTIFS(A$3:A931,A931,F$3:F931,F931)=1,1,0)</f>
        <v>0</v>
      </c>
    </row>
    <row r="932" spans="1:7" x14ac:dyDescent="0.25">
      <c r="A932">
        <v>532</v>
      </c>
      <c r="B932" s="3">
        <v>45407.812662511598</v>
      </c>
      <c r="C932">
        <v>138</v>
      </c>
      <c r="D932" s="4">
        <f t="shared" si="42"/>
        <v>45383</v>
      </c>
      <c r="E932" s="4">
        <f t="shared" si="43"/>
        <v>45383</v>
      </c>
      <c r="F932" s="5">
        <f t="shared" si="44"/>
        <v>0</v>
      </c>
      <c r="G932" s="5">
        <f>IF(COUNTIFS(A$3:A932,A932,F$3:F932,F932)=1,1,0)</f>
        <v>1</v>
      </c>
    </row>
    <row r="933" spans="1:7" x14ac:dyDescent="0.25">
      <c r="A933">
        <v>441</v>
      </c>
      <c r="B933" s="3">
        <v>45554.319318287002</v>
      </c>
      <c r="C933">
        <v>584</v>
      </c>
      <c r="D933" s="4">
        <f t="shared" si="42"/>
        <v>45536</v>
      </c>
      <c r="E933" s="4">
        <f t="shared" si="43"/>
        <v>45536</v>
      </c>
      <c r="F933" s="5">
        <f t="shared" si="44"/>
        <v>0</v>
      </c>
      <c r="G933" s="5">
        <f>IF(COUNTIFS(A$3:A933,A933,F$3:F933,F933)=1,1,0)</f>
        <v>1</v>
      </c>
    </row>
    <row r="934" spans="1:7" x14ac:dyDescent="0.25">
      <c r="A934">
        <v>402</v>
      </c>
      <c r="B934" s="3">
        <v>45584.187506608803</v>
      </c>
      <c r="C934">
        <v>118</v>
      </c>
      <c r="D934" s="4">
        <f t="shared" si="42"/>
        <v>45566</v>
      </c>
      <c r="E934" s="4">
        <f t="shared" si="43"/>
        <v>45323</v>
      </c>
      <c r="F934" s="5">
        <f t="shared" si="44"/>
        <v>8</v>
      </c>
      <c r="G934" s="5">
        <f>IF(COUNTIFS(A$3:A934,A934,F$3:F934,F934)=1,1,0)</f>
        <v>1</v>
      </c>
    </row>
    <row r="935" spans="1:7" x14ac:dyDescent="0.25">
      <c r="A935">
        <v>47</v>
      </c>
      <c r="B935" s="3">
        <v>45366.4470368982</v>
      </c>
      <c r="C935">
        <v>896</v>
      </c>
      <c r="D935" s="4">
        <f t="shared" si="42"/>
        <v>45352</v>
      </c>
      <c r="E935" s="4">
        <f t="shared" si="43"/>
        <v>45292</v>
      </c>
      <c r="F935" s="5">
        <f t="shared" si="44"/>
        <v>2</v>
      </c>
      <c r="G935" s="5">
        <f>IF(COUNTIFS(A$3:A935,A935,F$3:F935,F935)=1,1,0)</f>
        <v>1</v>
      </c>
    </row>
    <row r="936" spans="1:7" x14ac:dyDescent="0.25">
      <c r="A936">
        <v>233</v>
      </c>
      <c r="B936" s="3">
        <v>45619.572871111101</v>
      </c>
      <c r="C936">
        <v>542</v>
      </c>
      <c r="D936" s="4">
        <f t="shared" si="42"/>
        <v>45597</v>
      </c>
      <c r="E936" s="4">
        <f t="shared" si="43"/>
        <v>45352</v>
      </c>
      <c r="F936" s="5">
        <f t="shared" si="44"/>
        <v>8</v>
      </c>
      <c r="G936" s="5">
        <f>IF(COUNTIFS(A$3:A936,A936,F$3:F936,F936)=1,1,0)</f>
        <v>0</v>
      </c>
    </row>
    <row r="937" spans="1:7" x14ac:dyDescent="0.25">
      <c r="A937">
        <v>305</v>
      </c>
      <c r="B937" s="3">
        <v>45465.461159826402</v>
      </c>
      <c r="C937">
        <v>679</v>
      </c>
      <c r="D937" s="4">
        <f t="shared" si="42"/>
        <v>45444</v>
      </c>
      <c r="E937" s="4">
        <f t="shared" si="43"/>
        <v>45292</v>
      </c>
      <c r="F937" s="5">
        <f t="shared" si="44"/>
        <v>5</v>
      </c>
      <c r="G937" s="5">
        <f>IF(COUNTIFS(A$3:A937,A937,F$3:F937,F937)=1,1,0)</f>
        <v>1</v>
      </c>
    </row>
    <row r="938" spans="1:7" x14ac:dyDescent="0.25">
      <c r="A938">
        <v>526</v>
      </c>
      <c r="B938" s="3">
        <v>45419.205817280097</v>
      </c>
      <c r="C938">
        <v>278</v>
      </c>
      <c r="D938" s="4">
        <f t="shared" si="42"/>
        <v>45413</v>
      </c>
      <c r="E938" s="4">
        <f t="shared" si="43"/>
        <v>45413</v>
      </c>
      <c r="F938" s="5">
        <f t="shared" si="44"/>
        <v>0</v>
      </c>
      <c r="G938" s="5">
        <f>IF(COUNTIFS(A$3:A938,A938,F$3:F938,F938)=1,1,0)</f>
        <v>1</v>
      </c>
    </row>
    <row r="939" spans="1:7" x14ac:dyDescent="0.25">
      <c r="A939">
        <v>143</v>
      </c>
      <c r="B939" s="3">
        <v>45435.253919282397</v>
      </c>
      <c r="C939">
        <v>171</v>
      </c>
      <c r="D939" s="4">
        <f t="shared" si="42"/>
        <v>45413</v>
      </c>
      <c r="E939" s="4">
        <f t="shared" si="43"/>
        <v>45413</v>
      </c>
      <c r="F939" s="5">
        <f t="shared" si="44"/>
        <v>0</v>
      </c>
      <c r="G939" s="5">
        <f>IF(COUNTIFS(A$3:A939,A939,F$3:F939,F939)=1,1,0)</f>
        <v>1</v>
      </c>
    </row>
    <row r="940" spans="1:7" x14ac:dyDescent="0.25">
      <c r="A940">
        <v>415</v>
      </c>
      <c r="B940" s="3">
        <v>45301.705742997699</v>
      </c>
      <c r="C940">
        <v>269</v>
      </c>
      <c r="D940" s="4">
        <f t="shared" si="42"/>
        <v>45292</v>
      </c>
      <c r="E940" s="4">
        <f t="shared" si="43"/>
        <v>45292</v>
      </c>
      <c r="F940" s="5">
        <f t="shared" si="44"/>
        <v>0</v>
      </c>
      <c r="G940" s="5">
        <f>IF(COUNTIFS(A$3:A940,A940,F$3:F940,F940)=1,1,0)</f>
        <v>0</v>
      </c>
    </row>
    <row r="941" spans="1:7" x14ac:dyDescent="0.25">
      <c r="A941">
        <v>513</v>
      </c>
      <c r="B941" s="3">
        <v>45408.490790798598</v>
      </c>
      <c r="C941">
        <v>933</v>
      </c>
      <c r="D941" s="4">
        <f t="shared" si="42"/>
        <v>45383</v>
      </c>
      <c r="E941" s="4">
        <f t="shared" si="43"/>
        <v>45383</v>
      </c>
      <c r="F941" s="5">
        <f t="shared" si="44"/>
        <v>0</v>
      </c>
      <c r="G941" s="5">
        <f>IF(COUNTIFS(A$3:A941,A941,F$3:F941,F941)=1,1,0)</f>
        <v>1</v>
      </c>
    </row>
    <row r="942" spans="1:7" x14ac:dyDescent="0.25">
      <c r="A942">
        <v>373</v>
      </c>
      <c r="B942" s="3">
        <v>45605.626538819401</v>
      </c>
      <c r="C942">
        <v>111</v>
      </c>
      <c r="D942" s="4">
        <f t="shared" si="42"/>
        <v>45597</v>
      </c>
      <c r="E942" s="4">
        <f t="shared" si="43"/>
        <v>45413</v>
      </c>
      <c r="F942" s="5">
        <f t="shared" si="44"/>
        <v>6</v>
      </c>
      <c r="G942" s="5">
        <f>IF(COUNTIFS(A$3:A942,A942,F$3:F942,F942)=1,1,0)</f>
        <v>1</v>
      </c>
    </row>
    <row r="943" spans="1:7" x14ac:dyDescent="0.25">
      <c r="A943">
        <v>566</v>
      </c>
      <c r="B943" s="3">
        <v>45294.440981956002</v>
      </c>
      <c r="C943">
        <v>515</v>
      </c>
      <c r="D943" s="4">
        <f t="shared" si="42"/>
        <v>45292</v>
      </c>
      <c r="E943" s="4">
        <f t="shared" si="43"/>
        <v>45292</v>
      </c>
      <c r="F943" s="5">
        <f t="shared" si="44"/>
        <v>0</v>
      </c>
      <c r="G943" s="5">
        <f>IF(COUNTIFS(A$3:A943,A943,F$3:F943,F943)=1,1,0)</f>
        <v>1</v>
      </c>
    </row>
    <row r="944" spans="1:7" x14ac:dyDescent="0.25">
      <c r="A944">
        <v>886</v>
      </c>
      <c r="B944" s="3">
        <v>45334.932936122699</v>
      </c>
      <c r="C944">
        <v>744</v>
      </c>
      <c r="D944" s="4">
        <f t="shared" si="42"/>
        <v>45323</v>
      </c>
      <c r="E944" s="4">
        <f t="shared" si="43"/>
        <v>45323</v>
      </c>
      <c r="F944" s="5">
        <f t="shared" si="44"/>
        <v>0</v>
      </c>
      <c r="G944" s="5">
        <f>IF(COUNTIFS(A$3:A944,A944,F$3:F944,F944)=1,1,0)</f>
        <v>1</v>
      </c>
    </row>
    <row r="945" spans="1:7" x14ac:dyDescent="0.25">
      <c r="A945">
        <v>259</v>
      </c>
      <c r="B945" s="3">
        <v>45579.483547986099</v>
      </c>
      <c r="C945">
        <v>580</v>
      </c>
      <c r="D945" s="4">
        <f t="shared" si="42"/>
        <v>45566</v>
      </c>
      <c r="E945" s="4">
        <f t="shared" si="43"/>
        <v>45505</v>
      </c>
      <c r="F945" s="5">
        <f t="shared" si="44"/>
        <v>2</v>
      </c>
      <c r="G945" s="5">
        <f>IF(COUNTIFS(A$3:A945,A945,F$3:F945,F945)=1,1,0)</f>
        <v>1</v>
      </c>
    </row>
    <row r="946" spans="1:7" x14ac:dyDescent="0.25">
      <c r="A946">
        <v>656</v>
      </c>
      <c r="B946" s="3">
        <v>45639.0060768287</v>
      </c>
      <c r="C946">
        <v>256</v>
      </c>
      <c r="D946" s="4">
        <f t="shared" si="42"/>
        <v>45627</v>
      </c>
      <c r="E946" s="4">
        <f t="shared" si="43"/>
        <v>45536</v>
      </c>
      <c r="F946" s="5">
        <f t="shared" si="44"/>
        <v>3</v>
      </c>
      <c r="G946" s="5">
        <f>IF(COUNTIFS(A$3:A946,A946,F$3:F946,F946)=1,1,0)</f>
        <v>1</v>
      </c>
    </row>
    <row r="947" spans="1:7" x14ac:dyDescent="0.25">
      <c r="A947">
        <v>471</v>
      </c>
      <c r="B947" s="3">
        <v>45607.632834560201</v>
      </c>
      <c r="C947">
        <v>649</v>
      </c>
      <c r="D947" s="4">
        <f t="shared" si="42"/>
        <v>45597</v>
      </c>
      <c r="E947" s="4">
        <f t="shared" si="43"/>
        <v>45323</v>
      </c>
      <c r="F947" s="5">
        <f t="shared" si="44"/>
        <v>9</v>
      </c>
      <c r="G947" s="5">
        <f>IF(COUNTIFS(A$3:A947,A947,F$3:F947,F947)=1,1,0)</f>
        <v>1</v>
      </c>
    </row>
    <row r="948" spans="1:7" x14ac:dyDescent="0.25">
      <c r="A948">
        <v>953</v>
      </c>
      <c r="B948" s="3">
        <v>45351.993417129597</v>
      </c>
      <c r="C948">
        <v>804</v>
      </c>
      <c r="D948" s="4">
        <f t="shared" si="42"/>
        <v>45323</v>
      </c>
      <c r="E948" s="4">
        <f t="shared" si="43"/>
        <v>45323</v>
      </c>
      <c r="F948" s="5">
        <f t="shared" si="44"/>
        <v>0</v>
      </c>
      <c r="G948" s="5">
        <f>IF(COUNTIFS(A$3:A948,A948,F$3:F948,F948)=1,1,0)</f>
        <v>1</v>
      </c>
    </row>
    <row r="949" spans="1:7" x14ac:dyDescent="0.25">
      <c r="A949">
        <v>971</v>
      </c>
      <c r="B949" s="3">
        <v>45447.076756562499</v>
      </c>
      <c r="C949">
        <v>846</v>
      </c>
      <c r="D949" s="4">
        <f t="shared" si="42"/>
        <v>45444</v>
      </c>
      <c r="E949" s="4">
        <f t="shared" si="43"/>
        <v>45444</v>
      </c>
      <c r="F949" s="5">
        <f t="shared" si="44"/>
        <v>0</v>
      </c>
      <c r="G949" s="5">
        <f>IF(COUNTIFS(A$3:A949,A949,F$3:F949,F949)=1,1,0)</f>
        <v>1</v>
      </c>
    </row>
    <row r="950" spans="1:7" x14ac:dyDescent="0.25">
      <c r="A950">
        <v>12</v>
      </c>
      <c r="B950" s="3">
        <v>45435.712645092601</v>
      </c>
      <c r="C950">
        <v>546</v>
      </c>
      <c r="D950" s="4">
        <f t="shared" si="42"/>
        <v>45413</v>
      </c>
      <c r="E950" s="4">
        <f t="shared" si="43"/>
        <v>45383</v>
      </c>
      <c r="F950" s="5">
        <f t="shared" si="44"/>
        <v>1</v>
      </c>
      <c r="G950" s="5">
        <f>IF(COUNTIFS(A$3:A950,A950,F$3:F950,F950)=1,1,0)</f>
        <v>1</v>
      </c>
    </row>
    <row r="951" spans="1:7" x14ac:dyDescent="0.25">
      <c r="A951">
        <v>330</v>
      </c>
      <c r="B951" s="3">
        <v>45603.159308854199</v>
      </c>
      <c r="C951">
        <v>140</v>
      </c>
      <c r="D951" s="4">
        <f t="shared" si="42"/>
        <v>45597</v>
      </c>
      <c r="E951" s="4">
        <f t="shared" si="43"/>
        <v>45597</v>
      </c>
      <c r="F951" s="5">
        <f t="shared" si="44"/>
        <v>0</v>
      </c>
      <c r="G951" s="5">
        <f>IF(COUNTIFS(A$3:A951,A951,F$3:F951,F951)=1,1,0)</f>
        <v>1</v>
      </c>
    </row>
    <row r="952" spans="1:7" x14ac:dyDescent="0.25">
      <c r="A952">
        <v>736</v>
      </c>
      <c r="B952" s="3">
        <v>45649.432079664402</v>
      </c>
      <c r="C952">
        <v>362</v>
      </c>
      <c r="D952" s="4">
        <f t="shared" si="42"/>
        <v>45627</v>
      </c>
      <c r="E952" s="4">
        <f t="shared" si="43"/>
        <v>45292</v>
      </c>
      <c r="F952" s="5">
        <f t="shared" si="44"/>
        <v>11</v>
      </c>
      <c r="G952" s="5">
        <f>IF(COUNTIFS(A$3:A952,A952,F$3:F952,F952)=1,1,0)</f>
        <v>1</v>
      </c>
    </row>
    <row r="953" spans="1:7" x14ac:dyDescent="0.25">
      <c r="A953">
        <v>784</v>
      </c>
      <c r="B953" s="3">
        <v>45296.673682141198</v>
      </c>
      <c r="C953">
        <v>205</v>
      </c>
      <c r="D953" s="4">
        <f t="shared" si="42"/>
        <v>45292</v>
      </c>
      <c r="E953" s="4">
        <f t="shared" si="43"/>
        <v>45292</v>
      </c>
      <c r="F953" s="5">
        <f t="shared" si="44"/>
        <v>0</v>
      </c>
      <c r="G953" s="5">
        <f>IF(COUNTIFS(A$3:A953,A953,F$3:F953,F953)=1,1,0)</f>
        <v>1</v>
      </c>
    </row>
    <row r="954" spans="1:7" x14ac:dyDescent="0.25">
      <c r="A954">
        <v>968</v>
      </c>
      <c r="B954" s="3">
        <v>45391.330933807898</v>
      </c>
      <c r="C954">
        <v>802</v>
      </c>
      <c r="D954" s="4">
        <f t="shared" si="42"/>
        <v>45383</v>
      </c>
      <c r="E954" s="4">
        <f t="shared" si="43"/>
        <v>45352</v>
      </c>
      <c r="F954" s="5">
        <f t="shared" si="44"/>
        <v>1</v>
      </c>
      <c r="G954" s="5">
        <f>IF(COUNTIFS(A$3:A954,A954,F$3:F954,F954)=1,1,0)</f>
        <v>1</v>
      </c>
    </row>
    <row r="955" spans="1:7" x14ac:dyDescent="0.25">
      <c r="A955">
        <v>358</v>
      </c>
      <c r="B955" s="3">
        <v>45462.992526701397</v>
      </c>
      <c r="C955">
        <v>925</v>
      </c>
      <c r="D955" s="4">
        <f t="shared" si="42"/>
        <v>45444</v>
      </c>
      <c r="E955" s="4">
        <f t="shared" si="43"/>
        <v>45444</v>
      </c>
      <c r="F955" s="5">
        <f t="shared" si="44"/>
        <v>0</v>
      </c>
      <c r="G955" s="5">
        <f>IF(COUNTIFS(A$3:A955,A955,F$3:F955,F955)=1,1,0)</f>
        <v>1</v>
      </c>
    </row>
    <row r="956" spans="1:7" x14ac:dyDescent="0.25">
      <c r="A956">
        <v>972</v>
      </c>
      <c r="B956" s="3">
        <v>45511.888805150498</v>
      </c>
      <c r="C956">
        <v>939</v>
      </c>
      <c r="D956" s="4">
        <f t="shared" si="42"/>
        <v>45505</v>
      </c>
      <c r="E956" s="4">
        <f t="shared" si="43"/>
        <v>45292</v>
      </c>
      <c r="F956" s="5">
        <f t="shared" si="44"/>
        <v>7</v>
      </c>
      <c r="G956" s="5">
        <f>IF(COUNTIFS(A$3:A956,A956,F$3:F956,F956)=1,1,0)</f>
        <v>1</v>
      </c>
    </row>
    <row r="957" spans="1:7" x14ac:dyDescent="0.25">
      <c r="A957">
        <v>408</v>
      </c>
      <c r="B957" s="3">
        <v>45510.119433981497</v>
      </c>
      <c r="C957">
        <v>675</v>
      </c>
      <c r="D957" s="4">
        <f t="shared" si="42"/>
        <v>45505</v>
      </c>
      <c r="E957" s="4">
        <f t="shared" si="43"/>
        <v>45413</v>
      </c>
      <c r="F957" s="5">
        <f t="shared" si="44"/>
        <v>3</v>
      </c>
      <c r="G957" s="5">
        <f>IF(COUNTIFS(A$3:A957,A957,F$3:F957,F957)=1,1,0)</f>
        <v>1</v>
      </c>
    </row>
    <row r="958" spans="1:7" x14ac:dyDescent="0.25">
      <c r="A958">
        <v>668</v>
      </c>
      <c r="B958" s="3">
        <v>45599.694430694399</v>
      </c>
      <c r="C958">
        <v>391</v>
      </c>
      <c r="D958" s="4">
        <f t="shared" si="42"/>
        <v>45597</v>
      </c>
      <c r="E958" s="4">
        <f t="shared" si="43"/>
        <v>45597</v>
      </c>
      <c r="F958" s="5">
        <f t="shared" si="44"/>
        <v>0</v>
      </c>
      <c r="G958" s="5">
        <f>IF(COUNTIFS(A$3:A958,A958,F$3:F958,F958)=1,1,0)</f>
        <v>1</v>
      </c>
    </row>
    <row r="959" spans="1:7" x14ac:dyDescent="0.25">
      <c r="A959">
        <v>373</v>
      </c>
      <c r="B959" s="3">
        <v>45418.826536840301</v>
      </c>
      <c r="C959">
        <v>654</v>
      </c>
      <c r="D959" s="4">
        <f t="shared" si="42"/>
        <v>45413</v>
      </c>
      <c r="E959" s="4">
        <f t="shared" si="43"/>
        <v>45413</v>
      </c>
      <c r="F959" s="5">
        <f t="shared" si="44"/>
        <v>0</v>
      </c>
      <c r="G959" s="5">
        <f>IF(COUNTIFS(A$3:A959,A959,F$3:F959,F959)=1,1,0)</f>
        <v>1</v>
      </c>
    </row>
    <row r="960" spans="1:7" x14ac:dyDescent="0.25">
      <c r="A960">
        <v>8</v>
      </c>
      <c r="B960" s="3">
        <v>45651.235505613397</v>
      </c>
      <c r="C960">
        <v>236</v>
      </c>
      <c r="D960" s="4">
        <f t="shared" si="42"/>
        <v>45627</v>
      </c>
      <c r="E960" s="4">
        <f t="shared" si="43"/>
        <v>45627</v>
      </c>
      <c r="F960" s="5">
        <f t="shared" si="44"/>
        <v>0</v>
      </c>
      <c r="G960" s="5">
        <f>IF(COUNTIFS(A$3:A960,A960,F$3:F960,F960)=1,1,0)</f>
        <v>1</v>
      </c>
    </row>
    <row r="961" spans="1:7" x14ac:dyDescent="0.25">
      <c r="A961">
        <v>122</v>
      </c>
      <c r="B961" s="3">
        <v>45347.919375868099</v>
      </c>
      <c r="C961">
        <v>710</v>
      </c>
      <c r="D961" s="4">
        <f t="shared" si="42"/>
        <v>45323</v>
      </c>
      <c r="E961" s="4">
        <f t="shared" si="43"/>
        <v>45323</v>
      </c>
      <c r="F961" s="5">
        <f t="shared" si="44"/>
        <v>0</v>
      </c>
      <c r="G961" s="5">
        <f>IF(COUNTIFS(A$3:A961,A961,F$3:F961,F961)=1,1,0)</f>
        <v>1</v>
      </c>
    </row>
    <row r="962" spans="1:7" x14ac:dyDescent="0.25">
      <c r="A962">
        <v>348</v>
      </c>
      <c r="B962" s="3">
        <v>45446.398048044</v>
      </c>
      <c r="C962">
        <v>485</v>
      </c>
      <c r="D962" s="4">
        <f t="shared" si="42"/>
        <v>45444</v>
      </c>
      <c r="E962" s="4">
        <f t="shared" si="43"/>
        <v>45292</v>
      </c>
      <c r="F962" s="5">
        <f t="shared" si="44"/>
        <v>5</v>
      </c>
      <c r="G962" s="5">
        <f>IF(COUNTIFS(A$3:A962,A962,F$3:F962,F962)=1,1,0)</f>
        <v>1</v>
      </c>
    </row>
    <row r="963" spans="1:7" x14ac:dyDescent="0.25">
      <c r="A963">
        <v>676</v>
      </c>
      <c r="B963" s="3">
        <v>45568.353171782401</v>
      </c>
      <c r="C963">
        <v>486</v>
      </c>
      <c r="D963" s="4">
        <f t="shared" ref="D963:D1002" si="45">EOMONTH(B963,-1)+1</f>
        <v>45566</v>
      </c>
      <c r="E963" s="4">
        <f t="shared" ref="E963:E1026" si="46">_xlfn.MINIFS(D$3:D$1002,A$3:A$1002,A963)</f>
        <v>45413</v>
      </c>
      <c r="F963" s="5">
        <f t="shared" ref="F963:F1026" si="47">DATEDIF(E963,D963,"M")</f>
        <v>5</v>
      </c>
      <c r="G963" s="5">
        <f>IF(COUNTIFS(A$3:A963,A963,F$3:F963,F963)=1,1,0)</f>
        <v>1</v>
      </c>
    </row>
    <row r="964" spans="1:7" x14ac:dyDescent="0.25">
      <c r="A964">
        <v>90</v>
      </c>
      <c r="B964" s="3">
        <v>45649.378245833301</v>
      </c>
      <c r="C964">
        <v>274</v>
      </c>
      <c r="D964" s="4">
        <f t="shared" si="45"/>
        <v>45627</v>
      </c>
      <c r="E964" s="4">
        <f t="shared" si="46"/>
        <v>45323</v>
      </c>
      <c r="F964" s="5">
        <f t="shared" si="47"/>
        <v>10</v>
      </c>
      <c r="G964" s="5">
        <f>IF(COUNTIFS(A$3:A964,A964,F$3:F964,F964)=1,1,0)</f>
        <v>1</v>
      </c>
    </row>
    <row r="965" spans="1:7" x14ac:dyDescent="0.25">
      <c r="A965">
        <v>648</v>
      </c>
      <c r="B965" s="3">
        <v>45636.3275577315</v>
      </c>
      <c r="C965">
        <v>381</v>
      </c>
      <c r="D965" s="4">
        <f t="shared" si="45"/>
        <v>45627</v>
      </c>
      <c r="E965" s="4">
        <f t="shared" si="46"/>
        <v>45323</v>
      </c>
      <c r="F965" s="5">
        <f t="shared" si="47"/>
        <v>10</v>
      </c>
      <c r="G965" s="5">
        <f>IF(COUNTIFS(A$3:A965,A965,F$3:F965,F965)=1,1,0)</f>
        <v>1</v>
      </c>
    </row>
    <row r="966" spans="1:7" x14ac:dyDescent="0.25">
      <c r="A966">
        <v>698</v>
      </c>
      <c r="B966" s="3">
        <v>45390.440769791698</v>
      </c>
      <c r="C966">
        <v>495</v>
      </c>
      <c r="D966" s="4">
        <f t="shared" si="45"/>
        <v>45383</v>
      </c>
      <c r="E966" s="4">
        <f t="shared" si="46"/>
        <v>45323</v>
      </c>
      <c r="F966" s="5">
        <f t="shared" si="47"/>
        <v>2</v>
      </c>
      <c r="G966" s="5">
        <f>IF(COUNTIFS(A$3:A966,A966,F$3:F966,F966)=1,1,0)</f>
        <v>1</v>
      </c>
    </row>
    <row r="967" spans="1:7" x14ac:dyDescent="0.25">
      <c r="A967">
        <v>316</v>
      </c>
      <c r="B967" s="3">
        <v>45528.121760856498</v>
      </c>
      <c r="C967">
        <v>443</v>
      </c>
      <c r="D967" s="4">
        <f t="shared" si="45"/>
        <v>45505</v>
      </c>
      <c r="E967" s="4">
        <f t="shared" si="46"/>
        <v>45505</v>
      </c>
      <c r="F967" s="5">
        <f t="shared" si="47"/>
        <v>0</v>
      </c>
      <c r="G967" s="5">
        <f>IF(COUNTIFS(A$3:A967,A967,F$3:F967,F967)=1,1,0)</f>
        <v>1</v>
      </c>
    </row>
    <row r="968" spans="1:7" x14ac:dyDescent="0.25">
      <c r="A968">
        <v>178</v>
      </c>
      <c r="B968" s="3">
        <v>45312.049262442102</v>
      </c>
      <c r="C968">
        <v>655</v>
      </c>
      <c r="D968" s="4">
        <f t="shared" si="45"/>
        <v>45292</v>
      </c>
      <c r="E968" s="4">
        <f t="shared" si="46"/>
        <v>45292</v>
      </c>
      <c r="F968" s="5">
        <f t="shared" si="47"/>
        <v>0</v>
      </c>
      <c r="G968" s="5">
        <f>IF(COUNTIFS(A$3:A968,A968,F$3:F968,F968)=1,1,0)</f>
        <v>1</v>
      </c>
    </row>
    <row r="969" spans="1:7" x14ac:dyDescent="0.25">
      <c r="A969">
        <v>540</v>
      </c>
      <c r="B969" s="3">
        <v>45608.130700821799</v>
      </c>
      <c r="C969">
        <v>220</v>
      </c>
      <c r="D969" s="4">
        <f t="shared" si="45"/>
        <v>45597</v>
      </c>
      <c r="E969" s="4">
        <f t="shared" si="46"/>
        <v>45597</v>
      </c>
      <c r="F969" s="5">
        <f t="shared" si="47"/>
        <v>0</v>
      </c>
      <c r="G969" s="5">
        <f>IF(COUNTIFS(A$3:A969,A969,F$3:F969,F969)=1,1,0)</f>
        <v>1</v>
      </c>
    </row>
    <row r="970" spans="1:7" x14ac:dyDescent="0.25">
      <c r="A970">
        <v>732</v>
      </c>
      <c r="B970" s="3">
        <v>45519.267570231503</v>
      </c>
      <c r="C970">
        <v>581</v>
      </c>
      <c r="D970" s="4">
        <f t="shared" si="45"/>
        <v>45505</v>
      </c>
      <c r="E970" s="4">
        <f t="shared" si="46"/>
        <v>45505</v>
      </c>
      <c r="F970" s="5">
        <f t="shared" si="47"/>
        <v>0</v>
      </c>
      <c r="G970" s="5">
        <f>IF(COUNTIFS(A$3:A970,A970,F$3:F970,F970)=1,1,0)</f>
        <v>1</v>
      </c>
    </row>
    <row r="971" spans="1:7" x14ac:dyDescent="0.25">
      <c r="A971">
        <v>869</v>
      </c>
      <c r="B971" s="3">
        <v>45608.341085358799</v>
      </c>
      <c r="C971">
        <v>949</v>
      </c>
      <c r="D971" s="4">
        <f t="shared" si="45"/>
        <v>45597</v>
      </c>
      <c r="E971" s="4">
        <f t="shared" si="46"/>
        <v>45413</v>
      </c>
      <c r="F971" s="5">
        <f t="shared" si="47"/>
        <v>6</v>
      </c>
      <c r="G971" s="5">
        <f>IF(COUNTIFS(A$3:A971,A971,F$3:F971,F971)=1,1,0)</f>
        <v>1</v>
      </c>
    </row>
    <row r="972" spans="1:7" x14ac:dyDescent="0.25">
      <c r="A972">
        <v>41</v>
      </c>
      <c r="B972" s="3">
        <v>45549.551773726896</v>
      </c>
      <c r="C972">
        <v>386</v>
      </c>
      <c r="D972" s="4">
        <f t="shared" si="45"/>
        <v>45536</v>
      </c>
      <c r="E972" s="4">
        <f t="shared" si="46"/>
        <v>45413</v>
      </c>
      <c r="F972" s="5">
        <f t="shared" si="47"/>
        <v>4</v>
      </c>
      <c r="G972" s="5">
        <f>IF(COUNTIFS(A$3:A972,A972,F$3:F972,F972)=1,1,0)</f>
        <v>1</v>
      </c>
    </row>
    <row r="973" spans="1:7" x14ac:dyDescent="0.25">
      <c r="A973">
        <v>740</v>
      </c>
      <c r="B973" s="3">
        <v>45618.3159101852</v>
      </c>
      <c r="C973">
        <v>404</v>
      </c>
      <c r="D973" s="4">
        <f t="shared" si="45"/>
        <v>45597</v>
      </c>
      <c r="E973" s="4">
        <f t="shared" si="46"/>
        <v>45597</v>
      </c>
      <c r="F973" s="5">
        <f t="shared" si="47"/>
        <v>0</v>
      </c>
      <c r="G973" s="5">
        <f>IF(COUNTIFS(A$3:A973,A973,F$3:F973,F973)=1,1,0)</f>
        <v>1</v>
      </c>
    </row>
    <row r="974" spans="1:7" x14ac:dyDescent="0.25">
      <c r="A974">
        <v>704</v>
      </c>
      <c r="B974" s="3">
        <v>45567.464619363403</v>
      </c>
      <c r="C974">
        <v>459</v>
      </c>
      <c r="D974" s="4">
        <f t="shared" si="45"/>
        <v>45566</v>
      </c>
      <c r="E974" s="4">
        <f t="shared" si="46"/>
        <v>45323</v>
      </c>
      <c r="F974" s="5">
        <f t="shared" si="47"/>
        <v>8</v>
      </c>
      <c r="G974" s="5">
        <f>IF(COUNTIFS(A$3:A974,A974,F$3:F974,F974)=1,1,0)</f>
        <v>1</v>
      </c>
    </row>
    <row r="975" spans="1:7" x14ac:dyDescent="0.25">
      <c r="A975">
        <v>923</v>
      </c>
      <c r="B975" s="3">
        <v>45494.704375312504</v>
      </c>
      <c r="C975">
        <v>952</v>
      </c>
      <c r="D975" s="4">
        <f t="shared" si="45"/>
        <v>45474</v>
      </c>
      <c r="E975" s="4">
        <f t="shared" si="46"/>
        <v>45474</v>
      </c>
      <c r="F975" s="5">
        <f t="shared" si="47"/>
        <v>0</v>
      </c>
      <c r="G975" s="5">
        <f>IF(COUNTIFS(A$3:A975,A975,F$3:F975,F975)=1,1,0)</f>
        <v>1</v>
      </c>
    </row>
    <row r="976" spans="1:7" x14ac:dyDescent="0.25">
      <c r="A976">
        <v>502</v>
      </c>
      <c r="B976" s="3">
        <v>45542.404825023201</v>
      </c>
      <c r="C976">
        <v>373</v>
      </c>
      <c r="D976" s="4">
        <f t="shared" si="45"/>
        <v>45536</v>
      </c>
      <c r="E976" s="4">
        <f t="shared" si="46"/>
        <v>45536</v>
      </c>
      <c r="F976" s="5">
        <f t="shared" si="47"/>
        <v>0</v>
      </c>
      <c r="G976" s="5">
        <f>IF(COUNTIFS(A$3:A976,A976,F$3:F976,F976)=1,1,0)</f>
        <v>1</v>
      </c>
    </row>
    <row r="977" spans="1:7" x14ac:dyDescent="0.25">
      <c r="A977">
        <v>959</v>
      </c>
      <c r="B977" s="3">
        <v>45395.921589432903</v>
      </c>
      <c r="C977">
        <v>885</v>
      </c>
      <c r="D977" s="4">
        <f t="shared" si="45"/>
        <v>45383</v>
      </c>
      <c r="E977" s="4">
        <f t="shared" si="46"/>
        <v>45383</v>
      </c>
      <c r="F977" s="5">
        <f t="shared" si="47"/>
        <v>0</v>
      </c>
      <c r="G977" s="5">
        <f>IF(COUNTIFS(A$3:A977,A977,F$3:F977,F977)=1,1,0)</f>
        <v>1</v>
      </c>
    </row>
    <row r="978" spans="1:7" x14ac:dyDescent="0.25">
      <c r="A978">
        <v>145</v>
      </c>
      <c r="B978" s="3">
        <v>45656.619917893498</v>
      </c>
      <c r="C978">
        <v>466</v>
      </c>
      <c r="D978" s="4">
        <f t="shared" si="45"/>
        <v>45627</v>
      </c>
      <c r="E978" s="4">
        <f t="shared" si="46"/>
        <v>45627</v>
      </c>
      <c r="F978" s="5">
        <f t="shared" si="47"/>
        <v>0</v>
      </c>
      <c r="G978" s="5">
        <f>IF(COUNTIFS(A$3:A978,A978,F$3:F978,F978)=1,1,0)</f>
        <v>1</v>
      </c>
    </row>
    <row r="979" spans="1:7" x14ac:dyDescent="0.25">
      <c r="A979">
        <v>201</v>
      </c>
      <c r="B979" s="3">
        <v>45316.554310972198</v>
      </c>
      <c r="C979">
        <v>734</v>
      </c>
      <c r="D979" s="4">
        <f t="shared" si="45"/>
        <v>45292</v>
      </c>
      <c r="E979" s="4">
        <f t="shared" si="46"/>
        <v>45292</v>
      </c>
      <c r="F979" s="5">
        <f t="shared" si="47"/>
        <v>0</v>
      </c>
      <c r="G979" s="5">
        <f>IF(COUNTIFS(A$3:A979,A979,F$3:F979,F979)=1,1,0)</f>
        <v>1</v>
      </c>
    </row>
    <row r="980" spans="1:7" x14ac:dyDescent="0.25">
      <c r="A980">
        <v>929</v>
      </c>
      <c r="B980" s="3">
        <v>45499.240234560202</v>
      </c>
      <c r="C980">
        <v>737</v>
      </c>
      <c r="D980" s="4">
        <f t="shared" si="45"/>
        <v>45474</v>
      </c>
      <c r="E980" s="4">
        <f t="shared" si="46"/>
        <v>45474</v>
      </c>
      <c r="F980" s="5">
        <f t="shared" si="47"/>
        <v>0</v>
      </c>
      <c r="G980" s="5">
        <f>IF(COUNTIFS(A$3:A980,A980,F$3:F980,F980)=1,1,0)</f>
        <v>0</v>
      </c>
    </row>
    <row r="981" spans="1:7" x14ac:dyDescent="0.25">
      <c r="A981">
        <v>724</v>
      </c>
      <c r="B981" s="3">
        <v>45616.143023715304</v>
      </c>
      <c r="C981">
        <v>235</v>
      </c>
      <c r="D981" s="4">
        <f t="shared" si="45"/>
        <v>45597</v>
      </c>
      <c r="E981" s="4">
        <f t="shared" si="46"/>
        <v>45597</v>
      </c>
      <c r="F981" s="5">
        <f t="shared" si="47"/>
        <v>0</v>
      </c>
      <c r="G981" s="5">
        <f>IF(COUNTIFS(A$3:A981,A981,F$3:F981,F981)=1,1,0)</f>
        <v>1</v>
      </c>
    </row>
    <row r="982" spans="1:7" x14ac:dyDescent="0.25">
      <c r="A982">
        <v>461</v>
      </c>
      <c r="B982" s="3">
        <v>45651.313850277802</v>
      </c>
      <c r="C982">
        <v>991</v>
      </c>
      <c r="D982" s="4">
        <f t="shared" si="45"/>
        <v>45627</v>
      </c>
      <c r="E982" s="4">
        <f t="shared" si="46"/>
        <v>45505</v>
      </c>
      <c r="F982" s="5">
        <f t="shared" si="47"/>
        <v>4</v>
      </c>
      <c r="G982" s="5">
        <f>IF(COUNTIFS(A$3:A982,A982,F$3:F982,F982)=1,1,0)</f>
        <v>1</v>
      </c>
    </row>
    <row r="983" spans="1:7" x14ac:dyDescent="0.25">
      <c r="A983">
        <v>732</v>
      </c>
      <c r="B983" s="3">
        <v>45535.989983287</v>
      </c>
      <c r="C983">
        <v>140</v>
      </c>
      <c r="D983" s="4">
        <f t="shared" si="45"/>
        <v>45505</v>
      </c>
      <c r="E983" s="4">
        <f t="shared" si="46"/>
        <v>45505</v>
      </c>
      <c r="F983" s="5">
        <f t="shared" si="47"/>
        <v>0</v>
      </c>
      <c r="G983" s="5">
        <f>IF(COUNTIFS(A$3:A983,A983,F$3:F983,F983)=1,1,0)</f>
        <v>0</v>
      </c>
    </row>
    <row r="984" spans="1:7" x14ac:dyDescent="0.25">
      <c r="A984">
        <v>752</v>
      </c>
      <c r="B984" s="3">
        <v>45330.805896782404</v>
      </c>
      <c r="C984">
        <v>597</v>
      </c>
      <c r="D984" s="4">
        <f t="shared" si="45"/>
        <v>45323</v>
      </c>
      <c r="E984" s="4">
        <f t="shared" si="46"/>
        <v>45323</v>
      </c>
      <c r="F984" s="5">
        <f t="shared" si="47"/>
        <v>0</v>
      </c>
      <c r="G984" s="5">
        <f>IF(COUNTIFS(A$3:A984,A984,F$3:F984,F984)=1,1,0)</f>
        <v>1</v>
      </c>
    </row>
    <row r="985" spans="1:7" x14ac:dyDescent="0.25">
      <c r="A985">
        <v>925</v>
      </c>
      <c r="B985" s="3">
        <v>45369.259966192098</v>
      </c>
      <c r="C985">
        <v>485</v>
      </c>
      <c r="D985" s="4">
        <f t="shared" si="45"/>
        <v>45352</v>
      </c>
      <c r="E985" s="4">
        <f t="shared" si="46"/>
        <v>45352</v>
      </c>
      <c r="F985" s="5">
        <f t="shared" si="47"/>
        <v>0</v>
      </c>
      <c r="G985" s="5">
        <f>IF(COUNTIFS(A$3:A985,A985,F$3:F985,F985)=1,1,0)</f>
        <v>1</v>
      </c>
    </row>
    <row r="986" spans="1:7" x14ac:dyDescent="0.25">
      <c r="A986">
        <v>909</v>
      </c>
      <c r="B986" s="3">
        <v>45622.630140729198</v>
      </c>
      <c r="C986">
        <v>807</v>
      </c>
      <c r="D986" s="4">
        <f t="shared" si="45"/>
        <v>45597</v>
      </c>
      <c r="E986" s="4">
        <f t="shared" si="46"/>
        <v>45597</v>
      </c>
      <c r="F986" s="5">
        <f t="shared" si="47"/>
        <v>0</v>
      </c>
      <c r="G986" s="5">
        <f>IF(COUNTIFS(A$3:A986,A986,F$3:F986,F986)=1,1,0)</f>
        <v>1</v>
      </c>
    </row>
    <row r="987" spans="1:7" x14ac:dyDescent="0.25">
      <c r="A987">
        <v>558</v>
      </c>
      <c r="B987" s="3">
        <v>45418.827399733796</v>
      </c>
      <c r="C987">
        <v>995</v>
      </c>
      <c r="D987" s="4">
        <f t="shared" si="45"/>
        <v>45413</v>
      </c>
      <c r="E987" s="4">
        <f t="shared" si="46"/>
        <v>45413</v>
      </c>
      <c r="F987" s="5">
        <f t="shared" si="47"/>
        <v>0</v>
      </c>
      <c r="G987" s="5">
        <f>IF(COUNTIFS(A$3:A987,A987,F$3:F987,F987)=1,1,0)</f>
        <v>1</v>
      </c>
    </row>
    <row r="988" spans="1:7" x14ac:dyDescent="0.25">
      <c r="A988">
        <v>547</v>
      </c>
      <c r="B988" s="3">
        <v>45606.878997118103</v>
      </c>
      <c r="C988">
        <v>286</v>
      </c>
      <c r="D988" s="4">
        <f t="shared" si="45"/>
        <v>45597</v>
      </c>
      <c r="E988" s="4">
        <f t="shared" si="46"/>
        <v>45413</v>
      </c>
      <c r="F988" s="5">
        <f t="shared" si="47"/>
        <v>6</v>
      </c>
      <c r="G988" s="5">
        <f>IF(COUNTIFS(A$3:A988,A988,F$3:F988,F988)=1,1,0)</f>
        <v>1</v>
      </c>
    </row>
    <row r="989" spans="1:7" x14ac:dyDescent="0.25">
      <c r="A989">
        <v>253</v>
      </c>
      <c r="B989" s="3">
        <v>45409.804528113396</v>
      </c>
      <c r="C989">
        <v>165</v>
      </c>
      <c r="D989" s="4">
        <f t="shared" si="45"/>
        <v>45383</v>
      </c>
      <c r="E989" s="4">
        <f t="shared" si="46"/>
        <v>45383</v>
      </c>
      <c r="F989" s="5">
        <f t="shared" si="47"/>
        <v>0</v>
      </c>
      <c r="G989" s="5">
        <f>IF(COUNTIFS(A$3:A989,A989,F$3:F989,F989)=1,1,0)</f>
        <v>1</v>
      </c>
    </row>
    <row r="990" spans="1:7" x14ac:dyDescent="0.25">
      <c r="A990">
        <v>390</v>
      </c>
      <c r="B990" s="3">
        <v>45435.3540485185</v>
      </c>
      <c r="C990">
        <v>769</v>
      </c>
      <c r="D990" s="4">
        <f t="shared" si="45"/>
        <v>45413</v>
      </c>
      <c r="E990" s="4">
        <f t="shared" si="46"/>
        <v>45383</v>
      </c>
      <c r="F990" s="5">
        <f t="shared" si="47"/>
        <v>1</v>
      </c>
      <c r="G990" s="5">
        <f>IF(COUNTIFS(A$3:A990,A990,F$3:F990,F990)=1,1,0)</f>
        <v>1</v>
      </c>
    </row>
    <row r="991" spans="1:7" x14ac:dyDescent="0.25">
      <c r="A991">
        <v>594</v>
      </c>
      <c r="B991" s="3">
        <v>45499.8094784028</v>
      </c>
      <c r="C991">
        <v>227</v>
      </c>
      <c r="D991" s="4">
        <f t="shared" si="45"/>
        <v>45474</v>
      </c>
      <c r="E991" s="4">
        <f t="shared" si="46"/>
        <v>45474</v>
      </c>
      <c r="F991" s="5">
        <f t="shared" si="47"/>
        <v>0</v>
      </c>
      <c r="G991" s="5">
        <f>IF(COUNTIFS(A$3:A991,A991,F$3:F991,F991)=1,1,0)</f>
        <v>1</v>
      </c>
    </row>
    <row r="992" spans="1:7" x14ac:dyDescent="0.25">
      <c r="A992">
        <v>883</v>
      </c>
      <c r="B992" s="3">
        <v>45537.996281145803</v>
      </c>
      <c r="C992">
        <v>199</v>
      </c>
      <c r="D992" s="4">
        <f t="shared" si="45"/>
        <v>45536</v>
      </c>
      <c r="E992" s="4">
        <f t="shared" si="46"/>
        <v>45505</v>
      </c>
      <c r="F992" s="5">
        <f t="shared" si="47"/>
        <v>1</v>
      </c>
      <c r="G992" s="5">
        <f>IF(COUNTIFS(A$3:A992,A992,F$3:F992,F992)=1,1,0)</f>
        <v>1</v>
      </c>
    </row>
    <row r="993" spans="1:7" x14ac:dyDescent="0.25">
      <c r="A993">
        <v>256</v>
      </c>
      <c r="B993" s="3">
        <v>45356.896110833302</v>
      </c>
      <c r="C993">
        <v>426</v>
      </c>
      <c r="D993" s="4">
        <f t="shared" si="45"/>
        <v>45352</v>
      </c>
      <c r="E993" s="4">
        <f t="shared" si="46"/>
        <v>45352</v>
      </c>
      <c r="F993" s="5">
        <f t="shared" si="47"/>
        <v>0</v>
      </c>
      <c r="G993" s="5">
        <f>IF(COUNTIFS(A$3:A993,A993,F$3:F993,F993)=1,1,0)</f>
        <v>1</v>
      </c>
    </row>
    <row r="994" spans="1:7" x14ac:dyDescent="0.25">
      <c r="A994">
        <v>709</v>
      </c>
      <c r="B994" s="3">
        <v>45473.311844629599</v>
      </c>
      <c r="C994">
        <v>990</v>
      </c>
      <c r="D994" s="4">
        <f t="shared" si="45"/>
        <v>45444</v>
      </c>
      <c r="E994" s="4">
        <f t="shared" si="46"/>
        <v>45444</v>
      </c>
      <c r="F994" s="5">
        <f t="shared" si="47"/>
        <v>0</v>
      </c>
      <c r="G994" s="5">
        <f>IF(COUNTIFS(A$3:A994,A994,F$3:F994,F994)=1,1,0)</f>
        <v>1</v>
      </c>
    </row>
    <row r="995" spans="1:7" x14ac:dyDescent="0.25">
      <c r="A995">
        <v>815</v>
      </c>
      <c r="B995" s="3">
        <v>45404.748631805604</v>
      </c>
      <c r="C995">
        <v>684</v>
      </c>
      <c r="D995" s="4">
        <f t="shared" si="45"/>
        <v>45383</v>
      </c>
      <c r="E995" s="4">
        <f t="shared" si="46"/>
        <v>45352</v>
      </c>
      <c r="F995" s="5">
        <f t="shared" si="47"/>
        <v>1</v>
      </c>
      <c r="G995" s="5">
        <f>IF(COUNTIFS(A$3:A995,A995,F$3:F995,F995)=1,1,0)</f>
        <v>1</v>
      </c>
    </row>
    <row r="996" spans="1:7" x14ac:dyDescent="0.25">
      <c r="A996">
        <v>921</v>
      </c>
      <c r="B996" s="3">
        <v>45590.173301643503</v>
      </c>
      <c r="C996">
        <v>701</v>
      </c>
      <c r="D996" s="4">
        <f t="shared" si="45"/>
        <v>45566</v>
      </c>
      <c r="E996" s="4">
        <f t="shared" si="46"/>
        <v>45352</v>
      </c>
      <c r="F996" s="5">
        <f t="shared" si="47"/>
        <v>7</v>
      </c>
      <c r="G996" s="5">
        <f>IF(COUNTIFS(A$3:A996,A996,F$3:F996,F996)=1,1,0)</f>
        <v>1</v>
      </c>
    </row>
    <row r="997" spans="1:7" x14ac:dyDescent="0.25">
      <c r="A997">
        <v>450</v>
      </c>
      <c r="B997" s="3">
        <v>45349.023451608802</v>
      </c>
      <c r="C997">
        <v>555</v>
      </c>
      <c r="D997" s="4">
        <f t="shared" si="45"/>
        <v>45323</v>
      </c>
      <c r="E997" s="4">
        <f t="shared" si="46"/>
        <v>45323</v>
      </c>
      <c r="F997" s="5">
        <f t="shared" si="47"/>
        <v>0</v>
      </c>
      <c r="G997" s="5">
        <f>IF(COUNTIFS(A$3:A997,A997,F$3:F997,F997)=1,1,0)</f>
        <v>1</v>
      </c>
    </row>
    <row r="998" spans="1:7" x14ac:dyDescent="0.25">
      <c r="A998">
        <v>10</v>
      </c>
      <c r="B998" s="3">
        <v>45479.545114409702</v>
      </c>
      <c r="C998">
        <v>50</v>
      </c>
      <c r="D998" s="4">
        <f t="shared" si="45"/>
        <v>45474</v>
      </c>
      <c r="E998" s="4">
        <f t="shared" si="46"/>
        <v>45474</v>
      </c>
      <c r="F998" s="5">
        <f t="shared" si="47"/>
        <v>0</v>
      </c>
      <c r="G998" s="5">
        <f>IF(COUNTIFS(A$3:A998,A998,F$3:F998,F998)=1,1,0)</f>
        <v>1</v>
      </c>
    </row>
    <row r="999" spans="1:7" x14ac:dyDescent="0.25">
      <c r="A999">
        <v>824</v>
      </c>
      <c r="B999" s="3">
        <v>45307.428825937503</v>
      </c>
      <c r="C999">
        <v>316</v>
      </c>
      <c r="D999" s="4">
        <f t="shared" si="45"/>
        <v>45292</v>
      </c>
      <c r="E999" s="4">
        <f t="shared" si="46"/>
        <v>45292</v>
      </c>
      <c r="F999" s="5">
        <f t="shared" si="47"/>
        <v>0</v>
      </c>
      <c r="G999" s="5">
        <f>IF(COUNTIFS(A$3:A999,A999,F$3:F999,F999)=1,1,0)</f>
        <v>1</v>
      </c>
    </row>
    <row r="1000" spans="1:7" x14ac:dyDescent="0.25">
      <c r="A1000">
        <v>798</v>
      </c>
      <c r="B1000" s="3">
        <v>45355.1967024306</v>
      </c>
      <c r="C1000">
        <v>952</v>
      </c>
      <c r="D1000" s="4">
        <f t="shared" si="45"/>
        <v>45352</v>
      </c>
      <c r="E1000" s="4">
        <f t="shared" si="46"/>
        <v>45323</v>
      </c>
      <c r="F1000" s="5">
        <f t="shared" si="47"/>
        <v>1</v>
      </c>
      <c r="G1000" s="5">
        <f>IF(COUNTIFS(A$3:A1000,A1000,F$3:F1000,F1000)=1,1,0)</f>
        <v>0</v>
      </c>
    </row>
    <row r="1001" spans="1:7" x14ac:dyDescent="0.25">
      <c r="A1001">
        <v>242</v>
      </c>
      <c r="B1001" s="3">
        <v>45552.413797708301</v>
      </c>
      <c r="C1001">
        <v>347</v>
      </c>
      <c r="D1001" s="4">
        <f t="shared" si="45"/>
        <v>45536</v>
      </c>
      <c r="E1001" s="4">
        <f t="shared" si="46"/>
        <v>45323</v>
      </c>
      <c r="F1001" s="5">
        <f t="shared" si="47"/>
        <v>7</v>
      </c>
      <c r="G1001" s="5">
        <f>IF(COUNTIFS(A$3:A1001,A1001,F$3:F1001,F1001)=1,1,0)</f>
        <v>1</v>
      </c>
    </row>
    <row r="1002" spans="1:7" x14ac:dyDescent="0.25">
      <c r="A1002">
        <v>251</v>
      </c>
      <c r="B1002" s="3">
        <v>45483.007298946803</v>
      </c>
      <c r="C1002">
        <v>323</v>
      </c>
      <c r="D1002" s="4">
        <f t="shared" si="45"/>
        <v>45474</v>
      </c>
      <c r="E1002" s="4">
        <f t="shared" si="46"/>
        <v>45474</v>
      </c>
      <c r="F1002" s="5">
        <f t="shared" si="47"/>
        <v>0</v>
      </c>
      <c r="G1002" s="5">
        <f>IF(COUNTIFS(A$3:A1002,A1002,F$3:F1002,F1002)=1,1,0)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8.7109375" defaultRowHeight="15" x14ac:dyDescent="0.25"/>
  <cols>
    <col min="1" max="1" width="13" customWidth="1"/>
    <col min="2" max="13" width="11" customWidth="1"/>
    <col min="19" max="20" width="10.140625" bestFit="1" customWidth="1"/>
  </cols>
  <sheetData>
    <row r="1" spans="1:30" x14ac:dyDescent="0.25">
      <c r="A1" s="1" t="s">
        <v>8</v>
      </c>
    </row>
    <row r="3" spans="1:30" x14ac:dyDescent="0.25">
      <c r="A3" s="6" t="s">
        <v>5</v>
      </c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</row>
    <row r="4" spans="1:30" x14ac:dyDescent="0.25">
      <c r="A4" s="7">
        <v>45292</v>
      </c>
      <c r="B4" s="8" cm="1">
        <f t="array" ref="B4">IF(
  DATE(YEAR($A4), MONTH($A4) + B$3, 1) &gt; DATE(2024, 12, 1),
  "",
  SUMIFS(
    UniqueInPeriod,
    CohortMonthYear, $A4,
    CohortIndex, B$3
  )
)</f>
        <v>84</v>
      </c>
      <c r="C4" s="8" cm="1">
        <f t="array" ref="C4">IF(
  DATE(YEAR($A4), MONTH($A4) + C$3, 1) &gt; DATE(2024, 12, 1),
  "",
  SUMIFS(
    UniqueInPeriod,
    CohortMonthYear, $A4,
    CohortIndex, C$3
  )
)</f>
        <v>4</v>
      </c>
      <c r="D4" s="8" cm="1">
        <f t="array" ref="D4">IF(
  DATE(YEAR($A4), MONTH($A4) + D$3, 1) &gt; DATE(2024, 12, 1),
  "",
  SUMIFS(
    UniqueInPeriod,
    CohortMonthYear, $A4,
    CohortIndex, D$3
  )
)</f>
        <v>5</v>
      </c>
      <c r="E4" s="8" cm="1">
        <f t="array" ref="E4">IF(
  DATE(YEAR($A4), MONTH($A4) + E$3, 1) &gt; DATE(2024, 12, 1),
  "",
  SUMIFS(
    UniqueInPeriod,
    CohortMonthYear, $A4,
    CohortIndex, E$3
  )
)</f>
        <v>4</v>
      </c>
      <c r="F4" s="8" cm="1">
        <f t="array" ref="F4">IF(
  DATE(YEAR($A4), MONTH($A4) + F$3, 1) &gt; DATE(2024, 12, 1),
  "",
  SUMIFS(
    UniqueInPeriod,
    CohortMonthYear, $A4,
    CohortIndex, F$3
  )
)</f>
        <v>7</v>
      </c>
      <c r="G4" s="8" cm="1">
        <f t="array" ref="G4">IF(
  DATE(YEAR($A4), MONTH($A4) + G$3, 1) &gt; DATE(2024, 12, 1),
  "",
  SUMIFS(
    UniqueInPeriod,
    CohortMonthYear, $A4,
    CohortIndex, G$3
  )
)</f>
        <v>6</v>
      </c>
      <c r="H4" s="8" cm="1">
        <f t="array" ref="H4">IF(
  DATE(YEAR($A4), MONTH($A4) + H$3, 1) &gt; DATE(2024, 12, 1),
  "",
  SUMIFS(
    UniqueInPeriod,
    CohortMonthYear, $A4,
    CohortIndex, H$3
  )
)</f>
        <v>5</v>
      </c>
      <c r="I4" s="8" cm="1">
        <f t="array" ref="I4">IF(
  DATE(YEAR($A4), MONTH($A4) + I$3, 1) &gt; DATE(2024, 12, 1),
  "",
  SUMIFS(
    UniqueInPeriod,
    CohortMonthYear, $A4,
    CohortIndex, I$3
  )
)</f>
        <v>6</v>
      </c>
      <c r="J4" s="8" cm="1">
        <f t="array" ref="J4">IF(
  DATE(YEAR($A4), MONTH($A4) + J$3, 1) &gt; DATE(2024, 12, 1),
  "",
  SUMIFS(
    UniqueInPeriod,
    CohortMonthYear, $A4,
    CohortIndex, J$3
  )
)</f>
        <v>5</v>
      </c>
      <c r="K4" s="8" cm="1">
        <f t="array" ref="K4">IF(
  DATE(YEAR($A4), MONTH($A4) + K$3, 1) &gt; DATE(2024, 12, 1),
  "",
  SUMIFS(
    UniqueInPeriod,
    CohortMonthYear, $A4,
    CohortIndex, K$3
  )
)</f>
        <v>10</v>
      </c>
      <c r="L4" s="8" cm="1">
        <f t="array" ref="L4">IF(
  DATE(YEAR($A4), MONTH($A4) + L$3, 1) &gt; DATE(2024, 12, 1),
  "",
  SUMIFS(
    UniqueInPeriod,
    CohortMonthYear, $A4,
    CohortIndex, L$3
  )
)</f>
        <v>10</v>
      </c>
      <c r="M4" s="8" cm="1">
        <f t="array" ref="M4">IF(
  DATE(YEAR($A4), MONTH($A4) + M$3, 1) &gt; DATE(2024, 12, 1),
  "",
  SUMIFS(
    UniqueInPeriod,
    CohortMonthYear, $A4,
    CohortIndex, M$3
  )
)</f>
        <v>6</v>
      </c>
      <c r="AB4" s="5"/>
      <c r="AC4" s="5"/>
      <c r="AD4" s="5"/>
    </row>
    <row r="5" spans="1:30" x14ac:dyDescent="0.25">
      <c r="A5" s="7">
        <v>45323</v>
      </c>
      <c r="B5" s="8" cm="1">
        <f t="array" ref="B5">IF(
  DATE(YEAR($A5), MONTH($A5) + B$3, 1) &gt; DATE(2024, 12, 1),
  "",
  SUMIFS(
    UniqueInPeriod,
    CohortMonthYear, $A5,
    CohortIndex, B$3
  )
)</f>
        <v>78</v>
      </c>
      <c r="C5" s="8" cm="1">
        <f t="array" ref="C5">IF(
  DATE(YEAR($A5), MONTH($A5) + C$3, 1) &gt; DATE(2024, 12, 1),
  "",
  SUMIFS(
    UniqueInPeriod,
    CohortMonthYear, $A5,
    CohortIndex, C$3
  )
)</f>
        <v>4</v>
      </c>
      <c r="D5" s="8" cm="1">
        <f t="array" ref="D5">IF(
  DATE(YEAR($A5), MONTH($A5) + D$3, 1) &gt; DATE(2024, 12, 1),
  "",
  SUMIFS(
    UniqueInPeriod,
    CohortMonthYear, $A5,
    CohortIndex, D$3
  )
)</f>
        <v>7</v>
      </c>
      <c r="E5" s="8" cm="1">
        <f t="array" ref="E5">IF(
  DATE(YEAR($A5), MONTH($A5) + E$3, 1) &gt; DATE(2024, 12, 1),
  "",
  SUMIFS(
    UniqueInPeriod,
    CohortMonthYear, $A5,
    CohortIndex, E$3
  )
)</f>
        <v>7</v>
      </c>
      <c r="F5" s="8" cm="1">
        <f t="array" ref="F5">IF(
  DATE(YEAR($A5), MONTH($A5) + F$3, 1) &gt; DATE(2024, 12, 1),
  "",
  SUMIFS(
    UniqueInPeriod,
    CohortMonthYear, $A5,
    CohortIndex, F$3
  )
)</f>
        <v>8</v>
      </c>
      <c r="G5" s="8" cm="1">
        <f t="array" ref="G5">IF(
  DATE(YEAR($A5), MONTH($A5) + G$3, 1) &gt; DATE(2024, 12, 1),
  "",
  SUMIFS(
    UniqueInPeriod,
    CohortMonthYear, $A5,
    CohortIndex, G$3
  )
)</f>
        <v>3</v>
      </c>
      <c r="H5" s="8" cm="1">
        <f t="array" ref="H5">IF(
  DATE(YEAR($A5), MONTH($A5) + H$3, 1) &gt; DATE(2024, 12, 1),
  "",
  SUMIFS(
    UniqueInPeriod,
    CohortMonthYear, $A5,
    CohortIndex, H$3
  )
)</f>
        <v>5</v>
      </c>
      <c r="I5" s="8" cm="1">
        <f t="array" ref="I5">IF(
  DATE(YEAR($A5), MONTH($A5) + I$3, 1) &gt; DATE(2024, 12, 1),
  "",
  SUMIFS(
    UniqueInPeriod,
    CohortMonthYear, $A5,
    CohortIndex, I$3
  )
)</f>
        <v>7</v>
      </c>
      <c r="J5" s="8" cm="1">
        <f t="array" ref="J5">IF(
  DATE(YEAR($A5), MONTH($A5) + J$3, 1) &gt; DATE(2024, 12, 1),
  "",
  SUMIFS(
    UniqueInPeriod,
    CohortMonthYear, $A5,
    CohortIndex, J$3
  )
)</f>
        <v>8</v>
      </c>
      <c r="K5" s="8" cm="1">
        <f t="array" ref="K5">IF(
  DATE(YEAR($A5), MONTH($A5) + K$3, 1) &gt; DATE(2024, 12, 1),
  "",
  SUMIFS(
    UniqueInPeriod,
    CohortMonthYear, $A5,
    CohortIndex, K$3
  )
)</f>
        <v>6</v>
      </c>
      <c r="L5" s="8" cm="1">
        <f t="array" ref="L5">IF(
  DATE(YEAR($A5), MONTH($A5) + L$3, 1) &gt; DATE(2024, 12, 1),
  "",
  SUMIFS(
    UniqueInPeriod,
    CohortMonthYear, $A5,
    CohortIndex, L$3
  )
)</f>
        <v>6</v>
      </c>
      <c r="M5" s="8" t="str" cm="1">
        <f t="array" ref="M5">IF(
  DATE(YEAR($A5), MONTH($A5) + M$3, 1) &gt; DATE(2024, 12, 1),
  "",
  SUMIFS(
    UniqueInPeriod,
    CohortMonthYear, $A5,
    CohortIndex, M$3
  )
)</f>
        <v/>
      </c>
      <c r="AB5" s="5"/>
      <c r="AC5" s="5"/>
      <c r="AD5" s="5"/>
    </row>
    <row r="6" spans="1:30" x14ac:dyDescent="0.25">
      <c r="A6" s="7">
        <v>45352</v>
      </c>
      <c r="B6" s="8" cm="1">
        <f t="array" ref="B6">IF(
  DATE(YEAR($A6), MONTH($A6) + B$3, 1) &gt; DATE(2024, 12, 1),
  "",
  SUMIFS(
    UniqueInPeriod,
    CohortMonthYear, $A6,
    CohortIndex, B$3
  )
)</f>
        <v>69</v>
      </c>
      <c r="C6" s="8" cm="1">
        <f t="array" ref="C6">IF(
  DATE(YEAR($A6), MONTH($A6) + C$3, 1) &gt; DATE(2024, 12, 1),
  "",
  SUMIFS(
    UniqueInPeriod,
    CohortMonthYear, $A6,
    CohortIndex, C$3
  )
)</f>
        <v>9</v>
      </c>
      <c r="D6" s="8" cm="1">
        <f t="array" ref="D6">IF(
  DATE(YEAR($A6), MONTH($A6) + D$3, 1) &gt; DATE(2024, 12, 1),
  "",
  SUMIFS(
    UniqueInPeriod,
    CohortMonthYear, $A6,
    CohortIndex, D$3
  )
)</f>
        <v>7</v>
      </c>
      <c r="E6" s="8" cm="1">
        <f t="array" ref="E6">IF(
  DATE(YEAR($A6), MONTH($A6) + E$3, 1) &gt; DATE(2024, 12, 1),
  "",
  SUMIFS(
    UniqueInPeriod,
    CohortMonthYear, $A6,
    CohortIndex, E$3
  )
)</f>
        <v>5</v>
      </c>
      <c r="F6" s="8" cm="1">
        <f t="array" ref="F6">IF(
  DATE(YEAR($A6), MONTH($A6) + F$3, 1) &gt; DATE(2024, 12, 1),
  "",
  SUMIFS(
    UniqueInPeriod,
    CohortMonthYear, $A6,
    CohortIndex, F$3
  )
)</f>
        <v>4</v>
      </c>
      <c r="G6" s="8" cm="1">
        <f t="array" ref="G6">IF(
  DATE(YEAR($A6), MONTH($A6) + G$3, 1) &gt; DATE(2024, 12, 1),
  "",
  SUMIFS(
    UniqueInPeriod,
    CohortMonthYear, $A6,
    CohortIndex, G$3
  )
)</f>
        <v>6</v>
      </c>
      <c r="H6" s="8" cm="1">
        <f t="array" ref="H6">IF(
  DATE(YEAR($A6), MONTH($A6) + H$3, 1) &gt; DATE(2024, 12, 1),
  "",
  SUMIFS(
    UniqueInPeriod,
    CohortMonthYear, $A6,
    CohortIndex, H$3
  )
)</f>
        <v>5</v>
      </c>
      <c r="I6" s="8" cm="1">
        <f t="array" ref="I6">IF(
  DATE(YEAR($A6), MONTH($A6) + I$3, 1) &gt; DATE(2024, 12, 1),
  "",
  SUMIFS(
    UniqueInPeriod,
    CohortMonthYear, $A6,
    CohortIndex, I$3
  )
)</f>
        <v>8</v>
      </c>
      <c r="J6" s="8" cm="1">
        <f t="array" ref="J6">IF(
  DATE(YEAR($A6), MONTH($A6) + J$3, 1) &gt; DATE(2024, 12, 1),
  "",
  SUMIFS(
    UniqueInPeriod,
    CohortMonthYear, $A6,
    CohortIndex, J$3
  )
)</f>
        <v>6</v>
      </c>
      <c r="K6" s="8" cm="1">
        <f t="array" ref="K6">IF(
  DATE(YEAR($A6), MONTH($A6) + K$3, 1) &gt; DATE(2024, 12, 1),
  "",
  SUMIFS(
    UniqueInPeriod,
    CohortMonthYear, $A6,
    CohortIndex, K$3
  )
)</f>
        <v>3</v>
      </c>
      <c r="L6" s="8" t="str" cm="1">
        <f t="array" ref="L6">IF(
  DATE(YEAR($A6), MONTH($A6) + L$3, 1) &gt; DATE(2024, 12, 1),
  "",
  SUMIFS(
    UniqueInPeriod,
    CohortMonthYear, $A6,
    CohortIndex, L$3
  )
)</f>
        <v/>
      </c>
      <c r="M6" s="8" t="str" cm="1">
        <f t="array" ref="M6">IF(
  DATE(YEAR($A6), MONTH($A6) + M$3, 1) &gt; DATE(2024, 12, 1),
  "",
  SUMIFS(
    UniqueInPeriod,
    CohortMonthYear, $A6,
    CohortIndex, M$3
  )
)</f>
        <v/>
      </c>
      <c r="AB6" s="5"/>
      <c r="AC6" s="5"/>
      <c r="AD6" s="5"/>
    </row>
    <row r="7" spans="1:30" x14ac:dyDescent="0.25">
      <c r="A7" s="7">
        <v>45383</v>
      </c>
      <c r="B7" s="8" cm="1">
        <f t="array" ref="B7">IF(
  DATE(YEAR($A7), MONTH($A7) + B$3, 1) &gt; DATE(2024, 12, 1),
  "",
  SUMIFS(
    UniqueInPeriod,
    CohortMonthYear, $A7,
    CohortIndex, B$3
  )
)</f>
        <v>61</v>
      </c>
      <c r="C7" s="8" cm="1">
        <f t="array" ref="C7">IF(
  DATE(YEAR($A7), MONTH($A7) + C$3, 1) &gt; DATE(2024, 12, 1),
  "",
  SUMIFS(
    UniqueInPeriod,
    CohortMonthYear, $A7,
    CohortIndex, C$3
  )
)</f>
        <v>6</v>
      </c>
      <c r="D7" s="8" cm="1">
        <f t="array" ref="D7">IF(
  DATE(YEAR($A7), MONTH($A7) + D$3, 1) &gt; DATE(2024, 12, 1),
  "",
  SUMIFS(
    UniqueInPeriod,
    CohortMonthYear, $A7,
    CohortIndex, D$3
  )
)</f>
        <v>5</v>
      </c>
      <c r="E7" s="8" cm="1">
        <f t="array" ref="E7">IF(
  DATE(YEAR($A7), MONTH($A7) + E$3, 1) &gt; DATE(2024, 12, 1),
  "",
  SUMIFS(
    UniqueInPeriod,
    CohortMonthYear, $A7,
    CohortIndex, E$3
  )
)</f>
        <v>6</v>
      </c>
      <c r="F7" s="8" cm="1">
        <f t="array" ref="F7">IF(
  DATE(YEAR($A7), MONTH($A7) + F$3, 1) &gt; DATE(2024, 12, 1),
  "",
  SUMIFS(
    UniqueInPeriod,
    CohortMonthYear, $A7,
    CohortIndex, F$3
  )
)</f>
        <v>4</v>
      </c>
      <c r="G7" s="8" cm="1">
        <f t="array" ref="G7">IF(
  DATE(YEAR($A7), MONTH($A7) + G$3, 1) &gt; DATE(2024, 12, 1),
  "",
  SUMIFS(
    UniqueInPeriod,
    CohortMonthYear, $A7,
    CohortIndex, G$3
  )
)</f>
        <v>2</v>
      </c>
      <c r="H7" s="8" cm="1">
        <f t="array" ref="H7">IF(
  DATE(YEAR($A7), MONTH($A7) + H$3, 1) &gt; DATE(2024, 12, 1),
  "",
  SUMIFS(
    UniqueInPeriod,
    CohortMonthYear, $A7,
    CohortIndex, H$3
  )
)</f>
        <v>6</v>
      </c>
      <c r="I7" s="8" cm="1">
        <f t="array" ref="I7">IF(
  DATE(YEAR($A7), MONTH($A7) + I$3, 1) &gt; DATE(2024, 12, 1),
  "",
  SUMIFS(
    UniqueInPeriod,
    CohortMonthYear, $A7,
    CohortIndex, I$3
  )
)</f>
        <v>3</v>
      </c>
      <c r="J7" s="8" cm="1">
        <f t="array" ref="J7">IF(
  DATE(YEAR($A7), MONTH($A7) + J$3, 1) &gt; DATE(2024, 12, 1),
  "",
  SUMIFS(
    UniqueInPeriod,
    CohortMonthYear, $A7,
    CohortIndex, J$3
  )
)</f>
        <v>5</v>
      </c>
      <c r="K7" s="8" t="str" cm="1">
        <f t="array" ref="K7">IF(
  DATE(YEAR($A7), MONTH($A7) + K$3, 1) &gt; DATE(2024, 12, 1),
  "",
  SUMIFS(
    UniqueInPeriod,
    CohortMonthYear, $A7,
    CohortIndex, K$3
  )
)</f>
        <v/>
      </c>
      <c r="L7" s="8" t="str" cm="1">
        <f t="array" ref="L7">IF(
  DATE(YEAR($A7), MONTH($A7) + L$3, 1) &gt; DATE(2024, 12, 1),
  "",
  SUMIFS(
    UniqueInPeriod,
    CohortMonthYear, $A7,
    CohortIndex, L$3
  )
)</f>
        <v/>
      </c>
      <c r="M7" s="8" t="str" cm="1">
        <f t="array" ref="M7">IF(
  DATE(YEAR($A7), MONTH($A7) + M$3, 1) &gt; DATE(2024, 12, 1),
  "",
  SUMIFS(
    UniqueInPeriod,
    CohortMonthYear, $A7,
    CohortIndex, M$3
  )
)</f>
        <v/>
      </c>
      <c r="AB7" s="5"/>
      <c r="AC7" s="5"/>
      <c r="AD7" s="5"/>
    </row>
    <row r="8" spans="1:30" x14ac:dyDescent="0.25">
      <c r="A8" s="7">
        <v>45413</v>
      </c>
      <c r="B8" s="8" cm="1">
        <f t="array" ref="B8">IF(
  DATE(YEAR($A8), MONTH($A8) + B$3, 1) &gt; DATE(2024, 12, 1),
  "",
  SUMIFS(
    UniqueInPeriod,
    CohortMonthYear, $A8,
    CohortIndex, B$3
  )
)</f>
        <v>61</v>
      </c>
      <c r="C8" s="8" cm="1">
        <f t="array" ref="C8">IF(
  DATE(YEAR($A8), MONTH($A8) + C$3, 1) &gt; DATE(2024, 12, 1),
  "",
  SUMIFS(
    UniqueInPeriod,
    CohortMonthYear, $A8,
    CohortIndex, C$3
  )
)</f>
        <v>3</v>
      </c>
      <c r="D8" s="8" cm="1">
        <f t="array" ref="D8">IF(
  DATE(YEAR($A8), MONTH($A8) + D$3, 1) &gt; DATE(2024, 12, 1),
  "",
  SUMIFS(
    UniqueInPeriod,
    CohortMonthYear, $A8,
    CohortIndex, D$3
  )
)</f>
        <v>6</v>
      </c>
      <c r="E8" s="8" cm="1">
        <f t="array" ref="E8">IF(
  DATE(YEAR($A8), MONTH($A8) + E$3, 1) &gt; DATE(2024, 12, 1),
  "",
  SUMIFS(
    UniqueInPeriod,
    CohortMonthYear, $A8,
    CohortIndex, E$3
  )
)</f>
        <v>3</v>
      </c>
      <c r="F8" s="8" cm="1">
        <f t="array" ref="F8">IF(
  DATE(YEAR($A8), MONTH($A8) + F$3, 1) &gt; DATE(2024, 12, 1),
  "",
  SUMIFS(
    UniqueInPeriod,
    CohortMonthYear, $A8,
    CohortIndex, F$3
  )
)</f>
        <v>3</v>
      </c>
      <c r="G8" s="8" cm="1">
        <f t="array" ref="G8">IF(
  DATE(YEAR($A8), MONTH($A8) + G$3, 1) &gt; DATE(2024, 12, 1),
  "",
  SUMIFS(
    UniqueInPeriod,
    CohortMonthYear, $A8,
    CohortIndex, G$3
  )
)</f>
        <v>6</v>
      </c>
      <c r="H8" s="8" cm="1">
        <f t="array" ref="H8">IF(
  DATE(YEAR($A8), MONTH($A8) + H$3, 1) &gt; DATE(2024, 12, 1),
  "",
  SUMIFS(
    UniqueInPeriod,
    CohortMonthYear, $A8,
    CohortIndex, H$3
  )
)</f>
        <v>7</v>
      </c>
      <c r="I8" s="8" cm="1">
        <f t="array" ref="I8">IF(
  DATE(YEAR($A8), MONTH($A8) + I$3, 1) &gt; DATE(2024, 12, 1),
  "",
  SUMIFS(
    UniqueInPeriod,
    CohortMonthYear, $A8,
    CohortIndex, I$3
  )
)</f>
        <v>4</v>
      </c>
      <c r="J8" s="8" t="str" cm="1">
        <f t="array" ref="J8">IF(
  DATE(YEAR($A8), MONTH($A8) + J$3, 1) &gt; DATE(2024, 12, 1),
  "",
  SUMIFS(
    UniqueInPeriod,
    CohortMonthYear, $A8,
    CohortIndex, J$3
  )
)</f>
        <v/>
      </c>
      <c r="K8" s="8" t="str" cm="1">
        <f t="array" ref="K8">IF(
  DATE(YEAR($A8), MONTH($A8) + K$3, 1) &gt; DATE(2024, 12, 1),
  "",
  SUMIFS(
    UniqueInPeriod,
    CohortMonthYear, $A8,
    CohortIndex, K$3
  )
)</f>
        <v/>
      </c>
      <c r="L8" s="8" t="str" cm="1">
        <f t="array" ref="L8">IF(
  DATE(YEAR($A8), MONTH($A8) + L$3, 1) &gt; DATE(2024, 12, 1),
  "",
  SUMIFS(
    UniqueInPeriod,
    CohortMonthYear, $A8,
    CohortIndex, L$3
  )
)</f>
        <v/>
      </c>
      <c r="M8" s="8" t="str" cm="1">
        <f t="array" ref="M8">IF(
  DATE(YEAR($A8), MONTH($A8) + M$3, 1) &gt; DATE(2024, 12, 1),
  "",
  SUMIFS(
    UniqueInPeriod,
    CohortMonthYear, $A8,
    CohortIndex, M$3
  )
)</f>
        <v/>
      </c>
      <c r="AB8" s="5"/>
      <c r="AC8" s="5"/>
      <c r="AD8" s="5"/>
    </row>
    <row r="9" spans="1:30" x14ac:dyDescent="0.25">
      <c r="A9" s="7">
        <v>45444</v>
      </c>
      <c r="B9" s="8" cm="1">
        <f t="array" ref="B9">IF(
  DATE(YEAR($A9), MONTH($A9) + B$3, 1) &gt; DATE(2024, 12, 1),
  "",
  SUMIFS(
    UniqueInPeriod,
    CohortMonthYear, $A9,
    CohortIndex, B$3
  )
)</f>
        <v>40</v>
      </c>
      <c r="C9" s="8" cm="1">
        <f t="array" ref="C9">IF(
  DATE(YEAR($A9), MONTH($A9) + C$3, 1) &gt; DATE(2024, 12, 1),
  "",
  SUMIFS(
    UniqueInPeriod,
    CohortMonthYear, $A9,
    CohortIndex, C$3
  )
)</f>
        <v>6</v>
      </c>
      <c r="D9" s="8" cm="1">
        <f t="array" ref="D9">IF(
  DATE(YEAR($A9), MONTH($A9) + D$3, 1) &gt; DATE(2024, 12, 1),
  "",
  SUMIFS(
    UniqueInPeriod,
    CohortMonthYear, $A9,
    CohortIndex, D$3
  )
)</f>
        <v>5</v>
      </c>
      <c r="E9" s="8" cm="1">
        <f t="array" ref="E9">IF(
  DATE(YEAR($A9), MONTH($A9) + E$3, 1) &gt; DATE(2024, 12, 1),
  "",
  SUMIFS(
    UniqueInPeriod,
    CohortMonthYear, $A9,
    CohortIndex, E$3
  )
)</f>
        <v>2</v>
      </c>
      <c r="F9" s="8" cm="1">
        <f t="array" ref="F9">IF(
  DATE(YEAR($A9), MONTH($A9) + F$3, 1) &gt; DATE(2024, 12, 1),
  "",
  SUMIFS(
    UniqueInPeriod,
    CohortMonthYear, $A9,
    CohortIndex, F$3
  )
)</f>
        <v>4</v>
      </c>
      <c r="G9" s="8" cm="1">
        <f t="array" ref="G9">IF(
  DATE(YEAR($A9), MONTH($A9) + G$3, 1) &gt; DATE(2024, 12, 1),
  "",
  SUMIFS(
    UniqueInPeriod,
    CohortMonthYear, $A9,
    CohortIndex, G$3
  )
)</f>
        <v>6</v>
      </c>
      <c r="H9" s="8" cm="1">
        <f t="array" ref="H9">IF(
  DATE(YEAR($A9), MONTH($A9) + H$3, 1) &gt; DATE(2024, 12, 1),
  "",
  SUMIFS(
    UniqueInPeriod,
    CohortMonthYear, $A9,
    CohortIndex, H$3
  )
)</f>
        <v>6</v>
      </c>
      <c r="I9" s="8" t="str" cm="1">
        <f t="array" ref="I9">IF(
  DATE(YEAR($A9), MONTH($A9) + I$3, 1) &gt; DATE(2024, 12, 1),
  "",
  SUMIFS(
    UniqueInPeriod,
    CohortMonthYear, $A9,
    CohortIndex, I$3
  )
)</f>
        <v/>
      </c>
      <c r="J9" s="8" t="str" cm="1">
        <f t="array" ref="J9">IF(
  DATE(YEAR($A9), MONTH($A9) + J$3, 1) &gt; DATE(2024, 12, 1),
  "",
  SUMIFS(
    UniqueInPeriod,
    CohortMonthYear, $A9,
    CohortIndex, J$3
  )
)</f>
        <v/>
      </c>
      <c r="K9" s="8" t="str" cm="1">
        <f t="array" ref="K9">IF(
  DATE(YEAR($A9), MONTH($A9) + K$3, 1) &gt; DATE(2024, 12, 1),
  "",
  SUMIFS(
    UniqueInPeriod,
    CohortMonthYear, $A9,
    CohortIndex, K$3
  )
)</f>
        <v/>
      </c>
      <c r="L9" s="8" t="str" cm="1">
        <f t="array" ref="L9">IF(
  DATE(YEAR($A9), MONTH($A9) + L$3, 1) &gt; DATE(2024, 12, 1),
  "",
  SUMIFS(
    UniqueInPeriod,
    CohortMonthYear, $A9,
    CohortIndex, L$3
  )
)</f>
        <v/>
      </c>
      <c r="M9" s="8" t="str" cm="1">
        <f t="array" ref="M9">IF(
  DATE(YEAR($A9), MONTH($A9) + M$3, 1) &gt; DATE(2024, 12, 1),
  "",
  SUMIFS(
    UniqueInPeriod,
    CohortMonthYear, $A9,
    CohortIndex, M$3
  )
)</f>
        <v/>
      </c>
      <c r="AB9" s="5"/>
      <c r="AC9" s="5"/>
      <c r="AD9" s="5"/>
    </row>
    <row r="10" spans="1:30" x14ac:dyDescent="0.25">
      <c r="A10" s="7">
        <v>45474</v>
      </c>
      <c r="B10" s="8" cm="1">
        <f t="array" ref="B10">IF(
  DATE(YEAR($A10), MONTH($A10) + B$3, 1) &gt; DATE(2024, 12, 1),
  "",
  SUMIFS(
    UniqueInPeriod,
    CohortMonthYear, $A10,
    CohortIndex, B$3
  )
)</f>
        <v>52</v>
      </c>
      <c r="C10" s="8" cm="1">
        <f t="array" ref="C10">IF(
  DATE(YEAR($A10), MONTH($A10) + C$3, 1) &gt; DATE(2024, 12, 1),
  "",
  SUMIFS(
    UniqueInPeriod,
    CohortMonthYear, $A10,
    CohortIndex, C$3
  )
)</f>
        <v>4</v>
      </c>
      <c r="D10" s="8" cm="1">
        <f t="array" ref="D10">IF(
  DATE(YEAR($A10), MONTH($A10) + D$3, 1) &gt; DATE(2024, 12, 1),
  "",
  SUMIFS(
    UniqueInPeriod,
    CohortMonthYear, $A10,
    CohortIndex, D$3
  )
)</f>
        <v>3</v>
      </c>
      <c r="E10" s="8" cm="1">
        <f t="array" ref="E10">IF(
  DATE(YEAR($A10), MONTH($A10) + E$3, 1) &gt; DATE(2024, 12, 1),
  "",
  SUMIFS(
    UniqueInPeriod,
    CohortMonthYear, $A10,
    CohortIndex, E$3
  )
)</f>
        <v>3</v>
      </c>
      <c r="F10" s="8" cm="1">
        <f t="array" ref="F10">IF(
  DATE(YEAR($A10), MONTH($A10) + F$3, 1) &gt; DATE(2024, 12, 1),
  "",
  SUMIFS(
    UniqueInPeriod,
    CohortMonthYear, $A10,
    CohortIndex, F$3
  )
)</f>
        <v>3</v>
      </c>
      <c r="G10" s="8" cm="1">
        <f t="array" ref="G10">IF(
  DATE(YEAR($A10), MONTH($A10) + G$3, 1) &gt; DATE(2024, 12, 1),
  "",
  SUMIFS(
    UniqueInPeriod,
    CohortMonthYear, $A10,
    CohortIndex, G$3
  )
)</f>
        <v>9</v>
      </c>
      <c r="H10" s="8" t="str" cm="1">
        <f t="array" ref="H10">IF(
  DATE(YEAR($A10), MONTH($A10) + H$3, 1) &gt; DATE(2024, 12, 1),
  "",
  SUMIFS(
    UniqueInPeriod,
    CohortMonthYear, $A10,
    CohortIndex, H$3
  )
)</f>
        <v/>
      </c>
      <c r="I10" s="8" t="str" cm="1">
        <f t="array" ref="I10">IF(
  DATE(YEAR($A10), MONTH($A10) + I$3, 1) &gt; DATE(2024, 12, 1),
  "",
  SUMIFS(
    UniqueInPeriod,
    CohortMonthYear, $A10,
    CohortIndex, I$3
  )
)</f>
        <v/>
      </c>
      <c r="J10" s="8" t="str" cm="1">
        <f t="array" ref="J10">IF(
  DATE(YEAR($A10), MONTH($A10) + J$3, 1) &gt; DATE(2024, 12, 1),
  "",
  SUMIFS(
    UniqueInPeriod,
    CohortMonthYear, $A10,
    CohortIndex, J$3
  )
)</f>
        <v/>
      </c>
      <c r="K10" s="8" t="str" cm="1">
        <f t="array" ref="K10">IF(
  DATE(YEAR($A10), MONTH($A10) + K$3, 1) &gt; DATE(2024, 12, 1),
  "",
  SUMIFS(
    UniqueInPeriod,
    CohortMonthYear, $A10,
    CohortIndex, K$3
  )
)</f>
        <v/>
      </c>
      <c r="L10" s="8" t="str" cm="1">
        <f t="array" ref="L10">IF(
  DATE(YEAR($A10), MONTH($A10) + L$3, 1) &gt; DATE(2024, 12, 1),
  "",
  SUMIFS(
    UniqueInPeriod,
    CohortMonthYear, $A10,
    CohortIndex, L$3
  )
)</f>
        <v/>
      </c>
      <c r="M10" s="8" t="str" cm="1">
        <f t="array" ref="M10">IF(
  DATE(YEAR($A10), MONTH($A10) + M$3, 1) &gt; DATE(2024, 12, 1),
  "",
  SUMIFS(
    UniqueInPeriod,
    CohortMonthYear, $A10,
    CohortIndex, M$3
  )
)</f>
        <v/>
      </c>
      <c r="AB10" s="5"/>
      <c r="AC10" s="5"/>
      <c r="AD10" s="5"/>
    </row>
    <row r="11" spans="1:30" x14ac:dyDescent="0.25">
      <c r="A11" s="7">
        <v>45505</v>
      </c>
      <c r="B11" s="8" cm="1">
        <f t="array" ref="B11">IF(
  DATE(YEAR($A11), MONTH($A11) + B$3, 1) &gt; DATE(2024, 12, 1),
  "",
  SUMIFS(
    UniqueInPeriod,
    CohortMonthYear, $A11,
    CohortIndex, B$3
  )
)</f>
        <v>45</v>
      </c>
      <c r="C11" s="8" cm="1">
        <f t="array" ref="C11">IF(
  DATE(YEAR($A11), MONTH($A11) + C$3, 1) &gt; DATE(2024, 12, 1),
  "",
  SUMIFS(
    UniqueInPeriod,
    CohortMonthYear, $A11,
    CohortIndex, C$3
  )
)</f>
        <v>7</v>
      </c>
      <c r="D11" s="8" cm="1">
        <f t="array" ref="D11">IF(
  DATE(YEAR($A11), MONTH($A11) + D$3, 1) &gt; DATE(2024, 12, 1),
  "",
  SUMIFS(
    UniqueInPeriod,
    CohortMonthYear, $A11,
    CohortIndex, D$3
  )
)</f>
        <v>1</v>
      </c>
      <c r="E11" s="8" cm="1">
        <f t="array" ref="E11">IF(
  DATE(YEAR($A11), MONTH($A11) + E$3, 1) &gt; DATE(2024, 12, 1),
  "",
  SUMIFS(
    UniqueInPeriod,
    CohortMonthYear, $A11,
    CohortIndex, E$3
  )
)</f>
        <v>6</v>
      </c>
      <c r="F11" s="8" cm="1">
        <f t="array" ref="F11">IF(
  DATE(YEAR($A11), MONTH($A11) + F$3, 1) &gt; DATE(2024, 12, 1),
  "",
  SUMIFS(
    UniqueInPeriod,
    CohortMonthYear, $A11,
    CohortIndex, F$3
  )
)</f>
        <v>3</v>
      </c>
      <c r="G11" s="8" t="str" cm="1">
        <f t="array" ref="G11">IF(
  DATE(YEAR($A11), MONTH($A11) + G$3, 1) &gt; DATE(2024, 12, 1),
  "",
  SUMIFS(
    UniqueInPeriod,
    CohortMonthYear, $A11,
    CohortIndex, G$3
  )
)</f>
        <v/>
      </c>
      <c r="H11" s="8" t="str" cm="1">
        <f t="array" ref="H11">IF(
  DATE(YEAR($A11), MONTH($A11) + H$3, 1) &gt; DATE(2024, 12, 1),
  "",
  SUMIFS(
    UniqueInPeriod,
    CohortMonthYear, $A11,
    CohortIndex, H$3
  )
)</f>
        <v/>
      </c>
      <c r="I11" s="8" t="str" cm="1">
        <f t="array" ref="I11">IF(
  DATE(YEAR($A11), MONTH($A11) + I$3, 1) &gt; DATE(2024, 12, 1),
  "",
  SUMIFS(
    UniqueInPeriod,
    CohortMonthYear, $A11,
    CohortIndex, I$3
  )
)</f>
        <v/>
      </c>
      <c r="J11" s="8" t="str" cm="1">
        <f t="array" ref="J11">IF(
  DATE(YEAR($A11), MONTH($A11) + J$3, 1) &gt; DATE(2024, 12, 1),
  "",
  SUMIFS(
    UniqueInPeriod,
    CohortMonthYear, $A11,
    CohortIndex, J$3
  )
)</f>
        <v/>
      </c>
      <c r="K11" s="8" t="str" cm="1">
        <f t="array" ref="K11">IF(
  DATE(YEAR($A11), MONTH($A11) + K$3, 1) &gt; DATE(2024, 12, 1),
  "",
  SUMIFS(
    UniqueInPeriod,
    CohortMonthYear, $A11,
    CohortIndex, K$3
  )
)</f>
        <v/>
      </c>
      <c r="L11" s="8" t="str" cm="1">
        <f t="array" ref="L11">IF(
  DATE(YEAR($A11), MONTH($A11) + L$3, 1) &gt; DATE(2024, 12, 1),
  "",
  SUMIFS(
    UniqueInPeriod,
    CohortMonthYear, $A11,
    CohortIndex, L$3
  )
)</f>
        <v/>
      </c>
      <c r="M11" s="8" t="str" cm="1">
        <f t="array" ref="M11">IF(
  DATE(YEAR($A11), MONTH($A11) + M$3, 1) &gt; DATE(2024, 12, 1),
  "",
  SUMIFS(
    UniqueInPeriod,
    CohortMonthYear, $A11,
    CohortIndex, M$3
  )
)</f>
        <v/>
      </c>
      <c r="AB11" s="5"/>
      <c r="AC11" s="5"/>
      <c r="AD11" s="5"/>
    </row>
    <row r="12" spans="1:30" x14ac:dyDescent="0.25">
      <c r="A12" s="7">
        <v>45536</v>
      </c>
      <c r="B12" s="8" cm="1">
        <f t="array" ref="B12">IF(
  DATE(YEAR($A12), MONTH($A12) + B$3, 1) &gt; DATE(2024, 12, 1),
  "",
  SUMIFS(
    UniqueInPeriod,
    CohortMonthYear, $A12,
    CohortIndex, B$3
  )
)</f>
        <v>42</v>
      </c>
      <c r="C12" s="8" cm="1">
        <f t="array" ref="C12">IF(
  DATE(YEAR($A12), MONTH($A12) + C$3, 1) &gt; DATE(2024, 12, 1),
  "",
  SUMIFS(
    UniqueInPeriod,
    CohortMonthYear, $A12,
    CohortIndex, C$3
  )
)</f>
        <v>4</v>
      </c>
      <c r="D12" s="8" cm="1">
        <f t="array" ref="D12">IF(
  DATE(YEAR($A12), MONTH($A12) + D$3, 1) &gt; DATE(2024, 12, 1),
  "",
  SUMIFS(
    UniqueInPeriod,
    CohortMonthYear, $A12,
    CohortIndex, D$3
  )
)</f>
        <v>3</v>
      </c>
      <c r="E12" s="8" cm="1">
        <f t="array" ref="E12">IF(
  DATE(YEAR($A12), MONTH($A12) + E$3, 1) &gt; DATE(2024, 12, 1),
  "",
  SUMIFS(
    UniqueInPeriod,
    CohortMonthYear, $A12,
    CohortIndex, E$3
  )
)</f>
        <v>3</v>
      </c>
      <c r="F12" s="8" t="str" cm="1">
        <f t="array" ref="F12">IF(
  DATE(YEAR($A12), MONTH($A12) + F$3, 1) &gt; DATE(2024, 12, 1),
  "",
  SUMIFS(
    UniqueInPeriod,
    CohortMonthYear, $A12,
    CohortIndex, F$3
  )
)</f>
        <v/>
      </c>
      <c r="G12" s="8" t="str" cm="1">
        <f t="array" ref="G12">IF(
  DATE(YEAR($A12), MONTH($A12) + G$3, 1) &gt; DATE(2024, 12, 1),
  "",
  SUMIFS(
    UniqueInPeriod,
    CohortMonthYear, $A12,
    CohortIndex, G$3
  )
)</f>
        <v/>
      </c>
      <c r="H12" s="8" t="str" cm="1">
        <f t="array" ref="H12">IF(
  DATE(YEAR($A12), MONTH($A12) + H$3, 1) &gt; DATE(2024, 12, 1),
  "",
  SUMIFS(
    UniqueInPeriod,
    CohortMonthYear, $A12,
    CohortIndex, H$3
  )
)</f>
        <v/>
      </c>
      <c r="I12" s="8" t="str" cm="1">
        <f t="array" ref="I12">IF(
  DATE(YEAR($A12), MONTH($A12) + I$3, 1) &gt; DATE(2024, 12, 1),
  "",
  SUMIFS(
    UniqueInPeriod,
    CohortMonthYear, $A12,
    CohortIndex, I$3
  )
)</f>
        <v/>
      </c>
      <c r="J12" s="8" t="str" cm="1">
        <f t="array" ref="J12">IF(
  DATE(YEAR($A12), MONTH($A12) + J$3, 1) &gt; DATE(2024, 12, 1),
  "",
  SUMIFS(
    UniqueInPeriod,
    CohortMonthYear, $A12,
    CohortIndex, J$3
  )
)</f>
        <v/>
      </c>
      <c r="K12" s="8" t="str" cm="1">
        <f t="array" ref="K12">IF(
  DATE(YEAR($A12), MONTH($A12) + K$3, 1) &gt; DATE(2024, 12, 1),
  "",
  SUMIFS(
    UniqueInPeriod,
    CohortMonthYear, $A12,
    CohortIndex, K$3
  )
)</f>
        <v/>
      </c>
      <c r="L12" s="8" t="str" cm="1">
        <f t="array" ref="L12">IF(
  DATE(YEAR($A12), MONTH($A12) + L$3, 1) &gt; DATE(2024, 12, 1),
  "",
  SUMIFS(
    UniqueInPeriod,
    CohortMonthYear, $A12,
    CohortIndex, L$3
  )
)</f>
        <v/>
      </c>
      <c r="M12" s="8" t="str" cm="1">
        <f t="array" ref="M12">IF(
  DATE(YEAR($A12), MONTH($A12) + M$3, 1) &gt; DATE(2024, 12, 1),
  "",
  SUMIFS(
    UniqueInPeriod,
    CohortMonthYear, $A12,
    CohortIndex, M$3
  )
)</f>
        <v/>
      </c>
      <c r="AB12" s="5"/>
      <c r="AC12" s="5"/>
      <c r="AD12" s="5"/>
    </row>
    <row r="13" spans="1:30" x14ac:dyDescent="0.25">
      <c r="A13" s="7">
        <v>45566</v>
      </c>
      <c r="B13" s="8" cm="1">
        <f t="array" ref="B13">IF(
  DATE(YEAR($A13), MONTH($A13) + B$3, 1) &gt; DATE(2024, 12, 1),
  "",
  SUMIFS(
    UniqueInPeriod,
    CohortMonthYear, $A13,
    CohortIndex, B$3
  )
)</f>
        <v>34</v>
      </c>
      <c r="C13" s="8" cm="1">
        <f t="array" ref="C13">IF(
  DATE(YEAR($A13), MONTH($A13) + C$3, 1) &gt; DATE(2024, 12, 1),
  "",
  SUMIFS(
    UniqueInPeriod,
    CohortMonthYear, $A13,
    CohortIndex, C$3
  )
)</f>
        <v>6</v>
      </c>
      <c r="D13" s="8" cm="1">
        <f t="array" ref="D13">IF(
  DATE(YEAR($A13), MONTH($A13) + D$3, 1) &gt; DATE(2024, 12, 1),
  "",
  SUMIFS(
    UniqueInPeriod,
    CohortMonthYear, $A13,
    CohortIndex, D$3
  )
)</f>
        <v>4</v>
      </c>
      <c r="E13" s="8" t="str" cm="1">
        <f t="array" ref="E13">IF(
  DATE(YEAR($A13), MONTH($A13) + E$3, 1) &gt; DATE(2024, 12, 1),
  "",
  SUMIFS(
    UniqueInPeriod,
    CohortMonthYear, $A13,
    CohortIndex, E$3
  )
)</f>
        <v/>
      </c>
      <c r="F13" s="8" t="str" cm="1">
        <f t="array" ref="F13">IF(
  DATE(YEAR($A13), MONTH($A13) + F$3, 1) &gt; DATE(2024, 12, 1),
  "",
  SUMIFS(
    UniqueInPeriod,
    CohortMonthYear, $A13,
    CohortIndex, F$3
  )
)</f>
        <v/>
      </c>
      <c r="G13" s="8" t="str" cm="1">
        <f t="array" ref="G13">IF(
  DATE(YEAR($A13), MONTH($A13) + G$3, 1) &gt; DATE(2024, 12, 1),
  "",
  SUMIFS(
    UniqueInPeriod,
    CohortMonthYear, $A13,
    CohortIndex, G$3
  )
)</f>
        <v/>
      </c>
      <c r="H13" s="8" t="str" cm="1">
        <f t="array" ref="H13">IF(
  DATE(YEAR($A13), MONTH($A13) + H$3, 1) &gt; DATE(2024, 12, 1),
  "",
  SUMIFS(
    UniqueInPeriod,
    CohortMonthYear, $A13,
    CohortIndex, H$3
  )
)</f>
        <v/>
      </c>
      <c r="I13" s="8" t="str" cm="1">
        <f t="array" ref="I13">IF(
  DATE(YEAR($A13), MONTH($A13) + I$3, 1) &gt; DATE(2024, 12, 1),
  "",
  SUMIFS(
    UniqueInPeriod,
    CohortMonthYear, $A13,
    CohortIndex, I$3
  )
)</f>
        <v/>
      </c>
      <c r="J13" s="8" t="str" cm="1">
        <f t="array" ref="J13">IF(
  DATE(YEAR($A13), MONTH($A13) + J$3, 1) &gt; DATE(2024, 12, 1),
  "",
  SUMIFS(
    UniqueInPeriod,
    CohortMonthYear, $A13,
    CohortIndex, J$3
  )
)</f>
        <v/>
      </c>
      <c r="K13" s="8" t="str" cm="1">
        <f t="array" ref="K13">IF(
  DATE(YEAR($A13), MONTH($A13) + K$3, 1) &gt; DATE(2024, 12, 1),
  "",
  SUMIFS(
    UniqueInPeriod,
    CohortMonthYear, $A13,
    CohortIndex, K$3
  )
)</f>
        <v/>
      </c>
      <c r="L13" s="8" t="str" cm="1">
        <f t="array" ref="L13">IF(
  DATE(YEAR($A13), MONTH($A13) + L$3, 1) &gt; DATE(2024, 12, 1),
  "",
  SUMIFS(
    UniqueInPeriod,
    CohortMonthYear, $A13,
    CohortIndex, L$3
  )
)</f>
        <v/>
      </c>
      <c r="M13" s="8" t="str" cm="1">
        <f t="array" ref="M13">IF(
  DATE(YEAR($A13), MONTH($A13) + M$3, 1) &gt; DATE(2024, 12, 1),
  "",
  SUMIFS(
    UniqueInPeriod,
    CohortMonthYear, $A13,
    CohortIndex, M$3
  )
)</f>
        <v/>
      </c>
      <c r="AB13" s="5"/>
      <c r="AC13" s="5"/>
      <c r="AD13" s="5"/>
    </row>
    <row r="14" spans="1:30" x14ac:dyDescent="0.25">
      <c r="A14" s="7">
        <v>45597</v>
      </c>
      <c r="B14" s="8" cm="1">
        <f t="array" ref="B14">IF(
  DATE(YEAR($A14), MONTH($A14) + B$3, 1) &gt; DATE(2024, 12, 1),
  "",
  SUMIFS(
    UniqueInPeriod,
    CohortMonthYear, $A14,
    CohortIndex, B$3
  )
)</f>
        <v>24</v>
      </c>
      <c r="C14" s="8" cm="1">
        <f t="array" ref="C14">IF(
  DATE(YEAR($A14), MONTH($A14) + C$3, 1) &gt; DATE(2024, 12, 1),
  "",
  SUMIFS(
    UniqueInPeriod,
    CohortMonthYear, $A14,
    CohortIndex, C$3
  )
)</f>
        <v>0</v>
      </c>
      <c r="D14" s="8" t="str" cm="1">
        <f t="array" ref="D14">IF(
  DATE(YEAR($A14), MONTH($A14) + D$3, 1) &gt; DATE(2024, 12, 1),
  "",
  SUMIFS(
    UniqueInPeriod,
    CohortMonthYear, $A14,
    CohortIndex, D$3
  )
)</f>
        <v/>
      </c>
      <c r="E14" s="8" t="str" cm="1">
        <f t="array" ref="E14">IF(
  DATE(YEAR($A14), MONTH($A14) + E$3, 1) &gt; DATE(2024, 12, 1),
  "",
  SUMIFS(
    UniqueInPeriod,
    CohortMonthYear, $A14,
    CohortIndex, E$3
  )
)</f>
        <v/>
      </c>
      <c r="F14" s="8" t="str" cm="1">
        <f t="array" ref="F14">IF(
  DATE(YEAR($A14), MONTH($A14) + F$3, 1) &gt; DATE(2024, 12, 1),
  "",
  SUMIFS(
    UniqueInPeriod,
    CohortMonthYear, $A14,
    CohortIndex, F$3
  )
)</f>
        <v/>
      </c>
      <c r="G14" s="8" t="str" cm="1">
        <f t="array" ref="G14">IF(
  DATE(YEAR($A14), MONTH($A14) + G$3, 1) &gt; DATE(2024, 12, 1),
  "",
  SUMIFS(
    UniqueInPeriod,
    CohortMonthYear, $A14,
    CohortIndex, G$3
  )
)</f>
        <v/>
      </c>
      <c r="H14" s="8" t="str" cm="1">
        <f t="array" ref="H14">IF(
  DATE(YEAR($A14), MONTH($A14) + H$3, 1) &gt; DATE(2024, 12, 1),
  "",
  SUMIFS(
    UniqueInPeriod,
    CohortMonthYear, $A14,
    CohortIndex, H$3
  )
)</f>
        <v/>
      </c>
      <c r="I14" s="8" t="str" cm="1">
        <f t="array" ref="I14">IF(
  DATE(YEAR($A14), MONTH($A14) + I$3, 1) &gt; DATE(2024, 12, 1),
  "",
  SUMIFS(
    UniqueInPeriod,
    CohortMonthYear, $A14,
    CohortIndex, I$3
  )
)</f>
        <v/>
      </c>
      <c r="J14" s="8" t="str" cm="1">
        <f t="array" ref="J14">IF(
  DATE(YEAR($A14), MONTH($A14) + J$3, 1) &gt; DATE(2024, 12, 1),
  "",
  SUMIFS(
    UniqueInPeriod,
    CohortMonthYear, $A14,
    CohortIndex, J$3
  )
)</f>
        <v/>
      </c>
      <c r="K14" s="8" t="str" cm="1">
        <f t="array" ref="K14">IF(
  DATE(YEAR($A14), MONTH($A14) + K$3, 1) &gt; DATE(2024, 12, 1),
  "",
  SUMIFS(
    UniqueInPeriod,
    CohortMonthYear, $A14,
    CohortIndex, K$3
  )
)</f>
        <v/>
      </c>
      <c r="L14" s="8" t="str" cm="1">
        <f t="array" ref="L14">IF(
  DATE(YEAR($A14), MONTH($A14) + L$3, 1) &gt; DATE(2024, 12, 1),
  "",
  SUMIFS(
    UniqueInPeriod,
    CohortMonthYear, $A14,
    CohortIndex, L$3
  )
)</f>
        <v/>
      </c>
      <c r="M14" s="8" t="str" cm="1">
        <f t="array" ref="M14">IF(
  DATE(YEAR($A14), MONTH($A14) + M$3, 1) &gt; DATE(2024, 12, 1),
  "",
  SUMIFS(
    UniqueInPeriod,
    CohortMonthYear, $A14,
    CohortIndex, M$3
  )
)</f>
        <v/>
      </c>
      <c r="AB14" s="5"/>
      <c r="AC14" s="5"/>
      <c r="AD14" s="5"/>
    </row>
    <row r="15" spans="1:30" x14ac:dyDescent="0.25">
      <c r="A15" s="7">
        <v>45627</v>
      </c>
      <c r="B15" s="8" cm="1">
        <f t="array" ref="B15">IF(
  DATE(YEAR($A15), MONTH($A15) + B$3, 1) &gt; DATE(2024, 12, 1),
  "",
  SUMIFS(
    UniqueInPeriod,
    CohortMonthYear, $A15,
    CohortIndex, B$3
  )
)</f>
        <v>25</v>
      </c>
      <c r="C15" s="8" t="str" cm="1">
        <f t="array" ref="C15">IF(
  DATE(YEAR($A15), MONTH($A15) + C$3, 1) &gt; DATE(2024, 12, 1),
  "",
  SUMIFS(
    UniqueInPeriod,
    CohortMonthYear, $A15,
    CohortIndex, C$3
  )
)</f>
        <v/>
      </c>
      <c r="D15" s="8" t="str" cm="1">
        <f t="array" ref="D15">IF(
  DATE(YEAR($A15), MONTH($A15) + D$3, 1) &gt; DATE(2024, 12, 1),
  "",
  SUMIFS(
    UniqueInPeriod,
    CohortMonthYear, $A15,
    CohortIndex, D$3
  )
)</f>
        <v/>
      </c>
      <c r="E15" s="8" t="str" cm="1">
        <f t="array" ref="E15">IF(
  DATE(YEAR($A15), MONTH($A15) + E$3, 1) &gt; DATE(2024, 12, 1),
  "",
  SUMIFS(
    UniqueInPeriod,
    CohortMonthYear, $A15,
    CohortIndex, E$3
  )
)</f>
        <v/>
      </c>
      <c r="F15" s="8" t="str" cm="1">
        <f t="array" ref="F15">IF(
  DATE(YEAR($A15), MONTH($A15) + F$3, 1) &gt; DATE(2024, 12, 1),
  "",
  SUMIFS(
    UniqueInPeriod,
    CohortMonthYear, $A15,
    CohortIndex, F$3
  )
)</f>
        <v/>
      </c>
      <c r="G15" s="8" t="str" cm="1">
        <f t="array" ref="G15">IF(
  DATE(YEAR($A15), MONTH($A15) + G$3, 1) &gt; DATE(2024, 12, 1),
  "",
  SUMIFS(
    UniqueInPeriod,
    CohortMonthYear, $A15,
    CohortIndex, G$3
  )
)</f>
        <v/>
      </c>
      <c r="H15" s="8" t="str" cm="1">
        <f t="array" ref="H15">IF(
  DATE(YEAR($A15), MONTH($A15) + H$3, 1) &gt; DATE(2024, 12, 1),
  "",
  SUMIFS(
    UniqueInPeriod,
    CohortMonthYear, $A15,
    CohortIndex, H$3
  )
)</f>
        <v/>
      </c>
      <c r="I15" s="8" t="str" cm="1">
        <f t="array" ref="I15">IF(
  DATE(YEAR($A15), MONTH($A15) + I$3, 1) &gt; DATE(2024, 12, 1),
  "",
  SUMIFS(
    UniqueInPeriod,
    CohortMonthYear, $A15,
    CohortIndex, I$3
  )
)</f>
        <v/>
      </c>
      <c r="J15" s="8" t="str" cm="1">
        <f t="array" ref="J15">IF(
  DATE(YEAR($A15), MONTH($A15) + J$3, 1) &gt; DATE(2024, 12, 1),
  "",
  SUMIFS(
    UniqueInPeriod,
    CohortMonthYear, $A15,
    CohortIndex, J$3
  )
)</f>
        <v/>
      </c>
      <c r="K15" s="8" t="str" cm="1">
        <f t="array" ref="K15">IF(
  DATE(YEAR($A15), MONTH($A15) + K$3, 1) &gt; DATE(2024, 12, 1),
  "",
  SUMIFS(
    UniqueInPeriod,
    CohortMonthYear, $A15,
    CohortIndex, K$3
  )
)</f>
        <v/>
      </c>
      <c r="L15" s="8" t="str" cm="1">
        <f t="array" ref="L15">IF(
  DATE(YEAR($A15), MONTH($A15) + L$3, 1) &gt; DATE(2024, 12, 1),
  "",
  SUMIFS(
    UniqueInPeriod,
    CohortMonthYear, $A15,
    CohortIndex, L$3
  )
)</f>
        <v/>
      </c>
      <c r="M15" s="8" t="str" cm="1">
        <f t="array" ref="M15">IF(
  DATE(YEAR($A15), MONTH($A15) + M$3, 1) &gt; DATE(2024, 12, 1),
  "",
  SUMIFS(
    UniqueInPeriod,
    CohortMonthYear, $A15,
    CohortIndex, M$3
  )
)</f>
        <v/>
      </c>
      <c r="AB15" s="5"/>
      <c r="AC15" s="5"/>
      <c r="AD15" s="5"/>
    </row>
    <row r="20" spans="2:27" x14ac:dyDescent="0.25">
      <c r="B20" s="12">
        <f>DATE(YEAR($A4), MONTH($A4) + B$3, 1)</f>
        <v>45292</v>
      </c>
      <c r="C20" s="12">
        <f>DATE(YEAR($A4), MONTH($A4) + C$3, 1)</f>
        <v>45323</v>
      </c>
      <c r="D20" s="12">
        <f>DATE(YEAR($A4), MONTH($A4) + D$3, 1)</f>
        <v>45352</v>
      </c>
      <c r="E20" s="12">
        <f>DATE(YEAR($A4), MONTH($A4) + E$3, 1)</f>
        <v>45383</v>
      </c>
      <c r="F20" s="12">
        <f t="shared" ref="C20:M20" si="0">DATE(YEAR($A4), MONTH($A4) + F$3, 1)</f>
        <v>45413</v>
      </c>
      <c r="G20" s="12">
        <f t="shared" si="0"/>
        <v>45444</v>
      </c>
      <c r="H20" s="12">
        <f t="shared" si="0"/>
        <v>45474</v>
      </c>
      <c r="I20" s="12">
        <f t="shared" si="0"/>
        <v>45505</v>
      </c>
      <c r="J20" s="12">
        <f t="shared" si="0"/>
        <v>45536</v>
      </c>
      <c r="K20" s="12">
        <f t="shared" si="0"/>
        <v>45566</v>
      </c>
      <c r="L20" s="12">
        <f t="shared" si="0"/>
        <v>45597</v>
      </c>
      <c r="M20" s="12">
        <f t="shared" si="0"/>
        <v>45627</v>
      </c>
      <c r="P20" t="b">
        <f>DATE(YEAR($A4),MONTH($A4)+B$3,1)&gt;DATE(2024,12,1)</f>
        <v>0</v>
      </c>
      <c r="Q20" s="5" t="b">
        <f>DATE(YEAR($A4),MONTH($A4)+C$3,1)&gt;DATE(2024,12,1)</f>
        <v>0</v>
      </c>
      <c r="R20" s="5" t="b">
        <f>DATE(YEAR($A4),MONTH($A4)+D$3,1)&gt;DATE(2024,12,1)</f>
        <v>0</v>
      </c>
      <c r="S20" s="5" t="b">
        <f>DATE(YEAR($A4),MONTH($A4)+E$3,1)&gt;DATE(2024,12,1)</f>
        <v>0</v>
      </c>
      <c r="T20" s="5" t="b">
        <f>DATE(YEAR($A4),MONTH($A4)+F$3,1)&gt;DATE(2024,12,1)</f>
        <v>0</v>
      </c>
      <c r="U20" s="5" t="b">
        <f>DATE(YEAR($A4),MONTH($A4)+G$3,1)&gt;DATE(2024,12,1)</f>
        <v>0</v>
      </c>
      <c r="V20" s="5" t="b">
        <f>DATE(YEAR($A4),MONTH($A4)+H$3,1)&gt;DATE(2024,12,1)</f>
        <v>0</v>
      </c>
      <c r="W20" s="5" t="b">
        <f>DATE(YEAR($A4),MONTH($A4)+I$3,1)&gt;DATE(2024,12,1)</f>
        <v>0</v>
      </c>
      <c r="X20" s="5" t="b">
        <f>DATE(YEAR($A4),MONTH($A4)+J$3,1)&gt;DATE(2024,12,1)</f>
        <v>0</v>
      </c>
      <c r="Y20" s="5" t="b">
        <f>DATE(YEAR($A4),MONTH($A4)+K$3,1)&gt;DATE(2024,12,1)</f>
        <v>0</v>
      </c>
      <c r="Z20" s="5" t="b">
        <f>DATE(YEAR($A4),MONTH($A4)+L$3,1)&gt;DATE(2024,12,1)</f>
        <v>0</v>
      </c>
      <c r="AA20" s="5" t="b">
        <f>DATE(YEAR($A4),MONTH($A4)+M$3,1)&gt;DATE(2024,12,1)</f>
        <v>0</v>
      </c>
    </row>
    <row r="21" spans="2:27" x14ac:dyDescent="0.25">
      <c r="B21" s="12">
        <f t="shared" ref="B20:M21" si="1">DATE(YEAR($A5), MONTH($A5) + B$3, 1)</f>
        <v>45323</v>
      </c>
      <c r="C21" s="12">
        <f t="shared" si="1"/>
        <v>45352</v>
      </c>
      <c r="D21" s="12">
        <f t="shared" si="1"/>
        <v>45383</v>
      </c>
      <c r="E21" s="12">
        <f t="shared" si="1"/>
        <v>45413</v>
      </c>
      <c r="F21" s="12">
        <f t="shared" si="1"/>
        <v>45444</v>
      </c>
      <c r="G21" s="12">
        <f t="shared" si="1"/>
        <v>45474</v>
      </c>
      <c r="H21" s="12">
        <f t="shared" si="1"/>
        <v>45505</v>
      </c>
      <c r="I21" s="12">
        <f t="shared" si="1"/>
        <v>45536</v>
      </c>
      <c r="J21" s="12">
        <f t="shared" si="1"/>
        <v>45566</v>
      </c>
      <c r="K21" s="12">
        <f t="shared" si="1"/>
        <v>45597</v>
      </c>
      <c r="L21" s="12">
        <f t="shared" si="1"/>
        <v>45627</v>
      </c>
      <c r="M21" s="12">
        <f t="shared" si="1"/>
        <v>45658</v>
      </c>
      <c r="P21" s="5" t="b">
        <f>DATE(YEAR($A5),MONTH($A5)+B$3,1)&gt;DATE(2024,12,1)</f>
        <v>0</v>
      </c>
      <c r="Q21" s="5" t="b">
        <f>DATE(YEAR($A5),MONTH($A5)+C$3,1)&gt;DATE(2024,12,1)</f>
        <v>0</v>
      </c>
      <c r="R21" s="5" t="b">
        <f>DATE(YEAR($A5),MONTH($A5)+D$3,1)&gt;DATE(2024,12,1)</f>
        <v>0</v>
      </c>
      <c r="S21" s="5" t="b">
        <f>DATE(YEAR($A5),MONTH($A5)+E$3,1)&gt;DATE(2024,12,1)</f>
        <v>0</v>
      </c>
      <c r="T21" s="5" t="b">
        <f>DATE(YEAR($A5),MONTH($A5)+F$3,1)&gt;DATE(2024,12,1)</f>
        <v>0</v>
      </c>
      <c r="U21" s="5" t="b">
        <f>DATE(YEAR($A5),MONTH($A5)+G$3,1)&gt;DATE(2024,12,1)</f>
        <v>0</v>
      </c>
      <c r="V21" s="5" t="b">
        <f>DATE(YEAR($A5),MONTH($A5)+H$3,1)&gt;DATE(2024,12,1)</f>
        <v>0</v>
      </c>
      <c r="W21" s="5" t="b">
        <f>DATE(YEAR($A5),MONTH($A5)+I$3,1)&gt;DATE(2024,12,1)</f>
        <v>0</v>
      </c>
      <c r="X21" s="5" t="b">
        <f>DATE(YEAR($A5),MONTH($A5)+J$3,1)&gt;DATE(2024,12,1)</f>
        <v>0</v>
      </c>
      <c r="Y21" s="5" t="b">
        <f>DATE(YEAR($A5),MONTH($A5)+K$3,1)&gt;DATE(2024,12,1)</f>
        <v>0</v>
      </c>
      <c r="Z21" s="5" t="b">
        <f>DATE(YEAR($A5),MONTH($A5)+L$3,1)&gt;DATE(2024,12,1)</f>
        <v>0</v>
      </c>
      <c r="AA21" s="5" t="b">
        <f>DATE(YEAR($A5),MONTH($A5)+M$3,1)&gt;DATE(2024,12,1)</f>
        <v>1</v>
      </c>
    </row>
    <row r="22" spans="2:27" x14ac:dyDescent="0.25">
      <c r="B22" s="12">
        <f t="shared" ref="B22:M22" si="2">DATE(YEAR($A6), MONTH($A6) + B$3, 1)</f>
        <v>45352</v>
      </c>
      <c r="C22" s="12">
        <f t="shared" si="2"/>
        <v>45383</v>
      </c>
      <c r="D22" s="12">
        <f t="shared" si="2"/>
        <v>45413</v>
      </c>
      <c r="E22" s="12">
        <f t="shared" si="2"/>
        <v>45444</v>
      </c>
      <c r="F22" s="12">
        <f t="shared" si="2"/>
        <v>45474</v>
      </c>
      <c r="G22" s="12">
        <f t="shared" si="2"/>
        <v>45505</v>
      </c>
      <c r="H22" s="12">
        <f t="shared" si="2"/>
        <v>45536</v>
      </c>
      <c r="I22" s="12">
        <f t="shared" si="2"/>
        <v>45566</v>
      </c>
      <c r="J22" s="12">
        <f t="shared" si="2"/>
        <v>45597</v>
      </c>
      <c r="K22" s="12">
        <f t="shared" si="2"/>
        <v>45627</v>
      </c>
      <c r="L22" s="12">
        <f t="shared" si="2"/>
        <v>45658</v>
      </c>
      <c r="M22" s="12">
        <f t="shared" si="2"/>
        <v>45689</v>
      </c>
      <c r="P22" s="5" t="b">
        <f>DATE(YEAR($A6),MONTH($A6)+B$3,1)&gt;DATE(2024,12,1)</f>
        <v>0</v>
      </c>
      <c r="Q22" s="5" t="b">
        <f>DATE(YEAR($A6),MONTH($A6)+C$3,1)&gt;DATE(2024,12,1)</f>
        <v>0</v>
      </c>
      <c r="R22" s="5" t="b">
        <f>DATE(YEAR($A6),MONTH($A6)+D$3,1)&gt;DATE(2024,12,1)</f>
        <v>0</v>
      </c>
      <c r="S22" s="5" t="b">
        <f>DATE(YEAR($A6),MONTH($A6)+E$3,1)&gt;DATE(2024,12,1)</f>
        <v>0</v>
      </c>
      <c r="T22" s="5" t="b">
        <f>DATE(YEAR($A6),MONTH($A6)+F$3,1)&gt;DATE(2024,12,1)</f>
        <v>0</v>
      </c>
      <c r="U22" s="5" t="b">
        <f>DATE(YEAR($A6),MONTH($A6)+G$3,1)&gt;DATE(2024,12,1)</f>
        <v>0</v>
      </c>
      <c r="V22" s="5" t="b">
        <f>DATE(YEAR($A6),MONTH($A6)+H$3,1)&gt;DATE(2024,12,1)</f>
        <v>0</v>
      </c>
      <c r="W22" s="5" t="b">
        <f>DATE(YEAR($A6),MONTH($A6)+I$3,1)&gt;DATE(2024,12,1)</f>
        <v>0</v>
      </c>
      <c r="X22" s="5" t="b">
        <f>DATE(YEAR($A6),MONTH($A6)+J$3,1)&gt;DATE(2024,12,1)</f>
        <v>0</v>
      </c>
      <c r="Y22" s="5" t="b">
        <f>DATE(YEAR($A6),MONTH($A6)+K$3,1)&gt;DATE(2024,12,1)</f>
        <v>0</v>
      </c>
      <c r="Z22" s="5" t="b">
        <f>DATE(YEAR($A6),MONTH($A6)+L$3,1)&gt;DATE(2024,12,1)</f>
        <v>1</v>
      </c>
      <c r="AA22" s="5" t="b">
        <f>DATE(YEAR($A6),MONTH($A6)+M$3,1)&gt;DATE(2024,12,1)</f>
        <v>1</v>
      </c>
    </row>
    <row r="23" spans="2:27" x14ac:dyDescent="0.25">
      <c r="B23" s="12">
        <f t="shared" ref="B23:M23" si="3">DATE(YEAR($A7), MONTH($A7) + B$3, 1)</f>
        <v>45383</v>
      </c>
      <c r="C23" s="12">
        <f t="shared" si="3"/>
        <v>45413</v>
      </c>
      <c r="D23" s="12">
        <f t="shared" si="3"/>
        <v>45444</v>
      </c>
      <c r="E23" s="12">
        <f t="shared" si="3"/>
        <v>45474</v>
      </c>
      <c r="F23" s="12">
        <f t="shared" si="3"/>
        <v>45505</v>
      </c>
      <c r="G23" s="12">
        <f t="shared" si="3"/>
        <v>45536</v>
      </c>
      <c r="H23" s="12">
        <f t="shared" si="3"/>
        <v>45566</v>
      </c>
      <c r="I23" s="12">
        <f t="shared" si="3"/>
        <v>45597</v>
      </c>
      <c r="J23" s="12">
        <f t="shared" si="3"/>
        <v>45627</v>
      </c>
      <c r="K23" s="12">
        <f t="shared" si="3"/>
        <v>45658</v>
      </c>
      <c r="L23" s="12">
        <f t="shared" si="3"/>
        <v>45689</v>
      </c>
      <c r="M23" s="12">
        <f t="shared" si="3"/>
        <v>45717</v>
      </c>
      <c r="P23" s="5" t="b">
        <f>DATE(YEAR($A7),MONTH($A7)+B$3,1)&gt;DATE(2024,12,1)</f>
        <v>0</v>
      </c>
      <c r="Q23" s="5" t="b">
        <f>DATE(YEAR($A7),MONTH($A7)+C$3,1)&gt;DATE(2024,12,1)</f>
        <v>0</v>
      </c>
      <c r="R23" s="5" t="b">
        <f>DATE(YEAR($A7),MONTH($A7)+D$3,1)&gt;DATE(2024,12,1)</f>
        <v>0</v>
      </c>
      <c r="S23" s="5" t="b">
        <f>DATE(YEAR($A7),MONTH($A7)+E$3,1)&gt;DATE(2024,12,1)</f>
        <v>0</v>
      </c>
      <c r="T23" s="5" t="b">
        <f>DATE(YEAR($A7),MONTH($A7)+F$3,1)&gt;DATE(2024,12,1)</f>
        <v>0</v>
      </c>
      <c r="U23" s="5" t="b">
        <f>DATE(YEAR($A7),MONTH($A7)+G$3,1)&gt;DATE(2024,12,1)</f>
        <v>0</v>
      </c>
      <c r="V23" s="5" t="b">
        <f>DATE(YEAR($A7),MONTH($A7)+H$3,1)&gt;DATE(2024,12,1)</f>
        <v>0</v>
      </c>
      <c r="W23" s="5" t="b">
        <f>DATE(YEAR($A7),MONTH($A7)+I$3,1)&gt;DATE(2024,12,1)</f>
        <v>0</v>
      </c>
      <c r="X23" s="5" t="b">
        <f>DATE(YEAR($A7),MONTH($A7)+J$3,1)&gt;DATE(2024,12,1)</f>
        <v>0</v>
      </c>
      <c r="Y23" s="5" t="b">
        <f>DATE(YEAR($A7),MONTH($A7)+K$3,1)&gt;DATE(2024,12,1)</f>
        <v>1</v>
      </c>
      <c r="Z23" s="5" t="b">
        <f>DATE(YEAR($A7),MONTH($A7)+L$3,1)&gt;DATE(2024,12,1)</f>
        <v>1</v>
      </c>
      <c r="AA23" s="5" t="b">
        <f>DATE(YEAR($A7),MONTH($A7)+M$3,1)&gt;DATE(2024,12,1)</f>
        <v>1</v>
      </c>
    </row>
    <row r="24" spans="2:27" x14ac:dyDescent="0.25">
      <c r="B24" s="12">
        <f t="shared" ref="B24:M24" si="4">DATE(YEAR($A8), MONTH($A8) + B$3, 1)</f>
        <v>45413</v>
      </c>
      <c r="C24" s="12">
        <f t="shared" si="4"/>
        <v>45444</v>
      </c>
      <c r="D24" s="12">
        <f t="shared" si="4"/>
        <v>45474</v>
      </c>
      <c r="E24" s="12">
        <f t="shared" si="4"/>
        <v>45505</v>
      </c>
      <c r="F24" s="12">
        <f t="shared" si="4"/>
        <v>45536</v>
      </c>
      <c r="G24" s="12">
        <f t="shared" si="4"/>
        <v>45566</v>
      </c>
      <c r="H24" s="12">
        <f t="shared" si="4"/>
        <v>45597</v>
      </c>
      <c r="I24" s="12">
        <f t="shared" si="4"/>
        <v>45627</v>
      </c>
      <c r="J24" s="12">
        <f t="shared" si="4"/>
        <v>45658</v>
      </c>
      <c r="K24" s="12">
        <f t="shared" si="4"/>
        <v>45689</v>
      </c>
      <c r="L24" s="12">
        <f t="shared" si="4"/>
        <v>45717</v>
      </c>
      <c r="M24" s="12">
        <f t="shared" si="4"/>
        <v>45748</v>
      </c>
      <c r="P24" s="5" t="b">
        <f>DATE(YEAR($A8),MONTH($A8)+B$3,1)&gt;DATE(2024,12,1)</f>
        <v>0</v>
      </c>
      <c r="Q24" s="5" t="b">
        <f>DATE(YEAR($A8),MONTH($A8)+C$3,1)&gt;DATE(2024,12,1)</f>
        <v>0</v>
      </c>
      <c r="R24" s="5" t="b">
        <f>DATE(YEAR($A8),MONTH($A8)+D$3,1)&gt;DATE(2024,12,1)</f>
        <v>0</v>
      </c>
      <c r="S24" s="5" t="b">
        <f>DATE(YEAR($A8),MONTH($A8)+E$3,1)&gt;DATE(2024,12,1)</f>
        <v>0</v>
      </c>
      <c r="T24" s="5" t="b">
        <f>DATE(YEAR($A8),MONTH($A8)+F$3,1)&gt;DATE(2024,12,1)</f>
        <v>0</v>
      </c>
      <c r="U24" s="5" t="b">
        <f>DATE(YEAR($A8),MONTH($A8)+G$3,1)&gt;DATE(2024,12,1)</f>
        <v>0</v>
      </c>
      <c r="V24" s="5" t="b">
        <f>DATE(YEAR($A8),MONTH($A8)+H$3,1)&gt;DATE(2024,12,1)</f>
        <v>0</v>
      </c>
      <c r="W24" s="5" t="b">
        <f>DATE(YEAR($A8),MONTH($A8)+I$3,1)&gt;DATE(2024,12,1)</f>
        <v>0</v>
      </c>
      <c r="X24" s="5" t="b">
        <f>DATE(YEAR($A8),MONTH($A8)+J$3,1)&gt;DATE(2024,12,1)</f>
        <v>1</v>
      </c>
      <c r="Y24" s="5" t="b">
        <f>DATE(YEAR($A8),MONTH($A8)+K$3,1)&gt;DATE(2024,12,1)</f>
        <v>1</v>
      </c>
      <c r="Z24" s="5" t="b">
        <f>DATE(YEAR($A8),MONTH($A8)+L$3,1)&gt;DATE(2024,12,1)</f>
        <v>1</v>
      </c>
      <c r="AA24" s="5" t="b">
        <f>DATE(YEAR($A8),MONTH($A8)+M$3,1)&gt;DATE(2024,12,1)</f>
        <v>1</v>
      </c>
    </row>
    <row r="25" spans="2:27" x14ac:dyDescent="0.25">
      <c r="B25" s="12">
        <f t="shared" ref="B25:M25" si="5">DATE(YEAR($A9), MONTH($A9) + B$3, 1)</f>
        <v>45444</v>
      </c>
      <c r="C25" s="12">
        <f t="shared" si="5"/>
        <v>45474</v>
      </c>
      <c r="D25" s="12">
        <f t="shared" si="5"/>
        <v>45505</v>
      </c>
      <c r="E25" s="12">
        <f t="shared" si="5"/>
        <v>45536</v>
      </c>
      <c r="F25" s="12">
        <f t="shared" si="5"/>
        <v>45566</v>
      </c>
      <c r="G25" s="12">
        <f t="shared" si="5"/>
        <v>45597</v>
      </c>
      <c r="H25" s="12">
        <f t="shared" si="5"/>
        <v>45627</v>
      </c>
      <c r="I25" s="12">
        <f t="shared" si="5"/>
        <v>45658</v>
      </c>
      <c r="J25" s="12">
        <f t="shared" si="5"/>
        <v>45689</v>
      </c>
      <c r="K25" s="12">
        <f t="shared" si="5"/>
        <v>45717</v>
      </c>
      <c r="L25" s="12">
        <f t="shared" si="5"/>
        <v>45748</v>
      </c>
      <c r="M25" s="12">
        <f t="shared" si="5"/>
        <v>45778</v>
      </c>
      <c r="P25" s="5" t="b">
        <f>DATE(YEAR($A9),MONTH($A9)+B$3,1)&gt;DATE(2024,12,1)</f>
        <v>0</v>
      </c>
      <c r="Q25" s="5" t="b">
        <f>DATE(YEAR($A9),MONTH($A9)+C$3,1)&gt;DATE(2024,12,1)</f>
        <v>0</v>
      </c>
      <c r="R25" s="5" t="b">
        <f>DATE(YEAR($A9),MONTH($A9)+D$3,1)&gt;DATE(2024,12,1)</f>
        <v>0</v>
      </c>
      <c r="S25" s="5" t="b">
        <f>DATE(YEAR($A9),MONTH($A9)+E$3,1)&gt;DATE(2024,12,1)</f>
        <v>0</v>
      </c>
      <c r="T25" s="5" t="b">
        <f>DATE(YEAR($A9),MONTH($A9)+F$3,1)&gt;DATE(2024,12,1)</f>
        <v>0</v>
      </c>
      <c r="U25" s="5" t="b">
        <f>DATE(YEAR($A9),MONTH($A9)+G$3,1)&gt;DATE(2024,12,1)</f>
        <v>0</v>
      </c>
      <c r="V25" s="5" t="b">
        <f>DATE(YEAR($A9),MONTH($A9)+H$3,1)&gt;DATE(2024,12,1)</f>
        <v>0</v>
      </c>
      <c r="W25" s="5" t="b">
        <f>DATE(YEAR($A9),MONTH($A9)+I$3,1)&gt;DATE(2024,12,1)</f>
        <v>1</v>
      </c>
      <c r="X25" s="5" t="b">
        <f>DATE(YEAR($A9),MONTH($A9)+J$3,1)&gt;DATE(2024,12,1)</f>
        <v>1</v>
      </c>
      <c r="Y25" s="5" t="b">
        <f>DATE(YEAR($A9),MONTH($A9)+K$3,1)&gt;DATE(2024,12,1)</f>
        <v>1</v>
      </c>
      <c r="Z25" s="5" t="b">
        <f>DATE(YEAR($A9),MONTH($A9)+L$3,1)&gt;DATE(2024,12,1)</f>
        <v>1</v>
      </c>
      <c r="AA25" s="5" t="b">
        <f>DATE(YEAR($A9),MONTH($A9)+M$3,1)&gt;DATE(2024,12,1)</f>
        <v>1</v>
      </c>
    </row>
    <row r="26" spans="2:27" x14ac:dyDescent="0.25">
      <c r="B26" s="12">
        <f>DATE(YEAR($A10), MONTH($A10) + B$3, 1)</f>
        <v>45474</v>
      </c>
      <c r="C26" s="12">
        <f t="shared" ref="B26:M26" si="6">DATE(YEAR($A10), MONTH($A10) + C$3, 1)</f>
        <v>45505</v>
      </c>
      <c r="D26" s="12">
        <f t="shared" si="6"/>
        <v>45536</v>
      </c>
      <c r="E26" s="12">
        <f t="shared" si="6"/>
        <v>45566</v>
      </c>
      <c r="F26" s="12">
        <f t="shared" si="6"/>
        <v>45597</v>
      </c>
      <c r="G26" s="12">
        <f t="shared" si="6"/>
        <v>45627</v>
      </c>
      <c r="H26" s="12">
        <f t="shared" si="6"/>
        <v>45658</v>
      </c>
      <c r="I26" s="12">
        <f t="shared" si="6"/>
        <v>45689</v>
      </c>
      <c r="J26" s="12">
        <f t="shared" si="6"/>
        <v>45717</v>
      </c>
      <c r="K26" s="12">
        <f t="shared" si="6"/>
        <v>45748</v>
      </c>
      <c r="L26" s="12">
        <f t="shared" si="6"/>
        <v>45778</v>
      </c>
      <c r="M26" s="12">
        <f t="shared" si="6"/>
        <v>45809</v>
      </c>
      <c r="P26" s="5" t="b">
        <f>DATE(YEAR($A10),MONTH($A10)+B$3,1)&gt;DATE(2024,12,1)</f>
        <v>0</v>
      </c>
      <c r="Q26" s="5" t="b">
        <f>DATE(YEAR($A10),MONTH($A10)+C$3,1)&gt;DATE(2024,12,1)</f>
        <v>0</v>
      </c>
      <c r="R26" s="5" t="b">
        <f>DATE(YEAR($A10),MONTH($A10)+D$3,1)&gt;DATE(2024,12,1)</f>
        <v>0</v>
      </c>
      <c r="S26" s="5" t="b">
        <f>DATE(YEAR($A10),MONTH($A10)+E$3,1)&gt;DATE(2024,12,1)</f>
        <v>0</v>
      </c>
      <c r="T26" s="5" t="b">
        <f>DATE(YEAR($A10),MONTH($A10)+F$3,1)&gt;DATE(2024,12,1)</f>
        <v>0</v>
      </c>
      <c r="U26" s="5" t="b">
        <f>DATE(YEAR($A10),MONTH($A10)+G$3,1)&gt;DATE(2024,12,1)</f>
        <v>0</v>
      </c>
      <c r="V26" s="5" t="b">
        <f>DATE(YEAR($A10),MONTH($A10)+H$3,1)&gt;DATE(2024,12,1)</f>
        <v>1</v>
      </c>
      <c r="W26" s="5" t="b">
        <f>DATE(YEAR($A10),MONTH($A10)+I$3,1)&gt;DATE(2024,12,1)</f>
        <v>1</v>
      </c>
      <c r="X26" s="5" t="b">
        <f>DATE(YEAR($A10),MONTH($A10)+J$3,1)&gt;DATE(2024,12,1)</f>
        <v>1</v>
      </c>
      <c r="Y26" s="5" t="b">
        <f>DATE(YEAR($A10),MONTH($A10)+K$3,1)&gt;DATE(2024,12,1)</f>
        <v>1</v>
      </c>
      <c r="Z26" s="5" t="b">
        <f>DATE(YEAR($A10),MONTH($A10)+L$3,1)&gt;DATE(2024,12,1)</f>
        <v>1</v>
      </c>
      <c r="AA26" s="5" t="b">
        <f>DATE(YEAR($A10),MONTH($A10)+M$3,1)&gt;DATE(2024,12,1)</f>
        <v>1</v>
      </c>
    </row>
    <row r="27" spans="2:27" x14ac:dyDescent="0.25">
      <c r="B27" s="12">
        <f t="shared" ref="B27:M27" si="7">DATE(YEAR($A11), MONTH($A11) + B$3, 1)</f>
        <v>45505</v>
      </c>
      <c r="C27" s="12">
        <f t="shared" si="7"/>
        <v>45536</v>
      </c>
      <c r="D27" s="12">
        <f t="shared" si="7"/>
        <v>45566</v>
      </c>
      <c r="E27" s="12">
        <f t="shared" si="7"/>
        <v>45597</v>
      </c>
      <c r="F27" s="12">
        <f t="shared" si="7"/>
        <v>45627</v>
      </c>
      <c r="G27" s="12">
        <f t="shared" si="7"/>
        <v>45658</v>
      </c>
      <c r="H27" s="12">
        <f t="shared" si="7"/>
        <v>45689</v>
      </c>
      <c r="I27" s="12">
        <f t="shared" si="7"/>
        <v>45717</v>
      </c>
      <c r="J27" s="12">
        <f t="shared" si="7"/>
        <v>45748</v>
      </c>
      <c r="K27" s="12">
        <f t="shared" si="7"/>
        <v>45778</v>
      </c>
      <c r="L27" s="12">
        <f t="shared" si="7"/>
        <v>45809</v>
      </c>
      <c r="M27" s="12">
        <f t="shared" si="7"/>
        <v>45839</v>
      </c>
      <c r="P27" s="5" t="b">
        <f>DATE(YEAR($A11),MONTH($A11)+B$3,1)&gt;DATE(2024,12,1)</f>
        <v>0</v>
      </c>
      <c r="Q27" s="5" t="b">
        <f>DATE(YEAR($A11),MONTH($A11)+C$3,1)&gt;DATE(2024,12,1)</f>
        <v>0</v>
      </c>
      <c r="R27" s="5" t="b">
        <f>DATE(YEAR($A11),MONTH($A11)+D$3,1)&gt;DATE(2024,12,1)</f>
        <v>0</v>
      </c>
      <c r="S27" s="5" t="b">
        <f>DATE(YEAR($A11),MONTH($A11)+E$3,1)&gt;DATE(2024,12,1)</f>
        <v>0</v>
      </c>
      <c r="T27" s="5" t="b">
        <f>DATE(YEAR($A11),MONTH($A11)+F$3,1)&gt;DATE(2024,12,1)</f>
        <v>0</v>
      </c>
      <c r="U27" s="5" t="b">
        <f>DATE(YEAR($A11),MONTH($A11)+G$3,1)&gt;DATE(2024,12,1)</f>
        <v>1</v>
      </c>
      <c r="V27" s="5" t="b">
        <f>DATE(YEAR($A11),MONTH($A11)+H$3,1)&gt;DATE(2024,12,1)</f>
        <v>1</v>
      </c>
      <c r="W27" s="5" t="b">
        <f>DATE(YEAR($A11),MONTH($A11)+I$3,1)&gt;DATE(2024,12,1)</f>
        <v>1</v>
      </c>
      <c r="X27" s="5" t="b">
        <f>DATE(YEAR($A11),MONTH($A11)+J$3,1)&gt;DATE(2024,12,1)</f>
        <v>1</v>
      </c>
      <c r="Y27" s="5" t="b">
        <f>DATE(YEAR($A11),MONTH($A11)+K$3,1)&gt;DATE(2024,12,1)</f>
        <v>1</v>
      </c>
      <c r="Z27" s="5" t="b">
        <f>DATE(YEAR($A11),MONTH($A11)+L$3,1)&gt;DATE(2024,12,1)</f>
        <v>1</v>
      </c>
      <c r="AA27" s="5" t="b">
        <f>DATE(YEAR($A11),MONTH($A11)+M$3,1)&gt;DATE(2024,12,1)</f>
        <v>1</v>
      </c>
    </row>
    <row r="28" spans="2:27" x14ac:dyDescent="0.25">
      <c r="B28" s="12">
        <f t="shared" ref="B28:M28" si="8">DATE(YEAR($A12), MONTH($A12) + B$3, 1)</f>
        <v>45536</v>
      </c>
      <c r="C28" s="12">
        <f t="shared" si="8"/>
        <v>45566</v>
      </c>
      <c r="D28" s="12">
        <f t="shared" si="8"/>
        <v>45597</v>
      </c>
      <c r="E28" s="12">
        <f t="shared" si="8"/>
        <v>45627</v>
      </c>
      <c r="F28" s="12">
        <f t="shared" si="8"/>
        <v>45658</v>
      </c>
      <c r="G28" s="12">
        <f t="shared" si="8"/>
        <v>45689</v>
      </c>
      <c r="H28" s="12">
        <f t="shared" si="8"/>
        <v>45717</v>
      </c>
      <c r="I28" s="12">
        <f t="shared" si="8"/>
        <v>45748</v>
      </c>
      <c r="J28" s="12">
        <f t="shared" si="8"/>
        <v>45778</v>
      </c>
      <c r="K28" s="12">
        <f t="shared" si="8"/>
        <v>45809</v>
      </c>
      <c r="L28" s="12">
        <f t="shared" si="8"/>
        <v>45839</v>
      </c>
      <c r="M28" s="12">
        <f t="shared" si="8"/>
        <v>45870</v>
      </c>
      <c r="P28" s="5" t="b">
        <f>DATE(YEAR($A12),MONTH($A12)+B$3,1)&gt;DATE(2024,12,1)</f>
        <v>0</v>
      </c>
      <c r="Q28" s="5" t="b">
        <f>DATE(YEAR($A12),MONTH($A12)+C$3,1)&gt;DATE(2024,12,1)</f>
        <v>0</v>
      </c>
      <c r="R28" s="5" t="b">
        <f>DATE(YEAR($A12),MONTH($A12)+D$3,1)&gt;DATE(2024,12,1)</f>
        <v>0</v>
      </c>
      <c r="S28" s="5" t="b">
        <f>DATE(YEAR($A12),MONTH($A12)+E$3,1)&gt;DATE(2024,12,1)</f>
        <v>0</v>
      </c>
      <c r="T28" s="5" t="b">
        <f>DATE(YEAR($A12),MONTH($A12)+F$3,1)&gt;DATE(2024,12,1)</f>
        <v>1</v>
      </c>
      <c r="U28" s="5" t="b">
        <f>DATE(YEAR($A12),MONTH($A12)+G$3,1)&gt;DATE(2024,12,1)</f>
        <v>1</v>
      </c>
      <c r="V28" s="5" t="b">
        <f>DATE(YEAR($A12),MONTH($A12)+H$3,1)&gt;DATE(2024,12,1)</f>
        <v>1</v>
      </c>
      <c r="W28" s="5" t="b">
        <f>DATE(YEAR($A12),MONTH($A12)+I$3,1)&gt;DATE(2024,12,1)</f>
        <v>1</v>
      </c>
      <c r="X28" s="5" t="b">
        <f>DATE(YEAR($A12),MONTH($A12)+J$3,1)&gt;DATE(2024,12,1)</f>
        <v>1</v>
      </c>
      <c r="Y28" s="5" t="b">
        <f>DATE(YEAR($A12),MONTH($A12)+K$3,1)&gt;DATE(2024,12,1)</f>
        <v>1</v>
      </c>
      <c r="Z28" s="5" t="b">
        <f>DATE(YEAR($A12),MONTH($A12)+L$3,1)&gt;DATE(2024,12,1)</f>
        <v>1</v>
      </c>
      <c r="AA28" s="5" t="b">
        <f>DATE(YEAR($A12),MONTH($A12)+M$3,1)&gt;DATE(2024,12,1)</f>
        <v>1</v>
      </c>
    </row>
    <row r="29" spans="2:27" x14ac:dyDescent="0.25">
      <c r="B29" s="12">
        <f t="shared" ref="B29:M29" si="9">DATE(YEAR($A13), MONTH($A13) + B$3, 1)</f>
        <v>45566</v>
      </c>
      <c r="C29" s="12">
        <f t="shared" si="9"/>
        <v>45597</v>
      </c>
      <c r="D29" s="12">
        <f t="shared" si="9"/>
        <v>45627</v>
      </c>
      <c r="E29" s="12">
        <f t="shared" si="9"/>
        <v>45658</v>
      </c>
      <c r="F29" s="12">
        <f t="shared" si="9"/>
        <v>45689</v>
      </c>
      <c r="G29" s="12">
        <f t="shared" si="9"/>
        <v>45717</v>
      </c>
      <c r="H29" s="12">
        <f t="shared" si="9"/>
        <v>45748</v>
      </c>
      <c r="I29" s="12">
        <f t="shared" si="9"/>
        <v>45778</v>
      </c>
      <c r="J29" s="12">
        <f t="shared" si="9"/>
        <v>45809</v>
      </c>
      <c r="K29" s="12">
        <f t="shared" si="9"/>
        <v>45839</v>
      </c>
      <c r="L29" s="12">
        <f t="shared" si="9"/>
        <v>45870</v>
      </c>
      <c r="M29" s="12">
        <f t="shared" si="9"/>
        <v>45901</v>
      </c>
      <c r="P29" s="5" t="b">
        <f>DATE(YEAR($A13),MONTH($A13)+B$3,1)&gt;DATE(2024,12,1)</f>
        <v>0</v>
      </c>
      <c r="Q29" s="5" t="b">
        <f>DATE(YEAR($A13),MONTH($A13)+C$3,1)&gt;DATE(2024,12,1)</f>
        <v>0</v>
      </c>
      <c r="R29" s="5" t="b">
        <f>DATE(YEAR($A13),MONTH($A13)+D$3,1)&gt;DATE(2024,12,1)</f>
        <v>0</v>
      </c>
      <c r="S29" s="5" t="b">
        <f>DATE(YEAR($A13),MONTH($A13)+E$3,1)&gt;DATE(2024,12,1)</f>
        <v>1</v>
      </c>
      <c r="T29" s="5" t="b">
        <f>DATE(YEAR($A13),MONTH($A13)+F$3,1)&gt;DATE(2024,12,1)</f>
        <v>1</v>
      </c>
      <c r="U29" s="5" t="b">
        <f>DATE(YEAR($A13),MONTH($A13)+G$3,1)&gt;DATE(2024,12,1)</f>
        <v>1</v>
      </c>
      <c r="V29" s="5" t="b">
        <f>DATE(YEAR($A13),MONTH($A13)+H$3,1)&gt;DATE(2024,12,1)</f>
        <v>1</v>
      </c>
      <c r="W29" s="5" t="b">
        <f>DATE(YEAR($A13),MONTH($A13)+I$3,1)&gt;DATE(2024,12,1)</f>
        <v>1</v>
      </c>
      <c r="X29" s="5" t="b">
        <f>DATE(YEAR($A13),MONTH($A13)+J$3,1)&gt;DATE(2024,12,1)</f>
        <v>1</v>
      </c>
      <c r="Y29" s="5" t="b">
        <f>DATE(YEAR($A13),MONTH($A13)+K$3,1)&gt;DATE(2024,12,1)</f>
        <v>1</v>
      </c>
      <c r="Z29" s="5" t="b">
        <f>DATE(YEAR($A13),MONTH($A13)+L$3,1)&gt;DATE(2024,12,1)</f>
        <v>1</v>
      </c>
      <c r="AA29" s="5" t="b">
        <f>DATE(YEAR($A13),MONTH($A13)+M$3,1)&gt;DATE(2024,12,1)</f>
        <v>1</v>
      </c>
    </row>
    <row r="30" spans="2:27" x14ac:dyDescent="0.25">
      <c r="B30" s="12">
        <f t="shared" ref="B30:M30" si="10">DATE(YEAR($A14), MONTH($A14) + B$3, 1)</f>
        <v>45597</v>
      </c>
      <c r="C30" s="12">
        <f t="shared" si="10"/>
        <v>45627</v>
      </c>
      <c r="D30" s="12">
        <f t="shared" si="10"/>
        <v>45658</v>
      </c>
      <c r="E30" s="12">
        <f t="shared" si="10"/>
        <v>45689</v>
      </c>
      <c r="F30" s="12">
        <f t="shared" si="10"/>
        <v>45717</v>
      </c>
      <c r="G30" s="12">
        <f t="shared" si="10"/>
        <v>45748</v>
      </c>
      <c r="H30" s="12">
        <f t="shared" si="10"/>
        <v>45778</v>
      </c>
      <c r="I30" s="12">
        <f t="shared" si="10"/>
        <v>45809</v>
      </c>
      <c r="J30" s="12">
        <f t="shared" si="10"/>
        <v>45839</v>
      </c>
      <c r="K30" s="12">
        <f t="shared" si="10"/>
        <v>45870</v>
      </c>
      <c r="L30" s="12">
        <f t="shared" si="10"/>
        <v>45901</v>
      </c>
      <c r="M30" s="12">
        <f t="shared" si="10"/>
        <v>45931</v>
      </c>
      <c r="P30" s="5" t="b">
        <f>DATE(YEAR($A14),MONTH($A14)+B$3,1)&gt;DATE(2024,12,1)</f>
        <v>0</v>
      </c>
      <c r="Q30" s="5" t="b">
        <f>DATE(YEAR($A14),MONTH($A14)+C$3,1)&gt;DATE(2024,12,1)</f>
        <v>0</v>
      </c>
      <c r="R30" s="5" t="b">
        <f>DATE(YEAR($A14),MONTH($A14)+D$3,1)&gt;DATE(2024,12,1)</f>
        <v>1</v>
      </c>
      <c r="S30" s="5" t="b">
        <f>DATE(YEAR($A14),MONTH($A14)+E$3,1)&gt;DATE(2024,12,1)</f>
        <v>1</v>
      </c>
      <c r="T30" s="5" t="b">
        <f>DATE(YEAR($A14),MONTH($A14)+F$3,1)&gt;DATE(2024,12,1)</f>
        <v>1</v>
      </c>
      <c r="U30" s="5" t="b">
        <f>DATE(YEAR($A14),MONTH($A14)+G$3,1)&gt;DATE(2024,12,1)</f>
        <v>1</v>
      </c>
      <c r="V30" s="5" t="b">
        <f>DATE(YEAR($A14),MONTH($A14)+H$3,1)&gt;DATE(2024,12,1)</f>
        <v>1</v>
      </c>
      <c r="W30" s="5" t="b">
        <f>DATE(YEAR($A14),MONTH($A14)+I$3,1)&gt;DATE(2024,12,1)</f>
        <v>1</v>
      </c>
      <c r="X30" s="5" t="b">
        <f>DATE(YEAR($A14),MONTH($A14)+J$3,1)&gt;DATE(2024,12,1)</f>
        <v>1</v>
      </c>
      <c r="Y30" s="5" t="b">
        <f>DATE(YEAR($A14),MONTH($A14)+K$3,1)&gt;DATE(2024,12,1)</f>
        <v>1</v>
      </c>
      <c r="Z30" s="5" t="b">
        <f>DATE(YEAR($A14),MONTH($A14)+L$3,1)&gt;DATE(2024,12,1)</f>
        <v>1</v>
      </c>
      <c r="AA30" s="5" t="b">
        <f>DATE(YEAR($A14),MONTH($A14)+M$3,1)&gt;DATE(2024,12,1)</f>
        <v>1</v>
      </c>
    </row>
    <row r="31" spans="2:27" x14ac:dyDescent="0.25">
      <c r="B31" s="12">
        <f t="shared" ref="B31:M31" si="11">DATE(YEAR($A15), MONTH($A15) + B$3, 1)</f>
        <v>45627</v>
      </c>
      <c r="C31" s="12">
        <f t="shared" si="11"/>
        <v>45658</v>
      </c>
      <c r="D31" s="12">
        <f t="shared" si="11"/>
        <v>45689</v>
      </c>
      <c r="E31" s="12">
        <f t="shared" si="11"/>
        <v>45717</v>
      </c>
      <c r="F31" s="12">
        <f t="shared" si="11"/>
        <v>45748</v>
      </c>
      <c r="G31" s="12">
        <f t="shared" si="11"/>
        <v>45778</v>
      </c>
      <c r="H31" s="12">
        <f t="shared" si="11"/>
        <v>45809</v>
      </c>
      <c r="I31" s="12">
        <f t="shared" si="11"/>
        <v>45839</v>
      </c>
      <c r="J31" s="12">
        <f t="shared" si="11"/>
        <v>45870</v>
      </c>
      <c r="K31" s="12">
        <f t="shared" si="11"/>
        <v>45901</v>
      </c>
      <c r="L31" s="12">
        <f t="shared" si="11"/>
        <v>45931</v>
      </c>
      <c r="M31" s="12">
        <f t="shared" si="11"/>
        <v>45962</v>
      </c>
      <c r="P31" s="5" t="b">
        <f>DATE(YEAR($A15),MONTH($A15)+B$3,1)&gt;DATE(2024,12,1)</f>
        <v>0</v>
      </c>
      <c r="Q31" s="5" t="b">
        <f>DATE(YEAR($A15),MONTH($A15)+C$3,1)&gt;DATE(2024,12,1)</f>
        <v>1</v>
      </c>
      <c r="R31" s="5" t="b">
        <f>DATE(YEAR($A15),MONTH($A15)+D$3,1)&gt;DATE(2024,12,1)</f>
        <v>1</v>
      </c>
      <c r="S31" s="5" t="b">
        <f>DATE(YEAR($A15),MONTH($A15)+E$3,1)&gt;DATE(2024,12,1)</f>
        <v>1</v>
      </c>
      <c r="T31" s="5" t="b">
        <f>DATE(YEAR($A15),MONTH($A15)+F$3,1)&gt;DATE(2024,12,1)</f>
        <v>1</v>
      </c>
      <c r="U31" s="5" t="b">
        <f>DATE(YEAR($A15),MONTH($A15)+G$3,1)&gt;DATE(2024,12,1)</f>
        <v>1</v>
      </c>
      <c r="V31" s="5" t="b">
        <f>DATE(YEAR($A15),MONTH($A15)+H$3,1)&gt;DATE(2024,12,1)</f>
        <v>1</v>
      </c>
      <c r="W31" s="5" t="b">
        <f>DATE(YEAR($A15),MONTH($A15)+I$3,1)&gt;DATE(2024,12,1)</f>
        <v>1</v>
      </c>
      <c r="X31" s="5" t="b">
        <f>DATE(YEAR($A15),MONTH($A15)+J$3,1)&gt;DATE(2024,12,1)</f>
        <v>1</v>
      </c>
      <c r="Y31" s="5" t="b">
        <f>DATE(YEAR($A15),MONTH($A15)+K$3,1)&gt;DATE(2024,12,1)</f>
        <v>1</v>
      </c>
      <c r="Z31" s="5" t="b">
        <f>DATE(YEAR($A15),MONTH($A15)+L$3,1)&gt;DATE(2024,12,1)</f>
        <v>1</v>
      </c>
      <c r="AA31" s="5" t="b">
        <f>DATE(YEAR($A15),MONTH($A15)+M$3,1)&gt;DATE(2024,12,1)</f>
        <v>1</v>
      </c>
    </row>
    <row r="32" spans="2:27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2:13" x14ac:dyDescent="0.25">
      <c r="B33" s="18">
        <f>SUMIFS(
    Transactions!$G$3:$G$1002,
    Transactions!$E$3:$E$1002, $A4,
    Transactions!$F$3:$F$1002, B$3
  )</f>
        <v>84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2:13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2:13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8.7109375" defaultRowHeight="15" x14ac:dyDescent="0.25"/>
  <cols>
    <col min="1" max="1" width="13" customWidth="1"/>
    <col min="2" max="13" width="12" customWidth="1"/>
  </cols>
  <sheetData>
    <row r="1" spans="1:13" ht="18.75" customHeight="1" x14ac:dyDescent="0.3">
      <c r="A1" s="9" t="s">
        <v>9</v>
      </c>
    </row>
    <row r="2" spans="1:13" x14ac:dyDescent="0.25">
      <c r="A2" s="10" t="s">
        <v>10</v>
      </c>
    </row>
    <row r="4" spans="1:13" x14ac:dyDescent="0.25">
      <c r="A4" s="6" t="s">
        <v>5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</row>
    <row r="5" spans="1:13" x14ac:dyDescent="0.25">
      <c r="A5" s="7">
        <v>45292</v>
      </c>
      <c r="B5" s="11">
        <f>IF(
  DATE(YEAR($A5), MONTH($A5) + Cohorts!B$3, 1) &gt; DATE(2024, 12, 1),
  "",
  Cohorts!B4 / Cohorts!$B4
)</f>
        <v>1</v>
      </c>
      <c r="C5" s="11">
        <f>IF(
  DATE(YEAR($A5), MONTH($A5) + Cohorts!C$3, 1) &gt; DATE(2024, 12, 1),
  "",
  Cohorts!C4 / Cohorts!$B4
)</f>
        <v>4.7619047619047616E-2</v>
      </c>
      <c r="D5" s="11">
        <f>IF(
  DATE(YEAR($A5), MONTH($A5) + Cohorts!D$3, 1) &gt; DATE(2024, 12, 1),
  "",
  Cohorts!D4 / Cohorts!$B4
)</f>
        <v>5.9523809523809521E-2</v>
      </c>
      <c r="E5" s="11">
        <f>IF(
  DATE(YEAR($A5), MONTH($A5) + Cohorts!E$3, 1) &gt; DATE(2024, 12, 1),
  "",
  Cohorts!E4 / Cohorts!$B4
)</f>
        <v>4.7619047619047616E-2</v>
      </c>
      <c r="F5" s="11">
        <f>IF(
  DATE(YEAR($A5), MONTH($A5) + Cohorts!F$3, 1) &gt; DATE(2024, 12, 1),
  "",
  Cohorts!F4 / Cohorts!$B4
)</f>
        <v>8.3333333333333329E-2</v>
      </c>
      <c r="G5" s="11">
        <f>IF(
  DATE(YEAR($A5), MONTH($A5) + Cohorts!G$3, 1) &gt; DATE(2024, 12, 1),
  "",
  Cohorts!G4 / Cohorts!$B4
)</f>
        <v>7.1428571428571425E-2</v>
      </c>
      <c r="H5" s="11">
        <f>IF(
  DATE(YEAR($A5), MONTH($A5) + Cohorts!H$3, 1) &gt; DATE(2024, 12, 1),
  "",
  Cohorts!H4 / Cohorts!$B4
)</f>
        <v>5.9523809523809521E-2</v>
      </c>
      <c r="I5" s="11">
        <f>IF(
  DATE(YEAR($A5), MONTH($A5) + Cohorts!I$3, 1) &gt; DATE(2024, 12, 1),
  "",
  Cohorts!I4 / Cohorts!$B4
)</f>
        <v>7.1428571428571425E-2</v>
      </c>
      <c r="J5" s="11">
        <f>IF(
  DATE(YEAR($A5), MONTH($A5) + Cohorts!J$3, 1) &gt; DATE(2024, 12, 1),
  "",
  Cohorts!J4 / Cohorts!$B4
)</f>
        <v>5.9523809523809521E-2</v>
      </c>
      <c r="K5" s="11">
        <f>IF(
  DATE(YEAR($A5), MONTH($A5) + Cohorts!K$3, 1) &gt; DATE(2024, 12, 1),
  "",
  Cohorts!K4 / Cohorts!$B4
)</f>
        <v>0.11904761904761904</v>
      </c>
      <c r="L5" s="11">
        <f>IF(
  DATE(YEAR($A5), MONTH($A5) + Cohorts!L$3, 1) &gt; DATE(2024, 12, 1),
  "",
  Cohorts!L4 / Cohorts!$B4
)</f>
        <v>0.11904761904761904</v>
      </c>
      <c r="M5" s="11">
        <f>IF(
  DATE(YEAR($A5), MONTH($A5) + Cohorts!M$3, 1) &gt; DATE(2024, 12, 1),
  "",
  Cohorts!M4 / Cohorts!$B4
)</f>
        <v>7.1428571428571425E-2</v>
      </c>
    </row>
    <row r="6" spans="1:13" x14ac:dyDescent="0.25">
      <c r="A6" s="7">
        <v>45323</v>
      </c>
      <c r="B6" s="11">
        <f>IF(
  DATE(YEAR($A6), MONTH($A6) + Cohorts!B$3, 1) &gt; DATE(2024, 12, 1),
  "",
  Cohorts!B5 / Cohorts!$B5
)</f>
        <v>1</v>
      </c>
      <c r="C6" s="11">
        <f>IF(
  DATE(YEAR($A6), MONTH($A6) + Cohorts!C$3, 1) &gt; DATE(2024, 12, 1),
  "",
  Cohorts!C5 / Cohorts!$B5
)</f>
        <v>5.128205128205128E-2</v>
      </c>
      <c r="D6" s="11">
        <f>IF(
  DATE(YEAR($A6), MONTH($A6) + Cohorts!D$3, 1) &gt; DATE(2024, 12, 1),
  "",
  Cohorts!D5 / Cohorts!$B5
)</f>
        <v>8.9743589743589744E-2</v>
      </c>
      <c r="E6" s="11">
        <f>IF(
  DATE(YEAR($A6), MONTH($A6) + Cohorts!E$3, 1) &gt; DATE(2024, 12, 1),
  "",
  Cohorts!E5 / Cohorts!$B5
)</f>
        <v>8.9743589743589744E-2</v>
      </c>
      <c r="F6" s="11">
        <f>IF(
  DATE(YEAR($A6), MONTH($A6) + Cohorts!F$3, 1) &gt; DATE(2024, 12, 1),
  "",
  Cohorts!F5 / Cohorts!$B5
)</f>
        <v>0.10256410256410256</v>
      </c>
      <c r="G6" s="11">
        <f>IF(
  DATE(YEAR($A6), MONTH($A6) + Cohorts!G$3, 1) &gt; DATE(2024, 12, 1),
  "",
  Cohorts!G5 / Cohorts!$B5
)</f>
        <v>3.8461538461538464E-2</v>
      </c>
      <c r="H6" s="11">
        <f>IF(
  DATE(YEAR($A6), MONTH($A6) + Cohorts!H$3, 1) &gt; DATE(2024, 12, 1),
  "",
  Cohorts!H5 / Cohorts!$B5
)</f>
        <v>6.4102564102564097E-2</v>
      </c>
      <c r="I6" s="11">
        <f>IF(
  DATE(YEAR($A6), MONTH($A6) + Cohorts!I$3, 1) &gt; DATE(2024, 12, 1),
  "",
  Cohorts!I5 / Cohorts!$B5
)</f>
        <v>8.9743589743589744E-2</v>
      </c>
      <c r="J6" s="11">
        <f>IF(
  DATE(YEAR($A6), MONTH($A6) + Cohorts!J$3, 1) &gt; DATE(2024, 12, 1),
  "",
  Cohorts!J5 / Cohorts!$B5
)</f>
        <v>0.10256410256410256</v>
      </c>
      <c r="K6" s="11">
        <f>IF(
  DATE(YEAR($A6), MONTH($A6) + Cohorts!K$3, 1) &gt; DATE(2024, 12, 1),
  "",
  Cohorts!K5 / Cohorts!$B5
)</f>
        <v>7.6923076923076927E-2</v>
      </c>
      <c r="L6" s="11">
        <f>IF(
  DATE(YEAR($A6), MONTH($A6) + Cohorts!L$3, 1) &gt; DATE(2024, 12, 1),
  "",
  Cohorts!L5 / Cohorts!$B5
)</f>
        <v>7.6923076923076927E-2</v>
      </c>
      <c r="M6" s="11" t="str">
        <f>IF(
  DATE(YEAR($A6), MONTH($A6) + Cohorts!M$3, 1) &gt; DATE(2024, 12, 1),
  "",
  Cohorts!M5 / Cohorts!$B5
)</f>
        <v/>
      </c>
    </row>
    <row r="7" spans="1:13" x14ac:dyDescent="0.25">
      <c r="A7" s="7">
        <v>45352</v>
      </c>
      <c r="B7" s="11">
        <f>IF(
  DATE(YEAR($A7), MONTH($A7) + Cohorts!B$3, 1) &gt; DATE(2024, 12, 1),
  "",
  Cohorts!B6 / Cohorts!$B6
)</f>
        <v>1</v>
      </c>
      <c r="C7" s="11">
        <f>IF(
  DATE(YEAR($A7), MONTH($A7) + Cohorts!C$3, 1) &gt; DATE(2024, 12, 1),
  "",
  Cohorts!C6 / Cohorts!$B6
)</f>
        <v>0.13043478260869565</v>
      </c>
      <c r="D7" s="11">
        <f>IF(
  DATE(YEAR($A7), MONTH($A7) + Cohorts!D$3, 1) &gt; DATE(2024, 12, 1),
  "",
  Cohorts!D6 / Cohorts!$B6
)</f>
        <v>0.10144927536231885</v>
      </c>
      <c r="E7" s="11">
        <f>IF(
  DATE(YEAR($A7), MONTH($A7) + Cohorts!E$3, 1) &gt; DATE(2024, 12, 1),
  "",
  Cohorts!E6 / Cohorts!$B6
)</f>
        <v>7.2463768115942032E-2</v>
      </c>
      <c r="F7" s="11">
        <f>IF(
  DATE(YEAR($A7), MONTH($A7) + Cohorts!F$3, 1) &gt; DATE(2024, 12, 1),
  "",
  Cohorts!F6 / Cohorts!$B6
)</f>
        <v>5.7971014492753624E-2</v>
      </c>
      <c r="G7" s="11">
        <f>IF(
  DATE(YEAR($A7), MONTH($A7) + Cohorts!G$3, 1) &gt; DATE(2024, 12, 1),
  "",
  Cohorts!G6 / Cohorts!$B6
)</f>
        <v>8.6956521739130432E-2</v>
      </c>
      <c r="H7" s="11">
        <f>IF(
  DATE(YEAR($A7), MONTH($A7) + Cohorts!H$3, 1) &gt; DATE(2024, 12, 1),
  "",
  Cohorts!H6 / Cohorts!$B6
)</f>
        <v>7.2463768115942032E-2</v>
      </c>
      <c r="I7" s="11">
        <f>IF(
  DATE(YEAR($A7), MONTH($A7) + Cohorts!I$3, 1) &gt; DATE(2024, 12, 1),
  "",
  Cohorts!I6 / Cohorts!$B6
)</f>
        <v>0.11594202898550725</v>
      </c>
      <c r="J7" s="11">
        <f>IF(
  DATE(YEAR($A7), MONTH($A7) + Cohorts!J$3, 1) &gt; DATE(2024, 12, 1),
  "",
  Cohorts!J6 / Cohorts!$B6
)</f>
        <v>8.6956521739130432E-2</v>
      </c>
      <c r="K7" s="11">
        <f>IF(
  DATE(YEAR($A7), MONTH($A7) + Cohorts!K$3, 1) &gt; DATE(2024, 12, 1),
  "",
  Cohorts!K6 / Cohorts!$B6
)</f>
        <v>4.3478260869565216E-2</v>
      </c>
      <c r="L7" s="11" t="str">
        <f>IF(
  DATE(YEAR($A7), MONTH($A7) + Cohorts!L$3, 1) &gt; DATE(2024, 12, 1),
  "",
  Cohorts!L6 / Cohorts!$B6
)</f>
        <v/>
      </c>
      <c r="M7" s="11" t="str">
        <f>IF(
  DATE(YEAR($A7), MONTH($A7) + Cohorts!M$3, 1) &gt; DATE(2024, 12, 1),
  "",
  Cohorts!M6 / Cohorts!$B6
)</f>
        <v/>
      </c>
    </row>
    <row r="8" spans="1:13" x14ac:dyDescent="0.25">
      <c r="A8" s="7">
        <v>45383</v>
      </c>
      <c r="B8" s="11">
        <f>IF(
  DATE(YEAR($A8), MONTH($A8) + Cohorts!B$3, 1) &gt; DATE(2024, 12, 1),
  "",
  Cohorts!B7 / Cohorts!$B7
)</f>
        <v>1</v>
      </c>
      <c r="C8" s="11">
        <f>IF(
  DATE(YEAR($A8), MONTH($A8) + Cohorts!C$3, 1) &gt; DATE(2024, 12, 1),
  "",
  Cohorts!C7 / Cohorts!$B7
)</f>
        <v>9.8360655737704916E-2</v>
      </c>
      <c r="D8" s="11">
        <f>IF(
  DATE(YEAR($A8), MONTH($A8) + Cohorts!D$3, 1) &gt; DATE(2024, 12, 1),
  "",
  Cohorts!D7 / Cohorts!$B7
)</f>
        <v>8.1967213114754092E-2</v>
      </c>
      <c r="E8" s="11">
        <f>IF(
  DATE(YEAR($A8), MONTH($A8) + Cohorts!E$3, 1) &gt; DATE(2024, 12, 1),
  "",
  Cohorts!E7 / Cohorts!$B7
)</f>
        <v>9.8360655737704916E-2</v>
      </c>
      <c r="F8" s="11">
        <f>IF(
  DATE(YEAR($A8), MONTH($A8) + Cohorts!F$3, 1) &gt; DATE(2024, 12, 1),
  "",
  Cohorts!F7 / Cohorts!$B7
)</f>
        <v>6.5573770491803282E-2</v>
      </c>
      <c r="G8" s="11">
        <f>IF(
  DATE(YEAR($A8), MONTH($A8) + Cohorts!G$3, 1) &gt; DATE(2024, 12, 1),
  "",
  Cohorts!G7 / Cohorts!$B7
)</f>
        <v>3.2786885245901641E-2</v>
      </c>
      <c r="H8" s="11">
        <f>IF(
  DATE(YEAR($A8), MONTH($A8) + Cohorts!H$3, 1) &gt; DATE(2024, 12, 1),
  "",
  Cohorts!H7 / Cohorts!$B7
)</f>
        <v>9.8360655737704916E-2</v>
      </c>
      <c r="I8" s="11">
        <f>IF(
  DATE(YEAR($A8), MONTH($A8) + Cohorts!I$3, 1) &gt; DATE(2024, 12, 1),
  "",
  Cohorts!I7 / Cohorts!$B7
)</f>
        <v>4.9180327868852458E-2</v>
      </c>
      <c r="J8" s="11">
        <f>IF(
  DATE(YEAR($A8), MONTH($A8) + Cohorts!J$3, 1) &gt; DATE(2024, 12, 1),
  "",
  Cohorts!J7 / Cohorts!$B7
)</f>
        <v>8.1967213114754092E-2</v>
      </c>
      <c r="K8" s="11" t="str">
        <f>IF(
  DATE(YEAR($A8), MONTH($A8) + Cohorts!K$3, 1) &gt; DATE(2024, 12, 1),
  "",
  Cohorts!K7 / Cohorts!$B7
)</f>
        <v/>
      </c>
      <c r="L8" s="11" t="str">
        <f>IF(
  DATE(YEAR($A8), MONTH($A8) + Cohorts!L$3, 1) &gt; DATE(2024, 12, 1),
  "",
  Cohorts!L7 / Cohorts!$B7
)</f>
        <v/>
      </c>
      <c r="M8" s="11" t="str">
        <f>IF(
  DATE(YEAR($A8), MONTH($A8) + Cohorts!M$3, 1) &gt; DATE(2024, 12, 1),
  "",
  Cohorts!M7 / Cohorts!$B7
)</f>
        <v/>
      </c>
    </row>
    <row r="9" spans="1:13" x14ac:dyDescent="0.25">
      <c r="A9" s="7">
        <v>45413</v>
      </c>
      <c r="B9" s="11">
        <f>IF(
  DATE(YEAR($A9), MONTH($A9) + Cohorts!B$3, 1) &gt; DATE(2024, 12, 1),
  "",
  Cohorts!B8 / Cohorts!$B8
)</f>
        <v>1</v>
      </c>
      <c r="C9" s="11">
        <f>IF(
  DATE(YEAR($A9), MONTH($A9) + Cohorts!C$3, 1) &gt; DATE(2024, 12, 1),
  "",
  Cohorts!C8 / Cohorts!$B8
)</f>
        <v>4.9180327868852458E-2</v>
      </c>
      <c r="D9" s="11">
        <f>IF(
  DATE(YEAR($A9), MONTH($A9) + Cohorts!D$3, 1) &gt; DATE(2024, 12, 1),
  "",
  Cohorts!D8 / Cohorts!$B8
)</f>
        <v>9.8360655737704916E-2</v>
      </c>
      <c r="E9" s="11">
        <f>IF(
  DATE(YEAR($A9), MONTH($A9) + Cohorts!E$3, 1) &gt; DATE(2024, 12, 1),
  "",
  Cohorts!E8 / Cohorts!$B8
)</f>
        <v>4.9180327868852458E-2</v>
      </c>
      <c r="F9" s="11">
        <f>IF(
  DATE(YEAR($A9), MONTH($A9) + Cohorts!F$3, 1) &gt; DATE(2024, 12, 1),
  "",
  Cohorts!F8 / Cohorts!$B8
)</f>
        <v>4.9180327868852458E-2</v>
      </c>
      <c r="G9" s="11">
        <f>IF(
  DATE(YEAR($A9), MONTH($A9) + Cohorts!G$3, 1) &gt; DATE(2024, 12, 1),
  "",
  Cohorts!G8 / Cohorts!$B8
)</f>
        <v>9.8360655737704916E-2</v>
      </c>
      <c r="H9" s="11">
        <f>IF(
  DATE(YEAR($A9), MONTH($A9) + Cohorts!H$3, 1) &gt; DATE(2024, 12, 1),
  "",
  Cohorts!H8 / Cohorts!$B8
)</f>
        <v>0.11475409836065574</v>
      </c>
      <c r="I9" s="11">
        <f>IF(
  DATE(YEAR($A9), MONTH($A9) + Cohorts!I$3, 1) &gt; DATE(2024, 12, 1),
  "",
  Cohorts!I8 / Cohorts!$B8
)</f>
        <v>6.5573770491803282E-2</v>
      </c>
      <c r="J9" s="11" t="str">
        <f>IF(
  DATE(YEAR($A9), MONTH($A9) + Cohorts!J$3, 1) &gt; DATE(2024, 12, 1),
  "",
  Cohorts!J8 / Cohorts!$B8
)</f>
        <v/>
      </c>
      <c r="K9" s="11" t="str">
        <f>IF(
  DATE(YEAR($A9), MONTH($A9) + Cohorts!K$3, 1) &gt; DATE(2024, 12, 1),
  "",
  Cohorts!K8 / Cohorts!$B8
)</f>
        <v/>
      </c>
      <c r="L9" s="11" t="str">
        <f>IF(
  DATE(YEAR($A9), MONTH($A9) + Cohorts!L$3, 1) &gt; DATE(2024, 12, 1),
  "",
  Cohorts!L8 / Cohorts!$B8
)</f>
        <v/>
      </c>
      <c r="M9" s="11" t="str">
        <f>IF(
  DATE(YEAR($A9), MONTH($A9) + Cohorts!M$3, 1) &gt; DATE(2024, 12, 1),
  "",
  Cohorts!M8 / Cohorts!$B8
)</f>
        <v/>
      </c>
    </row>
    <row r="10" spans="1:13" x14ac:dyDescent="0.25">
      <c r="A10" s="7">
        <v>45444</v>
      </c>
      <c r="B10" s="11">
        <f>IF(
  DATE(YEAR($A10), MONTH($A10) + Cohorts!B$3, 1) &gt; DATE(2024, 12, 1),
  "",
  Cohorts!B9 / Cohorts!$B9
)</f>
        <v>1</v>
      </c>
      <c r="C10" s="11">
        <f>IF(
  DATE(YEAR($A10), MONTH($A10) + Cohorts!C$3, 1) &gt; DATE(2024, 12, 1),
  "",
  Cohorts!C9 / Cohorts!$B9
)</f>
        <v>0.15</v>
      </c>
      <c r="D10" s="11">
        <f>IF(
  DATE(YEAR($A10), MONTH($A10) + Cohorts!D$3, 1) &gt; DATE(2024, 12, 1),
  "",
  Cohorts!D9 / Cohorts!$B9
)</f>
        <v>0.125</v>
      </c>
      <c r="E10" s="11">
        <f>IF(
  DATE(YEAR($A10), MONTH($A10) + Cohorts!E$3, 1) &gt; DATE(2024, 12, 1),
  "",
  Cohorts!E9 / Cohorts!$B9
)</f>
        <v>0.05</v>
      </c>
      <c r="F10" s="11">
        <f>IF(
  DATE(YEAR($A10), MONTH($A10) + Cohorts!F$3, 1) &gt; DATE(2024, 12, 1),
  "",
  Cohorts!F9 / Cohorts!$B9
)</f>
        <v>0.1</v>
      </c>
      <c r="G10" s="11">
        <f>IF(
  DATE(YEAR($A10), MONTH($A10) + Cohorts!G$3, 1) &gt; DATE(2024, 12, 1),
  "",
  Cohorts!G9 / Cohorts!$B9
)</f>
        <v>0.15</v>
      </c>
      <c r="H10" s="11">
        <f>IF(
  DATE(YEAR($A10), MONTH($A10) + Cohorts!H$3, 1) &gt; DATE(2024, 12, 1),
  "",
  Cohorts!H9 / Cohorts!$B9
)</f>
        <v>0.15</v>
      </c>
      <c r="I10" s="11" t="str">
        <f>IF(
  DATE(YEAR($A10), MONTH($A10) + Cohorts!I$3, 1) &gt; DATE(2024, 12, 1),
  "",
  Cohorts!I9 / Cohorts!$B9
)</f>
        <v/>
      </c>
      <c r="J10" s="11" t="str">
        <f>IF(
  DATE(YEAR($A10), MONTH($A10) + Cohorts!J$3, 1) &gt; DATE(2024, 12, 1),
  "",
  Cohorts!J9 / Cohorts!$B9
)</f>
        <v/>
      </c>
      <c r="K10" s="11" t="str">
        <f>IF(
  DATE(YEAR($A10), MONTH($A10) + Cohorts!K$3, 1) &gt; DATE(2024, 12, 1),
  "",
  Cohorts!K9 / Cohorts!$B9
)</f>
        <v/>
      </c>
      <c r="L10" s="11" t="str">
        <f>IF(
  DATE(YEAR($A10), MONTH($A10) + Cohorts!L$3, 1) &gt; DATE(2024, 12, 1),
  "",
  Cohorts!L9 / Cohorts!$B9
)</f>
        <v/>
      </c>
      <c r="M10" s="11" t="str">
        <f>IF(
  DATE(YEAR($A10), MONTH($A10) + Cohorts!M$3, 1) &gt; DATE(2024, 12, 1),
  "",
  Cohorts!M9 / Cohorts!$B9
)</f>
        <v/>
      </c>
    </row>
    <row r="11" spans="1:13" x14ac:dyDescent="0.25">
      <c r="A11" s="7">
        <v>45474</v>
      </c>
      <c r="B11" s="11">
        <f>IF(
  DATE(YEAR($A11), MONTH($A11) + Cohorts!B$3, 1) &gt; DATE(2024, 12, 1),
  "",
  Cohorts!B10 / Cohorts!$B10
)</f>
        <v>1</v>
      </c>
      <c r="C11" s="11">
        <f>IF(
  DATE(YEAR($A11), MONTH($A11) + Cohorts!C$3, 1) &gt; DATE(2024, 12, 1),
  "",
  Cohorts!C10 / Cohorts!$B10
)</f>
        <v>7.6923076923076927E-2</v>
      </c>
      <c r="D11" s="11">
        <f>IF(
  DATE(YEAR($A11), MONTH($A11) + Cohorts!D$3, 1) &gt; DATE(2024, 12, 1),
  "",
  Cohorts!D10 / Cohorts!$B10
)</f>
        <v>5.7692307692307696E-2</v>
      </c>
      <c r="E11" s="11">
        <f>IF(
  DATE(YEAR($A11), MONTH($A11) + Cohorts!E$3, 1) &gt; DATE(2024, 12, 1),
  "",
  Cohorts!E10 / Cohorts!$B10
)</f>
        <v>5.7692307692307696E-2</v>
      </c>
      <c r="F11" s="11">
        <f>IF(
  DATE(YEAR($A11), MONTH($A11) + Cohorts!F$3, 1) &gt; DATE(2024, 12, 1),
  "",
  Cohorts!F10 / Cohorts!$B10
)</f>
        <v>5.7692307692307696E-2</v>
      </c>
      <c r="G11" s="11">
        <f>IF(
  DATE(YEAR($A11), MONTH($A11) + Cohorts!G$3, 1) &gt; DATE(2024, 12, 1),
  "",
  Cohorts!G10 / Cohorts!$B10
)</f>
        <v>0.17307692307692307</v>
      </c>
      <c r="H11" s="11" t="str">
        <f>IF(
  DATE(YEAR($A11), MONTH($A11) + Cohorts!H$3, 1) &gt; DATE(2024, 12, 1),
  "",
  Cohorts!H10 / Cohorts!$B10
)</f>
        <v/>
      </c>
      <c r="I11" s="11" t="str">
        <f>IF(
  DATE(YEAR($A11), MONTH($A11) + Cohorts!I$3, 1) &gt; DATE(2024, 12, 1),
  "",
  Cohorts!I10 / Cohorts!$B10
)</f>
        <v/>
      </c>
      <c r="J11" s="11" t="str">
        <f>IF(
  DATE(YEAR($A11), MONTH($A11) + Cohorts!J$3, 1) &gt; DATE(2024, 12, 1),
  "",
  Cohorts!J10 / Cohorts!$B10
)</f>
        <v/>
      </c>
      <c r="K11" s="11" t="str">
        <f>IF(
  DATE(YEAR($A11), MONTH($A11) + Cohorts!K$3, 1) &gt; DATE(2024, 12, 1),
  "",
  Cohorts!K10 / Cohorts!$B10
)</f>
        <v/>
      </c>
      <c r="L11" s="11" t="str">
        <f>IF(
  DATE(YEAR($A11), MONTH($A11) + Cohorts!L$3, 1) &gt; DATE(2024, 12, 1),
  "",
  Cohorts!L10 / Cohorts!$B10
)</f>
        <v/>
      </c>
      <c r="M11" s="11" t="str">
        <f>IF(
  DATE(YEAR($A11), MONTH($A11) + Cohorts!M$3, 1) &gt; DATE(2024, 12, 1),
  "",
  Cohorts!M10 / Cohorts!$B10
)</f>
        <v/>
      </c>
    </row>
    <row r="12" spans="1:13" x14ac:dyDescent="0.25">
      <c r="A12" s="7">
        <v>45505</v>
      </c>
      <c r="B12" s="11">
        <f>IF(
  DATE(YEAR($A12), MONTH($A12) + Cohorts!B$3, 1) &gt; DATE(2024, 12, 1),
  "",
  Cohorts!B11 / Cohorts!$B11
)</f>
        <v>1</v>
      </c>
      <c r="C12" s="11">
        <f>IF(
  DATE(YEAR($A12), MONTH($A12) + Cohorts!C$3, 1) &gt; DATE(2024, 12, 1),
  "",
  Cohorts!C11 / Cohorts!$B11
)</f>
        <v>0.15555555555555556</v>
      </c>
      <c r="D12" s="11">
        <f>IF(
  DATE(YEAR($A12), MONTH($A12) + Cohorts!D$3, 1) &gt; DATE(2024, 12, 1),
  "",
  Cohorts!D11 / Cohorts!$B11
)</f>
        <v>2.2222222222222223E-2</v>
      </c>
      <c r="E12" s="11">
        <f>IF(
  DATE(YEAR($A12), MONTH($A12) + Cohorts!E$3, 1) &gt; DATE(2024, 12, 1),
  "",
  Cohorts!E11 / Cohorts!$B11
)</f>
        <v>0.13333333333333333</v>
      </c>
      <c r="F12" s="11">
        <f>IF(
  DATE(YEAR($A12), MONTH($A12) + Cohorts!F$3, 1) &gt; DATE(2024, 12, 1),
  "",
  Cohorts!F11 / Cohorts!$B11
)</f>
        <v>6.6666666666666666E-2</v>
      </c>
      <c r="G12" s="11" t="str">
        <f>IF(
  DATE(YEAR($A12), MONTH($A12) + Cohorts!G$3, 1) &gt; DATE(2024, 12, 1),
  "",
  Cohorts!G11 / Cohorts!$B11
)</f>
        <v/>
      </c>
      <c r="H12" s="11" t="str">
        <f>IF(
  DATE(YEAR($A12), MONTH($A12) + Cohorts!H$3, 1) &gt; DATE(2024, 12, 1),
  "",
  Cohorts!H11 / Cohorts!$B11
)</f>
        <v/>
      </c>
      <c r="I12" s="11" t="str">
        <f>IF(
  DATE(YEAR($A12), MONTH($A12) + Cohorts!I$3, 1) &gt; DATE(2024, 12, 1),
  "",
  Cohorts!I11 / Cohorts!$B11
)</f>
        <v/>
      </c>
      <c r="J12" s="11" t="str">
        <f>IF(
  DATE(YEAR($A12), MONTH($A12) + Cohorts!J$3, 1) &gt; DATE(2024, 12, 1),
  "",
  Cohorts!J11 / Cohorts!$B11
)</f>
        <v/>
      </c>
      <c r="K12" s="11" t="str">
        <f>IF(
  DATE(YEAR($A12), MONTH($A12) + Cohorts!K$3, 1) &gt; DATE(2024, 12, 1),
  "",
  Cohorts!K11 / Cohorts!$B11
)</f>
        <v/>
      </c>
      <c r="L12" s="11" t="str">
        <f>IF(
  DATE(YEAR($A12), MONTH($A12) + Cohorts!L$3, 1) &gt; DATE(2024, 12, 1),
  "",
  Cohorts!L11 / Cohorts!$B11
)</f>
        <v/>
      </c>
      <c r="M12" s="11" t="str">
        <f>IF(
  DATE(YEAR($A12), MONTH($A12) + Cohorts!M$3, 1) &gt; DATE(2024, 12, 1),
  "",
  Cohorts!M11 / Cohorts!$B11
)</f>
        <v/>
      </c>
    </row>
    <row r="13" spans="1:13" x14ac:dyDescent="0.25">
      <c r="A13" s="7">
        <v>45536</v>
      </c>
      <c r="B13" s="11">
        <f>IF(
  DATE(YEAR($A13), MONTH($A13) + Cohorts!B$3, 1) &gt; DATE(2024, 12, 1),
  "",
  Cohorts!B12 / Cohorts!$B12
)</f>
        <v>1</v>
      </c>
      <c r="C13" s="11">
        <f>IF(
  DATE(YEAR($A13), MONTH($A13) + Cohorts!C$3, 1) &gt; DATE(2024, 12, 1),
  "",
  Cohorts!C12 / Cohorts!$B12
)</f>
        <v>9.5238095238095233E-2</v>
      </c>
      <c r="D13" s="11">
        <f>IF(
  DATE(YEAR($A13), MONTH($A13) + Cohorts!D$3, 1) &gt; DATE(2024, 12, 1),
  "",
  Cohorts!D12 / Cohorts!$B12
)</f>
        <v>7.1428571428571425E-2</v>
      </c>
      <c r="E13" s="11">
        <f>IF(
  DATE(YEAR($A13), MONTH($A13) + Cohorts!E$3, 1) &gt; DATE(2024, 12, 1),
  "",
  Cohorts!E12 / Cohorts!$B12
)</f>
        <v>7.1428571428571425E-2</v>
      </c>
      <c r="F13" s="11" t="str">
        <f>IF(
  DATE(YEAR($A13), MONTH($A13) + Cohorts!F$3, 1) &gt; DATE(2024, 12, 1),
  "",
  Cohorts!F12 / Cohorts!$B12
)</f>
        <v/>
      </c>
      <c r="G13" s="11" t="str">
        <f>IF(
  DATE(YEAR($A13), MONTH($A13) + Cohorts!G$3, 1) &gt; DATE(2024, 12, 1),
  "",
  Cohorts!G12 / Cohorts!$B12
)</f>
        <v/>
      </c>
      <c r="H13" s="11" t="str">
        <f>IF(
  DATE(YEAR($A13), MONTH($A13) + Cohorts!H$3, 1) &gt; DATE(2024, 12, 1),
  "",
  Cohorts!H12 / Cohorts!$B12
)</f>
        <v/>
      </c>
      <c r="I13" s="11" t="str">
        <f>IF(
  DATE(YEAR($A13), MONTH($A13) + Cohorts!I$3, 1) &gt; DATE(2024, 12, 1),
  "",
  Cohorts!I12 / Cohorts!$B12
)</f>
        <v/>
      </c>
      <c r="J13" s="11" t="str">
        <f>IF(
  DATE(YEAR($A13), MONTH($A13) + Cohorts!J$3, 1) &gt; DATE(2024, 12, 1),
  "",
  Cohorts!J12 / Cohorts!$B12
)</f>
        <v/>
      </c>
      <c r="K13" s="11" t="str">
        <f>IF(
  DATE(YEAR($A13), MONTH($A13) + Cohorts!K$3, 1) &gt; DATE(2024, 12, 1),
  "",
  Cohorts!K12 / Cohorts!$B12
)</f>
        <v/>
      </c>
      <c r="L13" s="11" t="str">
        <f>IF(
  DATE(YEAR($A13), MONTH($A13) + Cohorts!L$3, 1) &gt; DATE(2024, 12, 1),
  "",
  Cohorts!L12 / Cohorts!$B12
)</f>
        <v/>
      </c>
      <c r="M13" s="11" t="str">
        <f>IF(
  DATE(YEAR($A13), MONTH($A13) + Cohorts!M$3, 1) &gt; DATE(2024, 12, 1),
  "",
  Cohorts!M12 / Cohorts!$B12
)</f>
        <v/>
      </c>
    </row>
    <row r="14" spans="1:13" x14ac:dyDescent="0.25">
      <c r="A14" s="7">
        <v>45566</v>
      </c>
      <c r="B14" s="11">
        <f>IF(
  DATE(YEAR($A14), MONTH($A14) + Cohorts!B$3, 1) &gt; DATE(2024, 12, 1),
  "",
  Cohorts!B13 / Cohorts!$B13
)</f>
        <v>1</v>
      </c>
      <c r="C14" s="11">
        <f>IF(
  DATE(YEAR($A14), MONTH($A14) + Cohorts!C$3, 1) &gt; DATE(2024, 12, 1),
  "",
  Cohorts!C13 / Cohorts!$B13
)</f>
        <v>0.17647058823529413</v>
      </c>
      <c r="D14" s="11">
        <f>IF(
  DATE(YEAR($A14), MONTH($A14) + Cohorts!D$3, 1) &gt; DATE(2024, 12, 1),
  "",
  Cohorts!D13 / Cohorts!$B13
)</f>
        <v>0.11764705882352941</v>
      </c>
      <c r="E14" s="11" t="str">
        <f>IF(
  DATE(YEAR($A14), MONTH($A14) + Cohorts!E$3, 1) &gt; DATE(2024, 12, 1),
  "",
  Cohorts!E13 / Cohorts!$B13
)</f>
        <v/>
      </c>
      <c r="F14" s="11" t="str">
        <f>IF(
  DATE(YEAR($A14), MONTH($A14) + Cohorts!F$3, 1) &gt; DATE(2024, 12, 1),
  "",
  Cohorts!F13 / Cohorts!$B13
)</f>
        <v/>
      </c>
      <c r="G14" s="11" t="str">
        <f>IF(
  DATE(YEAR($A14), MONTH($A14) + Cohorts!G$3, 1) &gt; DATE(2024, 12, 1),
  "",
  Cohorts!G13 / Cohorts!$B13
)</f>
        <v/>
      </c>
      <c r="H14" s="11" t="str">
        <f>IF(
  DATE(YEAR($A14), MONTH($A14) + Cohorts!H$3, 1) &gt; DATE(2024, 12, 1),
  "",
  Cohorts!H13 / Cohorts!$B13
)</f>
        <v/>
      </c>
      <c r="I14" s="11" t="str">
        <f>IF(
  DATE(YEAR($A14), MONTH($A14) + Cohorts!I$3, 1) &gt; DATE(2024, 12, 1),
  "",
  Cohorts!I13 / Cohorts!$B13
)</f>
        <v/>
      </c>
      <c r="J14" s="11" t="str">
        <f>IF(
  DATE(YEAR($A14), MONTH($A14) + Cohorts!J$3, 1) &gt; DATE(2024, 12, 1),
  "",
  Cohorts!J13 / Cohorts!$B13
)</f>
        <v/>
      </c>
      <c r="K14" s="11" t="str">
        <f>IF(
  DATE(YEAR($A14), MONTH($A14) + Cohorts!K$3, 1) &gt; DATE(2024, 12, 1),
  "",
  Cohorts!K13 / Cohorts!$B13
)</f>
        <v/>
      </c>
      <c r="L14" s="11" t="str">
        <f>IF(
  DATE(YEAR($A14), MONTH($A14) + Cohorts!L$3, 1) &gt; DATE(2024, 12, 1),
  "",
  Cohorts!L13 / Cohorts!$B13
)</f>
        <v/>
      </c>
      <c r="M14" s="11" t="str">
        <f>IF(
  DATE(YEAR($A14), MONTH($A14) + Cohorts!M$3, 1) &gt; DATE(2024, 12, 1),
  "",
  Cohorts!M13 / Cohorts!$B13
)</f>
        <v/>
      </c>
    </row>
    <row r="15" spans="1:13" x14ac:dyDescent="0.25">
      <c r="A15" s="7">
        <v>45597</v>
      </c>
      <c r="B15" s="11">
        <f>IF(
  DATE(YEAR($A15), MONTH($A15) + Cohorts!B$3, 1) &gt; DATE(2024, 12, 1),
  "",
  Cohorts!B14 / Cohorts!$B14
)</f>
        <v>1</v>
      </c>
      <c r="C15" s="11">
        <f>IF(
  DATE(YEAR($A15), MONTH($A15) + Cohorts!C$3, 1) &gt; DATE(2024, 12, 1),
  "",
  Cohorts!C14 / Cohorts!$B14
)</f>
        <v>0</v>
      </c>
      <c r="D15" s="11" t="str">
        <f>IF(
  DATE(YEAR($A15), MONTH($A15) + Cohorts!D$3, 1) &gt; DATE(2024, 12, 1),
  "",
  Cohorts!D14 / Cohorts!$B14
)</f>
        <v/>
      </c>
      <c r="E15" s="11" t="str">
        <f>IF(
  DATE(YEAR($A15), MONTH($A15) + Cohorts!E$3, 1) &gt; DATE(2024, 12, 1),
  "",
  Cohorts!E14 / Cohorts!$B14
)</f>
        <v/>
      </c>
      <c r="F15" s="11" t="str">
        <f>IF(
  DATE(YEAR($A15), MONTH($A15) + Cohorts!F$3, 1) &gt; DATE(2024, 12, 1),
  "",
  Cohorts!F14 / Cohorts!$B14
)</f>
        <v/>
      </c>
      <c r="G15" s="11" t="str">
        <f>IF(
  DATE(YEAR($A15), MONTH($A15) + Cohorts!G$3, 1) &gt; DATE(2024, 12, 1),
  "",
  Cohorts!G14 / Cohorts!$B14
)</f>
        <v/>
      </c>
      <c r="H15" s="11" t="str">
        <f>IF(
  DATE(YEAR($A15), MONTH($A15) + Cohorts!H$3, 1) &gt; DATE(2024, 12, 1),
  "",
  Cohorts!H14 / Cohorts!$B14
)</f>
        <v/>
      </c>
      <c r="I15" s="11" t="str">
        <f>IF(
  DATE(YEAR($A15), MONTH($A15) + Cohorts!I$3, 1) &gt; DATE(2024, 12, 1),
  "",
  Cohorts!I14 / Cohorts!$B14
)</f>
        <v/>
      </c>
      <c r="J15" s="11" t="str">
        <f>IF(
  DATE(YEAR($A15), MONTH($A15) + Cohorts!J$3, 1) &gt; DATE(2024, 12, 1),
  "",
  Cohorts!J14 / Cohorts!$B14
)</f>
        <v/>
      </c>
      <c r="K15" s="11" t="str">
        <f>IF(
  DATE(YEAR($A15), MONTH($A15) + Cohorts!K$3, 1) &gt; DATE(2024, 12, 1),
  "",
  Cohorts!K14 / Cohorts!$B14
)</f>
        <v/>
      </c>
      <c r="L15" s="11" t="str">
        <f>IF(
  DATE(YEAR($A15), MONTH($A15) + Cohorts!L$3, 1) &gt; DATE(2024, 12, 1),
  "",
  Cohorts!L14 / Cohorts!$B14
)</f>
        <v/>
      </c>
      <c r="M15" s="11" t="str">
        <f>IF(
  DATE(YEAR($A15), MONTH($A15) + Cohorts!M$3, 1) &gt; DATE(2024, 12, 1),
  "",
  Cohorts!M14 / Cohorts!$B14
)</f>
        <v/>
      </c>
    </row>
    <row r="16" spans="1:13" x14ac:dyDescent="0.25">
      <c r="A16" s="7">
        <v>45627</v>
      </c>
      <c r="B16" s="11">
        <f>IF(
  DATE(YEAR($A16), MONTH($A16) + Cohorts!B$3, 1) &gt; DATE(2024, 12, 1),
  "",
  Cohorts!B15 / Cohorts!$B15
)</f>
        <v>1</v>
      </c>
      <c r="C16" s="11" t="str">
        <f>IF(
  DATE(YEAR($A16), MONTH($A16) + Cohorts!C$3, 1) &gt; DATE(2024, 12, 1),
  "",
  Cohorts!C15 / Cohorts!$B15
)</f>
        <v/>
      </c>
      <c r="D16" s="11" t="str">
        <f>IF(
  DATE(YEAR($A16), MONTH($A16) + Cohorts!D$3, 1) &gt; DATE(2024, 12, 1),
  "",
  Cohorts!D15 / Cohorts!$B15
)</f>
        <v/>
      </c>
      <c r="E16" s="11" t="str">
        <f>IF(
  DATE(YEAR($A16), MONTH($A16) + Cohorts!E$3, 1) &gt; DATE(2024, 12, 1),
  "",
  Cohorts!E15 / Cohorts!$B15
)</f>
        <v/>
      </c>
      <c r="F16" s="11" t="str">
        <f>IF(
  DATE(YEAR($A16), MONTH($A16) + Cohorts!F$3, 1) &gt; DATE(2024, 12, 1),
  "",
  Cohorts!F15 / Cohorts!$B15
)</f>
        <v/>
      </c>
      <c r="G16" s="11" t="str">
        <f>IF(
  DATE(YEAR($A16), MONTH($A16) + Cohorts!G$3, 1) &gt; DATE(2024, 12, 1),
  "",
  Cohorts!G15 / Cohorts!$B15
)</f>
        <v/>
      </c>
      <c r="H16" s="11" t="str">
        <f>IF(
  DATE(YEAR($A16), MONTH($A16) + Cohorts!H$3, 1) &gt; DATE(2024, 12, 1),
  "",
  Cohorts!H15 / Cohorts!$B15
)</f>
        <v/>
      </c>
      <c r="I16" s="11" t="str">
        <f>IF(
  DATE(YEAR($A16), MONTH($A16) + Cohorts!I$3, 1) &gt; DATE(2024, 12, 1),
  "",
  Cohorts!I15 / Cohorts!$B15
)</f>
        <v/>
      </c>
      <c r="J16" s="11" t="str">
        <f>IF(
  DATE(YEAR($A16), MONTH($A16) + Cohorts!J$3, 1) &gt; DATE(2024, 12, 1),
  "",
  Cohorts!J15 / Cohorts!$B15
)</f>
        <v/>
      </c>
      <c r="K16" s="11" t="str">
        <f>IF(
  DATE(YEAR($A16), MONTH($A16) + Cohorts!K$3, 1) &gt; DATE(2024, 12, 1),
  "",
  Cohorts!K15 / Cohorts!$B15
)</f>
        <v/>
      </c>
      <c r="L16" s="11" t="str">
        <f>IF(
  DATE(YEAR($A16), MONTH($A16) + Cohorts!L$3, 1) &gt; DATE(2024, 12, 1),
  "",
  Cohorts!L15 / Cohorts!$B15
)</f>
        <v/>
      </c>
      <c r="M16" s="11" t="str">
        <f>IF(
  DATE(YEAR($A16), MONTH($A16) + Cohorts!M$3, 1) &gt; DATE(2024, 12, 1),
  "",
  Cohorts!M15 / Cohorts!$B15
)</f>
        <v/>
      </c>
    </row>
  </sheetData>
  <conditionalFormatting sqref="B5:M16">
    <cfRule type="colorScale" priority="2">
      <colorScale>
        <cfvo type="num" val="0"/>
        <cfvo type="num" val="50"/>
        <cfvo type="num" val="100"/>
        <color rgb="FF3B4CC0"/>
        <color rgb="FFFFFFFF"/>
        <color rgb="FFB40426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030B-9C86-4AC0-B23E-61478D019C5E}">
  <dimension ref="A1:G1002"/>
  <sheetViews>
    <sheetView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15.42578125" style="12" bestFit="1" customWidth="1"/>
    <col min="3" max="3" width="5.5703125" bestFit="1" customWidth="1"/>
    <col min="4" max="4" width="12.140625" bestFit="1" customWidth="1"/>
    <col min="5" max="5" width="13.140625" bestFit="1" customWidth="1"/>
    <col min="6" max="6" width="12" bestFit="1" customWidth="1"/>
    <col min="7" max="7" width="15.28515625" bestFit="1" customWidth="1"/>
  </cols>
  <sheetData>
    <row r="1" spans="1:7" s="5" customFormat="1" x14ac:dyDescent="0.25">
      <c r="A1" s="5" t="s">
        <v>23</v>
      </c>
      <c r="B1" s="12"/>
      <c r="C1" s="5">
        <v>2</v>
      </c>
    </row>
    <row r="2" spans="1:7" x14ac:dyDescent="0.25">
      <c r="A2" s="14" t="s">
        <v>1</v>
      </c>
      <c r="B2" s="15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</row>
    <row r="3" spans="1:7" x14ac:dyDescent="0.25">
      <c r="A3" cm="1">
        <f t="array" ref="A3:G1002">_xlfn._xlws.SORT(Table2[],sort_column, TRUE)</f>
        <v>325</v>
      </c>
      <c r="B3" s="12">
        <v>45293.1150978472</v>
      </c>
      <c r="C3">
        <v>605</v>
      </c>
      <c r="D3">
        <v>45292</v>
      </c>
      <c r="E3">
        <v>45292</v>
      </c>
      <c r="F3">
        <v>0</v>
      </c>
      <c r="G3">
        <v>1</v>
      </c>
    </row>
    <row r="4" spans="1:7" x14ac:dyDescent="0.25">
      <c r="A4">
        <v>271</v>
      </c>
      <c r="B4" s="12">
        <v>45293.377594872698</v>
      </c>
      <c r="C4">
        <v>93</v>
      </c>
      <c r="D4">
        <v>45292</v>
      </c>
      <c r="E4">
        <v>45292</v>
      </c>
      <c r="F4">
        <v>0</v>
      </c>
      <c r="G4">
        <v>1</v>
      </c>
    </row>
    <row r="5" spans="1:7" x14ac:dyDescent="0.25">
      <c r="A5">
        <v>825</v>
      </c>
      <c r="B5" s="12">
        <v>45293.725038819401</v>
      </c>
      <c r="C5">
        <v>163</v>
      </c>
      <c r="D5">
        <v>45292</v>
      </c>
      <c r="E5">
        <v>45292</v>
      </c>
      <c r="F5">
        <v>0</v>
      </c>
      <c r="G5">
        <v>1</v>
      </c>
    </row>
    <row r="6" spans="1:7" x14ac:dyDescent="0.25">
      <c r="A6">
        <v>993</v>
      </c>
      <c r="B6" s="12">
        <v>45294.429587500003</v>
      </c>
      <c r="C6">
        <v>69</v>
      </c>
      <c r="D6">
        <v>45292</v>
      </c>
      <c r="E6">
        <v>45292</v>
      </c>
      <c r="F6">
        <v>0</v>
      </c>
      <c r="G6">
        <v>1</v>
      </c>
    </row>
    <row r="7" spans="1:7" x14ac:dyDescent="0.25">
      <c r="A7">
        <v>566</v>
      </c>
      <c r="B7" s="12">
        <v>45294.440981956002</v>
      </c>
      <c r="C7">
        <v>515</v>
      </c>
      <c r="D7">
        <v>45292</v>
      </c>
      <c r="E7">
        <v>45292</v>
      </c>
      <c r="F7">
        <v>0</v>
      </c>
      <c r="G7">
        <v>1</v>
      </c>
    </row>
    <row r="8" spans="1:7" x14ac:dyDescent="0.25">
      <c r="A8">
        <v>497</v>
      </c>
      <c r="B8" s="12">
        <v>45294.5283484838</v>
      </c>
      <c r="C8">
        <v>885</v>
      </c>
      <c r="D8">
        <v>45292</v>
      </c>
      <c r="E8">
        <v>45292</v>
      </c>
      <c r="F8">
        <v>0</v>
      </c>
      <c r="G8">
        <v>0</v>
      </c>
    </row>
    <row r="9" spans="1:7" x14ac:dyDescent="0.25">
      <c r="A9">
        <v>525</v>
      </c>
      <c r="B9" s="12">
        <v>45295.050589838</v>
      </c>
      <c r="C9">
        <v>499</v>
      </c>
      <c r="D9">
        <v>45292</v>
      </c>
      <c r="E9">
        <v>45292</v>
      </c>
      <c r="F9">
        <v>0</v>
      </c>
      <c r="G9">
        <v>1</v>
      </c>
    </row>
    <row r="10" spans="1:7" x14ac:dyDescent="0.25">
      <c r="A10">
        <v>227</v>
      </c>
      <c r="B10" s="12">
        <v>45295.747602835698</v>
      </c>
      <c r="C10">
        <v>896</v>
      </c>
      <c r="D10">
        <v>45292</v>
      </c>
      <c r="E10">
        <v>45292</v>
      </c>
      <c r="F10">
        <v>0</v>
      </c>
      <c r="G10">
        <v>1</v>
      </c>
    </row>
    <row r="11" spans="1:7" x14ac:dyDescent="0.25">
      <c r="A11">
        <v>283</v>
      </c>
      <c r="B11" s="12">
        <v>45295.781838750001</v>
      </c>
      <c r="C11">
        <v>573</v>
      </c>
      <c r="D11">
        <v>45292</v>
      </c>
      <c r="E11">
        <v>45292</v>
      </c>
      <c r="F11">
        <v>0</v>
      </c>
      <c r="G11">
        <v>1</v>
      </c>
    </row>
    <row r="12" spans="1:7" x14ac:dyDescent="0.25">
      <c r="A12">
        <v>326</v>
      </c>
      <c r="B12" s="12">
        <v>45295.788842465299</v>
      </c>
      <c r="C12">
        <v>500</v>
      </c>
      <c r="D12">
        <v>45292</v>
      </c>
      <c r="E12">
        <v>45292</v>
      </c>
      <c r="F12">
        <v>0</v>
      </c>
      <c r="G12">
        <v>1</v>
      </c>
    </row>
    <row r="13" spans="1:7" x14ac:dyDescent="0.25">
      <c r="A13">
        <v>538</v>
      </c>
      <c r="B13" s="12">
        <v>45295.822650000002</v>
      </c>
      <c r="C13">
        <v>707</v>
      </c>
      <c r="D13">
        <v>45292</v>
      </c>
      <c r="E13">
        <v>45292</v>
      </c>
      <c r="F13">
        <v>0</v>
      </c>
      <c r="G13">
        <v>1</v>
      </c>
    </row>
    <row r="14" spans="1:7" x14ac:dyDescent="0.25">
      <c r="A14">
        <v>432</v>
      </c>
      <c r="B14" s="12">
        <v>45295.931249560199</v>
      </c>
      <c r="C14">
        <v>713</v>
      </c>
      <c r="D14">
        <v>45292</v>
      </c>
      <c r="E14">
        <v>45292</v>
      </c>
      <c r="F14">
        <v>0</v>
      </c>
      <c r="G14">
        <v>1</v>
      </c>
    </row>
    <row r="15" spans="1:7" x14ac:dyDescent="0.25">
      <c r="A15">
        <v>217</v>
      </c>
      <c r="B15" s="12">
        <v>45296.039683414398</v>
      </c>
      <c r="C15">
        <v>667</v>
      </c>
      <c r="D15">
        <v>45292</v>
      </c>
      <c r="E15">
        <v>45292</v>
      </c>
      <c r="F15">
        <v>0</v>
      </c>
      <c r="G15">
        <v>1</v>
      </c>
    </row>
    <row r="16" spans="1:7" x14ac:dyDescent="0.25">
      <c r="A16">
        <v>551</v>
      </c>
      <c r="B16" s="12">
        <v>45296.372283460703</v>
      </c>
      <c r="C16">
        <v>472</v>
      </c>
      <c r="D16">
        <v>45292</v>
      </c>
      <c r="E16">
        <v>45292</v>
      </c>
      <c r="F16">
        <v>0</v>
      </c>
      <c r="G16">
        <v>1</v>
      </c>
    </row>
    <row r="17" spans="1:7" x14ac:dyDescent="0.25">
      <c r="A17">
        <v>263</v>
      </c>
      <c r="B17" s="12">
        <v>45296.478570740699</v>
      </c>
      <c r="C17">
        <v>776</v>
      </c>
      <c r="D17">
        <v>45292</v>
      </c>
      <c r="E17">
        <v>45292</v>
      </c>
      <c r="F17">
        <v>0</v>
      </c>
      <c r="G17">
        <v>1</v>
      </c>
    </row>
    <row r="18" spans="1:7" x14ac:dyDescent="0.25">
      <c r="A18">
        <v>177</v>
      </c>
      <c r="B18" s="12">
        <v>45296.589489791702</v>
      </c>
      <c r="C18">
        <v>538</v>
      </c>
      <c r="D18">
        <v>45292</v>
      </c>
      <c r="E18">
        <v>45292</v>
      </c>
      <c r="F18">
        <v>0</v>
      </c>
      <c r="G18">
        <v>1</v>
      </c>
    </row>
    <row r="19" spans="1:7" x14ac:dyDescent="0.25">
      <c r="A19">
        <v>784</v>
      </c>
      <c r="B19" s="12">
        <v>45296.673682141198</v>
      </c>
      <c r="C19">
        <v>205</v>
      </c>
      <c r="D19">
        <v>45292</v>
      </c>
      <c r="E19">
        <v>45292</v>
      </c>
      <c r="F19">
        <v>0</v>
      </c>
      <c r="G19">
        <v>1</v>
      </c>
    </row>
    <row r="20" spans="1:7" x14ac:dyDescent="0.25">
      <c r="A20">
        <v>72</v>
      </c>
      <c r="B20" s="12">
        <v>45297.608132511603</v>
      </c>
      <c r="C20">
        <v>415</v>
      </c>
      <c r="D20">
        <v>45292</v>
      </c>
      <c r="E20">
        <v>45292</v>
      </c>
      <c r="F20">
        <v>0</v>
      </c>
      <c r="G20">
        <v>1</v>
      </c>
    </row>
    <row r="21" spans="1:7" x14ac:dyDescent="0.25">
      <c r="A21">
        <v>254</v>
      </c>
      <c r="B21" s="12">
        <v>45297.803133738402</v>
      </c>
      <c r="C21">
        <v>790</v>
      </c>
      <c r="D21">
        <v>45292</v>
      </c>
      <c r="E21">
        <v>45292</v>
      </c>
      <c r="F21">
        <v>0</v>
      </c>
      <c r="G21">
        <v>1</v>
      </c>
    </row>
    <row r="22" spans="1:7" x14ac:dyDescent="0.25">
      <c r="A22">
        <v>628</v>
      </c>
      <c r="B22" s="12">
        <v>45298.257782303197</v>
      </c>
      <c r="C22">
        <v>603</v>
      </c>
      <c r="D22">
        <v>45292</v>
      </c>
      <c r="E22">
        <v>45292</v>
      </c>
      <c r="F22">
        <v>0</v>
      </c>
      <c r="G22">
        <v>1</v>
      </c>
    </row>
    <row r="23" spans="1:7" x14ac:dyDescent="0.25">
      <c r="A23">
        <v>172</v>
      </c>
      <c r="B23" s="12">
        <v>45298.663932118099</v>
      </c>
      <c r="C23">
        <v>117</v>
      </c>
      <c r="D23">
        <v>45292</v>
      </c>
      <c r="E23">
        <v>45292</v>
      </c>
      <c r="F23">
        <v>0</v>
      </c>
      <c r="G23">
        <v>1</v>
      </c>
    </row>
    <row r="24" spans="1:7" x14ac:dyDescent="0.25">
      <c r="A24">
        <v>21</v>
      </c>
      <c r="B24" s="12">
        <v>45298.722339294</v>
      </c>
      <c r="C24">
        <v>465</v>
      </c>
      <c r="D24">
        <v>45292</v>
      </c>
      <c r="E24">
        <v>45292</v>
      </c>
      <c r="F24">
        <v>0</v>
      </c>
      <c r="G24">
        <v>1</v>
      </c>
    </row>
    <row r="25" spans="1:7" x14ac:dyDescent="0.25">
      <c r="A25">
        <v>795</v>
      </c>
      <c r="B25" s="12">
        <v>45298.811489120402</v>
      </c>
      <c r="C25">
        <v>712</v>
      </c>
      <c r="D25">
        <v>45292</v>
      </c>
      <c r="E25">
        <v>45292</v>
      </c>
      <c r="F25">
        <v>0</v>
      </c>
      <c r="G25">
        <v>1</v>
      </c>
    </row>
    <row r="26" spans="1:7" x14ac:dyDescent="0.25">
      <c r="A26">
        <v>695</v>
      </c>
      <c r="B26" s="12">
        <v>45299.605651307902</v>
      </c>
      <c r="C26">
        <v>904</v>
      </c>
      <c r="D26">
        <v>45292</v>
      </c>
      <c r="E26">
        <v>45292</v>
      </c>
      <c r="F26">
        <v>0</v>
      </c>
      <c r="G26">
        <v>1</v>
      </c>
    </row>
    <row r="27" spans="1:7" x14ac:dyDescent="0.25">
      <c r="A27">
        <v>556</v>
      </c>
      <c r="B27" s="12">
        <v>45299.739065011599</v>
      </c>
      <c r="C27">
        <v>697</v>
      </c>
      <c r="D27">
        <v>45292</v>
      </c>
      <c r="E27">
        <v>45292</v>
      </c>
      <c r="F27">
        <v>0</v>
      </c>
      <c r="G27">
        <v>1</v>
      </c>
    </row>
    <row r="28" spans="1:7" x14ac:dyDescent="0.25">
      <c r="A28">
        <v>422</v>
      </c>
      <c r="B28" s="12">
        <v>45299.779600972201</v>
      </c>
      <c r="C28">
        <v>53</v>
      </c>
      <c r="D28">
        <v>45292</v>
      </c>
      <c r="E28">
        <v>45292</v>
      </c>
      <c r="F28">
        <v>0</v>
      </c>
      <c r="G28">
        <v>0</v>
      </c>
    </row>
    <row r="29" spans="1:7" x14ac:dyDescent="0.25">
      <c r="A29">
        <v>427</v>
      </c>
      <c r="B29" s="12">
        <v>45299.839441794</v>
      </c>
      <c r="C29">
        <v>627</v>
      </c>
      <c r="D29">
        <v>45292</v>
      </c>
      <c r="E29">
        <v>45292</v>
      </c>
      <c r="F29">
        <v>0</v>
      </c>
      <c r="G29">
        <v>1</v>
      </c>
    </row>
    <row r="30" spans="1:7" x14ac:dyDescent="0.25">
      <c r="A30">
        <v>47</v>
      </c>
      <c r="B30" s="12">
        <v>45300.1046816667</v>
      </c>
      <c r="C30">
        <v>936</v>
      </c>
      <c r="D30">
        <v>45292</v>
      </c>
      <c r="E30">
        <v>45292</v>
      </c>
      <c r="F30">
        <v>0</v>
      </c>
      <c r="G30">
        <v>1</v>
      </c>
    </row>
    <row r="31" spans="1:7" x14ac:dyDescent="0.25">
      <c r="A31">
        <v>662</v>
      </c>
      <c r="B31" s="12">
        <v>45300.116363634297</v>
      </c>
      <c r="C31">
        <v>672</v>
      </c>
      <c r="D31">
        <v>45292</v>
      </c>
      <c r="E31">
        <v>45292</v>
      </c>
      <c r="F31">
        <v>0</v>
      </c>
      <c r="G31">
        <v>1</v>
      </c>
    </row>
    <row r="32" spans="1:7" x14ac:dyDescent="0.25">
      <c r="A32">
        <v>223</v>
      </c>
      <c r="B32" s="12">
        <v>45300.155156099499</v>
      </c>
      <c r="C32">
        <v>191</v>
      </c>
      <c r="D32">
        <v>45292</v>
      </c>
      <c r="E32">
        <v>45292</v>
      </c>
      <c r="F32">
        <v>0</v>
      </c>
      <c r="G32">
        <v>1</v>
      </c>
    </row>
    <row r="33" spans="1:7" x14ac:dyDescent="0.25">
      <c r="A33">
        <v>323</v>
      </c>
      <c r="B33" s="12">
        <v>45300.275373449098</v>
      </c>
      <c r="C33">
        <v>22</v>
      </c>
      <c r="D33">
        <v>45292</v>
      </c>
      <c r="E33">
        <v>45292</v>
      </c>
      <c r="F33">
        <v>0</v>
      </c>
      <c r="G33">
        <v>1</v>
      </c>
    </row>
    <row r="34" spans="1:7" x14ac:dyDescent="0.25">
      <c r="A34">
        <v>415</v>
      </c>
      <c r="B34" s="12">
        <v>45301.705742997699</v>
      </c>
      <c r="C34">
        <v>269</v>
      </c>
      <c r="D34">
        <v>45292</v>
      </c>
      <c r="E34">
        <v>45292</v>
      </c>
      <c r="F34">
        <v>0</v>
      </c>
      <c r="G34">
        <v>0</v>
      </c>
    </row>
    <row r="35" spans="1:7" x14ac:dyDescent="0.25">
      <c r="A35">
        <v>80</v>
      </c>
      <c r="B35" s="12">
        <v>45302.530158125002</v>
      </c>
      <c r="C35">
        <v>767</v>
      </c>
      <c r="D35">
        <v>45292</v>
      </c>
      <c r="E35">
        <v>45292</v>
      </c>
      <c r="F35">
        <v>0</v>
      </c>
      <c r="G35">
        <v>1</v>
      </c>
    </row>
    <row r="36" spans="1:7" x14ac:dyDescent="0.25">
      <c r="A36">
        <v>415</v>
      </c>
      <c r="B36" s="12">
        <v>45303.187293773197</v>
      </c>
      <c r="C36">
        <v>277</v>
      </c>
      <c r="D36">
        <v>45292</v>
      </c>
      <c r="E36">
        <v>45292</v>
      </c>
      <c r="F36">
        <v>0</v>
      </c>
      <c r="G36">
        <v>1</v>
      </c>
    </row>
    <row r="37" spans="1:7" x14ac:dyDescent="0.25">
      <c r="A37">
        <v>567</v>
      </c>
      <c r="B37" s="12">
        <v>45304.471078703697</v>
      </c>
      <c r="C37">
        <v>51</v>
      </c>
      <c r="D37">
        <v>45292</v>
      </c>
      <c r="E37">
        <v>45292</v>
      </c>
      <c r="F37">
        <v>0</v>
      </c>
      <c r="G37">
        <v>1</v>
      </c>
    </row>
    <row r="38" spans="1:7" x14ac:dyDescent="0.25">
      <c r="A38">
        <v>895</v>
      </c>
      <c r="B38" s="12">
        <v>45304.850959444499</v>
      </c>
      <c r="C38">
        <v>277</v>
      </c>
      <c r="D38">
        <v>45292</v>
      </c>
      <c r="E38">
        <v>45292</v>
      </c>
      <c r="F38">
        <v>0</v>
      </c>
      <c r="G38">
        <v>1</v>
      </c>
    </row>
    <row r="39" spans="1:7" x14ac:dyDescent="0.25">
      <c r="A39">
        <v>710</v>
      </c>
      <c r="B39" s="12">
        <v>45305.134619849501</v>
      </c>
      <c r="C39">
        <v>96</v>
      </c>
      <c r="D39">
        <v>45292</v>
      </c>
      <c r="E39">
        <v>45292</v>
      </c>
      <c r="F39">
        <v>0</v>
      </c>
      <c r="G39">
        <v>1</v>
      </c>
    </row>
    <row r="40" spans="1:7" x14ac:dyDescent="0.25">
      <c r="A40">
        <v>934</v>
      </c>
      <c r="B40" s="12">
        <v>45305.212904930602</v>
      </c>
      <c r="C40">
        <v>529</v>
      </c>
      <c r="D40">
        <v>45292</v>
      </c>
      <c r="E40">
        <v>45292</v>
      </c>
      <c r="F40">
        <v>0</v>
      </c>
      <c r="G40">
        <v>1</v>
      </c>
    </row>
    <row r="41" spans="1:7" x14ac:dyDescent="0.25">
      <c r="A41">
        <v>503</v>
      </c>
      <c r="B41" s="12">
        <v>45306.056221597202</v>
      </c>
      <c r="C41">
        <v>272</v>
      </c>
      <c r="D41">
        <v>45292</v>
      </c>
      <c r="E41">
        <v>45292</v>
      </c>
      <c r="F41">
        <v>0</v>
      </c>
      <c r="G41">
        <v>1</v>
      </c>
    </row>
    <row r="42" spans="1:7" x14ac:dyDescent="0.25">
      <c r="A42">
        <v>488</v>
      </c>
      <c r="B42" s="12">
        <v>45306.195057800898</v>
      </c>
      <c r="C42">
        <v>146</v>
      </c>
      <c r="D42">
        <v>45292</v>
      </c>
      <c r="E42">
        <v>45292</v>
      </c>
      <c r="F42">
        <v>0</v>
      </c>
      <c r="G42">
        <v>1</v>
      </c>
    </row>
    <row r="43" spans="1:7" x14ac:dyDescent="0.25">
      <c r="A43">
        <v>818</v>
      </c>
      <c r="B43" s="12">
        <v>45306.332279039401</v>
      </c>
      <c r="C43">
        <v>632</v>
      </c>
      <c r="D43">
        <v>45292</v>
      </c>
      <c r="E43">
        <v>45292</v>
      </c>
      <c r="F43">
        <v>0</v>
      </c>
      <c r="G43">
        <v>1</v>
      </c>
    </row>
    <row r="44" spans="1:7" x14ac:dyDescent="0.25">
      <c r="A44">
        <v>824</v>
      </c>
      <c r="B44" s="12">
        <v>45307.428825937503</v>
      </c>
      <c r="C44">
        <v>316</v>
      </c>
      <c r="D44">
        <v>45292</v>
      </c>
      <c r="E44">
        <v>45292</v>
      </c>
      <c r="F44">
        <v>0</v>
      </c>
      <c r="G44">
        <v>1</v>
      </c>
    </row>
    <row r="45" spans="1:7" x14ac:dyDescent="0.25">
      <c r="A45">
        <v>700</v>
      </c>
      <c r="B45" s="12">
        <v>45307.699840509304</v>
      </c>
      <c r="C45">
        <v>152</v>
      </c>
      <c r="D45">
        <v>45292</v>
      </c>
      <c r="E45">
        <v>45292</v>
      </c>
      <c r="F45">
        <v>0</v>
      </c>
      <c r="G45">
        <v>1</v>
      </c>
    </row>
    <row r="46" spans="1:7" x14ac:dyDescent="0.25">
      <c r="A46">
        <v>751</v>
      </c>
      <c r="B46" s="12">
        <v>45307.7186814815</v>
      </c>
      <c r="C46">
        <v>385</v>
      </c>
      <c r="D46">
        <v>45292</v>
      </c>
      <c r="E46">
        <v>45292</v>
      </c>
      <c r="F46">
        <v>0</v>
      </c>
      <c r="G46">
        <v>1</v>
      </c>
    </row>
    <row r="47" spans="1:7" x14ac:dyDescent="0.25">
      <c r="A47">
        <v>699</v>
      </c>
      <c r="B47" s="12">
        <v>45307.775472384303</v>
      </c>
      <c r="C47">
        <v>607</v>
      </c>
      <c r="D47">
        <v>45292</v>
      </c>
      <c r="E47">
        <v>45292</v>
      </c>
      <c r="F47">
        <v>0</v>
      </c>
      <c r="G47">
        <v>1</v>
      </c>
    </row>
    <row r="48" spans="1:7" x14ac:dyDescent="0.25">
      <c r="A48">
        <v>958</v>
      </c>
      <c r="B48" s="12">
        <v>45307.784881539403</v>
      </c>
      <c r="C48">
        <v>253</v>
      </c>
      <c r="D48">
        <v>45292</v>
      </c>
      <c r="E48">
        <v>45292</v>
      </c>
      <c r="F48">
        <v>0</v>
      </c>
      <c r="G48">
        <v>1</v>
      </c>
    </row>
    <row r="49" spans="1:7" x14ac:dyDescent="0.25">
      <c r="A49">
        <v>113</v>
      </c>
      <c r="B49" s="12">
        <v>45307.828184525497</v>
      </c>
      <c r="C49">
        <v>106</v>
      </c>
      <c r="D49">
        <v>45292</v>
      </c>
      <c r="E49">
        <v>45292</v>
      </c>
      <c r="F49">
        <v>0</v>
      </c>
      <c r="G49">
        <v>1</v>
      </c>
    </row>
    <row r="50" spans="1:7" x14ac:dyDescent="0.25">
      <c r="A50">
        <v>2</v>
      </c>
      <c r="B50" s="12">
        <v>45308.052351689803</v>
      </c>
      <c r="C50">
        <v>497</v>
      </c>
      <c r="D50">
        <v>45292</v>
      </c>
      <c r="E50">
        <v>45292</v>
      </c>
      <c r="F50">
        <v>0</v>
      </c>
      <c r="G50">
        <v>1</v>
      </c>
    </row>
    <row r="51" spans="1:7" x14ac:dyDescent="0.25">
      <c r="A51">
        <v>636</v>
      </c>
      <c r="B51" s="12">
        <v>45308.075823587998</v>
      </c>
      <c r="C51">
        <v>192</v>
      </c>
      <c r="D51">
        <v>45292</v>
      </c>
      <c r="E51">
        <v>45292</v>
      </c>
      <c r="F51">
        <v>0</v>
      </c>
      <c r="G51">
        <v>1</v>
      </c>
    </row>
    <row r="52" spans="1:7" x14ac:dyDescent="0.25">
      <c r="A52">
        <v>972</v>
      </c>
      <c r="B52" s="12">
        <v>45308.251119050903</v>
      </c>
      <c r="C52">
        <v>951</v>
      </c>
      <c r="D52">
        <v>45292</v>
      </c>
      <c r="E52">
        <v>45292</v>
      </c>
      <c r="F52">
        <v>0</v>
      </c>
      <c r="G52">
        <v>1</v>
      </c>
    </row>
    <row r="53" spans="1:7" x14ac:dyDescent="0.25">
      <c r="A53">
        <v>380</v>
      </c>
      <c r="B53" s="12">
        <v>45308.256547418998</v>
      </c>
      <c r="C53">
        <v>641</v>
      </c>
      <c r="D53">
        <v>45292</v>
      </c>
      <c r="E53">
        <v>45292</v>
      </c>
      <c r="F53">
        <v>0</v>
      </c>
      <c r="G53">
        <v>1</v>
      </c>
    </row>
    <row r="54" spans="1:7" x14ac:dyDescent="0.25">
      <c r="A54">
        <v>321</v>
      </c>
      <c r="B54" s="12">
        <v>45308.270372291699</v>
      </c>
      <c r="C54">
        <v>831</v>
      </c>
      <c r="D54">
        <v>45292</v>
      </c>
      <c r="E54">
        <v>45292</v>
      </c>
      <c r="F54">
        <v>0</v>
      </c>
      <c r="G54">
        <v>1</v>
      </c>
    </row>
    <row r="55" spans="1:7" x14ac:dyDescent="0.25">
      <c r="A55">
        <v>726</v>
      </c>
      <c r="B55" s="12">
        <v>45310.834857511603</v>
      </c>
      <c r="C55">
        <v>561</v>
      </c>
      <c r="D55">
        <v>45292</v>
      </c>
      <c r="E55">
        <v>45292</v>
      </c>
      <c r="F55">
        <v>0</v>
      </c>
      <c r="G55">
        <v>1</v>
      </c>
    </row>
    <row r="56" spans="1:7" x14ac:dyDescent="0.25">
      <c r="A56">
        <v>767</v>
      </c>
      <c r="B56" s="12">
        <v>45311.217738032399</v>
      </c>
      <c r="C56">
        <v>72</v>
      </c>
      <c r="D56">
        <v>45292</v>
      </c>
      <c r="E56">
        <v>45292</v>
      </c>
      <c r="F56">
        <v>0</v>
      </c>
      <c r="G56">
        <v>1</v>
      </c>
    </row>
    <row r="57" spans="1:7" x14ac:dyDescent="0.25">
      <c r="A57">
        <v>419</v>
      </c>
      <c r="B57" s="12">
        <v>45311.285222916697</v>
      </c>
      <c r="C57">
        <v>262</v>
      </c>
      <c r="D57">
        <v>45292</v>
      </c>
      <c r="E57">
        <v>45292</v>
      </c>
      <c r="F57">
        <v>0</v>
      </c>
      <c r="G57">
        <v>1</v>
      </c>
    </row>
    <row r="58" spans="1:7" x14ac:dyDescent="0.25">
      <c r="A58">
        <v>548</v>
      </c>
      <c r="B58" s="12">
        <v>45311.291384328702</v>
      </c>
      <c r="C58">
        <v>380</v>
      </c>
      <c r="D58">
        <v>45292</v>
      </c>
      <c r="E58">
        <v>45292</v>
      </c>
      <c r="F58">
        <v>0</v>
      </c>
      <c r="G58">
        <v>1</v>
      </c>
    </row>
    <row r="59" spans="1:7" x14ac:dyDescent="0.25">
      <c r="A59">
        <v>422</v>
      </c>
      <c r="B59" s="12">
        <v>45311.4227644329</v>
      </c>
      <c r="C59">
        <v>635</v>
      </c>
      <c r="D59">
        <v>45292</v>
      </c>
      <c r="E59">
        <v>45292</v>
      </c>
      <c r="F59">
        <v>0</v>
      </c>
      <c r="G59">
        <v>1</v>
      </c>
    </row>
    <row r="60" spans="1:7" x14ac:dyDescent="0.25">
      <c r="A60">
        <v>936</v>
      </c>
      <c r="B60" s="12">
        <v>45311.979646550899</v>
      </c>
      <c r="C60">
        <v>338</v>
      </c>
      <c r="D60">
        <v>45292</v>
      </c>
      <c r="E60">
        <v>45292</v>
      </c>
      <c r="F60">
        <v>0</v>
      </c>
      <c r="G60">
        <v>1</v>
      </c>
    </row>
    <row r="61" spans="1:7" x14ac:dyDescent="0.25">
      <c r="A61">
        <v>178</v>
      </c>
      <c r="B61" s="12">
        <v>45312.049262442102</v>
      </c>
      <c r="C61">
        <v>655</v>
      </c>
      <c r="D61">
        <v>45292</v>
      </c>
      <c r="E61">
        <v>45292</v>
      </c>
      <c r="F61">
        <v>0</v>
      </c>
      <c r="G61">
        <v>1</v>
      </c>
    </row>
    <row r="62" spans="1:7" x14ac:dyDescent="0.25">
      <c r="A62">
        <v>714</v>
      </c>
      <c r="B62" s="12">
        <v>45312.121337488403</v>
      </c>
      <c r="C62">
        <v>173</v>
      </c>
      <c r="D62">
        <v>45292</v>
      </c>
      <c r="E62">
        <v>45292</v>
      </c>
      <c r="F62">
        <v>0</v>
      </c>
      <c r="G62">
        <v>1</v>
      </c>
    </row>
    <row r="63" spans="1:7" x14ac:dyDescent="0.25">
      <c r="A63">
        <v>706</v>
      </c>
      <c r="B63" s="12">
        <v>45312.630172997699</v>
      </c>
      <c r="C63">
        <v>640</v>
      </c>
      <c r="D63">
        <v>45292</v>
      </c>
      <c r="E63">
        <v>45292</v>
      </c>
      <c r="F63">
        <v>0</v>
      </c>
      <c r="G63">
        <v>1</v>
      </c>
    </row>
    <row r="64" spans="1:7" x14ac:dyDescent="0.25">
      <c r="A64">
        <v>348</v>
      </c>
      <c r="B64" s="12">
        <v>45313.088417719897</v>
      </c>
      <c r="C64">
        <v>268</v>
      </c>
      <c r="D64">
        <v>45292</v>
      </c>
      <c r="E64">
        <v>45292</v>
      </c>
      <c r="F64">
        <v>0</v>
      </c>
      <c r="G64">
        <v>1</v>
      </c>
    </row>
    <row r="65" spans="1:7" x14ac:dyDescent="0.25">
      <c r="A65">
        <v>688</v>
      </c>
      <c r="B65" s="12">
        <v>45313.325148414398</v>
      </c>
      <c r="C65">
        <v>671</v>
      </c>
      <c r="D65">
        <v>45292</v>
      </c>
      <c r="E65">
        <v>45292</v>
      </c>
      <c r="F65">
        <v>0</v>
      </c>
      <c r="G65">
        <v>1</v>
      </c>
    </row>
    <row r="66" spans="1:7" x14ac:dyDescent="0.25">
      <c r="A66">
        <v>370</v>
      </c>
      <c r="B66" s="12">
        <v>45313.645036493101</v>
      </c>
      <c r="C66">
        <v>359</v>
      </c>
      <c r="D66">
        <v>45292</v>
      </c>
      <c r="E66">
        <v>45292</v>
      </c>
      <c r="F66">
        <v>0</v>
      </c>
      <c r="G66">
        <v>1</v>
      </c>
    </row>
    <row r="67" spans="1:7" x14ac:dyDescent="0.25">
      <c r="A67">
        <v>196</v>
      </c>
      <c r="B67" s="12">
        <v>45313.975009120397</v>
      </c>
      <c r="C67">
        <v>673</v>
      </c>
      <c r="D67">
        <v>45292</v>
      </c>
      <c r="E67">
        <v>45292</v>
      </c>
      <c r="F67">
        <v>0</v>
      </c>
      <c r="G67">
        <v>1</v>
      </c>
    </row>
    <row r="68" spans="1:7" x14ac:dyDescent="0.25">
      <c r="A68">
        <v>305</v>
      </c>
      <c r="B68" s="12">
        <v>45314.782125127298</v>
      </c>
      <c r="C68">
        <v>775</v>
      </c>
      <c r="D68">
        <v>45292</v>
      </c>
      <c r="E68">
        <v>45292</v>
      </c>
      <c r="F68">
        <v>0</v>
      </c>
      <c r="G68">
        <v>1</v>
      </c>
    </row>
    <row r="69" spans="1:7" x14ac:dyDescent="0.25">
      <c r="A69">
        <v>338</v>
      </c>
      <c r="B69" s="12">
        <v>45315.215225277803</v>
      </c>
      <c r="C69">
        <v>101</v>
      </c>
      <c r="D69">
        <v>45292</v>
      </c>
      <c r="E69">
        <v>45292</v>
      </c>
      <c r="F69">
        <v>0</v>
      </c>
      <c r="G69">
        <v>1</v>
      </c>
    </row>
    <row r="70" spans="1:7" x14ac:dyDescent="0.25">
      <c r="A70">
        <v>201</v>
      </c>
      <c r="B70" s="12">
        <v>45316.554310972198</v>
      </c>
      <c r="C70">
        <v>734</v>
      </c>
      <c r="D70">
        <v>45292</v>
      </c>
      <c r="E70">
        <v>45292</v>
      </c>
      <c r="F70">
        <v>0</v>
      </c>
      <c r="G70">
        <v>1</v>
      </c>
    </row>
    <row r="71" spans="1:7" x14ac:dyDescent="0.25">
      <c r="A71">
        <v>234</v>
      </c>
      <c r="B71" s="12">
        <v>45316.791312013898</v>
      </c>
      <c r="C71">
        <v>114</v>
      </c>
      <c r="D71">
        <v>45292</v>
      </c>
      <c r="E71">
        <v>45292</v>
      </c>
      <c r="F71">
        <v>0</v>
      </c>
      <c r="G71">
        <v>1</v>
      </c>
    </row>
    <row r="72" spans="1:7" x14ac:dyDescent="0.25">
      <c r="A72">
        <v>511</v>
      </c>
      <c r="B72" s="12">
        <v>45316.848977754598</v>
      </c>
      <c r="C72">
        <v>377</v>
      </c>
      <c r="D72">
        <v>45292</v>
      </c>
      <c r="E72">
        <v>45292</v>
      </c>
      <c r="F72">
        <v>0</v>
      </c>
      <c r="G72">
        <v>1</v>
      </c>
    </row>
    <row r="73" spans="1:7" x14ac:dyDescent="0.25">
      <c r="A73">
        <v>677</v>
      </c>
      <c r="B73" s="12">
        <v>45316.870812164401</v>
      </c>
      <c r="C73">
        <v>563</v>
      </c>
      <c r="D73">
        <v>45292</v>
      </c>
      <c r="E73">
        <v>45292</v>
      </c>
      <c r="F73">
        <v>0</v>
      </c>
      <c r="G73">
        <v>1</v>
      </c>
    </row>
    <row r="74" spans="1:7" x14ac:dyDescent="0.25">
      <c r="A74">
        <v>854</v>
      </c>
      <c r="B74" s="12">
        <v>45317.157349201399</v>
      </c>
      <c r="C74">
        <v>230</v>
      </c>
      <c r="D74">
        <v>45292</v>
      </c>
      <c r="E74">
        <v>45292</v>
      </c>
      <c r="F74">
        <v>0</v>
      </c>
      <c r="G74">
        <v>1</v>
      </c>
    </row>
    <row r="75" spans="1:7" x14ac:dyDescent="0.25">
      <c r="A75">
        <v>497</v>
      </c>
      <c r="B75" s="12">
        <v>45317.422417858797</v>
      </c>
      <c r="C75">
        <v>251</v>
      </c>
      <c r="D75">
        <v>45292</v>
      </c>
      <c r="E75">
        <v>45292</v>
      </c>
      <c r="F75">
        <v>0</v>
      </c>
      <c r="G75">
        <v>1</v>
      </c>
    </row>
    <row r="76" spans="1:7" x14ac:dyDescent="0.25">
      <c r="A76">
        <v>218</v>
      </c>
      <c r="B76" s="12">
        <v>45317.767298298597</v>
      </c>
      <c r="C76">
        <v>926</v>
      </c>
      <c r="D76">
        <v>45292</v>
      </c>
      <c r="E76">
        <v>45292</v>
      </c>
      <c r="F76">
        <v>0</v>
      </c>
      <c r="G76">
        <v>1</v>
      </c>
    </row>
    <row r="77" spans="1:7" x14ac:dyDescent="0.25">
      <c r="A77">
        <v>892</v>
      </c>
      <c r="B77" s="12">
        <v>45317.960901770799</v>
      </c>
      <c r="C77">
        <v>101</v>
      </c>
      <c r="D77">
        <v>45292</v>
      </c>
      <c r="E77">
        <v>45292</v>
      </c>
      <c r="F77">
        <v>0</v>
      </c>
      <c r="G77">
        <v>1</v>
      </c>
    </row>
    <row r="78" spans="1:7" x14ac:dyDescent="0.25">
      <c r="A78">
        <v>490</v>
      </c>
      <c r="B78" s="12">
        <v>45318.104579328698</v>
      </c>
      <c r="C78">
        <v>466</v>
      </c>
      <c r="D78">
        <v>45292</v>
      </c>
      <c r="E78">
        <v>45292</v>
      </c>
      <c r="F78">
        <v>0</v>
      </c>
      <c r="G78">
        <v>1</v>
      </c>
    </row>
    <row r="79" spans="1:7" x14ac:dyDescent="0.25">
      <c r="A79">
        <v>973</v>
      </c>
      <c r="B79" s="12">
        <v>45318.925878530099</v>
      </c>
      <c r="C79">
        <v>753</v>
      </c>
      <c r="D79">
        <v>45292</v>
      </c>
      <c r="E79">
        <v>45292</v>
      </c>
      <c r="F79">
        <v>0</v>
      </c>
      <c r="G79">
        <v>1</v>
      </c>
    </row>
    <row r="80" spans="1:7" x14ac:dyDescent="0.25">
      <c r="A80">
        <v>806</v>
      </c>
      <c r="B80" s="12">
        <v>45319.153632210699</v>
      </c>
      <c r="C80">
        <v>779</v>
      </c>
      <c r="D80">
        <v>45292</v>
      </c>
      <c r="E80">
        <v>45292</v>
      </c>
      <c r="F80">
        <v>0</v>
      </c>
      <c r="G80">
        <v>1</v>
      </c>
    </row>
    <row r="81" spans="1:7" x14ac:dyDescent="0.25">
      <c r="A81">
        <v>117</v>
      </c>
      <c r="B81" s="12">
        <v>45319.298317314802</v>
      </c>
      <c r="C81">
        <v>127</v>
      </c>
      <c r="D81">
        <v>45292</v>
      </c>
      <c r="E81">
        <v>45292</v>
      </c>
      <c r="F81">
        <v>0</v>
      </c>
      <c r="G81">
        <v>1</v>
      </c>
    </row>
    <row r="82" spans="1:7" x14ac:dyDescent="0.25">
      <c r="A82">
        <v>128</v>
      </c>
      <c r="B82" s="12">
        <v>45319.673799201402</v>
      </c>
      <c r="C82">
        <v>240</v>
      </c>
      <c r="D82">
        <v>45292</v>
      </c>
      <c r="E82">
        <v>45292</v>
      </c>
      <c r="F82">
        <v>0</v>
      </c>
      <c r="G82">
        <v>1</v>
      </c>
    </row>
    <row r="83" spans="1:7" x14ac:dyDescent="0.25">
      <c r="A83">
        <v>639</v>
      </c>
      <c r="B83" s="12">
        <v>45319.784311909702</v>
      </c>
      <c r="C83">
        <v>218</v>
      </c>
      <c r="D83">
        <v>45292</v>
      </c>
      <c r="E83">
        <v>45292</v>
      </c>
      <c r="F83">
        <v>0</v>
      </c>
      <c r="G83">
        <v>1</v>
      </c>
    </row>
    <row r="84" spans="1:7" x14ac:dyDescent="0.25">
      <c r="A84">
        <v>736</v>
      </c>
      <c r="B84" s="12">
        <v>45320.357295833302</v>
      </c>
      <c r="C84">
        <v>590</v>
      </c>
      <c r="D84">
        <v>45292</v>
      </c>
      <c r="E84">
        <v>45292</v>
      </c>
      <c r="F84">
        <v>0</v>
      </c>
      <c r="G84">
        <v>1</v>
      </c>
    </row>
    <row r="85" spans="1:7" x14ac:dyDescent="0.25">
      <c r="A85">
        <v>16</v>
      </c>
      <c r="B85" s="12">
        <v>45320.505933287001</v>
      </c>
      <c r="C85">
        <v>994</v>
      </c>
      <c r="D85">
        <v>45292</v>
      </c>
      <c r="E85">
        <v>45292</v>
      </c>
      <c r="F85">
        <v>0</v>
      </c>
      <c r="G85">
        <v>1</v>
      </c>
    </row>
    <row r="86" spans="1:7" x14ac:dyDescent="0.25">
      <c r="A86">
        <v>184</v>
      </c>
      <c r="B86" s="12">
        <v>45321.247818287004</v>
      </c>
      <c r="C86">
        <v>492</v>
      </c>
      <c r="D86">
        <v>45292</v>
      </c>
      <c r="E86">
        <v>45292</v>
      </c>
      <c r="F86">
        <v>0</v>
      </c>
      <c r="G86">
        <v>1</v>
      </c>
    </row>
    <row r="87" spans="1:7" x14ac:dyDescent="0.25">
      <c r="A87">
        <v>58</v>
      </c>
      <c r="B87" s="12">
        <v>45321.721644618097</v>
      </c>
      <c r="C87">
        <v>485</v>
      </c>
      <c r="D87">
        <v>45292</v>
      </c>
      <c r="E87">
        <v>45292</v>
      </c>
      <c r="F87">
        <v>0</v>
      </c>
      <c r="G87">
        <v>1</v>
      </c>
    </row>
    <row r="88" spans="1:7" x14ac:dyDescent="0.25">
      <c r="A88">
        <v>346</v>
      </c>
      <c r="B88" s="12">
        <v>45322.260975648198</v>
      </c>
      <c r="C88">
        <v>559</v>
      </c>
      <c r="D88">
        <v>45292</v>
      </c>
      <c r="E88">
        <v>45292</v>
      </c>
      <c r="F88">
        <v>0</v>
      </c>
      <c r="G88">
        <v>1</v>
      </c>
    </row>
    <row r="89" spans="1:7" x14ac:dyDescent="0.25">
      <c r="A89">
        <v>357</v>
      </c>
      <c r="B89" s="12">
        <v>45322.323073067098</v>
      </c>
      <c r="C89">
        <v>752</v>
      </c>
      <c r="D89">
        <v>45292</v>
      </c>
      <c r="E89">
        <v>45292</v>
      </c>
      <c r="F89">
        <v>0</v>
      </c>
      <c r="G89">
        <v>1</v>
      </c>
    </row>
    <row r="90" spans="1:7" x14ac:dyDescent="0.25">
      <c r="A90">
        <v>271</v>
      </c>
      <c r="B90" s="12">
        <v>45323.330660694497</v>
      </c>
      <c r="C90">
        <v>973</v>
      </c>
      <c r="D90">
        <v>45323</v>
      </c>
      <c r="E90">
        <v>45292</v>
      </c>
      <c r="F90">
        <v>1</v>
      </c>
      <c r="G90">
        <v>1</v>
      </c>
    </row>
    <row r="91" spans="1:7" x14ac:dyDescent="0.25">
      <c r="A91">
        <v>402</v>
      </c>
      <c r="B91" s="12">
        <v>45323.596107662001</v>
      </c>
      <c r="C91">
        <v>908</v>
      </c>
      <c r="D91">
        <v>45323</v>
      </c>
      <c r="E91">
        <v>45323</v>
      </c>
      <c r="F91">
        <v>0</v>
      </c>
      <c r="G91">
        <v>1</v>
      </c>
    </row>
    <row r="92" spans="1:7" x14ac:dyDescent="0.25">
      <c r="A92">
        <v>754</v>
      </c>
      <c r="B92" s="12">
        <v>45323.778888622699</v>
      </c>
      <c r="C92">
        <v>938</v>
      </c>
      <c r="D92">
        <v>45323</v>
      </c>
      <c r="E92">
        <v>45323</v>
      </c>
      <c r="F92">
        <v>0</v>
      </c>
      <c r="G92">
        <v>1</v>
      </c>
    </row>
    <row r="93" spans="1:7" x14ac:dyDescent="0.25">
      <c r="A93">
        <v>338</v>
      </c>
      <c r="B93" s="12">
        <v>45324.0724934838</v>
      </c>
      <c r="C93">
        <v>231</v>
      </c>
      <c r="D93">
        <v>45323</v>
      </c>
      <c r="E93">
        <v>45292</v>
      </c>
      <c r="F93">
        <v>1</v>
      </c>
      <c r="G93">
        <v>1</v>
      </c>
    </row>
    <row r="94" spans="1:7" x14ac:dyDescent="0.25">
      <c r="A94">
        <v>693</v>
      </c>
      <c r="B94" s="12">
        <v>45324.177295023197</v>
      </c>
      <c r="C94">
        <v>840</v>
      </c>
      <c r="D94">
        <v>45323</v>
      </c>
      <c r="E94">
        <v>45323</v>
      </c>
      <c r="F94">
        <v>0</v>
      </c>
      <c r="G94">
        <v>1</v>
      </c>
    </row>
    <row r="95" spans="1:7" x14ac:dyDescent="0.25">
      <c r="A95">
        <v>647</v>
      </c>
      <c r="B95" s="12">
        <v>45324.321569884298</v>
      </c>
      <c r="C95">
        <v>679</v>
      </c>
      <c r="D95">
        <v>45323</v>
      </c>
      <c r="E95">
        <v>45323</v>
      </c>
      <c r="F95">
        <v>0</v>
      </c>
      <c r="G95">
        <v>1</v>
      </c>
    </row>
    <row r="96" spans="1:7" x14ac:dyDescent="0.25">
      <c r="A96">
        <v>698</v>
      </c>
      <c r="B96" s="12">
        <v>45324.657244259302</v>
      </c>
      <c r="C96">
        <v>737</v>
      </c>
      <c r="D96">
        <v>45323</v>
      </c>
      <c r="E96">
        <v>45323</v>
      </c>
      <c r="F96">
        <v>0</v>
      </c>
      <c r="G96">
        <v>1</v>
      </c>
    </row>
    <row r="97" spans="1:7" x14ac:dyDescent="0.25">
      <c r="A97">
        <v>609</v>
      </c>
      <c r="B97" s="12">
        <v>45325.016603217598</v>
      </c>
      <c r="C97">
        <v>470</v>
      </c>
      <c r="D97">
        <v>45323</v>
      </c>
      <c r="E97">
        <v>45323</v>
      </c>
      <c r="F97">
        <v>0</v>
      </c>
      <c r="G97">
        <v>1</v>
      </c>
    </row>
    <row r="98" spans="1:7" x14ac:dyDescent="0.25">
      <c r="A98">
        <v>500</v>
      </c>
      <c r="B98" s="12">
        <v>45325.030902349499</v>
      </c>
      <c r="C98">
        <v>800</v>
      </c>
      <c r="D98">
        <v>45323</v>
      </c>
      <c r="E98">
        <v>45323</v>
      </c>
      <c r="F98">
        <v>0</v>
      </c>
      <c r="G98">
        <v>1</v>
      </c>
    </row>
    <row r="99" spans="1:7" x14ac:dyDescent="0.25">
      <c r="A99">
        <v>14</v>
      </c>
      <c r="B99" s="12">
        <v>45325.156635393498</v>
      </c>
      <c r="C99">
        <v>82</v>
      </c>
      <c r="D99">
        <v>45323</v>
      </c>
      <c r="E99">
        <v>45323</v>
      </c>
      <c r="F99">
        <v>0</v>
      </c>
      <c r="G99">
        <v>1</v>
      </c>
    </row>
    <row r="100" spans="1:7" x14ac:dyDescent="0.25">
      <c r="A100">
        <v>648</v>
      </c>
      <c r="B100" s="12">
        <v>45325.226645046299</v>
      </c>
      <c r="C100">
        <v>476</v>
      </c>
      <c r="D100">
        <v>45323</v>
      </c>
      <c r="E100">
        <v>45323</v>
      </c>
      <c r="F100">
        <v>0</v>
      </c>
      <c r="G100">
        <v>1</v>
      </c>
    </row>
    <row r="101" spans="1:7" x14ac:dyDescent="0.25">
      <c r="A101">
        <v>220</v>
      </c>
      <c r="B101" s="12">
        <v>45325.6052560069</v>
      </c>
      <c r="C101">
        <v>376</v>
      </c>
      <c r="D101">
        <v>45323</v>
      </c>
      <c r="E101">
        <v>45323</v>
      </c>
      <c r="F101">
        <v>0</v>
      </c>
      <c r="G101">
        <v>1</v>
      </c>
    </row>
    <row r="102" spans="1:7" x14ac:dyDescent="0.25">
      <c r="A102">
        <v>123</v>
      </c>
      <c r="B102" s="12">
        <v>45326.979253981503</v>
      </c>
      <c r="C102">
        <v>673</v>
      </c>
      <c r="D102">
        <v>45323</v>
      </c>
      <c r="E102">
        <v>45323</v>
      </c>
      <c r="F102">
        <v>0</v>
      </c>
      <c r="G102">
        <v>1</v>
      </c>
    </row>
    <row r="103" spans="1:7" x14ac:dyDescent="0.25">
      <c r="A103">
        <v>152</v>
      </c>
      <c r="B103" s="12">
        <v>45327.630147129603</v>
      </c>
      <c r="C103">
        <v>945</v>
      </c>
      <c r="D103">
        <v>45323</v>
      </c>
      <c r="E103">
        <v>45323</v>
      </c>
      <c r="F103">
        <v>0</v>
      </c>
      <c r="G103">
        <v>1</v>
      </c>
    </row>
    <row r="104" spans="1:7" x14ac:dyDescent="0.25">
      <c r="A104">
        <v>946</v>
      </c>
      <c r="B104" s="12">
        <v>45327.860198564798</v>
      </c>
      <c r="C104">
        <v>456</v>
      </c>
      <c r="D104">
        <v>45323</v>
      </c>
      <c r="E104">
        <v>45323</v>
      </c>
      <c r="F104">
        <v>0</v>
      </c>
      <c r="G104">
        <v>1</v>
      </c>
    </row>
    <row r="105" spans="1:7" x14ac:dyDescent="0.25">
      <c r="A105">
        <v>147</v>
      </c>
      <c r="B105" s="12">
        <v>45330.213990520802</v>
      </c>
      <c r="C105">
        <v>229</v>
      </c>
      <c r="D105">
        <v>45323</v>
      </c>
      <c r="E105">
        <v>45323</v>
      </c>
      <c r="F105">
        <v>0</v>
      </c>
      <c r="G105">
        <v>1</v>
      </c>
    </row>
    <row r="106" spans="1:7" x14ac:dyDescent="0.25">
      <c r="A106">
        <v>464</v>
      </c>
      <c r="B106" s="12">
        <v>45330.279124444503</v>
      </c>
      <c r="C106">
        <v>451</v>
      </c>
      <c r="D106">
        <v>45323</v>
      </c>
      <c r="E106">
        <v>45323</v>
      </c>
      <c r="F106">
        <v>0</v>
      </c>
      <c r="G106">
        <v>1</v>
      </c>
    </row>
    <row r="107" spans="1:7" x14ac:dyDescent="0.25">
      <c r="A107">
        <v>951</v>
      </c>
      <c r="B107" s="12">
        <v>45330.416099247697</v>
      </c>
      <c r="C107">
        <v>772</v>
      </c>
      <c r="D107">
        <v>45323</v>
      </c>
      <c r="E107">
        <v>45323</v>
      </c>
      <c r="F107">
        <v>0</v>
      </c>
      <c r="G107">
        <v>1</v>
      </c>
    </row>
    <row r="108" spans="1:7" x14ac:dyDescent="0.25">
      <c r="A108">
        <v>23</v>
      </c>
      <c r="B108" s="12">
        <v>45330.700124965297</v>
      </c>
      <c r="C108">
        <v>304</v>
      </c>
      <c r="D108">
        <v>45323</v>
      </c>
      <c r="E108">
        <v>45323</v>
      </c>
      <c r="F108">
        <v>0</v>
      </c>
      <c r="G108">
        <v>1</v>
      </c>
    </row>
    <row r="109" spans="1:7" x14ac:dyDescent="0.25">
      <c r="A109">
        <v>752</v>
      </c>
      <c r="B109" s="12">
        <v>45330.805896782404</v>
      </c>
      <c r="C109">
        <v>597</v>
      </c>
      <c r="D109">
        <v>45323</v>
      </c>
      <c r="E109">
        <v>45323</v>
      </c>
      <c r="F109">
        <v>0</v>
      </c>
      <c r="G109">
        <v>1</v>
      </c>
    </row>
    <row r="110" spans="1:7" x14ac:dyDescent="0.25">
      <c r="A110">
        <v>831</v>
      </c>
      <c r="B110" s="12">
        <v>45330.926430266198</v>
      </c>
      <c r="C110">
        <v>637</v>
      </c>
      <c r="D110">
        <v>45323</v>
      </c>
      <c r="E110">
        <v>45323</v>
      </c>
      <c r="F110">
        <v>0</v>
      </c>
      <c r="G110">
        <v>1</v>
      </c>
    </row>
    <row r="111" spans="1:7" x14ac:dyDescent="0.25">
      <c r="A111">
        <v>643</v>
      </c>
      <c r="B111" s="12">
        <v>45331.1054489815</v>
      </c>
      <c r="C111">
        <v>429</v>
      </c>
      <c r="D111">
        <v>45323</v>
      </c>
      <c r="E111">
        <v>45323</v>
      </c>
      <c r="F111">
        <v>0</v>
      </c>
      <c r="G111">
        <v>1</v>
      </c>
    </row>
    <row r="112" spans="1:7" x14ac:dyDescent="0.25">
      <c r="A112">
        <v>90</v>
      </c>
      <c r="B112" s="12">
        <v>45331.238925277801</v>
      </c>
      <c r="C112">
        <v>648</v>
      </c>
      <c r="D112">
        <v>45323</v>
      </c>
      <c r="E112">
        <v>45323</v>
      </c>
      <c r="F112">
        <v>0</v>
      </c>
      <c r="G112">
        <v>1</v>
      </c>
    </row>
    <row r="113" spans="1:7" x14ac:dyDescent="0.25">
      <c r="A113">
        <v>474</v>
      </c>
      <c r="B113" s="12">
        <v>45331.667234629604</v>
      </c>
      <c r="C113">
        <v>83</v>
      </c>
      <c r="D113">
        <v>45323</v>
      </c>
      <c r="E113">
        <v>45323</v>
      </c>
      <c r="F113">
        <v>0</v>
      </c>
      <c r="G113">
        <v>1</v>
      </c>
    </row>
    <row r="114" spans="1:7" x14ac:dyDescent="0.25">
      <c r="A114">
        <v>157</v>
      </c>
      <c r="B114" s="12">
        <v>45331.951762442099</v>
      </c>
      <c r="C114">
        <v>870</v>
      </c>
      <c r="D114">
        <v>45323</v>
      </c>
      <c r="E114">
        <v>45323</v>
      </c>
      <c r="F114">
        <v>0</v>
      </c>
      <c r="G114">
        <v>1</v>
      </c>
    </row>
    <row r="115" spans="1:7" x14ac:dyDescent="0.25">
      <c r="A115">
        <v>802</v>
      </c>
      <c r="B115" s="12">
        <v>45332.387678669002</v>
      </c>
      <c r="C115">
        <v>719</v>
      </c>
      <c r="D115">
        <v>45323</v>
      </c>
      <c r="E115">
        <v>45323</v>
      </c>
      <c r="F115">
        <v>0</v>
      </c>
      <c r="G115">
        <v>1</v>
      </c>
    </row>
    <row r="116" spans="1:7" x14ac:dyDescent="0.25">
      <c r="A116">
        <v>743</v>
      </c>
      <c r="B116" s="12">
        <v>45333.246373032402</v>
      </c>
      <c r="C116">
        <v>607</v>
      </c>
      <c r="D116">
        <v>45323</v>
      </c>
      <c r="E116">
        <v>45323</v>
      </c>
      <c r="F116">
        <v>0</v>
      </c>
      <c r="G116">
        <v>1</v>
      </c>
    </row>
    <row r="117" spans="1:7" x14ac:dyDescent="0.25">
      <c r="A117">
        <v>318</v>
      </c>
      <c r="B117" s="12">
        <v>45333.695073807903</v>
      </c>
      <c r="C117">
        <v>30</v>
      </c>
      <c r="D117">
        <v>45323</v>
      </c>
      <c r="E117">
        <v>45323</v>
      </c>
      <c r="F117">
        <v>0</v>
      </c>
      <c r="G117">
        <v>1</v>
      </c>
    </row>
    <row r="118" spans="1:7" x14ac:dyDescent="0.25">
      <c r="A118">
        <v>393</v>
      </c>
      <c r="B118" s="12">
        <v>45334.927852488399</v>
      </c>
      <c r="C118">
        <v>596</v>
      </c>
      <c r="D118">
        <v>45323</v>
      </c>
      <c r="E118">
        <v>45323</v>
      </c>
      <c r="F118">
        <v>0</v>
      </c>
      <c r="G118">
        <v>1</v>
      </c>
    </row>
    <row r="119" spans="1:7" x14ac:dyDescent="0.25">
      <c r="A119">
        <v>886</v>
      </c>
      <c r="B119" s="12">
        <v>45334.932936122699</v>
      </c>
      <c r="C119">
        <v>744</v>
      </c>
      <c r="D119">
        <v>45323</v>
      </c>
      <c r="E119">
        <v>45323</v>
      </c>
      <c r="F119">
        <v>0</v>
      </c>
      <c r="G119">
        <v>1</v>
      </c>
    </row>
    <row r="120" spans="1:7" x14ac:dyDescent="0.25">
      <c r="A120">
        <v>554</v>
      </c>
      <c r="B120" s="12">
        <v>45335.405624814797</v>
      </c>
      <c r="C120">
        <v>164</v>
      </c>
      <c r="D120">
        <v>45323</v>
      </c>
      <c r="E120">
        <v>45323</v>
      </c>
      <c r="F120">
        <v>0</v>
      </c>
      <c r="G120">
        <v>1</v>
      </c>
    </row>
    <row r="121" spans="1:7" x14ac:dyDescent="0.25">
      <c r="A121">
        <v>99</v>
      </c>
      <c r="B121" s="12">
        <v>45335.547782719899</v>
      </c>
      <c r="C121">
        <v>695</v>
      </c>
      <c r="D121">
        <v>45323</v>
      </c>
      <c r="E121">
        <v>45323</v>
      </c>
      <c r="F121">
        <v>0</v>
      </c>
      <c r="G121">
        <v>1</v>
      </c>
    </row>
    <row r="122" spans="1:7" x14ac:dyDescent="0.25">
      <c r="A122">
        <v>327</v>
      </c>
      <c r="B122" s="12">
        <v>45335.750626921297</v>
      </c>
      <c r="C122">
        <v>187</v>
      </c>
      <c r="D122">
        <v>45323</v>
      </c>
      <c r="E122">
        <v>45323</v>
      </c>
      <c r="F122">
        <v>0</v>
      </c>
      <c r="G122">
        <v>1</v>
      </c>
    </row>
    <row r="123" spans="1:7" x14ac:dyDescent="0.25">
      <c r="A123">
        <v>838</v>
      </c>
      <c r="B123" s="12">
        <v>45335.946708368101</v>
      </c>
      <c r="C123">
        <v>679</v>
      </c>
      <c r="D123">
        <v>45323</v>
      </c>
      <c r="E123">
        <v>45323</v>
      </c>
      <c r="F123">
        <v>0</v>
      </c>
      <c r="G123">
        <v>1</v>
      </c>
    </row>
    <row r="124" spans="1:7" x14ac:dyDescent="0.25">
      <c r="A124">
        <v>649</v>
      </c>
      <c r="B124" s="12">
        <v>45336.276720983798</v>
      </c>
      <c r="C124">
        <v>563</v>
      </c>
      <c r="D124">
        <v>45323</v>
      </c>
      <c r="E124">
        <v>45323</v>
      </c>
      <c r="F124">
        <v>0</v>
      </c>
      <c r="G124">
        <v>1</v>
      </c>
    </row>
    <row r="125" spans="1:7" x14ac:dyDescent="0.25">
      <c r="A125">
        <v>854</v>
      </c>
      <c r="B125" s="12">
        <v>45337.274914780101</v>
      </c>
      <c r="C125">
        <v>323</v>
      </c>
      <c r="D125">
        <v>45323</v>
      </c>
      <c r="E125">
        <v>45292</v>
      </c>
      <c r="F125">
        <v>1</v>
      </c>
      <c r="G125">
        <v>1</v>
      </c>
    </row>
    <row r="126" spans="1:7" x14ac:dyDescent="0.25">
      <c r="A126">
        <v>772</v>
      </c>
      <c r="B126" s="12">
        <v>45337.436806863399</v>
      </c>
      <c r="C126">
        <v>831</v>
      </c>
      <c r="D126">
        <v>45323</v>
      </c>
      <c r="E126">
        <v>45323</v>
      </c>
      <c r="F126">
        <v>0</v>
      </c>
      <c r="G126">
        <v>1</v>
      </c>
    </row>
    <row r="127" spans="1:7" x14ac:dyDescent="0.25">
      <c r="A127">
        <v>76</v>
      </c>
      <c r="B127" s="12">
        <v>45337.707807523198</v>
      </c>
      <c r="C127">
        <v>263</v>
      </c>
      <c r="D127">
        <v>45323</v>
      </c>
      <c r="E127">
        <v>45323</v>
      </c>
      <c r="F127">
        <v>0</v>
      </c>
      <c r="G127">
        <v>1</v>
      </c>
    </row>
    <row r="128" spans="1:7" x14ac:dyDescent="0.25">
      <c r="A128">
        <v>897</v>
      </c>
      <c r="B128" s="12">
        <v>45337.763131620399</v>
      </c>
      <c r="C128">
        <v>846</v>
      </c>
      <c r="D128">
        <v>45323</v>
      </c>
      <c r="E128">
        <v>45323</v>
      </c>
      <c r="F128">
        <v>0</v>
      </c>
      <c r="G128">
        <v>1</v>
      </c>
    </row>
    <row r="129" spans="1:7" x14ac:dyDescent="0.25">
      <c r="A129">
        <v>118</v>
      </c>
      <c r="B129" s="12">
        <v>45337.934518854199</v>
      </c>
      <c r="C129">
        <v>133</v>
      </c>
      <c r="D129">
        <v>45323</v>
      </c>
      <c r="E129">
        <v>45323</v>
      </c>
      <c r="F129">
        <v>0</v>
      </c>
      <c r="G129">
        <v>1</v>
      </c>
    </row>
    <row r="130" spans="1:7" x14ac:dyDescent="0.25">
      <c r="A130">
        <v>265</v>
      </c>
      <c r="B130" s="12">
        <v>45338.620378032399</v>
      </c>
      <c r="C130">
        <v>851</v>
      </c>
      <c r="D130">
        <v>45323</v>
      </c>
      <c r="E130">
        <v>45323</v>
      </c>
      <c r="F130">
        <v>0</v>
      </c>
      <c r="G130">
        <v>1</v>
      </c>
    </row>
    <row r="131" spans="1:7" x14ac:dyDescent="0.25">
      <c r="A131">
        <v>65</v>
      </c>
      <c r="B131" s="12">
        <v>45338.965727129602</v>
      </c>
      <c r="C131">
        <v>139</v>
      </c>
      <c r="D131">
        <v>45323</v>
      </c>
      <c r="E131">
        <v>45323</v>
      </c>
      <c r="F131">
        <v>0</v>
      </c>
      <c r="G131">
        <v>1</v>
      </c>
    </row>
    <row r="132" spans="1:7" x14ac:dyDescent="0.25">
      <c r="A132">
        <v>231</v>
      </c>
      <c r="B132" s="12">
        <v>45339.421570486098</v>
      </c>
      <c r="C132">
        <v>255</v>
      </c>
      <c r="D132">
        <v>45323</v>
      </c>
      <c r="E132">
        <v>45323</v>
      </c>
      <c r="F132">
        <v>0</v>
      </c>
      <c r="G132">
        <v>1</v>
      </c>
    </row>
    <row r="133" spans="1:7" x14ac:dyDescent="0.25">
      <c r="A133">
        <v>840</v>
      </c>
      <c r="B133" s="12">
        <v>45339.447484490702</v>
      </c>
      <c r="C133">
        <v>338</v>
      </c>
      <c r="D133">
        <v>45323</v>
      </c>
      <c r="E133">
        <v>45323</v>
      </c>
      <c r="F133">
        <v>0</v>
      </c>
      <c r="G133">
        <v>1</v>
      </c>
    </row>
    <row r="134" spans="1:7" x14ac:dyDescent="0.25">
      <c r="A134">
        <v>634</v>
      </c>
      <c r="B134" s="12">
        <v>45339.966382604201</v>
      </c>
      <c r="C134">
        <v>541</v>
      </c>
      <c r="D134">
        <v>45323</v>
      </c>
      <c r="E134">
        <v>45323</v>
      </c>
      <c r="F134">
        <v>0</v>
      </c>
      <c r="G134">
        <v>1</v>
      </c>
    </row>
    <row r="135" spans="1:7" x14ac:dyDescent="0.25">
      <c r="A135">
        <v>225</v>
      </c>
      <c r="B135" s="12">
        <v>45340.086958773201</v>
      </c>
      <c r="C135">
        <v>425</v>
      </c>
      <c r="D135">
        <v>45323</v>
      </c>
      <c r="E135">
        <v>45323</v>
      </c>
      <c r="F135">
        <v>0</v>
      </c>
      <c r="G135">
        <v>1</v>
      </c>
    </row>
    <row r="136" spans="1:7" x14ac:dyDescent="0.25">
      <c r="A136">
        <v>403</v>
      </c>
      <c r="B136" s="12">
        <v>45340.618622511603</v>
      </c>
      <c r="C136">
        <v>147</v>
      </c>
      <c r="D136">
        <v>45323</v>
      </c>
      <c r="E136">
        <v>45323</v>
      </c>
      <c r="F136">
        <v>0</v>
      </c>
      <c r="G136">
        <v>1</v>
      </c>
    </row>
    <row r="137" spans="1:7" x14ac:dyDescent="0.25">
      <c r="A137">
        <v>149</v>
      </c>
      <c r="B137" s="12">
        <v>45341.420458888897</v>
      </c>
      <c r="C137">
        <v>375</v>
      </c>
      <c r="D137">
        <v>45323</v>
      </c>
      <c r="E137">
        <v>45323</v>
      </c>
      <c r="F137">
        <v>0</v>
      </c>
      <c r="G137">
        <v>1</v>
      </c>
    </row>
    <row r="138" spans="1:7" x14ac:dyDescent="0.25">
      <c r="A138">
        <v>903</v>
      </c>
      <c r="B138" s="12">
        <v>45341.503660590301</v>
      </c>
      <c r="C138">
        <v>953</v>
      </c>
      <c r="D138">
        <v>45323</v>
      </c>
      <c r="E138">
        <v>45323</v>
      </c>
      <c r="F138">
        <v>0</v>
      </c>
      <c r="G138">
        <v>1</v>
      </c>
    </row>
    <row r="139" spans="1:7" x14ac:dyDescent="0.25">
      <c r="A139">
        <v>625</v>
      </c>
      <c r="B139" s="12">
        <v>45341.537787337998</v>
      </c>
      <c r="C139">
        <v>964</v>
      </c>
      <c r="D139">
        <v>45323</v>
      </c>
      <c r="E139">
        <v>45323</v>
      </c>
      <c r="F139">
        <v>0</v>
      </c>
      <c r="G139">
        <v>1</v>
      </c>
    </row>
    <row r="140" spans="1:7" x14ac:dyDescent="0.25">
      <c r="A140">
        <v>160</v>
      </c>
      <c r="B140" s="12">
        <v>45342.452420578702</v>
      </c>
      <c r="C140">
        <v>921</v>
      </c>
      <c r="D140">
        <v>45323</v>
      </c>
      <c r="E140">
        <v>45323</v>
      </c>
      <c r="F140">
        <v>0</v>
      </c>
      <c r="G140">
        <v>1</v>
      </c>
    </row>
    <row r="141" spans="1:7" x14ac:dyDescent="0.25">
      <c r="A141">
        <v>777</v>
      </c>
      <c r="B141" s="12">
        <v>45343.1248099769</v>
      </c>
      <c r="C141">
        <v>414</v>
      </c>
      <c r="D141">
        <v>45323</v>
      </c>
      <c r="E141">
        <v>45323</v>
      </c>
      <c r="F141">
        <v>0</v>
      </c>
      <c r="G141">
        <v>1</v>
      </c>
    </row>
    <row r="142" spans="1:7" x14ac:dyDescent="0.25">
      <c r="A142">
        <v>849</v>
      </c>
      <c r="B142" s="12">
        <v>45343.277114583303</v>
      </c>
      <c r="C142">
        <v>79</v>
      </c>
      <c r="D142">
        <v>45323</v>
      </c>
      <c r="E142">
        <v>45323</v>
      </c>
      <c r="F142">
        <v>0</v>
      </c>
      <c r="G142">
        <v>1</v>
      </c>
    </row>
    <row r="143" spans="1:7" x14ac:dyDescent="0.25">
      <c r="A143">
        <v>63</v>
      </c>
      <c r="B143" s="12">
        <v>45343.363419294001</v>
      </c>
      <c r="C143">
        <v>787</v>
      </c>
      <c r="D143">
        <v>45323</v>
      </c>
      <c r="E143">
        <v>45323</v>
      </c>
      <c r="F143">
        <v>0</v>
      </c>
      <c r="G143">
        <v>1</v>
      </c>
    </row>
    <row r="144" spans="1:7" x14ac:dyDescent="0.25">
      <c r="A144">
        <v>130</v>
      </c>
      <c r="B144" s="12">
        <v>45343.6438151736</v>
      </c>
      <c r="C144">
        <v>110</v>
      </c>
      <c r="D144">
        <v>45323</v>
      </c>
      <c r="E144">
        <v>45323</v>
      </c>
      <c r="F144">
        <v>0</v>
      </c>
      <c r="G144">
        <v>1</v>
      </c>
    </row>
    <row r="145" spans="1:7" x14ac:dyDescent="0.25">
      <c r="A145">
        <v>798</v>
      </c>
      <c r="B145" s="12">
        <v>45343.8168640394</v>
      </c>
      <c r="C145">
        <v>673</v>
      </c>
      <c r="D145">
        <v>45323</v>
      </c>
      <c r="E145">
        <v>45323</v>
      </c>
      <c r="F145">
        <v>0</v>
      </c>
      <c r="G145">
        <v>1</v>
      </c>
    </row>
    <row r="146" spans="1:7" x14ac:dyDescent="0.25">
      <c r="A146">
        <v>132</v>
      </c>
      <c r="B146" s="12">
        <v>45344.104994386602</v>
      </c>
      <c r="C146">
        <v>718</v>
      </c>
      <c r="D146">
        <v>45323</v>
      </c>
      <c r="E146">
        <v>45323</v>
      </c>
      <c r="F146">
        <v>0</v>
      </c>
      <c r="G146">
        <v>1</v>
      </c>
    </row>
    <row r="147" spans="1:7" x14ac:dyDescent="0.25">
      <c r="A147">
        <v>861</v>
      </c>
      <c r="B147" s="12">
        <v>45344.674125671299</v>
      </c>
      <c r="C147">
        <v>897</v>
      </c>
      <c r="D147">
        <v>45323</v>
      </c>
      <c r="E147">
        <v>45323</v>
      </c>
      <c r="F147">
        <v>0</v>
      </c>
      <c r="G147">
        <v>1</v>
      </c>
    </row>
    <row r="148" spans="1:7" x14ac:dyDescent="0.25">
      <c r="A148">
        <v>864</v>
      </c>
      <c r="B148" s="12">
        <v>45344.823951319398</v>
      </c>
      <c r="C148">
        <v>750</v>
      </c>
      <c r="D148">
        <v>45323</v>
      </c>
      <c r="E148">
        <v>45323</v>
      </c>
      <c r="F148">
        <v>0</v>
      </c>
      <c r="G148">
        <v>1</v>
      </c>
    </row>
    <row r="149" spans="1:7" x14ac:dyDescent="0.25">
      <c r="A149">
        <v>190</v>
      </c>
      <c r="B149" s="12">
        <v>45344.828562164403</v>
      </c>
      <c r="C149">
        <v>803</v>
      </c>
      <c r="D149">
        <v>45323</v>
      </c>
      <c r="E149">
        <v>45323</v>
      </c>
      <c r="F149">
        <v>0</v>
      </c>
      <c r="G149">
        <v>1</v>
      </c>
    </row>
    <row r="150" spans="1:7" x14ac:dyDescent="0.25">
      <c r="A150">
        <v>570</v>
      </c>
      <c r="B150" s="12">
        <v>45345.100472500002</v>
      </c>
      <c r="C150">
        <v>909</v>
      </c>
      <c r="D150">
        <v>45323</v>
      </c>
      <c r="E150">
        <v>45323</v>
      </c>
      <c r="F150">
        <v>0</v>
      </c>
      <c r="G150">
        <v>1</v>
      </c>
    </row>
    <row r="151" spans="1:7" x14ac:dyDescent="0.25">
      <c r="A151">
        <v>81</v>
      </c>
      <c r="B151" s="12">
        <v>45345.299355682902</v>
      </c>
      <c r="C151">
        <v>262</v>
      </c>
      <c r="D151">
        <v>45323</v>
      </c>
      <c r="E151">
        <v>45323</v>
      </c>
      <c r="F151">
        <v>0</v>
      </c>
      <c r="G151">
        <v>1</v>
      </c>
    </row>
    <row r="152" spans="1:7" x14ac:dyDescent="0.25">
      <c r="A152">
        <v>242</v>
      </c>
      <c r="B152" s="12">
        <v>45345.321580543998</v>
      </c>
      <c r="C152">
        <v>408</v>
      </c>
      <c r="D152">
        <v>45323</v>
      </c>
      <c r="E152">
        <v>45323</v>
      </c>
      <c r="F152">
        <v>0</v>
      </c>
      <c r="G152">
        <v>1</v>
      </c>
    </row>
    <row r="153" spans="1:7" x14ac:dyDescent="0.25">
      <c r="A153">
        <v>471</v>
      </c>
      <c r="B153" s="12">
        <v>45345.395553032402</v>
      </c>
      <c r="C153">
        <v>197</v>
      </c>
      <c r="D153">
        <v>45323</v>
      </c>
      <c r="E153">
        <v>45323</v>
      </c>
      <c r="F153">
        <v>0</v>
      </c>
      <c r="G153">
        <v>1</v>
      </c>
    </row>
    <row r="154" spans="1:7" x14ac:dyDescent="0.25">
      <c r="A154">
        <v>269</v>
      </c>
      <c r="B154" s="12">
        <v>45345.579390532403</v>
      </c>
      <c r="C154">
        <v>749</v>
      </c>
      <c r="D154">
        <v>45323</v>
      </c>
      <c r="E154">
        <v>45323</v>
      </c>
      <c r="F154">
        <v>0</v>
      </c>
      <c r="G154">
        <v>1</v>
      </c>
    </row>
    <row r="155" spans="1:7" x14ac:dyDescent="0.25">
      <c r="A155">
        <v>876</v>
      </c>
      <c r="B155" s="12">
        <v>45345.683353669003</v>
      </c>
      <c r="C155">
        <v>929</v>
      </c>
      <c r="D155">
        <v>45323</v>
      </c>
      <c r="E155">
        <v>45323</v>
      </c>
      <c r="F155">
        <v>0</v>
      </c>
      <c r="G155">
        <v>1</v>
      </c>
    </row>
    <row r="156" spans="1:7" x14ac:dyDescent="0.25">
      <c r="A156">
        <v>344</v>
      </c>
      <c r="B156" s="12">
        <v>45346.052026794001</v>
      </c>
      <c r="C156">
        <v>587</v>
      </c>
      <c r="D156">
        <v>45323</v>
      </c>
      <c r="E156">
        <v>45323</v>
      </c>
      <c r="F156">
        <v>0</v>
      </c>
      <c r="G156">
        <v>1</v>
      </c>
    </row>
    <row r="157" spans="1:7" x14ac:dyDescent="0.25">
      <c r="A157">
        <v>277</v>
      </c>
      <c r="B157" s="12">
        <v>45346.224228518498</v>
      </c>
      <c r="C157">
        <v>323</v>
      </c>
      <c r="D157">
        <v>45323</v>
      </c>
      <c r="E157">
        <v>45323</v>
      </c>
      <c r="F157">
        <v>0</v>
      </c>
      <c r="G157">
        <v>1</v>
      </c>
    </row>
    <row r="158" spans="1:7" x14ac:dyDescent="0.25">
      <c r="A158">
        <v>871</v>
      </c>
      <c r="B158" s="12">
        <v>45346.308521666702</v>
      </c>
      <c r="C158">
        <v>637</v>
      </c>
      <c r="D158">
        <v>45323</v>
      </c>
      <c r="E158">
        <v>45323</v>
      </c>
      <c r="F158">
        <v>0</v>
      </c>
      <c r="G158">
        <v>1</v>
      </c>
    </row>
    <row r="159" spans="1:7" x14ac:dyDescent="0.25">
      <c r="A159">
        <v>704</v>
      </c>
      <c r="B159" s="12">
        <v>45346.773007546297</v>
      </c>
      <c r="C159">
        <v>147</v>
      </c>
      <c r="D159">
        <v>45323</v>
      </c>
      <c r="E159">
        <v>45323</v>
      </c>
      <c r="F159">
        <v>0</v>
      </c>
      <c r="G159">
        <v>1</v>
      </c>
    </row>
    <row r="160" spans="1:7" x14ac:dyDescent="0.25">
      <c r="A160">
        <v>699</v>
      </c>
      <c r="B160" s="12">
        <v>45347.076778645802</v>
      </c>
      <c r="C160">
        <v>910</v>
      </c>
      <c r="D160">
        <v>45323</v>
      </c>
      <c r="E160">
        <v>45292</v>
      </c>
      <c r="F160">
        <v>1</v>
      </c>
      <c r="G160">
        <v>1</v>
      </c>
    </row>
    <row r="161" spans="1:7" x14ac:dyDescent="0.25">
      <c r="A161">
        <v>996</v>
      </c>
      <c r="B161" s="12">
        <v>45347.406749548602</v>
      </c>
      <c r="C161">
        <v>539</v>
      </c>
      <c r="D161">
        <v>45323</v>
      </c>
      <c r="E161">
        <v>45323</v>
      </c>
      <c r="F161">
        <v>0</v>
      </c>
      <c r="G161">
        <v>1</v>
      </c>
    </row>
    <row r="162" spans="1:7" x14ac:dyDescent="0.25">
      <c r="A162">
        <v>122</v>
      </c>
      <c r="B162" s="12">
        <v>45347.919375868099</v>
      </c>
      <c r="C162">
        <v>710</v>
      </c>
      <c r="D162">
        <v>45323</v>
      </c>
      <c r="E162">
        <v>45323</v>
      </c>
      <c r="F162">
        <v>0</v>
      </c>
      <c r="G162">
        <v>1</v>
      </c>
    </row>
    <row r="163" spans="1:7" x14ac:dyDescent="0.25">
      <c r="A163">
        <v>982</v>
      </c>
      <c r="B163" s="12">
        <v>45348.033379756998</v>
      </c>
      <c r="C163">
        <v>237</v>
      </c>
      <c r="D163">
        <v>45323</v>
      </c>
      <c r="E163">
        <v>45323</v>
      </c>
      <c r="F163">
        <v>0</v>
      </c>
      <c r="G163">
        <v>1</v>
      </c>
    </row>
    <row r="164" spans="1:7" x14ac:dyDescent="0.25">
      <c r="A164">
        <v>450</v>
      </c>
      <c r="B164" s="12">
        <v>45349.023451608802</v>
      </c>
      <c r="C164">
        <v>555</v>
      </c>
      <c r="D164">
        <v>45323</v>
      </c>
      <c r="E164">
        <v>45323</v>
      </c>
      <c r="F164">
        <v>0</v>
      </c>
      <c r="G164">
        <v>1</v>
      </c>
    </row>
    <row r="165" spans="1:7" x14ac:dyDescent="0.25">
      <c r="A165">
        <v>104</v>
      </c>
      <c r="B165" s="12">
        <v>45349.164223078697</v>
      </c>
      <c r="C165">
        <v>799</v>
      </c>
      <c r="D165">
        <v>45323</v>
      </c>
      <c r="E165">
        <v>45323</v>
      </c>
      <c r="F165">
        <v>0</v>
      </c>
      <c r="G165">
        <v>1</v>
      </c>
    </row>
    <row r="166" spans="1:7" x14ac:dyDescent="0.25">
      <c r="A166">
        <v>957</v>
      </c>
      <c r="B166" s="12">
        <v>45350.1792071991</v>
      </c>
      <c r="C166">
        <v>242</v>
      </c>
      <c r="D166">
        <v>45323</v>
      </c>
      <c r="E166">
        <v>45323</v>
      </c>
      <c r="F166">
        <v>0</v>
      </c>
      <c r="G166">
        <v>1</v>
      </c>
    </row>
    <row r="167" spans="1:7" x14ac:dyDescent="0.25">
      <c r="A167">
        <v>392</v>
      </c>
      <c r="B167" s="12">
        <v>45350.233543009301</v>
      </c>
      <c r="C167">
        <v>788</v>
      </c>
      <c r="D167">
        <v>45323</v>
      </c>
      <c r="E167">
        <v>45323</v>
      </c>
      <c r="F167">
        <v>0</v>
      </c>
      <c r="G167">
        <v>1</v>
      </c>
    </row>
    <row r="168" spans="1:7" x14ac:dyDescent="0.25">
      <c r="A168">
        <v>885</v>
      </c>
      <c r="B168" s="12">
        <v>45350.702245266199</v>
      </c>
      <c r="C168">
        <v>889</v>
      </c>
      <c r="D168">
        <v>45323</v>
      </c>
      <c r="E168">
        <v>45323</v>
      </c>
      <c r="F168">
        <v>0</v>
      </c>
      <c r="G168">
        <v>1</v>
      </c>
    </row>
    <row r="169" spans="1:7" x14ac:dyDescent="0.25">
      <c r="A169">
        <v>956</v>
      </c>
      <c r="B169" s="12">
        <v>45351.000473888897</v>
      </c>
      <c r="C169">
        <v>978</v>
      </c>
      <c r="D169">
        <v>45323</v>
      </c>
      <c r="E169">
        <v>45323</v>
      </c>
      <c r="F169">
        <v>0</v>
      </c>
      <c r="G169">
        <v>1</v>
      </c>
    </row>
    <row r="170" spans="1:7" x14ac:dyDescent="0.25">
      <c r="A170">
        <v>675</v>
      </c>
      <c r="B170" s="12">
        <v>45351.933847662003</v>
      </c>
      <c r="C170">
        <v>279</v>
      </c>
      <c r="D170">
        <v>45323</v>
      </c>
      <c r="E170">
        <v>45323</v>
      </c>
      <c r="F170">
        <v>0</v>
      </c>
      <c r="G170">
        <v>1</v>
      </c>
    </row>
    <row r="171" spans="1:7" x14ac:dyDescent="0.25">
      <c r="A171">
        <v>953</v>
      </c>
      <c r="B171" s="12">
        <v>45351.993417129597</v>
      </c>
      <c r="C171">
        <v>804</v>
      </c>
      <c r="D171">
        <v>45323</v>
      </c>
      <c r="E171">
        <v>45323</v>
      </c>
      <c r="F171">
        <v>0</v>
      </c>
      <c r="G171">
        <v>1</v>
      </c>
    </row>
    <row r="172" spans="1:7" x14ac:dyDescent="0.25">
      <c r="A172">
        <v>718</v>
      </c>
      <c r="B172" s="12">
        <v>45352.003707557902</v>
      </c>
      <c r="C172">
        <v>523</v>
      </c>
      <c r="D172">
        <v>45352</v>
      </c>
      <c r="E172">
        <v>45352</v>
      </c>
      <c r="F172">
        <v>0</v>
      </c>
      <c r="G172">
        <v>1</v>
      </c>
    </row>
    <row r="173" spans="1:7" x14ac:dyDescent="0.25">
      <c r="A173">
        <v>129</v>
      </c>
      <c r="B173" s="12">
        <v>45352.005010080997</v>
      </c>
      <c r="C173">
        <v>526</v>
      </c>
      <c r="D173">
        <v>45352</v>
      </c>
      <c r="E173">
        <v>45352</v>
      </c>
      <c r="F173">
        <v>0</v>
      </c>
      <c r="G173">
        <v>1</v>
      </c>
    </row>
    <row r="174" spans="1:7" x14ac:dyDescent="0.25">
      <c r="A174">
        <v>564</v>
      </c>
      <c r="B174" s="12">
        <v>45352.052595046298</v>
      </c>
      <c r="C174">
        <v>66</v>
      </c>
      <c r="D174">
        <v>45352</v>
      </c>
      <c r="E174">
        <v>45352</v>
      </c>
      <c r="F174">
        <v>0</v>
      </c>
      <c r="G174">
        <v>1</v>
      </c>
    </row>
    <row r="175" spans="1:7" x14ac:dyDescent="0.25">
      <c r="A175">
        <v>575</v>
      </c>
      <c r="B175" s="12">
        <v>45352.159842731497</v>
      </c>
      <c r="C175">
        <v>750</v>
      </c>
      <c r="D175">
        <v>45352</v>
      </c>
      <c r="E175">
        <v>45352</v>
      </c>
      <c r="F175">
        <v>0</v>
      </c>
      <c r="G175">
        <v>1</v>
      </c>
    </row>
    <row r="176" spans="1:7" x14ac:dyDescent="0.25">
      <c r="A176">
        <v>462</v>
      </c>
      <c r="B176" s="12">
        <v>45352.422937372699</v>
      </c>
      <c r="C176">
        <v>88</v>
      </c>
      <c r="D176">
        <v>45352</v>
      </c>
      <c r="E176">
        <v>45352</v>
      </c>
      <c r="F176">
        <v>0</v>
      </c>
      <c r="G176">
        <v>1</v>
      </c>
    </row>
    <row r="177" spans="1:7" x14ac:dyDescent="0.25">
      <c r="A177">
        <v>646</v>
      </c>
      <c r="B177" s="12">
        <v>45352.821514212999</v>
      </c>
      <c r="C177">
        <v>347</v>
      </c>
      <c r="D177">
        <v>45352</v>
      </c>
      <c r="E177">
        <v>45352</v>
      </c>
      <c r="F177">
        <v>0</v>
      </c>
      <c r="G177">
        <v>1</v>
      </c>
    </row>
    <row r="178" spans="1:7" x14ac:dyDescent="0.25">
      <c r="A178">
        <v>613</v>
      </c>
      <c r="B178" s="12">
        <v>45352.935422812501</v>
      </c>
      <c r="C178">
        <v>738</v>
      </c>
      <c r="D178">
        <v>45352</v>
      </c>
      <c r="E178">
        <v>45352</v>
      </c>
      <c r="F178">
        <v>0</v>
      </c>
      <c r="G178">
        <v>0</v>
      </c>
    </row>
    <row r="179" spans="1:7" x14ac:dyDescent="0.25">
      <c r="A179">
        <v>510</v>
      </c>
      <c r="B179" s="12">
        <v>45353.110666956003</v>
      </c>
      <c r="C179">
        <v>798</v>
      </c>
      <c r="D179">
        <v>45352</v>
      </c>
      <c r="E179">
        <v>45352</v>
      </c>
      <c r="F179">
        <v>0</v>
      </c>
      <c r="G179">
        <v>1</v>
      </c>
    </row>
    <row r="180" spans="1:7" x14ac:dyDescent="0.25">
      <c r="A180">
        <v>884</v>
      </c>
      <c r="B180" s="12">
        <v>45353.383052928199</v>
      </c>
      <c r="C180">
        <v>835</v>
      </c>
      <c r="D180">
        <v>45352</v>
      </c>
      <c r="E180">
        <v>45352</v>
      </c>
      <c r="F180">
        <v>0</v>
      </c>
      <c r="G180">
        <v>1</v>
      </c>
    </row>
    <row r="181" spans="1:7" x14ac:dyDescent="0.25">
      <c r="A181">
        <v>176</v>
      </c>
      <c r="B181" s="12">
        <v>45353.402265532401</v>
      </c>
      <c r="C181">
        <v>744</v>
      </c>
      <c r="D181">
        <v>45352</v>
      </c>
      <c r="E181">
        <v>45352</v>
      </c>
      <c r="F181">
        <v>0</v>
      </c>
      <c r="G181">
        <v>1</v>
      </c>
    </row>
    <row r="182" spans="1:7" x14ac:dyDescent="0.25">
      <c r="A182">
        <v>516</v>
      </c>
      <c r="B182" s="12">
        <v>45353.796380798602</v>
      </c>
      <c r="C182">
        <v>673</v>
      </c>
      <c r="D182">
        <v>45352</v>
      </c>
      <c r="E182">
        <v>45352</v>
      </c>
      <c r="F182">
        <v>0</v>
      </c>
      <c r="G182">
        <v>1</v>
      </c>
    </row>
    <row r="183" spans="1:7" x14ac:dyDescent="0.25">
      <c r="A183">
        <v>973</v>
      </c>
      <c r="B183" s="12">
        <v>45354.241161435202</v>
      </c>
      <c r="C183">
        <v>886</v>
      </c>
      <c r="D183">
        <v>45352</v>
      </c>
      <c r="E183">
        <v>45292</v>
      </c>
      <c r="F183">
        <v>2</v>
      </c>
      <c r="G183">
        <v>1</v>
      </c>
    </row>
    <row r="184" spans="1:7" x14ac:dyDescent="0.25">
      <c r="A184">
        <v>633</v>
      </c>
      <c r="B184" s="12">
        <v>45354.4144318982</v>
      </c>
      <c r="C184">
        <v>773</v>
      </c>
      <c r="D184">
        <v>45352</v>
      </c>
      <c r="E184">
        <v>45352</v>
      </c>
      <c r="F184">
        <v>0</v>
      </c>
      <c r="G184">
        <v>1</v>
      </c>
    </row>
    <row r="185" spans="1:7" x14ac:dyDescent="0.25">
      <c r="A185">
        <v>566</v>
      </c>
      <c r="B185" s="12">
        <v>45355.155153252301</v>
      </c>
      <c r="C185">
        <v>946</v>
      </c>
      <c r="D185">
        <v>45352</v>
      </c>
      <c r="E185">
        <v>45292</v>
      </c>
      <c r="F185">
        <v>2</v>
      </c>
      <c r="G185">
        <v>1</v>
      </c>
    </row>
    <row r="186" spans="1:7" x14ac:dyDescent="0.25">
      <c r="A186">
        <v>153</v>
      </c>
      <c r="B186" s="12">
        <v>45355.176618703699</v>
      </c>
      <c r="C186">
        <v>122</v>
      </c>
      <c r="D186">
        <v>45352</v>
      </c>
      <c r="E186">
        <v>45352</v>
      </c>
      <c r="F186">
        <v>0</v>
      </c>
      <c r="G186">
        <v>1</v>
      </c>
    </row>
    <row r="187" spans="1:7" x14ac:dyDescent="0.25">
      <c r="A187">
        <v>798</v>
      </c>
      <c r="B187" s="12">
        <v>45355.1967024306</v>
      </c>
      <c r="C187">
        <v>952</v>
      </c>
      <c r="D187">
        <v>45352</v>
      </c>
      <c r="E187">
        <v>45323</v>
      </c>
      <c r="F187">
        <v>1</v>
      </c>
      <c r="G187">
        <v>0</v>
      </c>
    </row>
    <row r="188" spans="1:7" x14ac:dyDescent="0.25">
      <c r="A188">
        <v>103</v>
      </c>
      <c r="B188" s="12">
        <v>45355.367279618098</v>
      </c>
      <c r="C188">
        <v>642</v>
      </c>
      <c r="D188">
        <v>45352</v>
      </c>
      <c r="E188">
        <v>45352</v>
      </c>
      <c r="F188">
        <v>0</v>
      </c>
      <c r="G188">
        <v>1</v>
      </c>
    </row>
    <row r="189" spans="1:7" x14ac:dyDescent="0.25">
      <c r="A189">
        <v>235</v>
      </c>
      <c r="B189" s="12">
        <v>45355.4625047917</v>
      </c>
      <c r="C189">
        <v>893</v>
      </c>
      <c r="D189">
        <v>45352</v>
      </c>
      <c r="E189">
        <v>45352</v>
      </c>
      <c r="F189">
        <v>0</v>
      </c>
      <c r="G189">
        <v>1</v>
      </c>
    </row>
    <row r="190" spans="1:7" x14ac:dyDescent="0.25">
      <c r="A190">
        <v>652</v>
      </c>
      <c r="B190" s="12">
        <v>45355.956532013901</v>
      </c>
      <c r="C190">
        <v>702</v>
      </c>
      <c r="D190">
        <v>45352</v>
      </c>
      <c r="E190">
        <v>45352</v>
      </c>
      <c r="F190">
        <v>0</v>
      </c>
      <c r="G190">
        <v>1</v>
      </c>
    </row>
    <row r="191" spans="1:7" x14ac:dyDescent="0.25">
      <c r="A191">
        <v>997</v>
      </c>
      <c r="B191" s="12">
        <v>45356.389860162002</v>
      </c>
      <c r="C191">
        <v>476</v>
      </c>
      <c r="D191">
        <v>45352</v>
      </c>
      <c r="E191">
        <v>45352</v>
      </c>
      <c r="F191">
        <v>0</v>
      </c>
      <c r="G191">
        <v>1</v>
      </c>
    </row>
    <row r="192" spans="1:7" x14ac:dyDescent="0.25">
      <c r="A192">
        <v>505</v>
      </c>
      <c r="B192" s="12">
        <v>45356.450199537001</v>
      </c>
      <c r="C192">
        <v>438</v>
      </c>
      <c r="D192">
        <v>45352</v>
      </c>
      <c r="E192">
        <v>45352</v>
      </c>
      <c r="F192">
        <v>0</v>
      </c>
      <c r="G192">
        <v>1</v>
      </c>
    </row>
    <row r="193" spans="1:7" x14ac:dyDescent="0.25">
      <c r="A193">
        <v>144</v>
      </c>
      <c r="B193" s="12">
        <v>45356.478021550902</v>
      </c>
      <c r="C193">
        <v>153</v>
      </c>
      <c r="D193">
        <v>45352</v>
      </c>
      <c r="E193">
        <v>45352</v>
      </c>
      <c r="F193">
        <v>0</v>
      </c>
      <c r="G193">
        <v>1</v>
      </c>
    </row>
    <row r="194" spans="1:7" x14ac:dyDescent="0.25">
      <c r="A194">
        <v>819</v>
      </c>
      <c r="B194" s="12">
        <v>45356.595765161997</v>
      </c>
      <c r="C194">
        <v>634</v>
      </c>
      <c r="D194">
        <v>45352</v>
      </c>
      <c r="E194">
        <v>45352</v>
      </c>
      <c r="F194">
        <v>0</v>
      </c>
      <c r="G194">
        <v>1</v>
      </c>
    </row>
    <row r="195" spans="1:7" x14ac:dyDescent="0.25">
      <c r="A195">
        <v>256</v>
      </c>
      <c r="B195" s="12">
        <v>45356.896110833302</v>
      </c>
      <c r="C195">
        <v>426</v>
      </c>
      <c r="D195">
        <v>45352</v>
      </c>
      <c r="E195">
        <v>45352</v>
      </c>
      <c r="F195">
        <v>0</v>
      </c>
      <c r="G195">
        <v>1</v>
      </c>
    </row>
    <row r="196" spans="1:7" x14ac:dyDescent="0.25">
      <c r="A196">
        <v>346</v>
      </c>
      <c r="B196" s="12">
        <v>45356.911415277798</v>
      </c>
      <c r="C196">
        <v>684</v>
      </c>
      <c r="D196">
        <v>45352</v>
      </c>
      <c r="E196">
        <v>45292</v>
      </c>
      <c r="F196">
        <v>2</v>
      </c>
      <c r="G196">
        <v>1</v>
      </c>
    </row>
    <row r="197" spans="1:7" x14ac:dyDescent="0.25">
      <c r="A197">
        <v>15</v>
      </c>
      <c r="B197" s="12">
        <v>45357.3457865741</v>
      </c>
      <c r="C197">
        <v>52</v>
      </c>
      <c r="D197">
        <v>45352</v>
      </c>
      <c r="E197">
        <v>45352</v>
      </c>
      <c r="F197">
        <v>0</v>
      </c>
      <c r="G197">
        <v>1</v>
      </c>
    </row>
    <row r="198" spans="1:7" x14ac:dyDescent="0.25">
      <c r="A198">
        <v>504</v>
      </c>
      <c r="B198" s="12">
        <v>45357.819880486102</v>
      </c>
      <c r="C198">
        <v>247</v>
      </c>
      <c r="D198">
        <v>45352</v>
      </c>
      <c r="E198">
        <v>45352</v>
      </c>
      <c r="F198">
        <v>0</v>
      </c>
      <c r="G198">
        <v>1</v>
      </c>
    </row>
    <row r="199" spans="1:7" x14ac:dyDescent="0.25">
      <c r="A199">
        <v>376</v>
      </c>
      <c r="B199" s="12">
        <v>45358.449596111102</v>
      </c>
      <c r="C199">
        <v>151</v>
      </c>
      <c r="D199">
        <v>45352</v>
      </c>
      <c r="E199">
        <v>45352</v>
      </c>
      <c r="F199">
        <v>0</v>
      </c>
      <c r="G199">
        <v>1</v>
      </c>
    </row>
    <row r="200" spans="1:7" x14ac:dyDescent="0.25">
      <c r="A200">
        <v>104</v>
      </c>
      <c r="B200" s="12">
        <v>45359.236362418997</v>
      </c>
      <c r="C200">
        <v>386</v>
      </c>
      <c r="D200">
        <v>45352</v>
      </c>
      <c r="E200">
        <v>45323</v>
      </c>
      <c r="F200">
        <v>1</v>
      </c>
      <c r="G200">
        <v>1</v>
      </c>
    </row>
    <row r="201" spans="1:7" x14ac:dyDescent="0.25">
      <c r="A201">
        <v>563</v>
      </c>
      <c r="B201" s="12">
        <v>45359.811441655103</v>
      </c>
      <c r="C201">
        <v>248</v>
      </c>
      <c r="D201">
        <v>45352</v>
      </c>
      <c r="E201">
        <v>45352</v>
      </c>
      <c r="F201">
        <v>0</v>
      </c>
      <c r="G201">
        <v>1</v>
      </c>
    </row>
    <row r="202" spans="1:7" x14ac:dyDescent="0.25">
      <c r="A202">
        <v>81</v>
      </c>
      <c r="B202" s="12">
        <v>45360.512988506998</v>
      </c>
      <c r="C202">
        <v>209</v>
      </c>
      <c r="D202">
        <v>45352</v>
      </c>
      <c r="E202">
        <v>45323</v>
      </c>
      <c r="F202">
        <v>1</v>
      </c>
      <c r="G202">
        <v>1</v>
      </c>
    </row>
    <row r="203" spans="1:7" x14ac:dyDescent="0.25">
      <c r="A203">
        <v>37</v>
      </c>
      <c r="B203" s="12">
        <v>45360.519137291703</v>
      </c>
      <c r="C203">
        <v>187</v>
      </c>
      <c r="D203">
        <v>45352</v>
      </c>
      <c r="E203">
        <v>45352</v>
      </c>
      <c r="F203">
        <v>0</v>
      </c>
      <c r="G203">
        <v>1</v>
      </c>
    </row>
    <row r="204" spans="1:7" x14ac:dyDescent="0.25">
      <c r="A204">
        <v>122</v>
      </c>
      <c r="B204" s="12">
        <v>45360.758974976903</v>
      </c>
      <c r="C204">
        <v>809</v>
      </c>
      <c r="D204">
        <v>45352</v>
      </c>
      <c r="E204">
        <v>45323</v>
      </c>
      <c r="F204">
        <v>1</v>
      </c>
      <c r="G204">
        <v>1</v>
      </c>
    </row>
    <row r="205" spans="1:7" x14ac:dyDescent="0.25">
      <c r="A205">
        <v>601</v>
      </c>
      <c r="B205" s="12">
        <v>45360.930859629603</v>
      </c>
      <c r="C205">
        <v>880</v>
      </c>
      <c r="D205">
        <v>45352</v>
      </c>
      <c r="E205">
        <v>45352</v>
      </c>
      <c r="F205">
        <v>0</v>
      </c>
      <c r="G205">
        <v>1</v>
      </c>
    </row>
    <row r="206" spans="1:7" x14ac:dyDescent="0.25">
      <c r="A206">
        <v>776</v>
      </c>
      <c r="B206" s="12">
        <v>45361.111263414401</v>
      </c>
      <c r="C206">
        <v>408</v>
      </c>
      <c r="D206">
        <v>45352</v>
      </c>
      <c r="E206">
        <v>45352</v>
      </c>
      <c r="F206">
        <v>0</v>
      </c>
      <c r="G206">
        <v>1</v>
      </c>
    </row>
    <row r="207" spans="1:7" x14ac:dyDescent="0.25">
      <c r="A207">
        <v>968</v>
      </c>
      <c r="B207" s="12">
        <v>45361.608483807897</v>
      </c>
      <c r="C207">
        <v>133</v>
      </c>
      <c r="D207">
        <v>45352</v>
      </c>
      <c r="E207">
        <v>45352</v>
      </c>
      <c r="F207">
        <v>0</v>
      </c>
      <c r="G207">
        <v>1</v>
      </c>
    </row>
    <row r="208" spans="1:7" x14ac:dyDescent="0.25">
      <c r="A208">
        <v>557</v>
      </c>
      <c r="B208" s="12">
        <v>45362.310066400503</v>
      </c>
      <c r="C208">
        <v>502</v>
      </c>
      <c r="D208">
        <v>45352</v>
      </c>
      <c r="E208">
        <v>45352</v>
      </c>
      <c r="F208">
        <v>0</v>
      </c>
      <c r="G208">
        <v>1</v>
      </c>
    </row>
    <row r="209" spans="1:7" x14ac:dyDescent="0.25">
      <c r="A209">
        <v>252</v>
      </c>
      <c r="B209" s="12">
        <v>45362.677871574102</v>
      </c>
      <c r="C209">
        <v>182</v>
      </c>
      <c r="D209">
        <v>45352</v>
      </c>
      <c r="E209">
        <v>45352</v>
      </c>
      <c r="F209">
        <v>0</v>
      </c>
      <c r="G209">
        <v>1</v>
      </c>
    </row>
    <row r="210" spans="1:7" x14ac:dyDescent="0.25">
      <c r="A210">
        <v>762</v>
      </c>
      <c r="B210" s="12">
        <v>45363.410620277798</v>
      </c>
      <c r="C210">
        <v>837</v>
      </c>
      <c r="D210">
        <v>45352</v>
      </c>
      <c r="E210">
        <v>45352</v>
      </c>
      <c r="F210">
        <v>0</v>
      </c>
      <c r="G210">
        <v>1</v>
      </c>
    </row>
    <row r="211" spans="1:7" x14ac:dyDescent="0.25">
      <c r="A211">
        <v>664</v>
      </c>
      <c r="B211" s="12">
        <v>45363.767590902797</v>
      </c>
      <c r="C211">
        <v>172</v>
      </c>
      <c r="D211">
        <v>45352</v>
      </c>
      <c r="E211">
        <v>45352</v>
      </c>
      <c r="F211">
        <v>0</v>
      </c>
      <c r="G211">
        <v>1</v>
      </c>
    </row>
    <row r="212" spans="1:7" x14ac:dyDescent="0.25">
      <c r="A212">
        <v>815</v>
      </c>
      <c r="B212" s="12">
        <v>45364.351563171302</v>
      </c>
      <c r="C212">
        <v>975</v>
      </c>
      <c r="D212">
        <v>45352</v>
      </c>
      <c r="E212">
        <v>45352</v>
      </c>
      <c r="F212">
        <v>0</v>
      </c>
      <c r="G212">
        <v>1</v>
      </c>
    </row>
    <row r="213" spans="1:7" x14ac:dyDescent="0.25">
      <c r="A213">
        <v>75</v>
      </c>
      <c r="B213" s="12">
        <v>45364.766270786997</v>
      </c>
      <c r="C213">
        <v>897</v>
      </c>
      <c r="D213">
        <v>45352</v>
      </c>
      <c r="E213">
        <v>45352</v>
      </c>
      <c r="F213">
        <v>0</v>
      </c>
      <c r="G213">
        <v>1</v>
      </c>
    </row>
    <row r="214" spans="1:7" x14ac:dyDescent="0.25">
      <c r="A214">
        <v>233</v>
      </c>
      <c r="B214" s="12">
        <v>45365.572963669001</v>
      </c>
      <c r="C214">
        <v>297</v>
      </c>
      <c r="D214">
        <v>45352</v>
      </c>
      <c r="E214">
        <v>45352</v>
      </c>
      <c r="F214">
        <v>0</v>
      </c>
      <c r="G214">
        <v>1</v>
      </c>
    </row>
    <row r="215" spans="1:7" x14ac:dyDescent="0.25">
      <c r="A215">
        <v>207</v>
      </c>
      <c r="B215" s="12">
        <v>45365.751386377298</v>
      </c>
      <c r="C215">
        <v>777</v>
      </c>
      <c r="D215">
        <v>45352</v>
      </c>
      <c r="E215">
        <v>45352</v>
      </c>
      <c r="F215">
        <v>0</v>
      </c>
      <c r="G215">
        <v>1</v>
      </c>
    </row>
    <row r="216" spans="1:7" x14ac:dyDescent="0.25">
      <c r="A216">
        <v>47</v>
      </c>
      <c r="B216" s="12">
        <v>45366.4470368982</v>
      </c>
      <c r="C216">
        <v>896</v>
      </c>
      <c r="D216">
        <v>45352</v>
      </c>
      <c r="E216">
        <v>45292</v>
      </c>
      <c r="F216">
        <v>2</v>
      </c>
      <c r="G216">
        <v>1</v>
      </c>
    </row>
    <row r="217" spans="1:7" x14ac:dyDescent="0.25">
      <c r="A217">
        <v>587</v>
      </c>
      <c r="B217" s="12">
        <v>45366.607401574103</v>
      </c>
      <c r="C217">
        <v>836</v>
      </c>
      <c r="D217">
        <v>45352</v>
      </c>
      <c r="E217">
        <v>45352</v>
      </c>
      <c r="F217">
        <v>0</v>
      </c>
      <c r="G217">
        <v>1</v>
      </c>
    </row>
    <row r="218" spans="1:7" x14ac:dyDescent="0.25">
      <c r="A218">
        <v>804</v>
      </c>
      <c r="B218" s="12">
        <v>45366.666105486103</v>
      </c>
      <c r="C218">
        <v>316</v>
      </c>
      <c r="D218">
        <v>45352</v>
      </c>
      <c r="E218">
        <v>45352</v>
      </c>
      <c r="F218">
        <v>0</v>
      </c>
      <c r="G218">
        <v>1</v>
      </c>
    </row>
    <row r="219" spans="1:7" x14ac:dyDescent="0.25">
      <c r="A219">
        <v>237</v>
      </c>
      <c r="B219" s="12">
        <v>45366.681615763897</v>
      </c>
      <c r="C219">
        <v>611</v>
      </c>
      <c r="D219">
        <v>45352</v>
      </c>
      <c r="E219">
        <v>45352</v>
      </c>
      <c r="F219">
        <v>0</v>
      </c>
      <c r="G219">
        <v>1</v>
      </c>
    </row>
    <row r="220" spans="1:7" x14ac:dyDescent="0.25">
      <c r="A220">
        <v>682</v>
      </c>
      <c r="B220" s="12">
        <v>45367.288301944398</v>
      </c>
      <c r="C220">
        <v>220</v>
      </c>
      <c r="D220">
        <v>45352</v>
      </c>
      <c r="E220">
        <v>45352</v>
      </c>
      <c r="F220">
        <v>0</v>
      </c>
      <c r="G220">
        <v>1</v>
      </c>
    </row>
    <row r="221" spans="1:7" x14ac:dyDescent="0.25">
      <c r="A221">
        <v>960</v>
      </c>
      <c r="B221" s="12">
        <v>45367.819764641201</v>
      </c>
      <c r="C221">
        <v>430</v>
      </c>
      <c r="D221">
        <v>45352</v>
      </c>
      <c r="E221">
        <v>45352</v>
      </c>
      <c r="F221">
        <v>0</v>
      </c>
      <c r="G221">
        <v>1</v>
      </c>
    </row>
    <row r="222" spans="1:7" x14ac:dyDescent="0.25">
      <c r="A222">
        <v>925</v>
      </c>
      <c r="B222" s="12">
        <v>45369.259966192098</v>
      </c>
      <c r="C222">
        <v>485</v>
      </c>
      <c r="D222">
        <v>45352</v>
      </c>
      <c r="E222">
        <v>45352</v>
      </c>
      <c r="F222">
        <v>0</v>
      </c>
      <c r="G222">
        <v>1</v>
      </c>
    </row>
    <row r="223" spans="1:7" x14ac:dyDescent="0.25">
      <c r="A223">
        <v>58</v>
      </c>
      <c r="B223" s="12">
        <v>45369.275151944399</v>
      </c>
      <c r="C223">
        <v>761</v>
      </c>
      <c r="D223">
        <v>45352</v>
      </c>
      <c r="E223">
        <v>45292</v>
      </c>
      <c r="F223">
        <v>2</v>
      </c>
      <c r="G223">
        <v>1</v>
      </c>
    </row>
    <row r="224" spans="1:7" x14ac:dyDescent="0.25">
      <c r="A224">
        <v>438</v>
      </c>
      <c r="B224" s="12">
        <v>45369.7825558681</v>
      </c>
      <c r="C224">
        <v>292</v>
      </c>
      <c r="D224">
        <v>45352</v>
      </c>
      <c r="E224">
        <v>45352</v>
      </c>
      <c r="F224">
        <v>0</v>
      </c>
      <c r="G224">
        <v>1</v>
      </c>
    </row>
    <row r="225" spans="1:7" x14ac:dyDescent="0.25">
      <c r="A225">
        <v>477</v>
      </c>
      <c r="B225" s="12">
        <v>45369.917792280103</v>
      </c>
      <c r="C225">
        <v>390</v>
      </c>
      <c r="D225">
        <v>45352</v>
      </c>
      <c r="E225">
        <v>45352</v>
      </c>
      <c r="F225">
        <v>0</v>
      </c>
      <c r="G225">
        <v>1</v>
      </c>
    </row>
    <row r="226" spans="1:7" x14ac:dyDescent="0.25">
      <c r="A226">
        <v>365</v>
      </c>
      <c r="B226" s="12">
        <v>45370.372745324101</v>
      </c>
      <c r="C226">
        <v>783</v>
      </c>
      <c r="D226">
        <v>45352</v>
      </c>
      <c r="E226">
        <v>45352</v>
      </c>
      <c r="F226">
        <v>0</v>
      </c>
      <c r="G226">
        <v>1</v>
      </c>
    </row>
    <row r="227" spans="1:7" x14ac:dyDescent="0.25">
      <c r="A227">
        <v>691</v>
      </c>
      <c r="B227" s="12">
        <v>45371.421624768504</v>
      </c>
      <c r="C227">
        <v>191</v>
      </c>
      <c r="D227">
        <v>45352</v>
      </c>
      <c r="E227">
        <v>45352</v>
      </c>
      <c r="F227">
        <v>0</v>
      </c>
      <c r="G227">
        <v>1</v>
      </c>
    </row>
    <row r="228" spans="1:7" x14ac:dyDescent="0.25">
      <c r="A228">
        <v>294</v>
      </c>
      <c r="B228" s="12">
        <v>45371.516621713003</v>
      </c>
      <c r="C228">
        <v>157</v>
      </c>
      <c r="D228">
        <v>45352</v>
      </c>
      <c r="E228">
        <v>45352</v>
      </c>
      <c r="F228">
        <v>0</v>
      </c>
      <c r="G228">
        <v>1</v>
      </c>
    </row>
    <row r="229" spans="1:7" x14ac:dyDescent="0.25">
      <c r="A229">
        <v>413</v>
      </c>
      <c r="B229" s="12">
        <v>45372.354145347199</v>
      </c>
      <c r="C229">
        <v>905</v>
      </c>
      <c r="D229">
        <v>45352</v>
      </c>
      <c r="E229">
        <v>45352</v>
      </c>
      <c r="F229">
        <v>0</v>
      </c>
      <c r="G229">
        <v>1</v>
      </c>
    </row>
    <row r="230" spans="1:7" x14ac:dyDescent="0.25">
      <c r="A230">
        <v>171</v>
      </c>
      <c r="B230" s="12">
        <v>45372.917448946799</v>
      </c>
      <c r="C230">
        <v>670</v>
      </c>
      <c r="D230">
        <v>45352</v>
      </c>
      <c r="E230">
        <v>45352</v>
      </c>
      <c r="F230">
        <v>0</v>
      </c>
      <c r="G230">
        <v>1</v>
      </c>
    </row>
    <row r="231" spans="1:7" x14ac:dyDescent="0.25">
      <c r="A231">
        <v>701</v>
      </c>
      <c r="B231" s="12">
        <v>45373.284082905098</v>
      </c>
      <c r="C231">
        <v>987</v>
      </c>
      <c r="D231">
        <v>45352</v>
      </c>
      <c r="E231">
        <v>45352</v>
      </c>
      <c r="F231">
        <v>0</v>
      </c>
      <c r="G231">
        <v>1</v>
      </c>
    </row>
    <row r="232" spans="1:7" x14ac:dyDescent="0.25">
      <c r="A232">
        <v>91</v>
      </c>
      <c r="B232" s="12">
        <v>45374.258243981501</v>
      </c>
      <c r="C232">
        <v>306</v>
      </c>
      <c r="D232">
        <v>45352</v>
      </c>
      <c r="E232">
        <v>45352</v>
      </c>
      <c r="F232">
        <v>0</v>
      </c>
      <c r="G232">
        <v>1</v>
      </c>
    </row>
    <row r="233" spans="1:7" x14ac:dyDescent="0.25">
      <c r="A233">
        <v>94</v>
      </c>
      <c r="B233" s="12">
        <v>45374.307445590297</v>
      </c>
      <c r="C233">
        <v>590</v>
      </c>
      <c r="D233">
        <v>45352</v>
      </c>
      <c r="E233">
        <v>45352</v>
      </c>
      <c r="F233">
        <v>0</v>
      </c>
      <c r="G233">
        <v>1</v>
      </c>
    </row>
    <row r="234" spans="1:7" x14ac:dyDescent="0.25">
      <c r="A234">
        <v>657</v>
      </c>
      <c r="B234" s="12">
        <v>45374.353600416704</v>
      </c>
      <c r="C234">
        <v>155</v>
      </c>
      <c r="D234">
        <v>45352</v>
      </c>
      <c r="E234">
        <v>45352</v>
      </c>
      <c r="F234">
        <v>0</v>
      </c>
      <c r="G234">
        <v>1</v>
      </c>
    </row>
    <row r="235" spans="1:7" x14ac:dyDescent="0.25">
      <c r="A235">
        <v>401</v>
      </c>
      <c r="B235" s="12">
        <v>45374.608183229197</v>
      </c>
      <c r="C235">
        <v>212</v>
      </c>
      <c r="D235">
        <v>45352</v>
      </c>
      <c r="E235">
        <v>45352</v>
      </c>
      <c r="F235">
        <v>0</v>
      </c>
      <c r="G235">
        <v>1</v>
      </c>
    </row>
    <row r="236" spans="1:7" x14ac:dyDescent="0.25">
      <c r="A236">
        <v>106</v>
      </c>
      <c r="B236" s="12">
        <v>45374.728912094899</v>
      </c>
      <c r="C236">
        <v>122</v>
      </c>
      <c r="D236">
        <v>45352</v>
      </c>
      <c r="E236">
        <v>45352</v>
      </c>
      <c r="F236">
        <v>0</v>
      </c>
      <c r="G236">
        <v>1</v>
      </c>
    </row>
    <row r="237" spans="1:7" x14ac:dyDescent="0.25">
      <c r="A237">
        <v>439</v>
      </c>
      <c r="B237" s="12">
        <v>45374.840751944401</v>
      </c>
      <c r="C237">
        <v>444</v>
      </c>
      <c r="D237">
        <v>45352</v>
      </c>
      <c r="E237">
        <v>45352</v>
      </c>
      <c r="F237">
        <v>0</v>
      </c>
      <c r="G237">
        <v>1</v>
      </c>
    </row>
    <row r="238" spans="1:7" x14ac:dyDescent="0.25">
      <c r="A238">
        <v>186</v>
      </c>
      <c r="B238" s="12">
        <v>45375.447995057897</v>
      </c>
      <c r="C238">
        <v>969</v>
      </c>
      <c r="D238">
        <v>45352</v>
      </c>
      <c r="E238">
        <v>45352</v>
      </c>
      <c r="F238">
        <v>0</v>
      </c>
      <c r="G238">
        <v>1</v>
      </c>
    </row>
    <row r="239" spans="1:7" x14ac:dyDescent="0.25">
      <c r="A239">
        <v>748</v>
      </c>
      <c r="B239" s="12">
        <v>45375.5007303819</v>
      </c>
      <c r="C239">
        <v>675</v>
      </c>
      <c r="D239">
        <v>45352</v>
      </c>
      <c r="E239">
        <v>45352</v>
      </c>
      <c r="F239">
        <v>0</v>
      </c>
      <c r="G239">
        <v>1</v>
      </c>
    </row>
    <row r="240" spans="1:7" x14ac:dyDescent="0.25">
      <c r="A240">
        <v>518</v>
      </c>
      <c r="B240" s="12">
        <v>45375.934435057898</v>
      </c>
      <c r="C240">
        <v>145</v>
      </c>
      <c r="D240">
        <v>45352</v>
      </c>
      <c r="E240">
        <v>45352</v>
      </c>
      <c r="F240">
        <v>0</v>
      </c>
      <c r="G240">
        <v>1</v>
      </c>
    </row>
    <row r="241" spans="1:7" x14ac:dyDescent="0.25">
      <c r="A241">
        <v>879</v>
      </c>
      <c r="B241" s="12">
        <v>45376.4030906482</v>
      </c>
      <c r="C241">
        <v>662</v>
      </c>
      <c r="D241">
        <v>45352</v>
      </c>
      <c r="E241">
        <v>45352</v>
      </c>
      <c r="F241">
        <v>0</v>
      </c>
      <c r="G241">
        <v>1</v>
      </c>
    </row>
    <row r="242" spans="1:7" x14ac:dyDescent="0.25">
      <c r="A242">
        <v>5</v>
      </c>
      <c r="B242" s="12">
        <v>45377.129035127298</v>
      </c>
      <c r="C242">
        <v>431</v>
      </c>
      <c r="D242">
        <v>45352</v>
      </c>
      <c r="E242">
        <v>45352</v>
      </c>
      <c r="F242">
        <v>0</v>
      </c>
      <c r="G242">
        <v>1</v>
      </c>
    </row>
    <row r="243" spans="1:7" x14ac:dyDescent="0.25">
      <c r="A243">
        <v>858</v>
      </c>
      <c r="B243" s="12">
        <v>45377.277941539403</v>
      </c>
      <c r="C243">
        <v>494</v>
      </c>
      <c r="D243">
        <v>45352</v>
      </c>
      <c r="E243">
        <v>45352</v>
      </c>
      <c r="F243">
        <v>0</v>
      </c>
      <c r="G243">
        <v>1</v>
      </c>
    </row>
    <row r="244" spans="1:7" x14ac:dyDescent="0.25">
      <c r="A244">
        <v>638</v>
      </c>
      <c r="B244" s="12">
        <v>45377.413383402803</v>
      </c>
      <c r="C244">
        <v>87</v>
      </c>
      <c r="D244">
        <v>45352</v>
      </c>
      <c r="E244">
        <v>45352</v>
      </c>
      <c r="F244">
        <v>0</v>
      </c>
      <c r="G244">
        <v>1</v>
      </c>
    </row>
    <row r="245" spans="1:7" x14ac:dyDescent="0.25">
      <c r="A245">
        <v>88</v>
      </c>
      <c r="B245" s="12">
        <v>45377.617018148201</v>
      </c>
      <c r="C245">
        <v>509</v>
      </c>
      <c r="D245">
        <v>45352</v>
      </c>
      <c r="E245">
        <v>45352</v>
      </c>
      <c r="F245">
        <v>0</v>
      </c>
      <c r="G245">
        <v>1</v>
      </c>
    </row>
    <row r="246" spans="1:7" x14ac:dyDescent="0.25">
      <c r="A246">
        <v>613</v>
      </c>
      <c r="B246" s="12">
        <v>45377.8233330324</v>
      </c>
      <c r="C246">
        <v>197</v>
      </c>
      <c r="D246">
        <v>45352</v>
      </c>
      <c r="E246">
        <v>45352</v>
      </c>
      <c r="F246">
        <v>0</v>
      </c>
      <c r="G246">
        <v>1</v>
      </c>
    </row>
    <row r="247" spans="1:7" x14ac:dyDescent="0.25">
      <c r="A247">
        <v>764</v>
      </c>
      <c r="B247" s="12">
        <v>45377.904145775501</v>
      </c>
      <c r="C247">
        <v>361</v>
      </c>
      <c r="D247">
        <v>45352</v>
      </c>
      <c r="E247">
        <v>45352</v>
      </c>
      <c r="F247">
        <v>0</v>
      </c>
      <c r="G247">
        <v>1</v>
      </c>
    </row>
    <row r="248" spans="1:7" x14ac:dyDescent="0.25">
      <c r="A248">
        <v>522</v>
      </c>
      <c r="B248" s="12">
        <v>45379.787477268503</v>
      </c>
      <c r="C248">
        <v>650</v>
      </c>
      <c r="D248">
        <v>45352</v>
      </c>
      <c r="E248">
        <v>45352</v>
      </c>
      <c r="F248">
        <v>0</v>
      </c>
      <c r="G248">
        <v>1</v>
      </c>
    </row>
    <row r="249" spans="1:7" x14ac:dyDescent="0.25">
      <c r="A249">
        <v>798</v>
      </c>
      <c r="B249" s="12">
        <v>45381.750327928203</v>
      </c>
      <c r="C249">
        <v>709</v>
      </c>
      <c r="D249">
        <v>45352</v>
      </c>
      <c r="E249">
        <v>45323</v>
      </c>
      <c r="F249">
        <v>1</v>
      </c>
      <c r="G249">
        <v>1</v>
      </c>
    </row>
    <row r="250" spans="1:7" x14ac:dyDescent="0.25">
      <c r="A250">
        <v>612</v>
      </c>
      <c r="B250" s="12">
        <v>45381.767237638902</v>
      </c>
      <c r="C250">
        <v>619</v>
      </c>
      <c r="D250">
        <v>45352</v>
      </c>
      <c r="E250">
        <v>45352</v>
      </c>
      <c r="F250">
        <v>0</v>
      </c>
      <c r="G250">
        <v>1</v>
      </c>
    </row>
    <row r="251" spans="1:7" x14ac:dyDescent="0.25">
      <c r="A251">
        <v>921</v>
      </c>
      <c r="B251" s="12">
        <v>45382.947597349499</v>
      </c>
      <c r="C251">
        <v>390</v>
      </c>
      <c r="D251">
        <v>45352</v>
      </c>
      <c r="E251">
        <v>45352</v>
      </c>
      <c r="F251">
        <v>0</v>
      </c>
      <c r="G251">
        <v>1</v>
      </c>
    </row>
    <row r="252" spans="1:7" x14ac:dyDescent="0.25">
      <c r="A252">
        <v>46</v>
      </c>
      <c r="B252" s="12">
        <v>45383.548845405101</v>
      </c>
      <c r="C252">
        <v>238</v>
      </c>
      <c r="D252">
        <v>45383</v>
      </c>
      <c r="E252">
        <v>45383</v>
      </c>
      <c r="F252">
        <v>0</v>
      </c>
      <c r="G252">
        <v>1</v>
      </c>
    </row>
    <row r="253" spans="1:7" x14ac:dyDescent="0.25">
      <c r="A253">
        <v>841</v>
      </c>
      <c r="B253" s="12">
        <v>45383.933991076403</v>
      </c>
      <c r="C253">
        <v>143</v>
      </c>
      <c r="D253">
        <v>45383</v>
      </c>
      <c r="E253">
        <v>45383</v>
      </c>
      <c r="F253">
        <v>0</v>
      </c>
      <c r="G253">
        <v>1</v>
      </c>
    </row>
    <row r="254" spans="1:7" x14ac:dyDescent="0.25">
      <c r="A254">
        <v>819</v>
      </c>
      <c r="B254" s="12">
        <v>45384.211111863398</v>
      </c>
      <c r="C254">
        <v>225</v>
      </c>
      <c r="D254">
        <v>45383</v>
      </c>
      <c r="E254">
        <v>45352</v>
      </c>
      <c r="F254">
        <v>1</v>
      </c>
      <c r="G254">
        <v>1</v>
      </c>
    </row>
    <row r="255" spans="1:7" x14ac:dyDescent="0.25">
      <c r="A255">
        <v>467</v>
      </c>
      <c r="B255" s="12">
        <v>45385.532261562497</v>
      </c>
      <c r="C255">
        <v>170</v>
      </c>
      <c r="D255">
        <v>45383</v>
      </c>
      <c r="E255">
        <v>45383</v>
      </c>
      <c r="F255">
        <v>0</v>
      </c>
      <c r="G255">
        <v>1</v>
      </c>
    </row>
    <row r="256" spans="1:7" x14ac:dyDescent="0.25">
      <c r="A256">
        <v>759</v>
      </c>
      <c r="B256" s="12">
        <v>45385.707701956002</v>
      </c>
      <c r="C256">
        <v>935</v>
      </c>
      <c r="D256">
        <v>45383</v>
      </c>
      <c r="E256">
        <v>45383</v>
      </c>
      <c r="F256">
        <v>0</v>
      </c>
      <c r="G256">
        <v>1</v>
      </c>
    </row>
    <row r="257" spans="1:7" x14ac:dyDescent="0.25">
      <c r="A257">
        <v>682</v>
      </c>
      <c r="B257" s="12">
        <v>45386.424298182901</v>
      </c>
      <c r="C257">
        <v>251</v>
      </c>
      <c r="D257">
        <v>45383</v>
      </c>
      <c r="E257">
        <v>45352</v>
      </c>
      <c r="F257">
        <v>1</v>
      </c>
      <c r="G257">
        <v>1</v>
      </c>
    </row>
    <row r="258" spans="1:7" x14ac:dyDescent="0.25">
      <c r="A258">
        <v>741</v>
      </c>
      <c r="B258" s="12">
        <v>45386.593572164398</v>
      </c>
      <c r="C258">
        <v>980</v>
      </c>
      <c r="D258">
        <v>45383</v>
      </c>
      <c r="E258">
        <v>45383</v>
      </c>
      <c r="F258">
        <v>0</v>
      </c>
      <c r="G258">
        <v>1</v>
      </c>
    </row>
    <row r="259" spans="1:7" x14ac:dyDescent="0.25">
      <c r="A259">
        <v>829</v>
      </c>
      <c r="B259" s="12">
        <v>45386.749738784703</v>
      </c>
      <c r="C259">
        <v>999</v>
      </c>
      <c r="D259">
        <v>45383</v>
      </c>
      <c r="E259">
        <v>45383</v>
      </c>
      <c r="F259">
        <v>0</v>
      </c>
      <c r="G259">
        <v>1</v>
      </c>
    </row>
    <row r="260" spans="1:7" x14ac:dyDescent="0.25">
      <c r="A260">
        <v>340</v>
      </c>
      <c r="B260" s="12">
        <v>45386.981690659697</v>
      </c>
      <c r="C260">
        <v>139</v>
      </c>
      <c r="D260">
        <v>45383</v>
      </c>
      <c r="E260">
        <v>45383</v>
      </c>
      <c r="F260">
        <v>0</v>
      </c>
      <c r="G260">
        <v>1</v>
      </c>
    </row>
    <row r="261" spans="1:7" x14ac:dyDescent="0.25">
      <c r="A261">
        <v>173</v>
      </c>
      <c r="B261" s="12">
        <v>45387.131662523199</v>
      </c>
      <c r="C261">
        <v>568</v>
      </c>
      <c r="D261">
        <v>45383</v>
      </c>
      <c r="E261">
        <v>45383</v>
      </c>
      <c r="F261">
        <v>0</v>
      </c>
      <c r="G261">
        <v>1</v>
      </c>
    </row>
    <row r="262" spans="1:7" x14ac:dyDescent="0.25">
      <c r="A262">
        <v>455</v>
      </c>
      <c r="B262" s="12">
        <v>45387.271974814801</v>
      </c>
      <c r="C262">
        <v>862</v>
      </c>
      <c r="D262">
        <v>45383</v>
      </c>
      <c r="E262">
        <v>45383</v>
      </c>
      <c r="F262">
        <v>0</v>
      </c>
      <c r="G262">
        <v>1</v>
      </c>
    </row>
    <row r="263" spans="1:7" x14ac:dyDescent="0.25">
      <c r="A263">
        <v>396</v>
      </c>
      <c r="B263" s="12">
        <v>45387.6625409607</v>
      </c>
      <c r="C263">
        <v>688</v>
      </c>
      <c r="D263">
        <v>45383</v>
      </c>
      <c r="E263">
        <v>45383</v>
      </c>
      <c r="F263">
        <v>0</v>
      </c>
      <c r="G263">
        <v>1</v>
      </c>
    </row>
    <row r="264" spans="1:7" x14ac:dyDescent="0.25">
      <c r="A264">
        <v>876</v>
      </c>
      <c r="B264" s="12">
        <v>45388.052564618098</v>
      </c>
      <c r="C264">
        <v>570</v>
      </c>
      <c r="D264">
        <v>45383</v>
      </c>
      <c r="E264">
        <v>45323</v>
      </c>
      <c r="F264">
        <v>2</v>
      </c>
      <c r="G264">
        <v>1</v>
      </c>
    </row>
    <row r="265" spans="1:7" x14ac:dyDescent="0.25">
      <c r="A265">
        <v>127</v>
      </c>
      <c r="B265" s="12">
        <v>45388.226176400502</v>
      </c>
      <c r="C265">
        <v>410</v>
      </c>
      <c r="D265">
        <v>45383</v>
      </c>
      <c r="E265">
        <v>45383</v>
      </c>
      <c r="F265">
        <v>0</v>
      </c>
      <c r="G265">
        <v>1</v>
      </c>
    </row>
    <row r="266" spans="1:7" x14ac:dyDescent="0.25">
      <c r="A266">
        <v>641</v>
      </c>
      <c r="B266" s="12">
        <v>45388.332439594902</v>
      </c>
      <c r="C266">
        <v>570</v>
      </c>
      <c r="D266">
        <v>45383</v>
      </c>
      <c r="E266">
        <v>45383</v>
      </c>
      <c r="F266">
        <v>0</v>
      </c>
      <c r="G266">
        <v>1</v>
      </c>
    </row>
    <row r="267" spans="1:7" x14ac:dyDescent="0.25">
      <c r="A267">
        <v>727</v>
      </c>
      <c r="B267" s="12">
        <v>45388.456298645797</v>
      </c>
      <c r="C267">
        <v>528</v>
      </c>
      <c r="D267">
        <v>45383</v>
      </c>
      <c r="E267">
        <v>45383</v>
      </c>
      <c r="F267">
        <v>0</v>
      </c>
      <c r="G267">
        <v>1</v>
      </c>
    </row>
    <row r="268" spans="1:7" x14ac:dyDescent="0.25">
      <c r="A268">
        <v>783</v>
      </c>
      <c r="B268" s="12">
        <v>45388.7756102083</v>
      </c>
      <c r="C268">
        <v>603</v>
      </c>
      <c r="D268">
        <v>45383</v>
      </c>
      <c r="E268">
        <v>45383</v>
      </c>
      <c r="F268">
        <v>0</v>
      </c>
      <c r="G268">
        <v>1</v>
      </c>
    </row>
    <row r="269" spans="1:7" x14ac:dyDescent="0.25">
      <c r="A269">
        <v>336</v>
      </c>
      <c r="B269" s="12">
        <v>45388.823841689802</v>
      </c>
      <c r="C269">
        <v>734</v>
      </c>
      <c r="D269">
        <v>45383</v>
      </c>
      <c r="E269">
        <v>45383</v>
      </c>
      <c r="F269">
        <v>0</v>
      </c>
      <c r="G269">
        <v>1</v>
      </c>
    </row>
    <row r="270" spans="1:7" x14ac:dyDescent="0.25">
      <c r="A270">
        <v>15</v>
      </c>
      <c r="B270" s="12">
        <v>45389.238745555602</v>
      </c>
      <c r="C270">
        <v>492</v>
      </c>
      <c r="D270">
        <v>45383</v>
      </c>
      <c r="E270">
        <v>45352</v>
      </c>
      <c r="F270">
        <v>1</v>
      </c>
      <c r="G270">
        <v>1</v>
      </c>
    </row>
    <row r="271" spans="1:7" x14ac:dyDescent="0.25">
      <c r="A271">
        <v>190</v>
      </c>
      <c r="B271" s="12">
        <v>45389.473204675902</v>
      </c>
      <c r="C271">
        <v>434</v>
      </c>
      <c r="D271">
        <v>45383</v>
      </c>
      <c r="E271">
        <v>45323</v>
      </c>
      <c r="F271">
        <v>2</v>
      </c>
      <c r="G271">
        <v>1</v>
      </c>
    </row>
    <row r="272" spans="1:7" x14ac:dyDescent="0.25">
      <c r="A272">
        <v>610</v>
      </c>
      <c r="B272" s="12">
        <v>45389.6784963194</v>
      </c>
      <c r="C272">
        <v>936</v>
      </c>
      <c r="D272">
        <v>45383</v>
      </c>
      <c r="E272">
        <v>45383</v>
      </c>
      <c r="F272">
        <v>0</v>
      </c>
      <c r="G272">
        <v>1</v>
      </c>
    </row>
    <row r="273" spans="1:7" x14ac:dyDescent="0.25">
      <c r="A273">
        <v>996</v>
      </c>
      <c r="B273" s="12">
        <v>45389.9892159144</v>
      </c>
      <c r="C273">
        <v>126</v>
      </c>
      <c r="D273">
        <v>45383</v>
      </c>
      <c r="E273">
        <v>45323</v>
      </c>
      <c r="F273">
        <v>2</v>
      </c>
      <c r="G273">
        <v>1</v>
      </c>
    </row>
    <row r="274" spans="1:7" x14ac:dyDescent="0.25">
      <c r="A274">
        <v>385</v>
      </c>
      <c r="B274" s="12">
        <v>45390.380571770802</v>
      </c>
      <c r="C274">
        <v>717</v>
      </c>
      <c r="D274">
        <v>45383</v>
      </c>
      <c r="E274">
        <v>45383</v>
      </c>
      <c r="F274">
        <v>0</v>
      </c>
      <c r="G274">
        <v>1</v>
      </c>
    </row>
    <row r="275" spans="1:7" x14ac:dyDescent="0.25">
      <c r="A275">
        <v>698</v>
      </c>
      <c r="B275" s="12">
        <v>45390.440769791698</v>
      </c>
      <c r="C275">
        <v>495</v>
      </c>
      <c r="D275">
        <v>45383</v>
      </c>
      <c r="E275">
        <v>45323</v>
      </c>
      <c r="F275">
        <v>2</v>
      </c>
      <c r="G275">
        <v>1</v>
      </c>
    </row>
    <row r="276" spans="1:7" x14ac:dyDescent="0.25">
      <c r="A276">
        <v>665</v>
      </c>
      <c r="B276" s="12">
        <v>45390.685303067097</v>
      </c>
      <c r="C276">
        <v>524</v>
      </c>
      <c r="D276">
        <v>45383</v>
      </c>
      <c r="E276">
        <v>45383</v>
      </c>
      <c r="F276">
        <v>0</v>
      </c>
      <c r="G276">
        <v>1</v>
      </c>
    </row>
    <row r="277" spans="1:7" x14ac:dyDescent="0.25">
      <c r="A277">
        <v>961</v>
      </c>
      <c r="B277" s="12">
        <v>45390.6896052546</v>
      </c>
      <c r="C277">
        <v>368</v>
      </c>
      <c r="D277">
        <v>45383</v>
      </c>
      <c r="E277">
        <v>45383</v>
      </c>
      <c r="F277">
        <v>0</v>
      </c>
      <c r="G277">
        <v>1</v>
      </c>
    </row>
    <row r="278" spans="1:7" x14ac:dyDescent="0.25">
      <c r="A278">
        <v>12</v>
      </c>
      <c r="B278" s="12">
        <v>45391.063884432901</v>
      </c>
      <c r="C278">
        <v>259</v>
      </c>
      <c r="D278">
        <v>45383</v>
      </c>
      <c r="E278">
        <v>45383</v>
      </c>
      <c r="F278">
        <v>0</v>
      </c>
      <c r="G278">
        <v>1</v>
      </c>
    </row>
    <row r="279" spans="1:7" x14ac:dyDescent="0.25">
      <c r="A279">
        <v>968</v>
      </c>
      <c r="B279" s="12">
        <v>45391.330933807898</v>
      </c>
      <c r="C279">
        <v>802</v>
      </c>
      <c r="D279">
        <v>45383</v>
      </c>
      <c r="E279">
        <v>45352</v>
      </c>
      <c r="F279">
        <v>1</v>
      </c>
      <c r="G279">
        <v>1</v>
      </c>
    </row>
    <row r="280" spans="1:7" x14ac:dyDescent="0.25">
      <c r="A280">
        <v>754</v>
      </c>
      <c r="B280" s="12">
        <v>45391.3834768171</v>
      </c>
      <c r="C280">
        <v>953</v>
      </c>
      <c r="D280">
        <v>45383</v>
      </c>
      <c r="E280">
        <v>45323</v>
      </c>
      <c r="F280">
        <v>2</v>
      </c>
      <c r="G280">
        <v>1</v>
      </c>
    </row>
    <row r="281" spans="1:7" x14ac:dyDescent="0.25">
      <c r="A281">
        <v>493</v>
      </c>
      <c r="B281" s="12">
        <v>45391.450824965301</v>
      </c>
      <c r="C281">
        <v>399</v>
      </c>
      <c r="D281">
        <v>45383</v>
      </c>
      <c r="E281">
        <v>45383</v>
      </c>
      <c r="F281">
        <v>0</v>
      </c>
      <c r="G281">
        <v>1</v>
      </c>
    </row>
    <row r="282" spans="1:7" x14ac:dyDescent="0.25">
      <c r="A282">
        <v>975</v>
      </c>
      <c r="B282" s="12">
        <v>45391.536074155098</v>
      </c>
      <c r="C282">
        <v>129</v>
      </c>
      <c r="D282">
        <v>45383</v>
      </c>
      <c r="E282">
        <v>45383</v>
      </c>
      <c r="F282">
        <v>0</v>
      </c>
      <c r="G282">
        <v>1</v>
      </c>
    </row>
    <row r="283" spans="1:7" x14ac:dyDescent="0.25">
      <c r="A283">
        <v>284</v>
      </c>
      <c r="B283" s="12">
        <v>45393.202562580998</v>
      </c>
      <c r="C283">
        <v>287</v>
      </c>
      <c r="D283">
        <v>45383</v>
      </c>
      <c r="E283">
        <v>45383</v>
      </c>
      <c r="F283">
        <v>0</v>
      </c>
      <c r="G283">
        <v>1</v>
      </c>
    </row>
    <row r="284" spans="1:7" x14ac:dyDescent="0.25">
      <c r="A284">
        <v>898</v>
      </c>
      <c r="B284" s="12">
        <v>45393.902467233798</v>
      </c>
      <c r="C284">
        <v>542</v>
      </c>
      <c r="D284">
        <v>45383</v>
      </c>
      <c r="E284">
        <v>45383</v>
      </c>
      <c r="F284">
        <v>0</v>
      </c>
      <c r="G284">
        <v>1</v>
      </c>
    </row>
    <row r="285" spans="1:7" x14ac:dyDescent="0.25">
      <c r="A285">
        <v>359</v>
      </c>
      <c r="B285" s="12">
        <v>45393.982164247704</v>
      </c>
      <c r="C285">
        <v>742</v>
      </c>
      <c r="D285">
        <v>45383</v>
      </c>
      <c r="E285">
        <v>45383</v>
      </c>
      <c r="F285">
        <v>0</v>
      </c>
      <c r="G285">
        <v>1</v>
      </c>
    </row>
    <row r="286" spans="1:7" x14ac:dyDescent="0.25">
      <c r="A286">
        <v>531</v>
      </c>
      <c r="B286" s="12">
        <v>45395.169011458303</v>
      </c>
      <c r="C286">
        <v>606</v>
      </c>
      <c r="D286">
        <v>45383</v>
      </c>
      <c r="E286">
        <v>45383</v>
      </c>
      <c r="F286">
        <v>0</v>
      </c>
      <c r="G286">
        <v>1</v>
      </c>
    </row>
    <row r="287" spans="1:7" x14ac:dyDescent="0.25">
      <c r="A287">
        <v>958</v>
      </c>
      <c r="B287" s="12">
        <v>45395.298294884298</v>
      </c>
      <c r="C287">
        <v>662</v>
      </c>
      <c r="D287">
        <v>45383</v>
      </c>
      <c r="E287">
        <v>45292</v>
      </c>
      <c r="F287">
        <v>3</v>
      </c>
      <c r="G287">
        <v>1</v>
      </c>
    </row>
    <row r="288" spans="1:7" x14ac:dyDescent="0.25">
      <c r="A288">
        <v>779</v>
      </c>
      <c r="B288" s="12">
        <v>45395.658828425898</v>
      </c>
      <c r="C288">
        <v>813</v>
      </c>
      <c r="D288">
        <v>45383</v>
      </c>
      <c r="E288">
        <v>45383</v>
      </c>
      <c r="F288">
        <v>0</v>
      </c>
      <c r="G288">
        <v>1</v>
      </c>
    </row>
    <row r="289" spans="1:7" x14ac:dyDescent="0.25">
      <c r="A289">
        <v>126</v>
      </c>
      <c r="B289" s="12">
        <v>45395.706247858798</v>
      </c>
      <c r="C289">
        <v>576</v>
      </c>
      <c r="D289">
        <v>45383</v>
      </c>
      <c r="E289">
        <v>45383</v>
      </c>
      <c r="F289">
        <v>0</v>
      </c>
      <c r="G289">
        <v>1</v>
      </c>
    </row>
    <row r="290" spans="1:7" x14ac:dyDescent="0.25">
      <c r="A290">
        <v>780</v>
      </c>
      <c r="B290" s="12">
        <v>45395.9050025463</v>
      </c>
      <c r="C290">
        <v>638</v>
      </c>
      <c r="D290">
        <v>45383</v>
      </c>
      <c r="E290">
        <v>45383</v>
      </c>
      <c r="F290">
        <v>0</v>
      </c>
      <c r="G290">
        <v>1</v>
      </c>
    </row>
    <row r="291" spans="1:7" x14ac:dyDescent="0.25">
      <c r="A291">
        <v>959</v>
      </c>
      <c r="B291" s="12">
        <v>45395.921589432903</v>
      </c>
      <c r="C291">
        <v>885</v>
      </c>
      <c r="D291">
        <v>45383</v>
      </c>
      <c r="E291">
        <v>45383</v>
      </c>
      <c r="F291">
        <v>0</v>
      </c>
      <c r="G291">
        <v>1</v>
      </c>
    </row>
    <row r="292" spans="1:7" x14ac:dyDescent="0.25">
      <c r="A292">
        <v>161</v>
      </c>
      <c r="B292" s="12">
        <v>45397.877157800896</v>
      </c>
      <c r="C292">
        <v>414</v>
      </c>
      <c r="D292">
        <v>45383</v>
      </c>
      <c r="E292">
        <v>45383</v>
      </c>
      <c r="F292">
        <v>0</v>
      </c>
      <c r="G292">
        <v>1</v>
      </c>
    </row>
    <row r="293" spans="1:7" x14ac:dyDescent="0.25">
      <c r="A293">
        <v>776</v>
      </c>
      <c r="B293" s="12">
        <v>45398.121164872697</v>
      </c>
      <c r="C293">
        <v>571</v>
      </c>
      <c r="D293">
        <v>45383</v>
      </c>
      <c r="E293">
        <v>45352</v>
      </c>
      <c r="F293">
        <v>1</v>
      </c>
      <c r="G293">
        <v>1</v>
      </c>
    </row>
    <row r="294" spans="1:7" x14ac:dyDescent="0.25">
      <c r="A294">
        <v>499</v>
      </c>
      <c r="B294" s="12">
        <v>45399.745917963002</v>
      </c>
      <c r="C294">
        <v>699</v>
      </c>
      <c r="D294">
        <v>45383</v>
      </c>
      <c r="E294">
        <v>45383</v>
      </c>
      <c r="F294">
        <v>0</v>
      </c>
      <c r="G294">
        <v>1</v>
      </c>
    </row>
    <row r="295" spans="1:7" x14ac:dyDescent="0.25">
      <c r="A295">
        <v>230</v>
      </c>
      <c r="B295" s="12">
        <v>45400.100285057903</v>
      </c>
      <c r="C295">
        <v>222</v>
      </c>
      <c r="D295">
        <v>45383</v>
      </c>
      <c r="E295">
        <v>45383</v>
      </c>
      <c r="F295">
        <v>0</v>
      </c>
      <c r="G295">
        <v>1</v>
      </c>
    </row>
    <row r="296" spans="1:7" x14ac:dyDescent="0.25">
      <c r="A296">
        <v>685</v>
      </c>
      <c r="B296" s="12">
        <v>45400.403800949098</v>
      </c>
      <c r="C296">
        <v>751</v>
      </c>
      <c r="D296">
        <v>45383</v>
      </c>
      <c r="E296">
        <v>45383</v>
      </c>
      <c r="F296">
        <v>0</v>
      </c>
      <c r="G296">
        <v>1</v>
      </c>
    </row>
    <row r="297" spans="1:7" x14ac:dyDescent="0.25">
      <c r="A297">
        <v>642</v>
      </c>
      <c r="B297" s="12">
        <v>45400.936192291701</v>
      </c>
      <c r="C297">
        <v>965</v>
      </c>
      <c r="D297">
        <v>45383</v>
      </c>
      <c r="E297">
        <v>45383</v>
      </c>
      <c r="F297">
        <v>0</v>
      </c>
      <c r="G297">
        <v>1</v>
      </c>
    </row>
    <row r="298" spans="1:7" x14ac:dyDescent="0.25">
      <c r="A298">
        <v>296</v>
      </c>
      <c r="B298" s="12">
        <v>45400.9954375694</v>
      </c>
      <c r="C298">
        <v>21</v>
      </c>
      <c r="D298">
        <v>45383</v>
      </c>
      <c r="E298">
        <v>45383</v>
      </c>
      <c r="F298">
        <v>0</v>
      </c>
      <c r="G298">
        <v>1</v>
      </c>
    </row>
    <row r="299" spans="1:7" x14ac:dyDescent="0.25">
      <c r="A299">
        <v>857</v>
      </c>
      <c r="B299" s="12">
        <v>45402.037328842598</v>
      </c>
      <c r="C299">
        <v>69</v>
      </c>
      <c r="D299">
        <v>45383</v>
      </c>
      <c r="E299">
        <v>45383</v>
      </c>
      <c r="F299">
        <v>0</v>
      </c>
      <c r="G299">
        <v>1</v>
      </c>
    </row>
    <row r="300" spans="1:7" x14ac:dyDescent="0.25">
      <c r="A300">
        <v>39</v>
      </c>
      <c r="B300" s="12">
        <v>45402.142338576399</v>
      </c>
      <c r="C300">
        <v>79</v>
      </c>
      <c r="D300">
        <v>45383</v>
      </c>
      <c r="E300">
        <v>45383</v>
      </c>
      <c r="F300">
        <v>0</v>
      </c>
      <c r="G300">
        <v>1</v>
      </c>
    </row>
    <row r="301" spans="1:7" x14ac:dyDescent="0.25">
      <c r="A301">
        <v>115</v>
      </c>
      <c r="B301" s="12">
        <v>45402.813180914403</v>
      </c>
      <c r="C301">
        <v>481</v>
      </c>
      <c r="D301">
        <v>45383</v>
      </c>
      <c r="E301">
        <v>45383</v>
      </c>
      <c r="F301">
        <v>0</v>
      </c>
      <c r="G301">
        <v>1</v>
      </c>
    </row>
    <row r="302" spans="1:7" x14ac:dyDescent="0.25">
      <c r="A302">
        <v>348</v>
      </c>
      <c r="B302" s="12">
        <v>45403.584771412003</v>
      </c>
      <c r="C302">
        <v>777</v>
      </c>
      <c r="D302">
        <v>45383</v>
      </c>
      <c r="E302">
        <v>45292</v>
      </c>
      <c r="F302">
        <v>3</v>
      </c>
      <c r="G302">
        <v>1</v>
      </c>
    </row>
    <row r="303" spans="1:7" x14ac:dyDescent="0.25">
      <c r="A303">
        <v>839</v>
      </c>
      <c r="B303" s="12">
        <v>45404.114745138897</v>
      </c>
      <c r="C303">
        <v>672</v>
      </c>
      <c r="D303">
        <v>45383</v>
      </c>
      <c r="E303">
        <v>45383</v>
      </c>
      <c r="F303">
        <v>0</v>
      </c>
      <c r="G303">
        <v>1</v>
      </c>
    </row>
    <row r="304" spans="1:7" x14ac:dyDescent="0.25">
      <c r="A304">
        <v>877</v>
      </c>
      <c r="B304" s="12">
        <v>45404.409146365702</v>
      </c>
      <c r="C304">
        <v>85</v>
      </c>
      <c r="D304">
        <v>45383</v>
      </c>
      <c r="E304">
        <v>45383</v>
      </c>
      <c r="F304">
        <v>0</v>
      </c>
      <c r="G304">
        <v>1</v>
      </c>
    </row>
    <row r="305" spans="1:7" x14ac:dyDescent="0.25">
      <c r="A305">
        <v>815</v>
      </c>
      <c r="B305" s="12">
        <v>45404.748631805604</v>
      </c>
      <c r="C305">
        <v>684</v>
      </c>
      <c r="D305">
        <v>45383</v>
      </c>
      <c r="E305">
        <v>45352</v>
      </c>
      <c r="F305">
        <v>1</v>
      </c>
      <c r="G305">
        <v>1</v>
      </c>
    </row>
    <row r="306" spans="1:7" x14ac:dyDescent="0.25">
      <c r="A306">
        <v>752</v>
      </c>
      <c r="B306" s="12">
        <v>45405.380564953703</v>
      </c>
      <c r="C306">
        <v>408</v>
      </c>
      <c r="D306">
        <v>45383</v>
      </c>
      <c r="E306">
        <v>45323</v>
      </c>
      <c r="F306">
        <v>2</v>
      </c>
      <c r="G306">
        <v>1</v>
      </c>
    </row>
    <row r="307" spans="1:7" x14ac:dyDescent="0.25">
      <c r="A307">
        <v>390</v>
      </c>
      <c r="B307" s="12">
        <v>45405.390119363401</v>
      </c>
      <c r="C307">
        <v>842</v>
      </c>
      <c r="D307">
        <v>45383</v>
      </c>
      <c r="E307">
        <v>45383</v>
      </c>
      <c r="F307">
        <v>0</v>
      </c>
      <c r="G307">
        <v>1</v>
      </c>
    </row>
    <row r="308" spans="1:7" x14ac:dyDescent="0.25">
      <c r="A308">
        <v>388</v>
      </c>
      <c r="B308" s="12">
        <v>45405.531751597198</v>
      </c>
      <c r="C308">
        <v>104</v>
      </c>
      <c r="D308">
        <v>45383</v>
      </c>
      <c r="E308">
        <v>45383</v>
      </c>
      <c r="F308">
        <v>0</v>
      </c>
      <c r="G308">
        <v>1</v>
      </c>
    </row>
    <row r="309" spans="1:7" x14ac:dyDescent="0.25">
      <c r="A309">
        <v>745</v>
      </c>
      <c r="B309" s="12">
        <v>45405.596254097203</v>
      </c>
      <c r="C309">
        <v>236</v>
      </c>
      <c r="D309">
        <v>45383</v>
      </c>
      <c r="E309">
        <v>45383</v>
      </c>
      <c r="F309">
        <v>0</v>
      </c>
      <c r="G309">
        <v>1</v>
      </c>
    </row>
    <row r="310" spans="1:7" x14ac:dyDescent="0.25">
      <c r="A310">
        <v>556</v>
      </c>
      <c r="B310" s="12">
        <v>45406.339565694398</v>
      </c>
      <c r="C310">
        <v>474</v>
      </c>
      <c r="D310">
        <v>45383</v>
      </c>
      <c r="E310">
        <v>45292</v>
      </c>
      <c r="F310">
        <v>3</v>
      </c>
      <c r="G310">
        <v>1</v>
      </c>
    </row>
    <row r="311" spans="1:7" x14ac:dyDescent="0.25">
      <c r="A311">
        <v>37</v>
      </c>
      <c r="B311" s="12">
        <v>45406.780486516203</v>
      </c>
      <c r="C311">
        <v>593</v>
      </c>
      <c r="D311">
        <v>45383</v>
      </c>
      <c r="E311">
        <v>45352</v>
      </c>
      <c r="F311">
        <v>1</v>
      </c>
      <c r="G311">
        <v>1</v>
      </c>
    </row>
    <row r="312" spans="1:7" x14ac:dyDescent="0.25">
      <c r="A312">
        <v>702</v>
      </c>
      <c r="B312" s="12">
        <v>45407.280579108803</v>
      </c>
      <c r="C312">
        <v>965</v>
      </c>
      <c r="D312">
        <v>45383</v>
      </c>
      <c r="E312">
        <v>45383</v>
      </c>
      <c r="F312">
        <v>0</v>
      </c>
      <c r="G312">
        <v>1</v>
      </c>
    </row>
    <row r="313" spans="1:7" x14ac:dyDescent="0.25">
      <c r="A313">
        <v>605</v>
      </c>
      <c r="B313" s="12">
        <v>45407.450422025497</v>
      </c>
      <c r="C313">
        <v>987</v>
      </c>
      <c r="D313">
        <v>45383</v>
      </c>
      <c r="E313">
        <v>45383</v>
      </c>
      <c r="F313">
        <v>0</v>
      </c>
      <c r="G313">
        <v>1</v>
      </c>
    </row>
    <row r="314" spans="1:7" x14ac:dyDescent="0.25">
      <c r="A314">
        <v>462</v>
      </c>
      <c r="B314" s="12">
        <v>45407.566322789397</v>
      </c>
      <c r="C314">
        <v>829</v>
      </c>
      <c r="D314">
        <v>45383</v>
      </c>
      <c r="E314">
        <v>45352</v>
      </c>
      <c r="F314">
        <v>1</v>
      </c>
      <c r="G314">
        <v>1</v>
      </c>
    </row>
    <row r="315" spans="1:7" x14ac:dyDescent="0.25">
      <c r="A315">
        <v>532</v>
      </c>
      <c r="B315" s="12">
        <v>45407.812662511598</v>
      </c>
      <c r="C315">
        <v>138</v>
      </c>
      <c r="D315">
        <v>45383</v>
      </c>
      <c r="E315">
        <v>45383</v>
      </c>
      <c r="F315">
        <v>0</v>
      </c>
      <c r="G315">
        <v>1</v>
      </c>
    </row>
    <row r="316" spans="1:7" x14ac:dyDescent="0.25">
      <c r="A316">
        <v>100</v>
      </c>
      <c r="B316" s="12">
        <v>45407.950094375003</v>
      </c>
      <c r="C316">
        <v>518</v>
      </c>
      <c r="D316">
        <v>45383</v>
      </c>
      <c r="E316">
        <v>45383</v>
      </c>
      <c r="F316">
        <v>0</v>
      </c>
      <c r="G316">
        <v>1</v>
      </c>
    </row>
    <row r="317" spans="1:7" x14ac:dyDescent="0.25">
      <c r="A317">
        <v>822</v>
      </c>
      <c r="B317" s="12">
        <v>45408.423199386598</v>
      </c>
      <c r="C317">
        <v>48</v>
      </c>
      <c r="D317">
        <v>45383</v>
      </c>
      <c r="E317">
        <v>45383</v>
      </c>
      <c r="F317">
        <v>0</v>
      </c>
      <c r="G317">
        <v>1</v>
      </c>
    </row>
    <row r="318" spans="1:7" x14ac:dyDescent="0.25">
      <c r="A318">
        <v>513</v>
      </c>
      <c r="B318" s="12">
        <v>45408.490790798598</v>
      </c>
      <c r="C318">
        <v>933</v>
      </c>
      <c r="D318">
        <v>45383</v>
      </c>
      <c r="E318">
        <v>45383</v>
      </c>
      <c r="F318">
        <v>0</v>
      </c>
      <c r="G318">
        <v>1</v>
      </c>
    </row>
    <row r="319" spans="1:7" x14ac:dyDescent="0.25">
      <c r="A319">
        <v>936</v>
      </c>
      <c r="B319" s="12">
        <v>45409.111138136599</v>
      </c>
      <c r="C319">
        <v>28</v>
      </c>
      <c r="D319">
        <v>45383</v>
      </c>
      <c r="E319">
        <v>45292</v>
      </c>
      <c r="F319">
        <v>3</v>
      </c>
      <c r="G319">
        <v>1</v>
      </c>
    </row>
    <row r="320" spans="1:7" x14ac:dyDescent="0.25">
      <c r="A320">
        <v>501</v>
      </c>
      <c r="B320" s="12">
        <v>45409.5150569213</v>
      </c>
      <c r="C320">
        <v>435</v>
      </c>
      <c r="D320">
        <v>45383</v>
      </c>
      <c r="E320">
        <v>45383</v>
      </c>
      <c r="F320">
        <v>0</v>
      </c>
      <c r="G320">
        <v>1</v>
      </c>
    </row>
    <row r="321" spans="1:7" x14ac:dyDescent="0.25">
      <c r="A321">
        <v>314</v>
      </c>
      <c r="B321" s="12">
        <v>45409.644864363399</v>
      </c>
      <c r="C321">
        <v>509</v>
      </c>
      <c r="D321">
        <v>45383</v>
      </c>
      <c r="E321">
        <v>45383</v>
      </c>
      <c r="F321">
        <v>0</v>
      </c>
      <c r="G321">
        <v>1</v>
      </c>
    </row>
    <row r="322" spans="1:7" x14ac:dyDescent="0.25">
      <c r="A322">
        <v>253</v>
      </c>
      <c r="B322" s="12">
        <v>45409.804528113396</v>
      </c>
      <c r="C322">
        <v>165</v>
      </c>
      <c r="D322">
        <v>45383</v>
      </c>
      <c r="E322">
        <v>45383</v>
      </c>
      <c r="F322">
        <v>0</v>
      </c>
      <c r="G322">
        <v>1</v>
      </c>
    </row>
    <row r="323" spans="1:7" x14ac:dyDescent="0.25">
      <c r="A323">
        <v>116</v>
      </c>
      <c r="B323" s="12">
        <v>45409.926707303202</v>
      </c>
      <c r="C323">
        <v>841</v>
      </c>
      <c r="D323">
        <v>45383</v>
      </c>
      <c r="E323">
        <v>45383</v>
      </c>
      <c r="F323">
        <v>0</v>
      </c>
      <c r="G323">
        <v>1</v>
      </c>
    </row>
    <row r="324" spans="1:7" x14ac:dyDescent="0.25">
      <c r="A324">
        <v>729</v>
      </c>
      <c r="B324" s="12">
        <v>45410.165003576403</v>
      </c>
      <c r="C324">
        <v>174</v>
      </c>
      <c r="D324">
        <v>45383</v>
      </c>
      <c r="E324">
        <v>45383</v>
      </c>
      <c r="F324">
        <v>0</v>
      </c>
      <c r="G324">
        <v>1</v>
      </c>
    </row>
    <row r="325" spans="1:7" x14ac:dyDescent="0.25">
      <c r="A325">
        <v>997</v>
      </c>
      <c r="B325" s="12">
        <v>45410.207817013899</v>
      </c>
      <c r="C325">
        <v>886</v>
      </c>
      <c r="D325">
        <v>45383</v>
      </c>
      <c r="E325">
        <v>45352</v>
      </c>
      <c r="F325">
        <v>1</v>
      </c>
      <c r="G325">
        <v>1</v>
      </c>
    </row>
    <row r="326" spans="1:7" x14ac:dyDescent="0.25">
      <c r="A326">
        <v>802</v>
      </c>
      <c r="B326" s="12">
        <v>45410.304372488397</v>
      </c>
      <c r="C326">
        <v>847</v>
      </c>
      <c r="D326">
        <v>45383</v>
      </c>
      <c r="E326">
        <v>45323</v>
      </c>
      <c r="F326">
        <v>2</v>
      </c>
      <c r="G326">
        <v>1</v>
      </c>
    </row>
    <row r="327" spans="1:7" x14ac:dyDescent="0.25">
      <c r="A327">
        <v>180</v>
      </c>
      <c r="B327" s="12">
        <v>45410.776909178203</v>
      </c>
      <c r="C327">
        <v>818</v>
      </c>
      <c r="D327">
        <v>45383</v>
      </c>
      <c r="E327">
        <v>45383</v>
      </c>
      <c r="F327">
        <v>0</v>
      </c>
      <c r="G327">
        <v>1</v>
      </c>
    </row>
    <row r="328" spans="1:7" x14ac:dyDescent="0.25">
      <c r="A328">
        <v>367</v>
      </c>
      <c r="B328" s="12">
        <v>45410.971274548603</v>
      </c>
      <c r="C328">
        <v>107</v>
      </c>
      <c r="D328">
        <v>45383</v>
      </c>
      <c r="E328">
        <v>45383</v>
      </c>
      <c r="F328">
        <v>0</v>
      </c>
      <c r="G328">
        <v>1</v>
      </c>
    </row>
    <row r="329" spans="1:7" x14ac:dyDescent="0.25">
      <c r="A329">
        <v>385</v>
      </c>
      <c r="B329" s="12">
        <v>45411.908619953698</v>
      </c>
      <c r="C329">
        <v>949</v>
      </c>
      <c r="D329">
        <v>45383</v>
      </c>
      <c r="E329">
        <v>45383</v>
      </c>
      <c r="F329">
        <v>0</v>
      </c>
      <c r="G329">
        <v>0</v>
      </c>
    </row>
    <row r="330" spans="1:7" x14ac:dyDescent="0.25">
      <c r="A330">
        <v>9</v>
      </c>
      <c r="B330" s="12">
        <v>45412.326929618102</v>
      </c>
      <c r="C330">
        <v>297</v>
      </c>
      <c r="D330">
        <v>45383</v>
      </c>
      <c r="E330">
        <v>45383</v>
      </c>
      <c r="F330">
        <v>0</v>
      </c>
      <c r="G330">
        <v>1</v>
      </c>
    </row>
    <row r="331" spans="1:7" x14ac:dyDescent="0.25">
      <c r="A331">
        <v>692</v>
      </c>
      <c r="B331" s="12">
        <v>45412.673686793998</v>
      </c>
      <c r="C331">
        <v>38</v>
      </c>
      <c r="D331">
        <v>45383</v>
      </c>
      <c r="E331">
        <v>45383</v>
      </c>
      <c r="F331">
        <v>0</v>
      </c>
      <c r="G331">
        <v>1</v>
      </c>
    </row>
    <row r="332" spans="1:7" x14ac:dyDescent="0.25">
      <c r="A332">
        <v>891</v>
      </c>
      <c r="B332" s="12">
        <v>45412.700578229204</v>
      </c>
      <c r="C332">
        <v>353</v>
      </c>
      <c r="D332">
        <v>45383</v>
      </c>
      <c r="E332">
        <v>45383</v>
      </c>
      <c r="F332">
        <v>0</v>
      </c>
      <c r="G332">
        <v>1</v>
      </c>
    </row>
    <row r="333" spans="1:7" x14ac:dyDescent="0.25">
      <c r="A333">
        <v>29</v>
      </c>
      <c r="B333" s="12">
        <v>45412.924897569399</v>
      </c>
      <c r="C333">
        <v>908</v>
      </c>
      <c r="D333">
        <v>45383</v>
      </c>
      <c r="E333">
        <v>45383</v>
      </c>
      <c r="F333">
        <v>0</v>
      </c>
      <c r="G333">
        <v>1</v>
      </c>
    </row>
    <row r="334" spans="1:7" x14ac:dyDescent="0.25">
      <c r="A334">
        <v>547</v>
      </c>
      <c r="B334" s="12">
        <v>45413.005054722198</v>
      </c>
      <c r="C334">
        <v>28</v>
      </c>
      <c r="D334">
        <v>45413</v>
      </c>
      <c r="E334">
        <v>45413</v>
      </c>
      <c r="F334">
        <v>0</v>
      </c>
      <c r="G334">
        <v>1</v>
      </c>
    </row>
    <row r="335" spans="1:7" x14ac:dyDescent="0.25">
      <c r="A335">
        <v>879</v>
      </c>
      <c r="B335" s="12">
        <v>45413.285855636597</v>
      </c>
      <c r="C335">
        <v>692</v>
      </c>
      <c r="D335">
        <v>45413</v>
      </c>
      <c r="E335">
        <v>45352</v>
      </c>
      <c r="F335">
        <v>2</v>
      </c>
      <c r="G335">
        <v>1</v>
      </c>
    </row>
    <row r="336" spans="1:7" x14ac:dyDescent="0.25">
      <c r="A336">
        <v>188</v>
      </c>
      <c r="B336" s="12">
        <v>45414.290859201399</v>
      </c>
      <c r="C336">
        <v>837</v>
      </c>
      <c r="D336">
        <v>45413</v>
      </c>
      <c r="E336">
        <v>45413</v>
      </c>
      <c r="F336">
        <v>0</v>
      </c>
      <c r="G336">
        <v>1</v>
      </c>
    </row>
    <row r="337" spans="1:7" x14ac:dyDescent="0.25">
      <c r="A337">
        <v>776</v>
      </c>
      <c r="B337" s="12">
        <v>45414.4173477199</v>
      </c>
      <c r="C337">
        <v>880</v>
      </c>
      <c r="D337">
        <v>45413</v>
      </c>
      <c r="E337">
        <v>45352</v>
      </c>
      <c r="F337">
        <v>2</v>
      </c>
      <c r="G337">
        <v>1</v>
      </c>
    </row>
    <row r="338" spans="1:7" x14ac:dyDescent="0.25">
      <c r="A338">
        <v>946</v>
      </c>
      <c r="B338" s="12">
        <v>45415.757189050899</v>
      </c>
      <c r="C338">
        <v>626</v>
      </c>
      <c r="D338">
        <v>45413</v>
      </c>
      <c r="E338">
        <v>45323</v>
      </c>
      <c r="F338">
        <v>3</v>
      </c>
      <c r="G338">
        <v>1</v>
      </c>
    </row>
    <row r="339" spans="1:7" x14ac:dyDescent="0.25">
      <c r="A339">
        <v>375</v>
      </c>
      <c r="B339" s="12">
        <v>45415.883893726903</v>
      </c>
      <c r="C339">
        <v>806</v>
      </c>
      <c r="D339">
        <v>45413</v>
      </c>
      <c r="E339">
        <v>45413</v>
      </c>
      <c r="F339">
        <v>0</v>
      </c>
      <c r="G339">
        <v>1</v>
      </c>
    </row>
    <row r="340" spans="1:7" x14ac:dyDescent="0.25">
      <c r="A340">
        <v>932</v>
      </c>
      <c r="B340" s="12">
        <v>45416.318249988399</v>
      </c>
      <c r="C340">
        <v>831</v>
      </c>
      <c r="D340">
        <v>45413</v>
      </c>
      <c r="E340">
        <v>45413</v>
      </c>
      <c r="F340">
        <v>0</v>
      </c>
      <c r="G340">
        <v>1</v>
      </c>
    </row>
    <row r="341" spans="1:7" x14ac:dyDescent="0.25">
      <c r="A341">
        <v>407</v>
      </c>
      <c r="B341" s="12">
        <v>45416.710592534699</v>
      </c>
      <c r="C341">
        <v>414</v>
      </c>
      <c r="D341">
        <v>45413</v>
      </c>
      <c r="E341">
        <v>45413</v>
      </c>
      <c r="F341">
        <v>0</v>
      </c>
      <c r="G341">
        <v>0</v>
      </c>
    </row>
    <row r="342" spans="1:7" x14ac:dyDescent="0.25">
      <c r="A342">
        <v>392</v>
      </c>
      <c r="B342" s="12">
        <v>45417.488008240703</v>
      </c>
      <c r="C342">
        <v>672</v>
      </c>
      <c r="D342">
        <v>45413</v>
      </c>
      <c r="E342">
        <v>45323</v>
      </c>
      <c r="F342">
        <v>3</v>
      </c>
      <c r="G342">
        <v>1</v>
      </c>
    </row>
    <row r="343" spans="1:7" x14ac:dyDescent="0.25">
      <c r="A343">
        <v>274</v>
      </c>
      <c r="B343" s="12">
        <v>45417.6155934954</v>
      </c>
      <c r="C343">
        <v>857</v>
      </c>
      <c r="D343">
        <v>45413</v>
      </c>
      <c r="E343">
        <v>45413</v>
      </c>
      <c r="F343">
        <v>0</v>
      </c>
      <c r="G343">
        <v>1</v>
      </c>
    </row>
    <row r="344" spans="1:7" x14ac:dyDescent="0.25">
      <c r="A344">
        <v>473</v>
      </c>
      <c r="B344" s="12">
        <v>45417.768700428198</v>
      </c>
      <c r="C344">
        <v>192</v>
      </c>
      <c r="D344">
        <v>45413</v>
      </c>
      <c r="E344">
        <v>45413</v>
      </c>
      <c r="F344">
        <v>0</v>
      </c>
      <c r="G344">
        <v>1</v>
      </c>
    </row>
    <row r="345" spans="1:7" x14ac:dyDescent="0.25">
      <c r="A345">
        <v>131</v>
      </c>
      <c r="B345" s="12">
        <v>45417.7759031366</v>
      </c>
      <c r="C345">
        <v>812</v>
      </c>
      <c r="D345">
        <v>45413</v>
      </c>
      <c r="E345">
        <v>45413</v>
      </c>
      <c r="F345">
        <v>0</v>
      </c>
      <c r="G345">
        <v>1</v>
      </c>
    </row>
    <row r="346" spans="1:7" x14ac:dyDescent="0.25">
      <c r="A346">
        <v>751</v>
      </c>
      <c r="B346" s="12">
        <v>45418.012409664399</v>
      </c>
      <c r="C346">
        <v>408</v>
      </c>
      <c r="D346">
        <v>45413</v>
      </c>
      <c r="E346">
        <v>45292</v>
      </c>
      <c r="F346">
        <v>4</v>
      </c>
      <c r="G346">
        <v>1</v>
      </c>
    </row>
    <row r="347" spans="1:7" x14ac:dyDescent="0.25">
      <c r="A347">
        <v>76</v>
      </c>
      <c r="B347" s="12">
        <v>45418.287748645802</v>
      </c>
      <c r="C347">
        <v>586</v>
      </c>
      <c r="D347">
        <v>45413</v>
      </c>
      <c r="E347">
        <v>45323</v>
      </c>
      <c r="F347">
        <v>3</v>
      </c>
      <c r="G347">
        <v>1</v>
      </c>
    </row>
    <row r="348" spans="1:7" x14ac:dyDescent="0.25">
      <c r="A348">
        <v>349</v>
      </c>
      <c r="B348" s="12">
        <v>45418.599198657401</v>
      </c>
      <c r="C348">
        <v>270</v>
      </c>
      <c r="D348">
        <v>45413</v>
      </c>
      <c r="E348">
        <v>45413</v>
      </c>
      <c r="F348">
        <v>0</v>
      </c>
      <c r="G348">
        <v>1</v>
      </c>
    </row>
    <row r="349" spans="1:7" x14ac:dyDescent="0.25">
      <c r="A349">
        <v>373</v>
      </c>
      <c r="B349" s="12">
        <v>45418.826536840301</v>
      </c>
      <c r="C349">
        <v>654</v>
      </c>
      <c r="D349">
        <v>45413</v>
      </c>
      <c r="E349">
        <v>45413</v>
      </c>
      <c r="F349">
        <v>0</v>
      </c>
      <c r="G349">
        <v>1</v>
      </c>
    </row>
    <row r="350" spans="1:7" x14ac:dyDescent="0.25">
      <c r="A350">
        <v>558</v>
      </c>
      <c r="B350" s="12">
        <v>45418.827399733796</v>
      </c>
      <c r="C350">
        <v>995</v>
      </c>
      <c r="D350">
        <v>45413</v>
      </c>
      <c r="E350">
        <v>45413</v>
      </c>
      <c r="F350">
        <v>0</v>
      </c>
      <c r="G350">
        <v>1</v>
      </c>
    </row>
    <row r="351" spans="1:7" x14ac:dyDescent="0.25">
      <c r="A351">
        <v>526</v>
      </c>
      <c r="B351" s="12">
        <v>45419.205817280097</v>
      </c>
      <c r="C351">
        <v>278</v>
      </c>
      <c r="D351">
        <v>45413</v>
      </c>
      <c r="E351">
        <v>45413</v>
      </c>
      <c r="F351">
        <v>0</v>
      </c>
      <c r="G351">
        <v>1</v>
      </c>
    </row>
    <row r="352" spans="1:7" x14ac:dyDescent="0.25">
      <c r="A352">
        <v>564</v>
      </c>
      <c r="B352" s="12">
        <v>45419.381051736098</v>
      </c>
      <c r="C352">
        <v>519</v>
      </c>
      <c r="D352">
        <v>45413</v>
      </c>
      <c r="E352">
        <v>45352</v>
      </c>
      <c r="F352">
        <v>2</v>
      </c>
      <c r="G352">
        <v>1</v>
      </c>
    </row>
    <row r="353" spans="1:7" x14ac:dyDescent="0.25">
      <c r="A353">
        <v>958</v>
      </c>
      <c r="B353" s="12">
        <v>45419.9353216319</v>
      </c>
      <c r="C353">
        <v>21</v>
      </c>
      <c r="D353">
        <v>45413</v>
      </c>
      <c r="E353">
        <v>45292</v>
      </c>
      <c r="F353">
        <v>4</v>
      </c>
      <c r="G353">
        <v>1</v>
      </c>
    </row>
    <row r="354" spans="1:7" x14ac:dyDescent="0.25">
      <c r="A354">
        <v>525</v>
      </c>
      <c r="B354" s="12">
        <v>45420.145875405098</v>
      </c>
      <c r="C354">
        <v>835</v>
      </c>
      <c r="D354">
        <v>45413</v>
      </c>
      <c r="E354">
        <v>45292</v>
      </c>
      <c r="F354">
        <v>4</v>
      </c>
      <c r="G354">
        <v>1</v>
      </c>
    </row>
    <row r="355" spans="1:7" x14ac:dyDescent="0.25">
      <c r="A355">
        <v>70</v>
      </c>
      <c r="B355" s="12">
        <v>45420.8321919792</v>
      </c>
      <c r="C355">
        <v>788</v>
      </c>
      <c r="D355">
        <v>45413</v>
      </c>
      <c r="E355">
        <v>45413</v>
      </c>
      <c r="F355">
        <v>0</v>
      </c>
      <c r="G355">
        <v>1</v>
      </c>
    </row>
    <row r="356" spans="1:7" x14ac:dyDescent="0.25">
      <c r="A356">
        <v>5</v>
      </c>
      <c r="B356" s="12">
        <v>45420.882324814796</v>
      </c>
      <c r="C356">
        <v>220</v>
      </c>
      <c r="D356">
        <v>45413</v>
      </c>
      <c r="E356">
        <v>45352</v>
      </c>
      <c r="F356">
        <v>2</v>
      </c>
      <c r="G356">
        <v>1</v>
      </c>
    </row>
    <row r="357" spans="1:7" x14ac:dyDescent="0.25">
      <c r="A357">
        <v>962</v>
      </c>
      <c r="B357" s="12">
        <v>45421.091351655101</v>
      </c>
      <c r="C357">
        <v>21</v>
      </c>
      <c r="D357">
        <v>45413</v>
      </c>
      <c r="E357">
        <v>45413</v>
      </c>
      <c r="F357">
        <v>0</v>
      </c>
      <c r="G357">
        <v>1</v>
      </c>
    </row>
    <row r="358" spans="1:7" x14ac:dyDescent="0.25">
      <c r="A358">
        <v>952</v>
      </c>
      <c r="B358" s="12">
        <v>45421.327409513899</v>
      </c>
      <c r="C358">
        <v>735</v>
      </c>
      <c r="D358">
        <v>45413</v>
      </c>
      <c r="E358">
        <v>45413</v>
      </c>
      <c r="F358">
        <v>0</v>
      </c>
      <c r="G358">
        <v>1</v>
      </c>
    </row>
    <row r="359" spans="1:7" x14ac:dyDescent="0.25">
      <c r="A359">
        <v>187</v>
      </c>
      <c r="B359" s="12">
        <v>45421.394201157404</v>
      </c>
      <c r="C359">
        <v>572</v>
      </c>
      <c r="D359">
        <v>45413</v>
      </c>
      <c r="E359">
        <v>45413</v>
      </c>
      <c r="F359">
        <v>0</v>
      </c>
      <c r="G359">
        <v>1</v>
      </c>
    </row>
    <row r="360" spans="1:7" x14ac:dyDescent="0.25">
      <c r="A360">
        <v>418</v>
      </c>
      <c r="B360" s="12">
        <v>45421.505911053202</v>
      </c>
      <c r="C360">
        <v>157</v>
      </c>
      <c r="D360">
        <v>45413</v>
      </c>
      <c r="E360">
        <v>45413</v>
      </c>
      <c r="F360">
        <v>0</v>
      </c>
      <c r="G360">
        <v>1</v>
      </c>
    </row>
    <row r="361" spans="1:7" x14ac:dyDescent="0.25">
      <c r="A361">
        <v>20</v>
      </c>
      <c r="B361" s="12">
        <v>45421.954350416701</v>
      </c>
      <c r="C361">
        <v>478</v>
      </c>
      <c r="D361">
        <v>45413</v>
      </c>
      <c r="E361">
        <v>45413</v>
      </c>
      <c r="F361">
        <v>0</v>
      </c>
      <c r="G361">
        <v>1</v>
      </c>
    </row>
    <row r="362" spans="1:7" x14ac:dyDescent="0.25">
      <c r="A362">
        <v>393</v>
      </c>
      <c r="B362" s="12">
        <v>45422.239926574097</v>
      </c>
      <c r="C362">
        <v>890</v>
      </c>
      <c r="D362">
        <v>45413</v>
      </c>
      <c r="E362">
        <v>45323</v>
      </c>
      <c r="F362">
        <v>3</v>
      </c>
      <c r="G362">
        <v>1</v>
      </c>
    </row>
    <row r="363" spans="1:7" x14ac:dyDescent="0.25">
      <c r="A363">
        <v>51</v>
      </c>
      <c r="B363" s="12">
        <v>45422.431640092604</v>
      </c>
      <c r="C363">
        <v>535</v>
      </c>
      <c r="D363">
        <v>45413</v>
      </c>
      <c r="E363">
        <v>45413</v>
      </c>
      <c r="F363">
        <v>0</v>
      </c>
      <c r="G363">
        <v>1</v>
      </c>
    </row>
    <row r="364" spans="1:7" x14ac:dyDescent="0.25">
      <c r="A364">
        <v>174</v>
      </c>
      <c r="B364" s="12">
        <v>45422.596079664399</v>
      </c>
      <c r="C364">
        <v>689</v>
      </c>
      <c r="D364">
        <v>45413</v>
      </c>
      <c r="E364">
        <v>45413</v>
      </c>
      <c r="F364">
        <v>0</v>
      </c>
      <c r="G364">
        <v>1</v>
      </c>
    </row>
    <row r="365" spans="1:7" x14ac:dyDescent="0.25">
      <c r="A365">
        <v>99</v>
      </c>
      <c r="B365" s="12">
        <v>45423.8859717245</v>
      </c>
      <c r="C365">
        <v>901</v>
      </c>
      <c r="D365">
        <v>45413</v>
      </c>
      <c r="E365">
        <v>45323</v>
      </c>
      <c r="F365">
        <v>3</v>
      </c>
      <c r="G365">
        <v>1</v>
      </c>
    </row>
    <row r="366" spans="1:7" x14ac:dyDescent="0.25">
      <c r="A366">
        <v>341</v>
      </c>
      <c r="B366" s="12">
        <v>45424.029062291702</v>
      </c>
      <c r="C366">
        <v>270</v>
      </c>
      <c r="D366">
        <v>45413</v>
      </c>
      <c r="E366">
        <v>45413</v>
      </c>
      <c r="F366">
        <v>0</v>
      </c>
      <c r="G366">
        <v>1</v>
      </c>
    </row>
    <row r="367" spans="1:7" x14ac:dyDescent="0.25">
      <c r="A367">
        <v>572</v>
      </c>
      <c r="B367" s="12">
        <v>45424.070627060202</v>
      </c>
      <c r="C367">
        <v>661</v>
      </c>
      <c r="D367">
        <v>45413</v>
      </c>
      <c r="E367">
        <v>45413</v>
      </c>
      <c r="F367">
        <v>0</v>
      </c>
      <c r="G367">
        <v>1</v>
      </c>
    </row>
    <row r="368" spans="1:7" x14ac:dyDescent="0.25">
      <c r="A368">
        <v>22</v>
      </c>
      <c r="B368" s="12">
        <v>45424.1583218171</v>
      </c>
      <c r="C368">
        <v>711</v>
      </c>
      <c r="D368">
        <v>45413</v>
      </c>
      <c r="E368">
        <v>45413</v>
      </c>
      <c r="F368">
        <v>0</v>
      </c>
      <c r="G368">
        <v>1</v>
      </c>
    </row>
    <row r="369" spans="1:7" x14ac:dyDescent="0.25">
      <c r="A369">
        <v>720</v>
      </c>
      <c r="B369" s="12">
        <v>45424.694368379598</v>
      </c>
      <c r="C369">
        <v>137</v>
      </c>
      <c r="D369">
        <v>45413</v>
      </c>
      <c r="E369">
        <v>45413</v>
      </c>
      <c r="F369">
        <v>0</v>
      </c>
      <c r="G369">
        <v>1</v>
      </c>
    </row>
    <row r="370" spans="1:7" x14ac:dyDescent="0.25">
      <c r="A370">
        <v>510</v>
      </c>
      <c r="B370" s="12">
        <v>45425.170473645798</v>
      </c>
      <c r="C370">
        <v>297</v>
      </c>
      <c r="D370">
        <v>45413</v>
      </c>
      <c r="E370">
        <v>45352</v>
      </c>
      <c r="F370">
        <v>2</v>
      </c>
      <c r="G370">
        <v>1</v>
      </c>
    </row>
    <row r="371" spans="1:7" x14ac:dyDescent="0.25">
      <c r="A371">
        <v>411</v>
      </c>
      <c r="B371" s="12">
        <v>45425.308975706001</v>
      </c>
      <c r="C371">
        <v>431</v>
      </c>
      <c r="D371">
        <v>45413</v>
      </c>
      <c r="E371">
        <v>45413</v>
      </c>
      <c r="F371">
        <v>0</v>
      </c>
      <c r="G371">
        <v>1</v>
      </c>
    </row>
    <row r="372" spans="1:7" x14ac:dyDescent="0.25">
      <c r="A372">
        <v>167</v>
      </c>
      <c r="B372" s="12">
        <v>45425.784066006898</v>
      </c>
      <c r="C372">
        <v>76</v>
      </c>
      <c r="D372">
        <v>45413</v>
      </c>
      <c r="E372">
        <v>45413</v>
      </c>
      <c r="F372">
        <v>0</v>
      </c>
      <c r="G372">
        <v>1</v>
      </c>
    </row>
    <row r="373" spans="1:7" x14ac:dyDescent="0.25">
      <c r="A373">
        <v>764</v>
      </c>
      <c r="B373" s="12">
        <v>45425.905268078699</v>
      </c>
      <c r="C373">
        <v>998</v>
      </c>
      <c r="D373">
        <v>45413</v>
      </c>
      <c r="E373">
        <v>45352</v>
      </c>
      <c r="F373">
        <v>2</v>
      </c>
      <c r="G373">
        <v>1</v>
      </c>
    </row>
    <row r="374" spans="1:7" x14ac:dyDescent="0.25">
      <c r="A374">
        <v>41</v>
      </c>
      <c r="B374" s="12">
        <v>45426.0757305324</v>
      </c>
      <c r="C374">
        <v>681</v>
      </c>
      <c r="D374">
        <v>45413</v>
      </c>
      <c r="E374">
        <v>45413</v>
      </c>
      <c r="F374">
        <v>0</v>
      </c>
      <c r="G374">
        <v>1</v>
      </c>
    </row>
    <row r="375" spans="1:7" x14ac:dyDescent="0.25">
      <c r="A375">
        <v>745</v>
      </c>
      <c r="B375" s="12">
        <v>45426.253214999997</v>
      </c>
      <c r="C375">
        <v>665</v>
      </c>
      <c r="D375">
        <v>45413</v>
      </c>
      <c r="E375">
        <v>45383</v>
      </c>
      <c r="F375">
        <v>1</v>
      </c>
      <c r="G375">
        <v>1</v>
      </c>
    </row>
    <row r="376" spans="1:7" x14ac:dyDescent="0.25">
      <c r="A376">
        <v>191</v>
      </c>
      <c r="B376" s="12">
        <v>45426.559300763904</v>
      </c>
      <c r="C376">
        <v>883</v>
      </c>
      <c r="D376">
        <v>45413</v>
      </c>
      <c r="E376">
        <v>45413</v>
      </c>
      <c r="F376">
        <v>0</v>
      </c>
      <c r="G376">
        <v>1</v>
      </c>
    </row>
    <row r="377" spans="1:7" x14ac:dyDescent="0.25">
      <c r="A377">
        <v>314</v>
      </c>
      <c r="B377" s="12">
        <v>45426.988948425897</v>
      </c>
      <c r="C377">
        <v>189</v>
      </c>
      <c r="D377">
        <v>45413</v>
      </c>
      <c r="E377">
        <v>45383</v>
      </c>
      <c r="F377">
        <v>1</v>
      </c>
      <c r="G377">
        <v>1</v>
      </c>
    </row>
    <row r="378" spans="1:7" x14ac:dyDescent="0.25">
      <c r="A378">
        <v>253</v>
      </c>
      <c r="B378" s="12">
        <v>45427.790483067103</v>
      </c>
      <c r="C378">
        <v>205</v>
      </c>
      <c r="D378">
        <v>45413</v>
      </c>
      <c r="E378">
        <v>45383</v>
      </c>
      <c r="F378">
        <v>1</v>
      </c>
      <c r="G378">
        <v>1</v>
      </c>
    </row>
    <row r="379" spans="1:7" x14ac:dyDescent="0.25">
      <c r="A379">
        <v>908</v>
      </c>
      <c r="B379" s="12">
        <v>45428.4659654977</v>
      </c>
      <c r="C379">
        <v>269</v>
      </c>
      <c r="D379">
        <v>45413</v>
      </c>
      <c r="E379">
        <v>45413</v>
      </c>
      <c r="F379">
        <v>0</v>
      </c>
      <c r="G379">
        <v>1</v>
      </c>
    </row>
    <row r="380" spans="1:7" x14ac:dyDescent="0.25">
      <c r="A380">
        <v>99</v>
      </c>
      <c r="B380" s="12">
        <v>45428.622975462997</v>
      </c>
      <c r="C380">
        <v>646</v>
      </c>
      <c r="D380">
        <v>45413</v>
      </c>
      <c r="E380">
        <v>45323</v>
      </c>
      <c r="F380">
        <v>3</v>
      </c>
      <c r="G380">
        <v>0</v>
      </c>
    </row>
    <row r="381" spans="1:7" x14ac:dyDescent="0.25">
      <c r="A381">
        <v>807</v>
      </c>
      <c r="B381" s="12">
        <v>45429.2545018171</v>
      </c>
      <c r="C381">
        <v>293</v>
      </c>
      <c r="D381">
        <v>45413</v>
      </c>
      <c r="E381">
        <v>45413</v>
      </c>
      <c r="F381">
        <v>0</v>
      </c>
      <c r="G381">
        <v>1</v>
      </c>
    </row>
    <row r="382" spans="1:7" x14ac:dyDescent="0.25">
      <c r="A382">
        <v>720</v>
      </c>
      <c r="B382" s="12">
        <v>45429.616063530098</v>
      </c>
      <c r="C382">
        <v>789</v>
      </c>
      <c r="D382">
        <v>45413</v>
      </c>
      <c r="E382">
        <v>45413</v>
      </c>
      <c r="F382">
        <v>0</v>
      </c>
      <c r="G382">
        <v>0</v>
      </c>
    </row>
    <row r="383" spans="1:7" x14ac:dyDescent="0.25">
      <c r="A383">
        <v>758</v>
      </c>
      <c r="B383" s="12">
        <v>45430.127721921301</v>
      </c>
      <c r="C383">
        <v>801</v>
      </c>
      <c r="D383">
        <v>45413</v>
      </c>
      <c r="E383">
        <v>45413</v>
      </c>
      <c r="F383">
        <v>0</v>
      </c>
      <c r="G383">
        <v>1</v>
      </c>
    </row>
    <row r="384" spans="1:7" x14ac:dyDescent="0.25">
      <c r="A384">
        <v>493</v>
      </c>
      <c r="B384" s="12">
        <v>45430.411902534703</v>
      </c>
      <c r="C384">
        <v>501</v>
      </c>
      <c r="D384">
        <v>45413</v>
      </c>
      <c r="E384">
        <v>45383</v>
      </c>
      <c r="F384">
        <v>1</v>
      </c>
      <c r="G384">
        <v>1</v>
      </c>
    </row>
    <row r="385" spans="1:7" x14ac:dyDescent="0.25">
      <c r="A385">
        <v>387</v>
      </c>
      <c r="B385" s="12">
        <v>45430.636520081003</v>
      </c>
      <c r="C385">
        <v>396</v>
      </c>
      <c r="D385">
        <v>45413</v>
      </c>
      <c r="E385">
        <v>45413</v>
      </c>
      <c r="F385">
        <v>0</v>
      </c>
      <c r="G385">
        <v>1</v>
      </c>
    </row>
    <row r="386" spans="1:7" x14ac:dyDescent="0.25">
      <c r="A386">
        <v>653</v>
      </c>
      <c r="B386" s="12">
        <v>45431.728649375</v>
      </c>
      <c r="C386">
        <v>920</v>
      </c>
      <c r="D386">
        <v>45413</v>
      </c>
      <c r="E386">
        <v>45413</v>
      </c>
      <c r="F386">
        <v>0</v>
      </c>
      <c r="G386">
        <v>0</v>
      </c>
    </row>
    <row r="387" spans="1:7" x14ac:dyDescent="0.25">
      <c r="A387">
        <v>653</v>
      </c>
      <c r="B387" s="12">
        <v>45432.476101481501</v>
      </c>
      <c r="C387">
        <v>67</v>
      </c>
      <c r="D387">
        <v>45413</v>
      </c>
      <c r="E387">
        <v>45413</v>
      </c>
      <c r="F387">
        <v>0</v>
      </c>
      <c r="G387">
        <v>1</v>
      </c>
    </row>
    <row r="388" spans="1:7" x14ac:dyDescent="0.25">
      <c r="A388">
        <v>733</v>
      </c>
      <c r="B388" s="12">
        <v>45432.856675231502</v>
      </c>
      <c r="C388">
        <v>887</v>
      </c>
      <c r="D388">
        <v>45413</v>
      </c>
      <c r="E388">
        <v>45413</v>
      </c>
      <c r="F388">
        <v>0</v>
      </c>
      <c r="G388">
        <v>1</v>
      </c>
    </row>
    <row r="389" spans="1:7" x14ac:dyDescent="0.25">
      <c r="A389">
        <v>195</v>
      </c>
      <c r="B389" s="12">
        <v>45433.076800972201</v>
      </c>
      <c r="C389">
        <v>745</v>
      </c>
      <c r="D389">
        <v>45413</v>
      </c>
      <c r="E389">
        <v>45413</v>
      </c>
      <c r="F389">
        <v>0</v>
      </c>
      <c r="G389">
        <v>1</v>
      </c>
    </row>
    <row r="390" spans="1:7" x14ac:dyDescent="0.25">
      <c r="A390">
        <v>736</v>
      </c>
      <c r="B390" s="12">
        <v>45433.409034282398</v>
      </c>
      <c r="C390">
        <v>170</v>
      </c>
      <c r="D390">
        <v>45413</v>
      </c>
      <c r="E390">
        <v>45292</v>
      </c>
      <c r="F390">
        <v>4</v>
      </c>
      <c r="G390">
        <v>1</v>
      </c>
    </row>
    <row r="391" spans="1:7" x14ac:dyDescent="0.25">
      <c r="A391">
        <v>217</v>
      </c>
      <c r="B391" s="12">
        <v>45433.8825661343</v>
      </c>
      <c r="C391">
        <v>607</v>
      </c>
      <c r="D391">
        <v>45413</v>
      </c>
      <c r="E391">
        <v>45292</v>
      </c>
      <c r="F391">
        <v>4</v>
      </c>
      <c r="G391">
        <v>1</v>
      </c>
    </row>
    <row r="392" spans="1:7" x14ac:dyDescent="0.25">
      <c r="A392">
        <v>908</v>
      </c>
      <c r="B392" s="12">
        <v>45434.058708611097</v>
      </c>
      <c r="C392">
        <v>960</v>
      </c>
      <c r="D392">
        <v>45413</v>
      </c>
      <c r="E392">
        <v>45413</v>
      </c>
      <c r="F392">
        <v>0</v>
      </c>
      <c r="G392">
        <v>0</v>
      </c>
    </row>
    <row r="393" spans="1:7" x14ac:dyDescent="0.25">
      <c r="A393">
        <v>881</v>
      </c>
      <c r="B393" s="12">
        <v>45434.133810185202</v>
      </c>
      <c r="C393">
        <v>868</v>
      </c>
      <c r="D393">
        <v>45413</v>
      </c>
      <c r="E393">
        <v>45413</v>
      </c>
      <c r="F393">
        <v>0</v>
      </c>
      <c r="G393">
        <v>1</v>
      </c>
    </row>
    <row r="394" spans="1:7" x14ac:dyDescent="0.25">
      <c r="A394">
        <v>675</v>
      </c>
      <c r="B394" s="12">
        <v>45434.154170150498</v>
      </c>
      <c r="C394">
        <v>699</v>
      </c>
      <c r="D394">
        <v>45413</v>
      </c>
      <c r="E394">
        <v>45323</v>
      </c>
      <c r="F394">
        <v>3</v>
      </c>
      <c r="G394">
        <v>1</v>
      </c>
    </row>
    <row r="395" spans="1:7" x14ac:dyDescent="0.25">
      <c r="A395">
        <v>445</v>
      </c>
      <c r="B395" s="12">
        <v>45434.2464293866</v>
      </c>
      <c r="C395">
        <v>17</v>
      </c>
      <c r="D395">
        <v>45413</v>
      </c>
      <c r="E395">
        <v>45413</v>
      </c>
      <c r="F395">
        <v>0</v>
      </c>
      <c r="G395">
        <v>1</v>
      </c>
    </row>
    <row r="396" spans="1:7" x14ac:dyDescent="0.25">
      <c r="A396">
        <v>805</v>
      </c>
      <c r="B396" s="12">
        <v>45434.359944780103</v>
      </c>
      <c r="C396">
        <v>618</v>
      </c>
      <c r="D396">
        <v>45413</v>
      </c>
      <c r="E396">
        <v>45413</v>
      </c>
      <c r="F396">
        <v>0</v>
      </c>
      <c r="G396">
        <v>1</v>
      </c>
    </row>
    <row r="397" spans="1:7" x14ac:dyDescent="0.25">
      <c r="A397">
        <v>189</v>
      </c>
      <c r="B397" s="12">
        <v>45434.464613576398</v>
      </c>
      <c r="C397">
        <v>509</v>
      </c>
      <c r="D397">
        <v>45413</v>
      </c>
      <c r="E397">
        <v>45413</v>
      </c>
      <c r="F397">
        <v>0</v>
      </c>
      <c r="G397">
        <v>1</v>
      </c>
    </row>
    <row r="398" spans="1:7" x14ac:dyDescent="0.25">
      <c r="A398">
        <v>596</v>
      </c>
      <c r="B398" s="12">
        <v>45434.492081319499</v>
      </c>
      <c r="C398">
        <v>37</v>
      </c>
      <c r="D398">
        <v>45413</v>
      </c>
      <c r="E398">
        <v>45413</v>
      </c>
      <c r="F398">
        <v>0</v>
      </c>
      <c r="G398">
        <v>1</v>
      </c>
    </row>
    <row r="399" spans="1:7" x14ac:dyDescent="0.25">
      <c r="A399">
        <v>684</v>
      </c>
      <c r="B399" s="12">
        <v>45435.096200752298</v>
      </c>
      <c r="C399">
        <v>854</v>
      </c>
      <c r="D399">
        <v>45413</v>
      </c>
      <c r="E399">
        <v>45413</v>
      </c>
      <c r="F399">
        <v>0</v>
      </c>
      <c r="G399">
        <v>1</v>
      </c>
    </row>
    <row r="400" spans="1:7" x14ac:dyDescent="0.25">
      <c r="A400">
        <v>143</v>
      </c>
      <c r="B400" s="12">
        <v>45435.253919282397</v>
      </c>
      <c r="C400">
        <v>171</v>
      </c>
      <c r="D400">
        <v>45413</v>
      </c>
      <c r="E400">
        <v>45413</v>
      </c>
      <c r="F400">
        <v>0</v>
      </c>
      <c r="G400">
        <v>1</v>
      </c>
    </row>
    <row r="401" spans="1:7" x14ac:dyDescent="0.25">
      <c r="A401">
        <v>407</v>
      </c>
      <c r="B401" s="12">
        <v>45435.335949571803</v>
      </c>
      <c r="C401">
        <v>89</v>
      </c>
      <c r="D401">
        <v>45413</v>
      </c>
      <c r="E401">
        <v>45413</v>
      </c>
      <c r="F401">
        <v>0</v>
      </c>
      <c r="G401">
        <v>1</v>
      </c>
    </row>
    <row r="402" spans="1:7" x14ac:dyDescent="0.25">
      <c r="A402">
        <v>390</v>
      </c>
      <c r="B402" s="12">
        <v>45435.3540485185</v>
      </c>
      <c r="C402">
        <v>769</v>
      </c>
      <c r="D402">
        <v>45413</v>
      </c>
      <c r="E402">
        <v>45383</v>
      </c>
      <c r="F402">
        <v>1</v>
      </c>
      <c r="G402">
        <v>1</v>
      </c>
    </row>
    <row r="403" spans="1:7" x14ac:dyDescent="0.25">
      <c r="A403">
        <v>12</v>
      </c>
      <c r="B403" s="12">
        <v>45435.712645092601</v>
      </c>
      <c r="C403">
        <v>546</v>
      </c>
      <c r="D403">
        <v>45413</v>
      </c>
      <c r="E403">
        <v>45383</v>
      </c>
      <c r="F403">
        <v>1</v>
      </c>
      <c r="G403">
        <v>1</v>
      </c>
    </row>
    <row r="404" spans="1:7" x14ac:dyDescent="0.25">
      <c r="A404">
        <v>379</v>
      </c>
      <c r="B404" s="12">
        <v>45436.001644652802</v>
      </c>
      <c r="C404">
        <v>65</v>
      </c>
      <c r="D404">
        <v>45413</v>
      </c>
      <c r="E404">
        <v>45413</v>
      </c>
      <c r="F404">
        <v>0</v>
      </c>
      <c r="G404">
        <v>1</v>
      </c>
    </row>
    <row r="405" spans="1:7" x14ac:dyDescent="0.25">
      <c r="A405">
        <v>270</v>
      </c>
      <c r="B405" s="12">
        <v>45436.2400562732</v>
      </c>
      <c r="C405">
        <v>491</v>
      </c>
      <c r="D405">
        <v>45413</v>
      </c>
      <c r="E405">
        <v>45413</v>
      </c>
      <c r="F405">
        <v>0</v>
      </c>
      <c r="G405">
        <v>1</v>
      </c>
    </row>
    <row r="406" spans="1:7" x14ac:dyDescent="0.25">
      <c r="A406">
        <v>35</v>
      </c>
      <c r="B406" s="12">
        <v>45436.340380370399</v>
      </c>
      <c r="C406">
        <v>996</v>
      </c>
      <c r="D406">
        <v>45413</v>
      </c>
      <c r="E406">
        <v>45413</v>
      </c>
      <c r="F406">
        <v>0</v>
      </c>
      <c r="G406">
        <v>1</v>
      </c>
    </row>
    <row r="407" spans="1:7" x14ac:dyDescent="0.25">
      <c r="A407">
        <v>565</v>
      </c>
      <c r="B407" s="12">
        <v>45436.482656724504</v>
      </c>
      <c r="C407">
        <v>965</v>
      </c>
      <c r="D407">
        <v>45413</v>
      </c>
      <c r="E407">
        <v>45413</v>
      </c>
      <c r="F407">
        <v>0</v>
      </c>
      <c r="G407">
        <v>1</v>
      </c>
    </row>
    <row r="408" spans="1:7" x14ac:dyDescent="0.25">
      <c r="A408">
        <v>710</v>
      </c>
      <c r="B408" s="12">
        <v>45437.193950335699</v>
      </c>
      <c r="C408">
        <v>445</v>
      </c>
      <c r="D408">
        <v>45413</v>
      </c>
      <c r="E408">
        <v>45292</v>
      </c>
      <c r="F408">
        <v>4</v>
      </c>
      <c r="G408">
        <v>1</v>
      </c>
    </row>
    <row r="409" spans="1:7" x14ac:dyDescent="0.25">
      <c r="A409">
        <v>569</v>
      </c>
      <c r="B409" s="12">
        <v>45437.518747997703</v>
      </c>
      <c r="C409">
        <v>620</v>
      </c>
      <c r="D409">
        <v>45413</v>
      </c>
      <c r="E409">
        <v>45413</v>
      </c>
      <c r="F409">
        <v>0</v>
      </c>
      <c r="G409">
        <v>1</v>
      </c>
    </row>
    <row r="410" spans="1:7" x14ac:dyDescent="0.25">
      <c r="A410">
        <v>41</v>
      </c>
      <c r="B410" s="12">
        <v>45437.6560033102</v>
      </c>
      <c r="C410">
        <v>92</v>
      </c>
      <c r="D410">
        <v>45413</v>
      </c>
      <c r="E410">
        <v>45413</v>
      </c>
      <c r="F410">
        <v>0</v>
      </c>
      <c r="G410">
        <v>0</v>
      </c>
    </row>
    <row r="411" spans="1:7" x14ac:dyDescent="0.25">
      <c r="A411">
        <v>74</v>
      </c>
      <c r="B411" s="12">
        <v>45437.682895983802</v>
      </c>
      <c r="C411">
        <v>88</v>
      </c>
      <c r="D411">
        <v>45413</v>
      </c>
      <c r="E411">
        <v>45413</v>
      </c>
      <c r="F411">
        <v>0</v>
      </c>
      <c r="G411">
        <v>1</v>
      </c>
    </row>
    <row r="412" spans="1:7" x14ac:dyDescent="0.25">
      <c r="A412">
        <v>734</v>
      </c>
      <c r="B412" s="12">
        <v>45438.058686053198</v>
      </c>
      <c r="C412">
        <v>647</v>
      </c>
      <c r="D412">
        <v>45413</v>
      </c>
      <c r="E412">
        <v>45413</v>
      </c>
      <c r="F412">
        <v>0</v>
      </c>
      <c r="G412">
        <v>1</v>
      </c>
    </row>
    <row r="413" spans="1:7" x14ac:dyDescent="0.25">
      <c r="A413">
        <v>897</v>
      </c>
      <c r="B413" s="12">
        <v>45438.079276631899</v>
      </c>
      <c r="C413">
        <v>779</v>
      </c>
      <c r="D413">
        <v>45413</v>
      </c>
      <c r="E413">
        <v>45323</v>
      </c>
      <c r="F413">
        <v>3</v>
      </c>
      <c r="G413">
        <v>1</v>
      </c>
    </row>
    <row r="414" spans="1:7" x14ac:dyDescent="0.25">
      <c r="A414">
        <v>397</v>
      </c>
      <c r="B414" s="12">
        <v>45439.278237164399</v>
      </c>
      <c r="C414">
        <v>859</v>
      </c>
      <c r="D414">
        <v>45413</v>
      </c>
      <c r="E414">
        <v>45413</v>
      </c>
      <c r="F414">
        <v>0</v>
      </c>
      <c r="G414">
        <v>1</v>
      </c>
    </row>
    <row r="415" spans="1:7" x14ac:dyDescent="0.25">
      <c r="A415">
        <v>394</v>
      </c>
      <c r="B415" s="12">
        <v>45439.563058125001</v>
      </c>
      <c r="C415">
        <v>590</v>
      </c>
      <c r="D415">
        <v>45413</v>
      </c>
      <c r="E415">
        <v>45413</v>
      </c>
      <c r="F415">
        <v>0</v>
      </c>
      <c r="G415">
        <v>1</v>
      </c>
    </row>
    <row r="416" spans="1:7" x14ac:dyDescent="0.25">
      <c r="A416">
        <v>739</v>
      </c>
      <c r="B416" s="12">
        <v>45439.738002326398</v>
      </c>
      <c r="C416">
        <v>993</v>
      </c>
      <c r="D416">
        <v>45413</v>
      </c>
      <c r="E416">
        <v>45413</v>
      </c>
      <c r="F416">
        <v>0</v>
      </c>
      <c r="G416">
        <v>1</v>
      </c>
    </row>
    <row r="417" spans="1:7" x14ac:dyDescent="0.25">
      <c r="A417">
        <v>955</v>
      </c>
      <c r="B417" s="12">
        <v>45440.016827662002</v>
      </c>
      <c r="C417">
        <v>354</v>
      </c>
      <c r="D417">
        <v>45413</v>
      </c>
      <c r="E417">
        <v>45413</v>
      </c>
      <c r="F417">
        <v>0</v>
      </c>
      <c r="G417">
        <v>1</v>
      </c>
    </row>
    <row r="418" spans="1:7" x14ac:dyDescent="0.25">
      <c r="A418">
        <v>999</v>
      </c>
      <c r="B418" s="12">
        <v>45440.209564814802</v>
      </c>
      <c r="C418">
        <v>582</v>
      </c>
      <c r="D418">
        <v>45413</v>
      </c>
      <c r="E418">
        <v>45413</v>
      </c>
      <c r="F418">
        <v>0</v>
      </c>
      <c r="G418">
        <v>1</v>
      </c>
    </row>
    <row r="419" spans="1:7" x14ac:dyDescent="0.25">
      <c r="A419">
        <v>981</v>
      </c>
      <c r="B419" s="12">
        <v>45440.447247534699</v>
      </c>
      <c r="C419">
        <v>500</v>
      </c>
      <c r="D419">
        <v>45413</v>
      </c>
      <c r="E419">
        <v>45413</v>
      </c>
      <c r="F419">
        <v>0</v>
      </c>
      <c r="G419">
        <v>1</v>
      </c>
    </row>
    <row r="420" spans="1:7" x14ac:dyDescent="0.25">
      <c r="A420">
        <v>963</v>
      </c>
      <c r="B420" s="12">
        <v>45441.2709890857</v>
      </c>
      <c r="C420">
        <v>632</v>
      </c>
      <c r="D420">
        <v>45413</v>
      </c>
      <c r="E420">
        <v>45413</v>
      </c>
      <c r="F420">
        <v>0</v>
      </c>
      <c r="G420">
        <v>1</v>
      </c>
    </row>
    <row r="421" spans="1:7" x14ac:dyDescent="0.25">
      <c r="A421">
        <v>563</v>
      </c>
      <c r="B421" s="12">
        <v>45441.444812256901</v>
      </c>
      <c r="C421">
        <v>445</v>
      </c>
      <c r="D421">
        <v>45413</v>
      </c>
      <c r="E421">
        <v>45352</v>
      </c>
      <c r="F421">
        <v>2</v>
      </c>
      <c r="G421">
        <v>1</v>
      </c>
    </row>
    <row r="422" spans="1:7" x14ac:dyDescent="0.25">
      <c r="A422">
        <v>676</v>
      </c>
      <c r="B422" s="12">
        <v>45441.632277939803</v>
      </c>
      <c r="C422">
        <v>91</v>
      </c>
      <c r="D422">
        <v>45413</v>
      </c>
      <c r="E422">
        <v>45413</v>
      </c>
      <c r="F422">
        <v>0</v>
      </c>
      <c r="G422">
        <v>1</v>
      </c>
    </row>
    <row r="423" spans="1:7" x14ac:dyDescent="0.25">
      <c r="A423">
        <v>58</v>
      </c>
      <c r="B423" s="12">
        <v>45442.1795920718</v>
      </c>
      <c r="C423">
        <v>901</v>
      </c>
      <c r="D423">
        <v>45413</v>
      </c>
      <c r="E423">
        <v>45292</v>
      </c>
      <c r="F423">
        <v>4</v>
      </c>
      <c r="G423">
        <v>1</v>
      </c>
    </row>
    <row r="424" spans="1:7" x14ac:dyDescent="0.25">
      <c r="A424">
        <v>414</v>
      </c>
      <c r="B424" s="12">
        <v>45442.7094185069</v>
      </c>
      <c r="C424">
        <v>350</v>
      </c>
      <c r="D424">
        <v>45413</v>
      </c>
      <c r="E424">
        <v>45413</v>
      </c>
      <c r="F424">
        <v>0</v>
      </c>
      <c r="G424">
        <v>1</v>
      </c>
    </row>
    <row r="425" spans="1:7" x14ac:dyDescent="0.25">
      <c r="A425">
        <v>217</v>
      </c>
      <c r="B425" s="12">
        <v>45442.975010914401</v>
      </c>
      <c r="C425">
        <v>436</v>
      </c>
      <c r="D425">
        <v>45413</v>
      </c>
      <c r="E425">
        <v>45292</v>
      </c>
      <c r="F425">
        <v>4</v>
      </c>
      <c r="G425">
        <v>0</v>
      </c>
    </row>
    <row r="426" spans="1:7" x14ac:dyDescent="0.25">
      <c r="A426">
        <v>408</v>
      </c>
      <c r="B426" s="12">
        <v>45443.185930671301</v>
      </c>
      <c r="C426">
        <v>141</v>
      </c>
      <c r="D426">
        <v>45413</v>
      </c>
      <c r="E426">
        <v>45413</v>
      </c>
      <c r="F426">
        <v>0</v>
      </c>
      <c r="G426">
        <v>1</v>
      </c>
    </row>
    <row r="427" spans="1:7" x14ac:dyDescent="0.25">
      <c r="A427">
        <v>869</v>
      </c>
      <c r="B427" s="12">
        <v>45443.225936493101</v>
      </c>
      <c r="C427">
        <v>140</v>
      </c>
      <c r="D427">
        <v>45413</v>
      </c>
      <c r="E427">
        <v>45413</v>
      </c>
      <c r="F427">
        <v>0</v>
      </c>
      <c r="G427">
        <v>1</v>
      </c>
    </row>
    <row r="428" spans="1:7" x14ac:dyDescent="0.25">
      <c r="A428">
        <v>139</v>
      </c>
      <c r="B428" s="12">
        <v>45443.753865544</v>
      </c>
      <c r="C428">
        <v>354</v>
      </c>
      <c r="D428">
        <v>45413</v>
      </c>
      <c r="E428">
        <v>45413</v>
      </c>
      <c r="F428">
        <v>0</v>
      </c>
      <c r="G428">
        <v>1</v>
      </c>
    </row>
    <row r="429" spans="1:7" x14ac:dyDescent="0.25">
      <c r="A429">
        <v>829</v>
      </c>
      <c r="B429" s="12">
        <v>45444.555501226903</v>
      </c>
      <c r="C429">
        <v>705</v>
      </c>
      <c r="D429">
        <v>45444</v>
      </c>
      <c r="E429">
        <v>45383</v>
      </c>
      <c r="F429">
        <v>2</v>
      </c>
      <c r="G429">
        <v>1</v>
      </c>
    </row>
    <row r="430" spans="1:7" x14ac:dyDescent="0.25">
      <c r="A430">
        <v>268</v>
      </c>
      <c r="B430" s="12">
        <v>45445.161894062498</v>
      </c>
      <c r="C430">
        <v>214</v>
      </c>
      <c r="D430">
        <v>45444</v>
      </c>
      <c r="E430">
        <v>45444</v>
      </c>
      <c r="F430">
        <v>0</v>
      </c>
      <c r="G430">
        <v>1</v>
      </c>
    </row>
    <row r="431" spans="1:7" x14ac:dyDescent="0.25">
      <c r="A431">
        <v>884</v>
      </c>
      <c r="B431" s="12">
        <v>45445.173673530102</v>
      </c>
      <c r="C431">
        <v>323</v>
      </c>
      <c r="D431">
        <v>45444</v>
      </c>
      <c r="E431">
        <v>45352</v>
      </c>
      <c r="F431">
        <v>3</v>
      </c>
      <c r="G431">
        <v>1</v>
      </c>
    </row>
    <row r="432" spans="1:7" x14ac:dyDescent="0.25">
      <c r="A432">
        <v>593</v>
      </c>
      <c r="B432" s="12">
        <v>45445.815301747702</v>
      </c>
      <c r="C432">
        <v>391</v>
      </c>
      <c r="D432">
        <v>45444</v>
      </c>
      <c r="E432">
        <v>45444</v>
      </c>
      <c r="F432">
        <v>0</v>
      </c>
      <c r="G432">
        <v>1</v>
      </c>
    </row>
    <row r="433" spans="1:7" x14ac:dyDescent="0.25">
      <c r="A433">
        <v>609</v>
      </c>
      <c r="B433" s="12">
        <v>45445.898044027803</v>
      </c>
      <c r="C433">
        <v>400</v>
      </c>
      <c r="D433">
        <v>45444</v>
      </c>
      <c r="E433">
        <v>45323</v>
      </c>
      <c r="F433">
        <v>4</v>
      </c>
      <c r="G433">
        <v>1</v>
      </c>
    </row>
    <row r="434" spans="1:7" x14ac:dyDescent="0.25">
      <c r="A434">
        <v>348</v>
      </c>
      <c r="B434" s="12">
        <v>45446.398048044</v>
      </c>
      <c r="C434">
        <v>485</v>
      </c>
      <c r="D434">
        <v>45444</v>
      </c>
      <c r="E434">
        <v>45292</v>
      </c>
      <c r="F434">
        <v>5</v>
      </c>
      <c r="G434">
        <v>1</v>
      </c>
    </row>
    <row r="435" spans="1:7" x14ac:dyDescent="0.25">
      <c r="A435">
        <v>442</v>
      </c>
      <c r="B435" s="12">
        <v>45446.9554906134</v>
      </c>
      <c r="C435">
        <v>835</v>
      </c>
      <c r="D435">
        <v>45444</v>
      </c>
      <c r="E435">
        <v>45444</v>
      </c>
      <c r="F435">
        <v>0</v>
      </c>
      <c r="G435">
        <v>1</v>
      </c>
    </row>
    <row r="436" spans="1:7" x14ac:dyDescent="0.25">
      <c r="A436">
        <v>971</v>
      </c>
      <c r="B436" s="12">
        <v>45447.076756562499</v>
      </c>
      <c r="C436">
        <v>846</v>
      </c>
      <c r="D436">
        <v>45444</v>
      </c>
      <c r="E436">
        <v>45444</v>
      </c>
      <c r="F436">
        <v>0</v>
      </c>
      <c r="G436">
        <v>1</v>
      </c>
    </row>
    <row r="437" spans="1:7" x14ac:dyDescent="0.25">
      <c r="A437">
        <v>42</v>
      </c>
      <c r="B437" s="12">
        <v>45447.242744016199</v>
      </c>
      <c r="C437">
        <v>570</v>
      </c>
      <c r="D437">
        <v>45444</v>
      </c>
      <c r="E437">
        <v>45444</v>
      </c>
      <c r="F437">
        <v>0</v>
      </c>
      <c r="G437">
        <v>1</v>
      </c>
    </row>
    <row r="438" spans="1:7" x14ac:dyDescent="0.25">
      <c r="A438">
        <v>25</v>
      </c>
      <c r="B438" s="12">
        <v>45448.027839374998</v>
      </c>
      <c r="C438">
        <v>95</v>
      </c>
      <c r="D438">
        <v>45444</v>
      </c>
      <c r="E438">
        <v>45444</v>
      </c>
      <c r="F438">
        <v>0</v>
      </c>
      <c r="G438">
        <v>1</v>
      </c>
    </row>
    <row r="439" spans="1:7" x14ac:dyDescent="0.25">
      <c r="A439">
        <v>588</v>
      </c>
      <c r="B439" s="12">
        <v>45448.312978506998</v>
      </c>
      <c r="C439">
        <v>753</v>
      </c>
      <c r="D439">
        <v>45444</v>
      </c>
      <c r="E439">
        <v>45444</v>
      </c>
      <c r="F439">
        <v>0</v>
      </c>
      <c r="G439">
        <v>1</v>
      </c>
    </row>
    <row r="440" spans="1:7" x14ac:dyDescent="0.25">
      <c r="A440">
        <v>547</v>
      </c>
      <c r="B440" s="12">
        <v>45448.798127777802</v>
      </c>
      <c r="C440">
        <v>110</v>
      </c>
      <c r="D440">
        <v>45444</v>
      </c>
      <c r="E440">
        <v>45413</v>
      </c>
      <c r="F440">
        <v>1</v>
      </c>
      <c r="G440">
        <v>1</v>
      </c>
    </row>
    <row r="441" spans="1:7" x14ac:dyDescent="0.25">
      <c r="A441">
        <v>331</v>
      </c>
      <c r="B441" s="12">
        <v>45449.089940486097</v>
      </c>
      <c r="C441">
        <v>712</v>
      </c>
      <c r="D441">
        <v>45444</v>
      </c>
      <c r="E441">
        <v>45444</v>
      </c>
      <c r="F441">
        <v>0</v>
      </c>
      <c r="G441">
        <v>1</v>
      </c>
    </row>
    <row r="442" spans="1:7" x14ac:dyDescent="0.25">
      <c r="A442">
        <v>953</v>
      </c>
      <c r="B442" s="12">
        <v>45449.978913472201</v>
      </c>
      <c r="C442">
        <v>702</v>
      </c>
      <c r="D442">
        <v>45444</v>
      </c>
      <c r="E442">
        <v>45323</v>
      </c>
      <c r="F442">
        <v>4</v>
      </c>
      <c r="G442">
        <v>1</v>
      </c>
    </row>
    <row r="443" spans="1:7" x14ac:dyDescent="0.25">
      <c r="A443">
        <v>192</v>
      </c>
      <c r="B443" s="12">
        <v>45450.173865949102</v>
      </c>
      <c r="C443">
        <v>770</v>
      </c>
      <c r="D443">
        <v>45444</v>
      </c>
      <c r="E443">
        <v>45444</v>
      </c>
      <c r="F443">
        <v>0</v>
      </c>
      <c r="G443">
        <v>1</v>
      </c>
    </row>
    <row r="444" spans="1:7" x14ac:dyDescent="0.25">
      <c r="A444">
        <v>659</v>
      </c>
      <c r="B444" s="12">
        <v>45450.227466226897</v>
      </c>
      <c r="C444">
        <v>712</v>
      </c>
      <c r="D444">
        <v>45444</v>
      </c>
      <c r="E444">
        <v>45444</v>
      </c>
      <c r="F444">
        <v>0</v>
      </c>
      <c r="G444">
        <v>1</v>
      </c>
    </row>
    <row r="445" spans="1:7" x14ac:dyDescent="0.25">
      <c r="A445">
        <v>792</v>
      </c>
      <c r="B445" s="12">
        <v>45450.5126180324</v>
      </c>
      <c r="C445">
        <v>941</v>
      </c>
      <c r="D445">
        <v>45444</v>
      </c>
      <c r="E445">
        <v>45444</v>
      </c>
      <c r="F445">
        <v>0</v>
      </c>
      <c r="G445">
        <v>1</v>
      </c>
    </row>
    <row r="446" spans="1:7" x14ac:dyDescent="0.25">
      <c r="A446">
        <v>798</v>
      </c>
      <c r="B446" s="12">
        <v>45450.602659363401</v>
      </c>
      <c r="C446">
        <v>53</v>
      </c>
      <c r="D446">
        <v>45444</v>
      </c>
      <c r="E446">
        <v>45323</v>
      </c>
      <c r="F446">
        <v>4</v>
      </c>
      <c r="G446">
        <v>1</v>
      </c>
    </row>
    <row r="447" spans="1:7" x14ac:dyDescent="0.25">
      <c r="A447">
        <v>896</v>
      </c>
      <c r="B447" s="12">
        <v>45450.621199166701</v>
      </c>
      <c r="C447">
        <v>656</v>
      </c>
      <c r="D447">
        <v>45444</v>
      </c>
      <c r="E447">
        <v>45444</v>
      </c>
      <c r="F447">
        <v>0</v>
      </c>
      <c r="G447">
        <v>1</v>
      </c>
    </row>
    <row r="448" spans="1:7" x14ac:dyDescent="0.25">
      <c r="A448">
        <v>872</v>
      </c>
      <c r="B448" s="12">
        <v>45450.890952314803</v>
      </c>
      <c r="C448">
        <v>663</v>
      </c>
      <c r="D448">
        <v>45444</v>
      </c>
      <c r="E448">
        <v>45444</v>
      </c>
      <c r="F448">
        <v>0</v>
      </c>
      <c r="G448">
        <v>1</v>
      </c>
    </row>
    <row r="449" spans="1:7" x14ac:dyDescent="0.25">
      <c r="A449">
        <v>811</v>
      </c>
      <c r="B449" s="12">
        <v>45451.440389930598</v>
      </c>
      <c r="C449">
        <v>921</v>
      </c>
      <c r="D449">
        <v>45444</v>
      </c>
      <c r="E449">
        <v>45444</v>
      </c>
      <c r="F449">
        <v>0</v>
      </c>
      <c r="G449">
        <v>1</v>
      </c>
    </row>
    <row r="450" spans="1:7" x14ac:dyDescent="0.25">
      <c r="A450">
        <v>100</v>
      </c>
      <c r="B450" s="12">
        <v>45451.570808229197</v>
      </c>
      <c r="C450">
        <v>621</v>
      </c>
      <c r="D450">
        <v>45444</v>
      </c>
      <c r="E450">
        <v>45383</v>
      </c>
      <c r="F450">
        <v>2</v>
      </c>
      <c r="G450">
        <v>1</v>
      </c>
    </row>
    <row r="451" spans="1:7" x14ac:dyDescent="0.25">
      <c r="A451">
        <v>620</v>
      </c>
      <c r="B451" s="12">
        <v>45451.949526134304</v>
      </c>
      <c r="C451">
        <v>173</v>
      </c>
      <c r="D451">
        <v>45444</v>
      </c>
      <c r="E451">
        <v>45444</v>
      </c>
      <c r="F451">
        <v>0</v>
      </c>
      <c r="G451">
        <v>1</v>
      </c>
    </row>
    <row r="452" spans="1:7" x14ac:dyDescent="0.25">
      <c r="A452">
        <v>264</v>
      </c>
      <c r="B452" s="12">
        <v>45452.081059930599</v>
      </c>
      <c r="C452">
        <v>924</v>
      </c>
      <c r="D452">
        <v>45444</v>
      </c>
      <c r="E452">
        <v>45444</v>
      </c>
      <c r="F452">
        <v>0</v>
      </c>
      <c r="G452">
        <v>1</v>
      </c>
    </row>
    <row r="453" spans="1:7" x14ac:dyDescent="0.25">
      <c r="A453">
        <v>541</v>
      </c>
      <c r="B453" s="12">
        <v>45453.179322094897</v>
      </c>
      <c r="C453">
        <v>659</v>
      </c>
      <c r="D453">
        <v>45444</v>
      </c>
      <c r="E453">
        <v>45444</v>
      </c>
      <c r="F453">
        <v>0</v>
      </c>
      <c r="G453">
        <v>1</v>
      </c>
    </row>
    <row r="454" spans="1:7" x14ac:dyDescent="0.25">
      <c r="A454">
        <v>608</v>
      </c>
      <c r="B454" s="12">
        <v>45453.353883726901</v>
      </c>
      <c r="C454">
        <v>139</v>
      </c>
      <c r="D454">
        <v>45444</v>
      </c>
      <c r="E454">
        <v>45444</v>
      </c>
      <c r="F454">
        <v>0</v>
      </c>
      <c r="G454">
        <v>1</v>
      </c>
    </row>
    <row r="455" spans="1:7" x14ac:dyDescent="0.25">
      <c r="A455">
        <v>215</v>
      </c>
      <c r="B455" s="12">
        <v>45453.622906875004</v>
      </c>
      <c r="C455">
        <v>793</v>
      </c>
      <c r="D455">
        <v>45444</v>
      </c>
      <c r="E455">
        <v>45444</v>
      </c>
      <c r="F455">
        <v>0</v>
      </c>
      <c r="G455">
        <v>1</v>
      </c>
    </row>
    <row r="456" spans="1:7" x14ac:dyDescent="0.25">
      <c r="A456">
        <v>881</v>
      </c>
      <c r="B456" s="12">
        <v>45453.9153529861</v>
      </c>
      <c r="C456">
        <v>582</v>
      </c>
      <c r="D456">
        <v>45444</v>
      </c>
      <c r="E456">
        <v>45413</v>
      </c>
      <c r="F456">
        <v>1</v>
      </c>
      <c r="G456">
        <v>1</v>
      </c>
    </row>
    <row r="457" spans="1:7" x14ac:dyDescent="0.25">
      <c r="A457">
        <v>190</v>
      </c>
      <c r="B457" s="12">
        <v>45454.439594699099</v>
      </c>
      <c r="C457">
        <v>292</v>
      </c>
      <c r="D457">
        <v>45444</v>
      </c>
      <c r="E457">
        <v>45323</v>
      </c>
      <c r="F457">
        <v>4</v>
      </c>
      <c r="G457">
        <v>1</v>
      </c>
    </row>
    <row r="458" spans="1:7" x14ac:dyDescent="0.25">
      <c r="A458">
        <v>915</v>
      </c>
      <c r="B458" s="12">
        <v>45454.921409016199</v>
      </c>
      <c r="C458">
        <v>619</v>
      </c>
      <c r="D458">
        <v>45444</v>
      </c>
      <c r="E458">
        <v>45444</v>
      </c>
      <c r="F458">
        <v>0</v>
      </c>
      <c r="G458">
        <v>1</v>
      </c>
    </row>
    <row r="459" spans="1:7" x14ac:dyDescent="0.25">
      <c r="A459">
        <v>444</v>
      </c>
      <c r="B459" s="12">
        <v>45455.013355578703</v>
      </c>
      <c r="C459">
        <v>168</v>
      </c>
      <c r="D459">
        <v>45444</v>
      </c>
      <c r="E459">
        <v>45444</v>
      </c>
      <c r="F459">
        <v>0</v>
      </c>
      <c r="G459">
        <v>1</v>
      </c>
    </row>
    <row r="460" spans="1:7" x14ac:dyDescent="0.25">
      <c r="A460">
        <v>92</v>
      </c>
      <c r="B460" s="12">
        <v>45455.088063136602</v>
      </c>
      <c r="C460">
        <v>950</v>
      </c>
      <c r="D460">
        <v>45444</v>
      </c>
      <c r="E460">
        <v>45444</v>
      </c>
      <c r="F460">
        <v>0</v>
      </c>
      <c r="G460">
        <v>1</v>
      </c>
    </row>
    <row r="461" spans="1:7" x14ac:dyDescent="0.25">
      <c r="A461">
        <v>867</v>
      </c>
      <c r="B461" s="12">
        <v>45455.800186423599</v>
      </c>
      <c r="C461">
        <v>141</v>
      </c>
      <c r="D461">
        <v>45444</v>
      </c>
      <c r="E461">
        <v>45444</v>
      </c>
      <c r="F461">
        <v>0</v>
      </c>
      <c r="G461">
        <v>1</v>
      </c>
    </row>
    <row r="462" spans="1:7" x14ac:dyDescent="0.25">
      <c r="A462">
        <v>900</v>
      </c>
      <c r="B462" s="12">
        <v>45455.8139587732</v>
      </c>
      <c r="C462">
        <v>395</v>
      </c>
      <c r="D462">
        <v>45444</v>
      </c>
      <c r="E462">
        <v>45444</v>
      </c>
      <c r="F462">
        <v>0</v>
      </c>
      <c r="G462">
        <v>1</v>
      </c>
    </row>
    <row r="463" spans="1:7" x14ac:dyDescent="0.25">
      <c r="A463">
        <v>254</v>
      </c>
      <c r="B463" s="12">
        <v>45455.847538703703</v>
      </c>
      <c r="C463">
        <v>989</v>
      </c>
      <c r="D463">
        <v>45444</v>
      </c>
      <c r="E463">
        <v>45292</v>
      </c>
      <c r="F463">
        <v>5</v>
      </c>
      <c r="G463">
        <v>1</v>
      </c>
    </row>
    <row r="464" spans="1:7" x14ac:dyDescent="0.25">
      <c r="A464">
        <v>684</v>
      </c>
      <c r="B464" s="12">
        <v>45457.094160428198</v>
      </c>
      <c r="C464">
        <v>201</v>
      </c>
      <c r="D464">
        <v>45444</v>
      </c>
      <c r="E464">
        <v>45413</v>
      </c>
      <c r="F464">
        <v>1</v>
      </c>
      <c r="G464">
        <v>1</v>
      </c>
    </row>
    <row r="465" spans="1:7" x14ac:dyDescent="0.25">
      <c r="A465">
        <v>161</v>
      </c>
      <c r="B465" s="12">
        <v>45457.774675902801</v>
      </c>
      <c r="C465">
        <v>852</v>
      </c>
      <c r="D465">
        <v>45444</v>
      </c>
      <c r="E465">
        <v>45383</v>
      </c>
      <c r="F465">
        <v>2</v>
      </c>
      <c r="G465">
        <v>1</v>
      </c>
    </row>
    <row r="466" spans="1:7" x14ac:dyDescent="0.25">
      <c r="A466">
        <v>581</v>
      </c>
      <c r="B466" s="12">
        <v>45458.043059965297</v>
      </c>
      <c r="C466">
        <v>780</v>
      </c>
      <c r="D466">
        <v>45444</v>
      </c>
      <c r="E466">
        <v>45444</v>
      </c>
      <c r="F466">
        <v>0</v>
      </c>
      <c r="G466">
        <v>1</v>
      </c>
    </row>
    <row r="467" spans="1:7" x14ac:dyDescent="0.25">
      <c r="A467">
        <v>638</v>
      </c>
      <c r="B467" s="12">
        <v>45458.641359953697</v>
      </c>
      <c r="C467">
        <v>96</v>
      </c>
      <c r="D467">
        <v>45444</v>
      </c>
      <c r="E467">
        <v>45352</v>
      </c>
      <c r="F467">
        <v>3</v>
      </c>
      <c r="G467">
        <v>1</v>
      </c>
    </row>
    <row r="468" spans="1:7" x14ac:dyDescent="0.25">
      <c r="A468">
        <v>512</v>
      </c>
      <c r="B468" s="12">
        <v>45458.815032754603</v>
      </c>
      <c r="C468">
        <v>39</v>
      </c>
      <c r="D468">
        <v>45444</v>
      </c>
      <c r="E468">
        <v>45444</v>
      </c>
      <c r="F468">
        <v>0</v>
      </c>
      <c r="G468">
        <v>1</v>
      </c>
    </row>
    <row r="469" spans="1:7" x14ac:dyDescent="0.25">
      <c r="A469">
        <v>113</v>
      </c>
      <c r="B469" s="12">
        <v>45459.259911157402</v>
      </c>
      <c r="C469">
        <v>88</v>
      </c>
      <c r="D469">
        <v>45444</v>
      </c>
      <c r="E469">
        <v>45292</v>
      </c>
      <c r="F469">
        <v>5</v>
      </c>
      <c r="G469">
        <v>1</v>
      </c>
    </row>
    <row r="470" spans="1:7" x14ac:dyDescent="0.25">
      <c r="A470">
        <v>872</v>
      </c>
      <c r="B470" s="12">
        <v>45459.8473896875</v>
      </c>
      <c r="C470">
        <v>972</v>
      </c>
      <c r="D470">
        <v>45444</v>
      </c>
      <c r="E470">
        <v>45444</v>
      </c>
      <c r="F470">
        <v>0</v>
      </c>
      <c r="G470">
        <v>0</v>
      </c>
    </row>
    <row r="471" spans="1:7" x14ac:dyDescent="0.25">
      <c r="A471">
        <v>516</v>
      </c>
      <c r="B471" s="12">
        <v>45460.768833240698</v>
      </c>
      <c r="C471">
        <v>639</v>
      </c>
      <c r="D471">
        <v>45444</v>
      </c>
      <c r="E471">
        <v>45352</v>
      </c>
      <c r="F471">
        <v>3</v>
      </c>
      <c r="G471">
        <v>1</v>
      </c>
    </row>
    <row r="472" spans="1:7" x14ac:dyDescent="0.25">
      <c r="A472">
        <v>409</v>
      </c>
      <c r="B472" s="12">
        <v>45461.168845706001</v>
      </c>
      <c r="C472">
        <v>938</v>
      </c>
      <c r="D472">
        <v>45444</v>
      </c>
      <c r="E472">
        <v>45444</v>
      </c>
      <c r="F472">
        <v>0</v>
      </c>
      <c r="G472">
        <v>1</v>
      </c>
    </row>
    <row r="473" spans="1:7" x14ac:dyDescent="0.25">
      <c r="A473">
        <v>816</v>
      </c>
      <c r="B473" s="12">
        <v>45462.674367592597</v>
      </c>
      <c r="C473">
        <v>524</v>
      </c>
      <c r="D473">
        <v>45444</v>
      </c>
      <c r="E473">
        <v>45444</v>
      </c>
      <c r="F473">
        <v>0</v>
      </c>
      <c r="G473">
        <v>1</v>
      </c>
    </row>
    <row r="474" spans="1:7" x14ac:dyDescent="0.25">
      <c r="A474">
        <v>512</v>
      </c>
      <c r="B474" s="12">
        <v>45462.695274745398</v>
      </c>
      <c r="C474">
        <v>414</v>
      </c>
      <c r="D474">
        <v>45444</v>
      </c>
      <c r="E474">
        <v>45444</v>
      </c>
      <c r="F474">
        <v>0</v>
      </c>
      <c r="G474">
        <v>0</v>
      </c>
    </row>
    <row r="475" spans="1:7" x14ac:dyDescent="0.25">
      <c r="A475">
        <v>358</v>
      </c>
      <c r="B475" s="12">
        <v>45462.992526701397</v>
      </c>
      <c r="C475">
        <v>925</v>
      </c>
      <c r="D475">
        <v>45444</v>
      </c>
      <c r="E475">
        <v>45444</v>
      </c>
      <c r="F475">
        <v>0</v>
      </c>
      <c r="G475">
        <v>1</v>
      </c>
    </row>
    <row r="476" spans="1:7" x14ac:dyDescent="0.25">
      <c r="A476">
        <v>625</v>
      </c>
      <c r="B476" s="12">
        <v>45463.182751990702</v>
      </c>
      <c r="C476">
        <v>855</v>
      </c>
      <c r="D476">
        <v>45444</v>
      </c>
      <c r="E476">
        <v>45323</v>
      </c>
      <c r="F476">
        <v>4</v>
      </c>
      <c r="G476">
        <v>1</v>
      </c>
    </row>
    <row r="477" spans="1:7" x14ac:dyDescent="0.25">
      <c r="A477">
        <v>340</v>
      </c>
      <c r="B477" s="12">
        <v>45463.426038912003</v>
      </c>
      <c r="C477">
        <v>506</v>
      </c>
      <c r="D477">
        <v>45444</v>
      </c>
      <c r="E477">
        <v>45383</v>
      </c>
      <c r="F477">
        <v>2</v>
      </c>
      <c r="G477">
        <v>1</v>
      </c>
    </row>
    <row r="478" spans="1:7" x14ac:dyDescent="0.25">
      <c r="A478">
        <v>198</v>
      </c>
      <c r="B478" s="12">
        <v>45463.434750694498</v>
      </c>
      <c r="C478">
        <v>375</v>
      </c>
      <c r="D478">
        <v>45444</v>
      </c>
      <c r="E478">
        <v>45444</v>
      </c>
      <c r="F478">
        <v>0</v>
      </c>
      <c r="G478">
        <v>1</v>
      </c>
    </row>
    <row r="479" spans="1:7" x14ac:dyDescent="0.25">
      <c r="A479">
        <v>485</v>
      </c>
      <c r="B479" s="12">
        <v>45464.164153888902</v>
      </c>
      <c r="C479">
        <v>167</v>
      </c>
      <c r="D479">
        <v>45444</v>
      </c>
      <c r="E479">
        <v>45444</v>
      </c>
      <c r="F479">
        <v>0</v>
      </c>
      <c r="G479">
        <v>1</v>
      </c>
    </row>
    <row r="480" spans="1:7" x14ac:dyDescent="0.25">
      <c r="A480">
        <v>660</v>
      </c>
      <c r="B480" s="12">
        <v>45464.998244756898</v>
      </c>
      <c r="C480">
        <v>359</v>
      </c>
      <c r="D480">
        <v>45444</v>
      </c>
      <c r="E480">
        <v>45444</v>
      </c>
      <c r="F480">
        <v>0</v>
      </c>
      <c r="G480">
        <v>1</v>
      </c>
    </row>
    <row r="481" spans="1:7" x14ac:dyDescent="0.25">
      <c r="A481">
        <v>885</v>
      </c>
      <c r="B481" s="12">
        <v>45465.323267534703</v>
      </c>
      <c r="C481">
        <v>409</v>
      </c>
      <c r="D481">
        <v>45444</v>
      </c>
      <c r="E481">
        <v>45323</v>
      </c>
      <c r="F481">
        <v>4</v>
      </c>
      <c r="G481">
        <v>1</v>
      </c>
    </row>
    <row r="482" spans="1:7" x14ac:dyDescent="0.25">
      <c r="A482">
        <v>428</v>
      </c>
      <c r="B482" s="12">
        <v>45465.3459015509</v>
      </c>
      <c r="C482">
        <v>987</v>
      </c>
      <c r="D482">
        <v>45444</v>
      </c>
      <c r="E482">
        <v>45444</v>
      </c>
      <c r="F482">
        <v>0</v>
      </c>
      <c r="G482">
        <v>1</v>
      </c>
    </row>
    <row r="483" spans="1:7" x14ac:dyDescent="0.25">
      <c r="A483">
        <v>305</v>
      </c>
      <c r="B483" s="12">
        <v>45465.461159826402</v>
      </c>
      <c r="C483">
        <v>679</v>
      </c>
      <c r="D483">
        <v>45444</v>
      </c>
      <c r="E483">
        <v>45292</v>
      </c>
      <c r="F483">
        <v>5</v>
      </c>
      <c r="G483">
        <v>1</v>
      </c>
    </row>
    <row r="484" spans="1:7" x14ac:dyDescent="0.25">
      <c r="A484">
        <v>37</v>
      </c>
      <c r="B484" s="12">
        <v>45465.482220717597</v>
      </c>
      <c r="C484">
        <v>360</v>
      </c>
      <c r="D484">
        <v>45444</v>
      </c>
      <c r="E484">
        <v>45352</v>
      </c>
      <c r="F484">
        <v>3</v>
      </c>
      <c r="G484">
        <v>1</v>
      </c>
    </row>
    <row r="485" spans="1:7" x14ac:dyDescent="0.25">
      <c r="A485">
        <v>346</v>
      </c>
      <c r="B485" s="12">
        <v>45467.107151493103</v>
      </c>
      <c r="C485">
        <v>312</v>
      </c>
      <c r="D485">
        <v>45444</v>
      </c>
      <c r="E485">
        <v>45292</v>
      </c>
      <c r="F485">
        <v>5</v>
      </c>
      <c r="G485">
        <v>1</v>
      </c>
    </row>
    <row r="486" spans="1:7" x14ac:dyDescent="0.25">
      <c r="A486">
        <v>453</v>
      </c>
      <c r="B486" s="12">
        <v>45467.703467476902</v>
      </c>
      <c r="C486">
        <v>169</v>
      </c>
      <c r="D486">
        <v>45444</v>
      </c>
      <c r="E486">
        <v>45444</v>
      </c>
      <c r="F486">
        <v>0</v>
      </c>
      <c r="G486">
        <v>1</v>
      </c>
    </row>
    <row r="487" spans="1:7" x14ac:dyDescent="0.25">
      <c r="A487">
        <v>920</v>
      </c>
      <c r="B487" s="12">
        <v>45469.079095729197</v>
      </c>
      <c r="C487">
        <v>739</v>
      </c>
      <c r="D487">
        <v>45444</v>
      </c>
      <c r="E487">
        <v>45444</v>
      </c>
      <c r="F487">
        <v>0</v>
      </c>
      <c r="G487">
        <v>1</v>
      </c>
    </row>
    <row r="488" spans="1:7" x14ac:dyDescent="0.25">
      <c r="A488">
        <v>886</v>
      </c>
      <c r="B488" s="12">
        <v>45469.098478425898</v>
      </c>
      <c r="C488">
        <v>796</v>
      </c>
      <c r="D488">
        <v>45444</v>
      </c>
      <c r="E488">
        <v>45323</v>
      </c>
      <c r="F488">
        <v>4</v>
      </c>
      <c r="G488">
        <v>1</v>
      </c>
    </row>
    <row r="489" spans="1:7" x14ac:dyDescent="0.25">
      <c r="A489">
        <v>9</v>
      </c>
      <c r="B489" s="12">
        <v>45469.507167708303</v>
      </c>
      <c r="C489">
        <v>222</v>
      </c>
      <c r="D489">
        <v>45444</v>
      </c>
      <c r="E489">
        <v>45383</v>
      </c>
      <c r="F489">
        <v>2</v>
      </c>
      <c r="G489">
        <v>1</v>
      </c>
    </row>
    <row r="490" spans="1:7" x14ac:dyDescent="0.25">
      <c r="A490">
        <v>474</v>
      </c>
      <c r="B490" s="12">
        <v>45469.789359745402</v>
      </c>
      <c r="C490">
        <v>834</v>
      </c>
      <c r="D490">
        <v>45444</v>
      </c>
      <c r="E490">
        <v>45323</v>
      </c>
      <c r="F490">
        <v>4</v>
      </c>
      <c r="G490">
        <v>1</v>
      </c>
    </row>
    <row r="491" spans="1:7" x14ac:dyDescent="0.25">
      <c r="A491">
        <v>460</v>
      </c>
      <c r="B491" s="12">
        <v>45470.065657152802</v>
      </c>
      <c r="C491">
        <v>844</v>
      </c>
      <c r="D491">
        <v>45444</v>
      </c>
      <c r="E491">
        <v>45444</v>
      </c>
      <c r="F491">
        <v>0</v>
      </c>
      <c r="G491">
        <v>1</v>
      </c>
    </row>
    <row r="492" spans="1:7" x14ac:dyDescent="0.25">
      <c r="A492">
        <v>477</v>
      </c>
      <c r="B492" s="12">
        <v>45470.747730393501</v>
      </c>
      <c r="C492">
        <v>137</v>
      </c>
      <c r="D492">
        <v>45444</v>
      </c>
      <c r="E492">
        <v>45352</v>
      </c>
      <c r="F492">
        <v>3</v>
      </c>
      <c r="G492">
        <v>1</v>
      </c>
    </row>
    <row r="493" spans="1:7" x14ac:dyDescent="0.25">
      <c r="A493">
        <v>218</v>
      </c>
      <c r="B493" s="12">
        <v>45471.440960046297</v>
      </c>
      <c r="C493">
        <v>240</v>
      </c>
      <c r="D493">
        <v>45444</v>
      </c>
      <c r="E493">
        <v>45292</v>
      </c>
      <c r="F493">
        <v>5</v>
      </c>
      <c r="G493">
        <v>1</v>
      </c>
    </row>
    <row r="494" spans="1:7" x14ac:dyDescent="0.25">
      <c r="A494">
        <v>659</v>
      </c>
      <c r="B494" s="12">
        <v>45471.616301955997</v>
      </c>
      <c r="C494">
        <v>373</v>
      </c>
      <c r="D494">
        <v>45444</v>
      </c>
      <c r="E494">
        <v>45444</v>
      </c>
      <c r="F494">
        <v>0</v>
      </c>
      <c r="G494">
        <v>0</v>
      </c>
    </row>
    <row r="495" spans="1:7" x14ac:dyDescent="0.25">
      <c r="A495">
        <v>829</v>
      </c>
      <c r="B495" s="12">
        <v>45471.8297079861</v>
      </c>
      <c r="C495">
        <v>463</v>
      </c>
      <c r="D495">
        <v>45444</v>
      </c>
      <c r="E495">
        <v>45383</v>
      </c>
      <c r="F495">
        <v>2</v>
      </c>
      <c r="G495">
        <v>0</v>
      </c>
    </row>
    <row r="496" spans="1:7" x14ac:dyDescent="0.25">
      <c r="A496">
        <v>492</v>
      </c>
      <c r="B496" s="12">
        <v>45471.844824768501</v>
      </c>
      <c r="C496">
        <v>637</v>
      </c>
      <c r="D496">
        <v>45444</v>
      </c>
      <c r="E496">
        <v>45444</v>
      </c>
      <c r="F496">
        <v>0</v>
      </c>
      <c r="G496">
        <v>1</v>
      </c>
    </row>
    <row r="497" spans="1:7" x14ac:dyDescent="0.25">
      <c r="A497">
        <v>120</v>
      </c>
      <c r="B497" s="12">
        <v>45472.026225254602</v>
      </c>
      <c r="C497">
        <v>192</v>
      </c>
      <c r="D497">
        <v>45444</v>
      </c>
      <c r="E497">
        <v>45444</v>
      </c>
      <c r="F497">
        <v>0</v>
      </c>
      <c r="G497">
        <v>1</v>
      </c>
    </row>
    <row r="498" spans="1:7" x14ac:dyDescent="0.25">
      <c r="A498">
        <v>469</v>
      </c>
      <c r="B498" s="12">
        <v>45473.186154745403</v>
      </c>
      <c r="C498">
        <v>945</v>
      </c>
      <c r="D498">
        <v>45444</v>
      </c>
      <c r="E498">
        <v>45444</v>
      </c>
      <c r="F498">
        <v>0</v>
      </c>
      <c r="G498">
        <v>1</v>
      </c>
    </row>
    <row r="499" spans="1:7" x14ac:dyDescent="0.25">
      <c r="A499">
        <v>709</v>
      </c>
      <c r="B499" s="12">
        <v>45473.311844629599</v>
      </c>
      <c r="C499">
        <v>990</v>
      </c>
      <c r="D499">
        <v>45444</v>
      </c>
      <c r="E499">
        <v>45444</v>
      </c>
      <c r="F499">
        <v>0</v>
      </c>
      <c r="G499">
        <v>1</v>
      </c>
    </row>
    <row r="500" spans="1:7" x14ac:dyDescent="0.25">
      <c r="A500">
        <v>711</v>
      </c>
      <c r="B500" s="12">
        <v>45474.546790243097</v>
      </c>
      <c r="C500">
        <v>657</v>
      </c>
      <c r="D500">
        <v>45474</v>
      </c>
      <c r="E500">
        <v>45474</v>
      </c>
      <c r="F500">
        <v>0</v>
      </c>
      <c r="G500">
        <v>1</v>
      </c>
    </row>
    <row r="501" spans="1:7" x14ac:dyDescent="0.25">
      <c r="A501">
        <v>634</v>
      </c>
      <c r="B501" s="12">
        <v>45475.887330937498</v>
      </c>
      <c r="C501">
        <v>930</v>
      </c>
      <c r="D501">
        <v>45474</v>
      </c>
      <c r="E501">
        <v>45323</v>
      </c>
      <c r="F501">
        <v>5</v>
      </c>
      <c r="G501">
        <v>0</v>
      </c>
    </row>
    <row r="502" spans="1:7" x14ac:dyDescent="0.25">
      <c r="A502">
        <v>863</v>
      </c>
      <c r="B502" s="12">
        <v>45476.358191817097</v>
      </c>
      <c r="C502">
        <v>401</v>
      </c>
      <c r="D502">
        <v>45474</v>
      </c>
      <c r="E502">
        <v>45474</v>
      </c>
      <c r="F502">
        <v>0</v>
      </c>
      <c r="G502">
        <v>1</v>
      </c>
    </row>
    <row r="503" spans="1:7" x14ac:dyDescent="0.25">
      <c r="A503">
        <v>99</v>
      </c>
      <c r="B503" s="12">
        <v>45477.635051724501</v>
      </c>
      <c r="C503">
        <v>924</v>
      </c>
      <c r="D503">
        <v>45474</v>
      </c>
      <c r="E503">
        <v>45323</v>
      </c>
      <c r="F503">
        <v>5</v>
      </c>
      <c r="G503">
        <v>0</v>
      </c>
    </row>
    <row r="504" spans="1:7" x14ac:dyDescent="0.25">
      <c r="A504">
        <v>22</v>
      </c>
      <c r="B504" s="12">
        <v>45477.815677372702</v>
      </c>
      <c r="C504">
        <v>790</v>
      </c>
      <c r="D504">
        <v>45474</v>
      </c>
      <c r="E504">
        <v>45413</v>
      </c>
      <c r="F504">
        <v>2</v>
      </c>
      <c r="G504">
        <v>1</v>
      </c>
    </row>
    <row r="505" spans="1:7" x14ac:dyDescent="0.25">
      <c r="A505">
        <v>676</v>
      </c>
      <c r="B505" s="12">
        <v>45478.223089004598</v>
      </c>
      <c r="C505">
        <v>823</v>
      </c>
      <c r="D505">
        <v>45474</v>
      </c>
      <c r="E505">
        <v>45413</v>
      </c>
      <c r="F505">
        <v>2</v>
      </c>
      <c r="G505">
        <v>1</v>
      </c>
    </row>
    <row r="506" spans="1:7" x14ac:dyDescent="0.25">
      <c r="A506">
        <v>783</v>
      </c>
      <c r="B506" s="12">
        <v>45478.344114606502</v>
      </c>
      <c r="C506">
        <v>325</v>
      </c>
      <c r="D506">
        <v>45474</v>
      </c>
      <c r="E506">
        <v>45383</v>
      </c>
      <c r="F506">
        <v>3</v>
      </c>
      <c r="G506">
        <v>1</v>
      </c>
    </row>
    <row r="507" spans="1:7" x14ac:dyDescent="0.25">
      <c r="A507">
        <v>739</v>
      </c>
      <c r="B507" s="12">
        <v>45478.4027541088</v>
      </c>
      <c r="C507">
        <v>389</v>
      </c>
      <c r="D507">
        <v>45474</v>
      </c>
      <c r="E507">
        <v>45413</v>
      </c>
      <c r="F507">
        <v>2</v>
      </c>
      <c r="G507">
        <v>1</v>
      </c>
    </row>
    <row r="508" spans="1:7" x14ac:dyDescent="0.25">
      <c r="A508">
        <v>684</v>
      </c>
      <c r="B508" s="12">
        <v>45478.809928090297</v>
      </c>
      <c r="C508">
        <v>781</v>
      </c>
      <c r="D508">
        <v>45474</v>
      </c>
      <c r="E508">
        <v>45413</v>
      </c>
      <c r="F508">
        <v>2</v>
      </c>
      <c r="G508">
        <v>1</v>
      </c>
    </row>
    <row r="509" spans="1:7" x14ac:dyDescent="0.25">
      <c r="A509">
        <v>634</v>
      </c>
      <c r="B509" s="12">
        <v>45479.065821817101</v>
      </c>
      <c r="C509">
        <v>56</v>
      </c>
      <c r="D509">
        <v>45474</v>
      </c>
      <c r="E509">
        <v>45323</v>
      </c>
      <c r="F509">
        <v>5</v>
      </c>
      <c r="G509">
        <v>1</v>
      </c>
    </row>
    <row r="510" spans="1:7" x14ac:dyDescent="0.25">
      <c r="A510">
        <v>10</v>
      </c>
      <c r="B510" s="12">
        <v>45479.545114409702</v>
      </c>
      <c r="C510">
        <v>50</v>
      </c>
      <c r="D510">
        <v>45474</v>
      </c>
      <c r="E510">
        <v>45474</v>
      </c>
      <c r="F510">
        <v>0</v>
      </c>
      <c r="G510">
        <v>1</v>
      </c>
    </row>
    <row r="511" spans="1:7" x14ac:dyDescent="0.25">
      <c r="A511">
        <v>252</v>
      </c>
      <c r="B511" s="12">
        <v>45479.782459479196</v>
      </c>
      <c r="C511">
        <v>513</v>
      </c>
      <c r="D511">
        <v>45474</v>
      </c>
      <c r="E511">
        <v>45352</v>
      </c>
      <c r="F511">
        <v>4</v>
      </c>
      <c r="G511">
        <v>1</v>
      </c>
    </row>
    <row r="512" spans="1:7" x14ac:dyDescent="0.25">
      <c r="A512">
        <v>92</v>
      </c>
      <c r="B512" s="12">
        <v>45480.475553935197</v>
      </c>
      <c r="C512">
        <v>940</v>
      </c>
      <c r="D512">
        <v>45474</v>
      </c>
      <c r="E512">
        <v>45444</v>
      </c>
      <c r="F512">
        <v>1</v>
      </c>
      <c r="G512">
        <v>1</v>
      </c>
    </row>
    <row r="513" spans="1:7" x14ac:dyDescent="0.25">
      <c r="A513">
        <v>470</v>
      </c>
      <c r="B513" s="12">
        <v>45481.019818472203</v>
      </c>
      <c r="C513">
        <v>869</v>
      </c>
      <c r="D513">
        <v>45474</v>
      </c>
      <c r="E513">
        <v>45474</v>
      </c>
      <c r="F513">
        <v>0</v>
      </c>
      <c r="G513">
        <v>1</v>
      </c>
    </row>
    <row r="514" spans="1:7" x14ac:dyDescent="0.25">
      <c r="A514">
        <v>398</v>
      </c>
      <c r="B514" s="12">
        <v>45481.222326342599</v>
      </c>
      <c r="C514">
        <v>494</v>
      </c>
      <c r="D514">
        <v>45474</v>
      </c>
      <c r="E514">
        <v>45474</v>
      </c>
      <c r="F514">
        <v>0</v>
      </c>
      <c r="G514">
        <v>1</v>
      </c>
    </row>
    <row r="515" spans="1:7" x14ac:dyDescent="0.25">
      <c r="A515">
        <v>27</v>
      </c>
      <c r="B515" s="12">
        <v>45481.5587075</v>
      </c>
      <c r="C515">
        <v>472</v>
      </c>
      <c r="D515">
        <v>45474</v>
      </c>
      <c r="E515">
        <v>45474</v>
      </c>
      <c r="F515">
        <v>0</v>
      </c>
      <c r="G515">
        <v>1</v>
      </c>
    </row>
    <row r="516" spans="1:7" x14ac:dyDescent="0.25">
      <c r="A516">
        <v>99</v>
      </c>
      <c r="B516" s="12">
        <v>45482.312462546302</v>
      </c>
      <c r="C516">
        <v>371</v>
      </c>
      <c r="D516">
        <v>45474</v>
      </c>
      <c r="E516">
        <v>45323</v>
      </c>
      <c r="F516">
        <v>5</v>
      </c>
      <c r="G516">
        <v>1</v>
      </c>
    </row>
    <row r="517" spans="1:7" x14ac:dyDescent="0.25">
      <c r="A517">
        <v>246</v>
      </c>
      <c r="B517" s="12">
        <v>45482.314025289401</v>
      </c>
      <c r="C517">
        <v>764</v>
      </c>
      <c r="D517">
        <v>45474</v>
      </c>
      <c r="E517">
        <v>45474</v>
      </c>
      <c r="F517">
        <v>0</v>
      </c>
      <c r="G517">
        <v>1</v>
      </c>
    </row>
    <row r="518" spans="1:7" x14ac:dyDescent="0.25">
      <c r="A518">
        <v>835</v>
      </c>
      <c r="B518" s="12">
        <v>45482.343097175901</v>
      </c>
      <c r="C518">
        <v>591</v>
      </c>
      <c r="D518">
        <v>45474</v>
      </c>
      <c r="E518">
        <v>45474</v>
      </c>
      <c r="F518">
        <v>0</v>
      </c>
      <c r="G518">
        <v>1</v>
      </c>
    </row>
    <row r="519" spans="1:7" x14ac:dyDescent="0.25">
      <c r="A519">
        <v>251</v>
      </c>
      <c r="B519" s="12">
        <v>45483.007298946803</v>
      </c>
      <c r="C519">
        <v>323</v>
      </c>
      <c r="D519">
        <v>45474</v>
      </c>
      <c r="E519">
        <v>45474</v>
      </c>
      <c r="F519">
        <v>0</v>
      </c>
      <c r="G519">
        <v>1</v>
      </c>
    </row>
    <row r="520" spans="1:7" x14ac:dyDescent="0.25">
      <c r="A520">
        <v>813</v>
      </c>
      <c r="B520" s="12">
        <v>45483.868915312501</v>
      </c>
      <c r="C520">
        <v>263</v>
      </c>
      <c r="D520">
        <v>45474</v>
      </c>
      <c r="E520">
        <v>45474</v>
      </c>
      <c r="F520">
        <v>0</v>
      </c>
      <c r="G520">
        <v>1</v>
      </c>
    </row>
    <row r="521" spans="1:7" x14ac:dyDescent="0.25">
      <c r="A521">
        <v>816</v>
      </c>
      <c r="B521" s="12">
        <v>45484.664806099499</v>
      </c>
      <c r="C521">
        <v>311</v>
      </c>
      <c r="D521">
        <v>45474</v>
      </c>
      <c r="E521">
        <v>45444</v>
      </c>
      <c r="F521">
        <v>1</v>
      </c>
      <c r="G521">
        <v>1</v>
      </c>
    </row>
    <row r="522" spans="1:7" x14ac:dyDescent="0.25">
      <c r="A522">
        <v>158</v>
      </c>
      <c r="B522" s="12">
        <v>45484.839834675899</v>
      </c>
      <c r="C522">
        <v>290</v>
      </c>
      <c r="D522">
        <v>45474</v>
      </c>
      <c r="E522">
        <v>45474</v>
      </c>
      <c r="F522">
        <v>0</v>
      </c>
      <c r="G522">
        <v>1</v>
      </c>
    </row>
    <row r="523" spans="1:7" x14ac:dyDescent="0.25">
      <c r="A523">
        <v>792</v>
      </c>
      <c r="B523" s="12">
        <v>45484.925236180599</v>
      </c>
      <c r="C523">
        <v>855</v>
      </c>
      <c r="D523">
        <v>45474</v>
      </c>
      <c r="E523">
        <v>45444</v>
      </c>
      <c r="F523">
        <v>1</v>
      </c>
      <c r="G523">
        <v>1</v>
      </c>
    </row>
    <row r="524" spans="1:7" x14ac:dyDescent="0.25">
      <c r="A524">
        <v>134</v>
      </c>
      <c r="B524" s="12">
        <v>45485.428285601898</v>
      </c>
      <c r="C524">
        <v>937</v>
      </c>
      <c r="D524">
        <v>45474</v>
      </c>
      <c r="E524">
        <v>45474</v>
      </c>
      <c r="F524">
        <v>0</v>
      </c>
      <c r="G524">
        <v>1</v>
      </c>
    </row>
    <row r="525" spans="1:7" x14ac:dyDescent="0.25">
      <c r="A525">
        <v>481</v>
      </c>
      <c r="B525" s="12">
        <v>45485.672343634302</v>
      </c>
      <c r="C525">
        <v>710</v>
      </c>
      <c r="D525">
        <v>45474</v>
      </c>
      <c r="E525">
        <v>45474</v>
      </c>
      <c r="F525">
        <v>0</v>
      </c>
      <c r="G525">
        <v>1</v>
      </c>
    </row>
    <row r="526" spans="1:7" x14ac:dyDescent="0.25">
      <c r="A526">
        <v>673</v>
      </c>
      <c r="B526" s="12">
        <v>45485.751325196798</v>
      </c>
      <c r="C526">
        <v>978</v>
      </c>
      <c r="D526">
        <v>45474</v>
      </c>
      <c r="E526">
        <v>45474</v>
      </c>
      <c r="F526">
        <v>0</v>
      </c>
      <c r="G526">
        <v>1</v>
      </c>
    </row>
    <row r="527" spans="1:7" x14ac:dyDescent="0.25">
      <c r="A527">
        <v>935</v>
      </c>
      <c r="B527" s="12">
        <v>45487.824237963003</v>
      </c>
      <c r="C527">
        <v>784</v>
      </c>
      <c r="D527">
        <v>45474</v>
      </c>
      <c r="E527">
        <v>45474</v>
      </c>
      <c r="F527">
        <v>0</v>
      </c>
      <c r="G527">
        <v>0</v>
      </c>
    </row>
    <row r="528" spans="1:7" x14ac:dyDescent="0.25">
      <c r="A528">
        <v>801</v>
      </c>
      <c r="B528" s="12">
        <v>45488.216791435203</v>
      </c>
      <c r="C528">
        <v>670</v>
      </c>
      <c r="D528">
        <v>45474</v>
      </c>
      <c r="E528">
        <v>45474</v>
      </c>
      <c r="F528">
        <v>0</v>
      </c>
      <c r="G528">
        <v>1</v>
      </c>
    </row>
    <row r="529" spans="1:7" x14ac:dyDescent="0.25">
      <c r="A529">
        <v>672</v>
      </c>
      <c r="B529" s="12">
        <v>45488.425971284698</v>
      </c>
      <c r="C529">
        <v>138</v>
      </c>
      <c r="D529">
        <v>45474</v>
      </c>
      <c r="E529">
        <v>45474</v>
      </c>
      <c r="F529">
        <v>0</v>
      </c>
      <c r="G529">
        <v>1</v>
      </c>
    </row>
    <row r="530" spans="1:7" x14ac:dyDescent="0.25">
      <c r="A530">
        <v>730</v>
      </c>
      <c r="B530" s="12">
        <v>45488.683791990698</v>
      </c>
      <c r="C530">
        <v>209</v>
      </c>
      <c r="D530">
        <v>45474</v>
      </c>
      <c r="E530">
        <v>45474</v>
      </c>
      <c r="F530">
        <v>0</v>
      </c>
      <c r="G530">
        <v>1</v>
      </c>
    </row>
    <row r="531" spans="1:7" x14ac:dyDescent="0.25">
      <c r="A531">
        <v>36</v>
      </c>
      <c r="B531" s="12">
        <v>45488.687614409697</v>
      </c>
      <c r="C531">
        <v>480</v>
      </c>
      <c r="D531">
        <v>45474</v>
      </c>
      <c r="E531">
        <v>45474</v>
      </c>
      <c r="F531">
        <v>0</v>
      </c>
      <c r="G531">
        <v>1</v>
      </c>
    </row>
    <row r="532" spans="1:7" x14ac:dyDescent="0.25">
      <c r="A532">
        <v>400</v>
      </c>
      <c r="B532" s="12">
        <v>45488.919892372702</v>
      </c>
      <c r="C532">
        <v>211</v>
      </c>
      <c r="D532">
        <v>45474</v>
      </c>
      <c r="E532">
        <v>45474</v>
      </c>
      <c r="F532">
        <v>0</v>
      </c>
      <c r="G532">
        <v>1</v>
      </c>
    </row>
    <row r="533" spans="1:7" x14ac:dyDescent="0.25">
      <c r="A533">
        <v>823</v>
      </c>
      <c r="B533" s="12">
        <v>45489.038376284698</v>
      </c>
      <c r="C533">
        <v>713</v>
      </c>
      <c r="D533">
        <v>45474</v>
      </c>
      <c r="E533">
        <v>45474</v>
      </c>
      <c r="F533">
        <v>0</v>
      </c>
      <c r="G533">
        <v>1</v>
      </c>
    </row>
    <row r="534" spans="1:7" x14ac:dyDescent="0.25">
      <c r="A534">
        <v>958</v>
      </c>
      <c r="B534" s="12">
        <v>45489.698734907397</v>
      </c>
      <c r="C534">
        <v>841</v>
      </c>
      <c r="D534">
        <v>45474</v>
      </c>
      <c r="E534">
        <v>45292</v>
      </c>
      <c r="F534">
        <v>6</v>
      </c>
      <c r="G534">
        <v>1</v>
      </c>
    </row>
    <row r="535" spans="1:7" x14ac:dyDescent="0.25">
      <c r="A535">
        <v>492</v>
      </c>
      <c r="B535" s="12">
        <v>45489.710978900497</v>
      </c>
      <c r="C535">
        <v>370</v>
      </c>
      <c r="D535">
        <v>45474</v>
      </c>
      <c r="E535">
        <v>45444</v>
      </c>
      <c r="F535">
        <v>1</v>
      </c>
      <c r="G535">
        <v>1</v>
      </c>
    </row>
    <row r="536" spans="1:7" x14ac:dyDescent="0.25">
      <c r="A536">
        <v>822</v>
      </c>
      <c r="B536" s="12">
        <v>45489.975572326402</v>
      </c>
      <c r="C536">
        <v>247</v>
      </c>
      <c r="D536">
        <v>45474</v>
      </c>
      <c r="E536">
        <v>45383</v>
      </c>
      <c r="F536">
        <v>3</v>
      </c>
      <c r="G536">
        <v>1</v>
      </c>
    </row>
    <row r="537" spans="1:7" x14ac:dyDescent="0.25">
      <c r="A537">
        <v>301</v>
      </c>
      <c r="B537" s="12">
        <v>45490.622829907399</v>
      </c>
      <c r="C537">
        <v>924</v>
      </c>
      <c r="D537">
        <v>45474</v>
      </c>
      <c r="E537">
        <v>45474</v>
      </c>
      <c r="F537">
        <v>0</v>
      </c>
      <c r="G537">
        <v>1</v>
      </c>
    </row>
    <row r="538" spans="1:7" x14ac:dyDescent="0.25">
      <c r="A538">
        <v>988</v>
      </c>
      <c r="B538" s="12">
        <v>45490.877717037001</v>
      </c>
      <c r="C538">
        <v>627</v>
      </c>
      <c r="D538">
        <v>45474</v>
      </c>
      <c r="E538">
        <v>45474</v>
      </c>
      <c r="F538">
        <v>0</v>
      </c>
      <c r="G538">
        <v>1</v>
      </c>
    </row>
    <row r="539" spans="1:7" x14ac:dyDescent="0.25">
      <c r="A539">
        <v>839</v>
      </c>
      <c r="B539" s="12">
        <v>45491.014293726897</v>
      </c>
      <c r="C539">
        <v>432</v>
      </c>
      <c r="D539">
        <v>45474</v>
      </c>
      <c r="E539">
        <v>45383</v>
      </c>
      <c r="F539">
        <v>3</v>
      </c>
      <c r="G539">
        <v>1</v>
      </c>
    </row>
    <row r="540" spans="1:7" x14ac:dyDescent="0.25">
      <c r="A540">
        <v>490</v>
      </c>
      <c r="B540" s="12">
        <v>45491.467182592598</v>
      </c>
      <c r="C540">
        <v>23</v>
      </c>
      <c r="D540">
        <v>45474</v>
      </c>
      <c r="E540">
        <v>45292</v>
      </c>
      <c r="F540">
        <v>6</v>
      </c>
      <c r="G540">
        <v>1</v>
      </c>
    </row>
    <row r="541" spans="1:7" x14ac:dyDescent="0.25">
      <c r="A541">
        <v>165</v>
      </c>
      <c r="B541" s="12">
        <v>45492.405178205998</v>
      </c>
      <c r="C541">
        <v>977</v>
      </c>
      <c r="D541">
        <v>45474</v>
      </c>
      <c r="E541">
        <v>45474</v>
      </c>
      <c r="F541">
        <v>0</v>
      </c>
      <c r="G541">
        <v>1</v>
      </c>
    </row>
    <row r="542" spans="1:7" x14ac:dyDescent="0.25">
      <c r="A542">
        <v>386</v>
      </c>
      <c r="B542" s="12">
        <v>45492.853302858799</v>
      </c>
      <c r="C542">
        <v>996</v>
      </c>
      <c r="D542">
        <v>45474</v>
      </c>
      <c r="E542">
        <v>45474</v>
      </c>
      <c r="F542">
        <v>0</v>
      </c>
      <c r="G542">
        <v>1</v>
      </c>
    </row>
    <row r="543" spans="1:7" x14ac:dyDescent="0.25">
      <c r="A543">
        <v>206</v>
      </c>
      <c r="B543" s="12">
        <v>45493.057576006999</v>
      </c>
      <c r="C543">
        <v>802</v>
      </c>
      <c r="D543">
        <v>45474</v>
      </c>
      <c r="E543">
        <v>45474</v>
      </c>
      <c r="F543">
        <v>0</v>
      </c>
      <c r="G543">
        <v>1</v>
      </c>
    </row>
    <row r="544" spans="1:7" x14ac:dyDescent="0.25">
      <c r="A544">
        <v>837</v>
      </c>
      <c r="B544" s="12">
        <v>45493.414783136599</v>
      </c>
      <c r="C544">
        <v>241</v>
      </c>
      <c r="D544">
        <v>45474</v>
      </c>
      <c r="E544">
        <v>45474</v>
      </c>
      <c r="F544">
        <v>0</v>
      </c>
      <c r="G544">
        <v>1</v>
      </c>
    </row>
    <row r="545" spans="1:7" x14ac:dyDescent="0.25">
      <c r="A545">
        <v>604</v>
      </c>
      <c r="B545" s="12">
        <v>45493.622751296301</v>
      </c>
      <c r="C545">
        <v>772</v>
      </c>
      <c r="D545">
        <v>45474</v>
      </c>
      <c r="E545">
        <v>45474</v>
      </c>
      <c r="F545">
        <v>0</v>
      </c>
      <c r="G545">
        <v>1</v>
      </c>
    </row>
    <row r="546" spans="1:7" x14ac:dyDescent="0.25">
      <c r="A546">
        <v>796</v>
      </c>
      <c r="B546" s="12">
        <v>45493.718981828701</v>
      </c>
      <c r="C546">
        <v>182</v>
      </c>
      <c r="D546">
        <v>45474</v>
      </c>
      <c r="E546">
        <v>45474</v>
      </c>
      <c r="F546">
        <v>0</v>
      </c>
      <c r="G546">
        <v>1</v>
      </c>
    </row>
    <row r="547" spans="1:7" x14ac:dyDescent="0.25">
      <c r="A547">
        <v>654</v>
      </c>
      <c r="B547" s="12">
        <v>45493.782730034698</v>
      </c>
      <c r="C547">
        <v>47</v>
      </c>
      <c r="D547">
        <v>45474</v>
      </c>
      <c r="E547">
        <v>45474</v>
      </c>
      <c r="F547">
        <v>0</v>
      </c>
      <c r="G547">
        <v>1</v>
      </c>
    </row>
    <row r="548" spans="1:7" x14ac:dyDescent="0.25">
      <c r="A548">
        <v>304</v>
      </c>
      <c r="B548" s="12">
        <v>45493.945108136599</v>
      </c>
      <c r="C548">
        <v>383</v>
      </c>
      <c r="D548">
        <v>45474</v>
      </c>
      <c r="E548">
        <v>45474</v>
      </c>
      <c r="F548">
        <v>0</v>
      </c>
      <c r="G548">
        <v>1</v>
      </c>
    </row>
    <row r="549" spans="1:7" x14ac:dyDescent="0.25">
      <c r="A549">
        <v>929</v>
      </c>
      <c r="B549" s="12">
        <v>45494.152865335702</v>
      </c>
      <c r="C549">
        <v>857</v>
      </c>
      <c r="D549">
        <v>45474</v>
      </c>
      <c r="E549">
        <v>45474</v>
      </c>
      <c r="F549">
        <v>0</v>
      </c>
      <c r="G549">
        <v>0</v>
      </c>
    </row>
    <row r="550" spans="1:7" x14ac:dyDescent="0.25">
      <c r="A550">
        <v>670</v>
      </c>
      <c r="B550" s="12">
        <v>45494.2371245139</v>
      </c>
      <c r="C550">
        <v>192</v>
      </c>
      <c r="D550">
        <v>45474</v>
      </c>
      <c r="E550">
        <v>45474</v>
      </c>
      <c r="F550">
        <v>0</v>
      </c>
      <c r="G550">
        <v>1</v>
      </c>
    </row>
    <row r="551" spans="1:7" x14ac:dyDescent="0.25">
      <c r="A551">
        <v>562</v>
      </c>
      <c r="B551" s="12">
        <v>45494.244874294003</v>
      </c>
      <c r="C551">
        <v>298</v>
      </c>
      <c r="D551">
        <v>45474</v>
      </c>
      <c r="E551">
        <v>45474</v>
      </c>
      <c r="F551">
        <v>0</v>
      </c>
      <c r="G551">
        <v>1</v>
      </c>
    </row>
    <row r="552" spans="1:7" x14ac:dyDescent="0.25">
      <c r="A552">
        <v>107</v>
      </c>
      <c r="B552" s="12">
        <v>45494.402719189799</v>
      </c>
      <c r="C552">
        <v>975</v>
      </c>
      <c r="D552">
        <v>45474</v>
      </c>
      <c r="E552">
        <v>45474</v>
      </c>
      <c r="F552">
        <v>0</v>
      </c>
      <c r="G552">
        <v>1</v>
      </c>
    </row>
    <row r="553" spans="1:7" x14ac:dyDescent="0.25">
      <c r="A553">
        <v>923</v>
      </c>
      <c r="B553" s="12">
        <v>45494.704375312504</v>
      </c>
      <c r="C553">
        <v>952</v>
      </c>
      <c r="D553">
        <v>45474</v>
      </c>
      <c r="E553">
        <v>45474</v>
      </c>
      <c r="F553">
        <v>0</v>
      </c>
      <c r="G553">
        <v>1</v>
      </c>
    </row>
    <row r="554" spans="1:7" x14ac:dyDescent="0.25">
      <c r="A554">
        <v>2</v>
      </c>
      <c r="B554" s="12">
        <v>45494.941896261596</v>
      </c>
      <c r="C554">
        <v>791</v>
      </c>
      <c r="D554">
        <v>45474</v>
      </c>
      <c r="E554">
        <v>45292</v>
      </c>
      <c r="F554">
        <v>6</v>
      </c>
      <c r="G554">
        <v>1</v>
      </c>
    </row>
    <row r="555" spans="1:7" x14ac:dyDescent="0.25">
      <c r="A555">
        <v>401</v>
      </c>
      <c r="B555" s="12">
        <v>45495.419271794002</v>
      </c>
      <c r="C555">
        <v>26</v>
      </c>
      <c r="D555">
        <v>45474</v>
      </c>
      <c r="E555">
        <v>45352</v>
      </c>
      <c r="F555">
        <v>4</v>
      </c>
      <c r="G555">
        <v>1</v>
      </c>
    </row>
    <row r="556" spans="1:7" x14ac:dyDescent="0.25">
      <c r="A556">
        <v>350</v>
      </c>
      <c r="B556" s="12">
        <v>45495.715872152803</v>
      </c>
      <c r="C556">
        <v>126</v>
      </c>
      <c r="D556">
        <v>45474</v>
      </c>
      <c r="E556">
        <v>45474</v>
      </c>
      <c r="F556">
        <v>0</v>
      </c>
      <c r="G556">
        <v>1</v>
      </c>
    </row>
    <row r="557" spans="1:7" x14ac:dyDescent="0.25">
      <c r="A557">
        <v>935</v>
      </c>
      <c r="B557" s="12">
        <v>45495.842576053197</v>
      </c>
      <c r="C557">
        <v>41</v>
      </c>
      <c r="D557">
        <v>45474</v>
      </c>
      <c r="E557">
        <v>45474</v>
      </c>
      <c r="F557">
        <v>0</v>
      </c>
      <c r="G557">
        <v>1</v>
      </c>
    </row>
    <row r="558" spans="1:7" x14ac:dyDescent="0.25">
      <c r="A558">
        <v>476</v>
      </c>
      <c r="B558" s="12">
        <v>45495.845600509303</v>
      </c>
      <c r="C558">
        <v>948</v>
      </c>
      <c r="D558">
        <v>45474</v>
      </c>
      <c r="E558">
        <v>45474</v>
      </c>
      <c r="F558">
        <v>0</v>
      </c>
      <c r="G558">
        <v>1</v>
      </c>
    </row>
    <row r="559" spans="1:7" x14ac:dyDescent="0.25">
      <c r="A559">
        <v>699</v>
      </c>
      <c r="B559" s="12">
        <v>45496.259350462999</v>
      </c>
      <c r="C559">
        <v>954</v>
      </c>
      <c r="D559">
        <v>45474</v>
      </c>
      <c r="E559">
        <v>45292</v>
      </c>
      <c r="F559">
        <v>6</v>
      </c>
      <c r="G559">
        <v>1</v>
      </c>
    </row>
    <row r="560" spans="1:7" x14ac:dyDescent="0.25">
      <c r="A560">
        <v>349</v>
      </c>
      <c r="B560" s="12">
        <v>45496.588877673603</v>
      </c>
      <c r="C560">
        <v>885</v>
      </c>
      <c r="D560">
        <v>45474</v>
      </c>
      <c r="E560">
        <v>45413</v>
      </c>
      <c r="F560">
        <v>2</v>
      </c>
      <c r="G560">
        <v>1</v>
      </c>
    </row>
    <row r="561" spans="1:7" x14ac:dyDescent="0.25">
      <c r="A561">
        <v>302</v>
      </c>
      <c r="B561" s="12">
        <v>45496.598111550898</v>
      </c>
      <c r="C561">
        <v>450</v>
      </c>
      <c r="D561">
        <v>45474</v>
      </c>
      <c r="E561">
        <v>45474</v>
      </c>
      <c r="F561">
        <v>0</v>
      </c>
      <c r="G561">
        <v>1</v>
      </c>
    </row>
    <row r="562" spans="1:7" x14ac:dyDescent="0.25">
      <c r="A562">
        <v>505</v>
      </c>
      <c r="B562" s="12">
        <v>45496.703098321799</v>
      </c>
      <c r="C562">
        <v>635</v>
      </c>
      <c r="D562">
        <v>45474</v>
      </c>
      <c r="E562">
        <v>45352</v>
      </c>
      <c r="F562">
        <v>4</v>
      </c>
      <c r="G562">
        <v>1</v>
      </c>
    </row>
    <row r="563" spans="1:7" x14ac:dyDescent="0.25">
      <c r="A563">
        <v>280</v>
      </c>
      <c r="B563" s="12">
        <v>45497.664830196802</v>
      </c>
      <c r="C563">
        <v>138</v>
      </c>
      <c r="D563">
        <v>45474</v>
      </c>
      <c r="E563">
        <v>45474</v>
      </c>
      <c r="F563">
        <v>0</v>
      </c>
      <c r="G563">
        <v>1</v>
      </c>
    </row>
    <row r="564" spans="1:7" x14ac:dyDescent="0.25">
      <c r="A564">
        <v>289</v>
      </c>
      <c r="B564" s="12">
        <v>45498.1834704051</v>
      </c>
      <c r="C564">
        <v>936</v>
      </c>
      <c r="D564">
        <v>45474</v>
      </c>
      <c r="E564">
        <v>45474</v>
      </c>
      <c r="F564">
        <v>0</v>
      </c>
      <c r="G564">
        <v>1</v>
      </c>
    </row>
    <row r="565" spans="1:7" x14ac:dyDescent="0.25">
      <c r="A565">
        <v>367</v>
      </c>
      <c r="B565" s="12">
        <v>45498.311356145801</v>
      </c>
      <c r="C565">
        <v>475</v>
      </c>
      <c r="D565">
        <v>45474</v>
      </c>
      <c r="E565">
        <v>45383</v>
      </c>
      <c r="F565">
        <v>3</v>
      </c>
      <c r="G565">
        <v>1</v>
      </c>
    </row>
    <row r="566" spans="1:7" x14ac:dyDescent="0.25">
      <c r="A566">
        <v>354</v>
      </c>
      <c r="B566" s="12">
        <v>45498.690029953701</v>
      </c>
      <c r="C566">
        <v>29</v>
      </c>
      <c r="D566">
        <v>45474</v>
      </c>
      <c r="E566">
        <v>45474</v>
      </c>
      <c r="F566">
        <v>0</v>
      </c>
      <c r="G566">
        <v>1</v>
      </c>
    </row>
    <row r="567" spans="1:7" x14ac:dyDescent="0.25">
      <c r="A567">
        <v>442</v>
      </c>
      <c r="B567" s="12">
        <v>45498.722602511603</v>
      </c>
      <c r="C567">
        <v>197</v>
      </c>
      <c r="D567">
        <v>45474</v>
      </c>
      <c r="E567">
        <v>45444</v>
      </c>
      <c r="F567">
        <v>1</v>
      </c>
      <c r="G567">
        <v>1</v>
      </c>
    </row>
    <row r="568" spans="1:7" x14ac:dyDescent="0.25">
      <c r="A568">
        <v>929</v>
      </c>
      <c r="B568" s="12">
        <v>45499.048250011598</v>
      </c>
      <c r="C568">
        <v>29</v>
      </c>
      <c r="D568">
        <v>45474</v>
      </c>
      <c r="E568">
        <v>45474</v>
      </c>
      <c r="F568">
        <v>0</v>
      </c>
      <c r="G568">
        <v>1</v>
      </c>
    </row>
    <row r="569" spans="1:7" x14ac:dyDescent="0.25">
      <c r="A569">
        <v>929</v>
      </c>
      <c r="B569" s="12">
        <v>45499.240234560202</v>
      </c>
      <c r="C569">
        <v>737</v>
      </c>
      <c r="D569">
        <v>45474</v>
      </c>
      <c r="E569">
        <v>45474</v>
      </c>
      <c r="F569">
        <v>0</v>
      </c>
      <c r="G569">
        <v>0</v>
      </c>
    </row>
    <row r="570" spans="1:7" x14ac:dyDescent="0.25">
      <c r="A570">
        <v>369</v>
      </c>
      <c r="B570" s="12">
        <v>45499.380039629599</v>
      </c>
      <c r="C570">
        <v>717</v>
      </c>
      <c r="D570">
        <v>45474</v>
      </c>
      <c r="E570">
        <v>45474</v>
      </c>
      <c r="F570">
        <v>0</v>
      </c>
      <c r="G570">
        <v>1</v>
      </c>
    </row>
    <row r="571" spans="1:7" x14ac:dyDescent="0.25">
      <c r="A571">
        <v>342</v>
      </c>
      <c r="B571" s="12">
        <v>45499.601228900501</v>
      </c>
      <c r="C571">
        <v>897</v>
      </c>
      <c r="D571">
        <v>45474</v>
      </c>
      <c r="E571">
        <v>45474</v>
      </c>
      <c r="F571">
        <v>0</v>
      </c>
      <c r="G571">
        <v>1</v>
      </c>
    </row>
    <row r="572" spans="1:7" x14ac:dyDescent="0.25">
      <c r="A572">
        <v>594</v>
      </c>
      <c r="B572" s="12">
        <v>45499.8094784028</v>
      </c>
      <c r="C572">
        <v>227</v>
      </c>
      <c r="D572">
        <v>45474</v>
      </c>
      <c r="E572">
        <v>45474</v>
      </c>
      <c r="F572">
        <v>0</v>
      </c>
      <c r="G572">
        <v>1</v>
      </c>
    </row>
    <row r="573" spans="1:7" x14ac:dyDescent="0.25">
      <c r="A573">
        <v>759</v>
      </c>
      <c r="B573" s="12">
        <v>45499.821562754601</v>
      </c>
      <c r="C573">
        <v>110</v>
      </c>
      <c r="D573">
        <v>45474</v>
      </c>
      <c r="E573">
        <v>45383</v>
      </c>
      <c r="F573">
        <v>3</v>
      </c>
      <c r="G573">
        <v>1</v>
      </c>
    </row>
    <row r="574" spans="1:7" x14ac:dyDescent="0.25">
      <c r="A574">
        <v>920</v>
      </c>
      <c r="B574" s="12">
        <v>45499.990576481498</v>
      </c>
      <c r="C574">
        <v>674</v>
      </c>
      <c r="D574">
        <v>45474</v>
      </c>
      <c r="E574">
        <v>45444</v>
      </c>
      <c r="F574">
        <v>1</v>
      </c>
      <c r="G574">
        <v>1</v>
      </c>
    </row>
    <row r="575" spans="1:7" x14ac:dyDescent="0.25">
      <c r="A575">
        <v>17</v>
      </c>
      <c r="B575" s="12">
        <v>45500.438169537003</v>
      </c>
      <c r="C575">
        <v>816</v>
      </c>
      <c r="D575">
        <v>45474</v>
      </c>
      <c r="E575">
        <v>45474</v>
      </c>
      <c r="F575">
        <v>0</v>
      </c>
      <c r="G575">
        <v>1</v>
      </c>
    </row>
    <row r="576" spans="1:7" x14ac:dyDescent="0.25">
      <c r="A576">
        <v>436</v>
      </c>
      <c r="B576" s="12">
        <v>45500.454965682897</v>
      </c>
      <c r="C576">
        <v>295</v>
      </c>
      <c r="D576">
        <v>45474</v>
      </c>
      <c r="E576">
        <v>45474</v>
      </c>
      <c r="F576">
        <v>0</v>
      </c>
      <c r="G576">
        <v>1</v>
      </c>
    </row>
    <row r="577" spans="1:7" x14ac:dyDescent="0.25">
      <c r="A577">
        <v>190</v>
      </c>
      <c r="B577" s="12">
        <v>45500.845449641201</v>
      </c>
      <c r="C577">
        <v>110</v>
      </c>
      <c r="D577">
        <v>45474</v>
      </c>
      <c r="E577">
        <v>45323</v>
      </c>
      <c r="F577">
        <v>5</v>
      </c>
      <c r="G577">
        <v>1</v>
      </c>
    </row>
    <row r="578" spans="1:7" x14ac:dyDescent="0.25">
      <c r="A578">
        <v>484</v>
      </c>
      <c r="B578" s="12">
        <v>45501.102228912001</v>
      </c>
      <c r="C578">
        <v>303</v>
      </c>
      <c r="D578">
        <v>45474</v>
      </c>
      <c r="E578">
        <v>45474</v>
      </c>
      <c r="F578">
        <v>0</v>
      </c>
      <c r="G578">
        <v>1</v>
      </c>
    </row>
    <row r="579" spans="1:7" x14ac:dyDescent="0.25">
      <c r="A579">
        <v>457</v>
      </c>
      <c r="B579" s="12">
        <v>45501.492965532401</v>
      </c>
      <c r="C579">
        <v>608</v>
      </c>
      <c r="D579">
        <v>45474</v>
      </c>
      <c r="E579">
        <v>45474</v>
      </c>
      <c r="F579">
        <v>0</v>
      </c>
      <c r="G579">
        <v>1</v>
      </c>
    </row>
    <row r="580" spans="1:7" x14ac:dyDescent="0.25">
      <c r="A580">
        <v>396</v>
      </c>
      <c r="B580" s="12">
        <v>45501.800177037003</v>
      </c>
      <c r="C580">
        <v>975</v>
      </c>
      <c r="D580">
        <v>45474</v>
      </c>
      <c r="E580">
        <v>45383</v>
      </c>
      <c r="F580">
        <v>3</v>
      </c>
      <c r="G580">
        <v>1</v>
      </c>
    </row>
    <row r="581" spans="1:7" x14ac:dyDescent="0.25">
      <c r="A581">
        <v>53</v>
      </c>
      <c r="B581" s="12">
        <v>45501.828966134301</v>
      </c>
      <c r="C581">
        <v>552</v>
      </c>
      <c r="D581">
        <v>45474</v>
      </c>
      <c r="E581">
        <v>45474</v>
      </c>
      <c r="F581">
        <v>0</v>
      </c>
      <c r="G581">
        <v>1</v>
      </c>
    </row>
    <row r="582" spans="1:7" x14ac:dyDescent="0.25">
      <c r="A582">
        <v>955</v>
      </c>
      <c r="B582" s="12">
        <v>45502.235467118102</v>
      </c>
      <c r="C582">
        <v>529</v>
      </c>
      <c r="D582">
        <v>45474</v>
      </c>
      <c r="E582">
        <v>45413</v>
      </c>
      <c r="F582">
        <v>2</v>
      </c>
      <c r="G582">
        <v>1</v>
      </c>
    </row>
    <row r="583" spans="1:7" x14ac:dyDescent="0.25">
      <c r="A583">
        <v>346</v>
      </c>
      <c r="B583" s="12">
        <v>45502.2872912616</v>
      </c>
      <c r="C583">
        <v>158</v>
      </c>
      <c r="D583">
        <v>45474</v>
      </c>
      <c r="E583">
        <v>45292</v>
      </c>
      <c r="F583">
        <v>6</v>
      </c>
      <c r="G583">
        <v>1</v>
      </c>
    </row>
    <row r="584" spans="1:7" x14ac:dyDescent="0.25">
      <c r="A584">
        <v>943</v>
      </c>
      <c r="B584" s="12">
        <v>45503.0722470486</v>
      </c>
      <c r="C584">
        <v>546</v>
      </c>
      <c r="D584">
        <v>45474</v>
      </c>
      <c r="E584">
        <v>45474</v>
      </c>
      <c r="F584">
        <v>0</v>
      </c>
      <c r="G584">
        <v>1</v>
      </c>
    </row>
    <row r="585" spans="1:7" x14ac:dyDescent="0.25">
      <c r="A585">
        <v>638</v>
      </c>
      <c r="B585" s="12">
        <v>45503.441939467601</v>
      </c>
      <c r="C585">
        <v>113</v>
      </c>
      <c r="D585">
        <v>45474</v>
      </c>
      <c r="E585">
        <v>45352</v>
      </c>
      <c r="F585">
        <v>4</v>
      </c>
      <c r="G585">
        <v>1</v>
      </c>
    </row>
    <row r="586" spans="1:7" x14ac:dyDescent="0.25">
      <c r="A586">
        <v>244</v>
      </c>
      <c r="B586" s="12">
        <v>45503.999114652797</v>
      </c>
      <c r="C586">
        <v>687</v>
      </c>
      <c r="D586">
        <v>45474</v>
      </c>
      <c r="E586">
        <v>45474</v>
      </c>
      <c r="F586">
        <v>0</v>
      </c>
      <c r="G586">
        <v>1</v>
      </c>
    </row>
    <row r="587" spans="1:7" x14ac:dyDescent="0.25">
      <c r="A587">
        <v>417</v>
      </c>
      <c r="B587" s="12">
        <v>45505.412254201401</v>
      </c>
      <c r="C587">
        <v>850</v>
      </c>
      <c r="D587">
        <v>45505</v>
      </c>
      <c r="E587">
        <v>45505</v>
      </c>
      <c r="F587">
        <v>0</v>
      </c>
      <c r="G587">
        <v>1</v>
      </c>
    </row>
    <row r="588" spans="1:7" x14ac:dyDescent="0.25">
      <c r="A588">
        <v>959</v>
      </c>
      <c r="B588" s="12">
        <v>45506.763073217597</v>
      </c>
      <c r="C588">
        <v>525</v>
      </c>
      <c r="D588">
        <v>45505</v>
      </c>
      <c r="E588">
        <v>45383</v>
      </c>
      <c r="F588">
        <v>4</v>
      </c>
      <c r="G588">
        <v>1</v>
      </c>
    </row>
    <row r="589" spans="1:7" x14ac:dyDescent="0.25">
      <c r="A589">
        <v>827</v>
      </c>
      <c r="B589" s="12">
        <v>45507.097389861097</v>
      </c>
      <c r="C589">
        <v>402</v>
      </c>
      <c r="D589">
        <v>45505</v>
      </c>
      <c r="E589">
        <v>45505</v>
      </c>
      <c r="F589">
        <v>0</v>
      </c>
      <c r="G589">
        <v>1</v>
      </c>
    </row>
    <row r="590" spans="1:7" x14ac:dyDescent="0.25">
      <c r="A590">
        <v>958</v>
      </c>
      <c r="B590" s="12">
        <v>45507.137094722202</v>
      </c>
      <c r="C590">
        <v>633</v>
      </c>
      <c r="D590">
        <v>45505</v>
      </c>
      <c r="E590">
        <v>45292</v>
      </c>
      <c r="F590">
        <v>7</v>
      </c>
      <c r="G590">
        <v>1</v>
      </c>
    </row>
    <row r="591" spans="1:7" x14ac:dyDescent="0.25">
      <c r="A591">
        <v>556</v>
      </c>
      <c r="B591" s="12">
        <v>45507.528947777799</v>
      </c>
      <c r="C591">
        <v>628</v>
      </c>
      <c r="D591">
        <v>45505</v>
      </c>
      <c r="E591">
        <v>45292</v>
      </c>
      <c r="F591">
        <v>7</v>
      </c>
      <c r="G591">
        <v>1</v>
      </c>
    </row>
    <row r="592" spans="1:7" x14ac:dyDescent="0.25">
      <c r="A592">
        <v>489</v>
      </c>
      <c r="B592" s="12">
        <v>45507.704573796298</v>
      </c>
      <c r="C592">
        <v>369</v>
      </c>
      <c r="D592">
        <v>45505</v>
      </c>
      <c r="E592">
        <v>45505</v>
      </c>
      <c r="F592">
        <v>0</v>
      </c>
      <c r="G592">
        <v>1</v>
      </c>
    </row>
    <row r="593" spans="1:7" x14ac:dyDescent="0.25">
      <c r="A593">
        <v>168</v>
      </c>
      <c r="B593" s="12">
        <v>45508.073847580999</v>
      </c>
      <c r="C593">
        <v>822</v>
      </c>
      <c r="D593">
        <v>45505</v>
      </c>
      <c r="E593">
        <v>45505</v>
      </c>
      <c r="F593">
        <v>0</v>
      </c>
      <c r="G593">
        <v>1</v>
      </c>
    </row>
    <row r="594" spans="1:7" x14ac:dyDescent="0.25">
      <c r="A594">
        <v>735</v>
      </c>
      <c r="B594" s="12">
        <v>45508.955810208303</v>
      </c>
      <c r="C594">
        <v>31</v>
      </c>
      <c r="D594">
        <v>45505</v>
      </c>
      <c r="E594">
        <v>45505</v>
      </c>
      <c r="F594">
        <v>0</v>
      </c>
      <c r="G594">
        <v>0</v>
      </c>
    </row>
    <row r="595" spans="1:7" x14ac:dyDescent="0.25">
      <c r="A595">
        <v>792</v>
      </c>
      <c r="B595" s="12">
        <v>45509.252772280102</v>
      </c>
      <c r="C595">
        <v>557</v>
      </c>
      <c r="D595">
        <v>45505</v>
      </c>
      <c r="E595">
        <v>45444</v>
      </c>
      <c r="F595">
        <v>2</v>
      </c>
      <c r="G595">
        <v>1</v>
      </c>
    </row>
    <row r="596" spans="1:7" x14ac:dyDescent="0.25">
      <c r="A596">
        <v>155</v>
      </c>
      <c r="B596" s="12">
        <v>45509.415655983801</v>
      </c>
      <c r="C596">
        <v>983</v>
      </c>
      <c r="D596">
        <v>45505</v>
      </c>
      <c r="E596">
        <v>45505</v>
      </c>
      <c r="F596">
        <v>0</v>
      </c>
      <c r="G596">
        <v>1</v>
      </c>
    </row>
    <row r="597" spans="1:7" x14ac:dyDescent="0.25">
      <c r="A597">
        <v>460</v>
      </c>
      <c r="B597" s="12">
        <v>45509.475355393501</v>
      </c>
      <c r="C597">
        <v>244</v>
      </c>
      <c r="D597">
        <v>45505</v>
      </c>
      <c r="E597">
        <v>45444</v>
      </c>
      <c r="F597">
        <v>2</v>
      </c>
      <c r="G597">
        <v>1</v>
      </c>
    </row>
    <row r="598" spans="1:7" x14ac:dyDescent="0.25">
      <c r="A598">
        <v>521</v>
      </c>
      <c r="B598" s="12">
        <v>45509.806246689797</v>
      </c>
      <c r="C598">
        <v>476</v>
      </c>
      <c r="D598">
        <v>45505</v>
      </c>
      <c r="E598">
        <v>45505</v>
      </c>
      <c r="F598">
        <v>0</v>
      </c>
      <c r="G598">
        <v>1</v>
      </c>
    </row>
    <row r="599" spans="1:7" x14ac:dyDescent="0.25">
      <c r="A599">
        <v>408</v>
      </c>
      <c r="B599" s="12">
        <v>45510.119433981497</v>
      </c>
      <c r="C599">
        <v>675</v>
      </c>
      <c r="D599">
        <v>45505</v>
      </c>
      <c r="E599">
        <v>45413</v>
      </c>
      <c r="F599">
        <v>3</v>
      </c>
      <c r="G599">
        <v>1</v>
      </c>
    </row>
    <row r="600" spans="1:7" x14ac:dyDescent="0.25">
      <c r="A600">
        <v>729</v>
      </c>
      <c r="B600" s="12">
        <v>45511.116473761598</v>
      </c>
      <c r="C600">
        <v>52</v>
      </c>
      <c r="D600">
        <v>45505</v>
      </c>
      <c r="E600">
        <v>45383</v>
      </c>
      <c r="F600">
        <v>4</v>
      </c>
      <c r="G600">
        <v>1</v>
      </c>
    </row>
    <row r="601" spans="1:7" x14ac:dyDescent="0.25">
      <c r="A601">
        <v>764</v>
      </c>
      <c r="B601" s="12">
        <v>45511.297808020798</v>
      </c>
      <c r="C601">
        <v>379</v>
      </c>
      <c r="D601">
        <v>45505</v>
      </c>
      <c r="E601">
        <v>45352</v>
      </c>
      <c r="F601">
        <v>5</v>
      </c>
      <c r="G601">
        <v>1</v>
      </c>
    </row>
    <row r="602" spans="1:7" x14ac:dyDescent="0.25">
      <c r="A602">
        <v>384</v>
      </c>
      <c r="B602" s="12">
        <v>45511.301287638897</v>
      </c>
      <c r="C602">
        <v>121</v>
      </c>
      <c r="D602">
        <v>45505</v>
      </c>
      <c r="E602">
        <v>45505</v>
      </c>
      <c r="F602">
        <v>0</v>
      </c>
      <c r="G602">
        <v>1</v>
      </c>
    </row>
    <row r="603" spans="1:7" x14ac:dyDescent="0.25">
      <c r="A603">
        <v>816</v>
      </c>
      <c r="B603" s="12">
        <v>45511.859002928199</v>
      </c>
      <c r="C603">
        <v>532</v>
      </c>
      <c r="D603">
        <v>45505</v>
      </c>
      <c r="E603">
        <v>45444</v>
      </c>
      <c r="F603">
        <v>2</v>
      </c>
      <c r="G603">
        <v>1</v>
      </c>
    </row>
    <row r="604" spans="1:7" x14ac:dyDescent="0.25">
      <c r="A604">
        <v>972</v>
      </c>
      <c r="B604" s="12">
        <v>45511.888805150498</v>
      </c>
      <c r="C604">
        <v>939</v>
      </c>
      <c r="D604">
        <v>45505</v>
      </c>
      <c r="E604">
        <v>45292</v>
      </c>
      <c r="F604">
        <v>7</v>
      </c>
      <c r="G604">
        <v>1</v>
      </c>
    </row>
    <row r="605" spans="1:7" x14ac:dyDescent="0.25">
      <c r="A605">
        <v>259</v>
      </c>
      <c r="B605" s="12">
        <v>45511.943465428201</v>
      </c>
      <c r="C605">
        <v>754</v>
      </c>
      <c r="D605">
        <v>45505</v>
      </c>
      <c r="E605">
        <v>45505</v>
      </c>
      <c r="F605">
        <v>0</v>
      </c>
      <c r="G605">
        <v>1</v>
      </c>
    </row>
    <row r="606" spans="1:7" x14ac:dyDescent="0.25">
      <c r="A606">
        <v>96</v>
      </c>
      <c r="B606" s="12">
        <v>45512.069200161997</v>
      </c>
      <c r="C606">
        <v>568</v>
      </c>
      <c r="D606">
        <v>45505</v>
      </c>
      <c r="E606">
        <v>45505</v>
      </c>
      <c r="F606">
        <v>0</v>
      </c>
      <c r="G606">
        <v>1</v>
      </c>
    </row>
    <row r="607" spans="1:7" x14ac:dyDescent="0.25">
      <c r="A607">
        <v>220</v>
      </c>
      <c r="B607" s="12">
        <v>45512.598146562501</v>
      </c>
      <c r="C607">
        <v>556</v>
      </c>
      <c r="D607">
        <v>45505</v>
      </c>
      <c r="E607">
        <v>45323</v>
      </c>
      <c r="F607">
        <v>6</v>
      </c>
      <c r="G607">
        <v>1</v>
      </c>
    </row>
    <row r="608" spans="1:7" x14ac:dyDescent="0.25">
      <c r="A608">
        <v>69</v>
      </c>
      <c r="B608" s="12">
        <v>45512.706141481503</v>
      </c>
      <c r="C608">
        <v>444</v>
      </c>
      <c r="D608">
        <v>45505</v>
      </c>
      <c r="E608">
        <v>45505</v>
      </c>
      <c r="F608">
        <v>0</v>
      </c>
      <c r="G608">
        <v>1</v>
      </c>
    </row>
    <row r="609" spans="1:7" x14ac:dyDescent="0.25">
      <c r="A609">
        <v>832</v>
      </c>
      <c r="B609" s="12">
        <v>45513.101073680598</v>
      </c>
      <c r="C609">
        <v>603</v>
      </c>
      <c r="D609">
        <v>45505</v>
      </c>
      <c r="E609">
        <v>45505</v>
      </c>
      <c r="F609">
        <v>0</v>
      </c>
      <c r="G609">
        <v>1</v>
      </c>
    </row>
    <row r="610" spans="1:7" x14ac:dyDescent="0.25">
      <c r="A610">
        <v>640</v>
      </c>
      <c r="B610" s="12">
        <v>45513.469920254603</v>
      </c>
      <c r="C610">
        <v>971</v>
      </c>
      <c r="D610">
        <v>45505</v>
      </c>
      <c r="E610">
        <v>45505</v>
      </c>
      <c r="F610">
        <v>0</v>
      </c>
      <c r="G610">
        <v>1</v>
      </c>
    </row>
    <row r="611" spans="1:7" x14ac:dyDescent="0.25">
      <c r="A611">
        <v>728</v>
      </c>
      <c r="B611" s="12">
        <v>45514.5318183333</v>
      </c>
      <c r="C611">
        <v>773</v>
      </c>
      <c r="D611">
        <v>45505</v>
      </c>
      <c r="E611">
        <v>45505</v>
      </c>
      <c r="F611">
        <v>0</v>
      </c>
      <c r="G611">
        <v>1</v>
      </c>
    </row>
    <row r="612" spans="1:7" x14ac:dyDescent="0.25">
      <c r="A612">
        <v>113</v>
      </c>
      <c r="B612" s="12">
        <v>45515.339123935199</v>
      </c>
      <c r="C612">
        <v>811</v>
      </c>
      <c r="D612">
        <v>45505</v>
      </c>
      <c r="E612">
        <v>45292</v>
      </c>
      <c r="F612">
        <v>7</v>
      </c>
      <c r="G612">
        <v>1</v>
      </c>
    </row>
    <row r="613" spans="1:7" x14ac:dyDescent="0.25">
      <c r="A613">
        <v>280</v>
      </c>
      <c r="B613" s="12">
        <v>45515.448346261597</v>
      </c>
      <c r="C613">
        <v>286</v>
      </c>
      <c r="D613">
        <v>45505</v>
      </c>
      <c r="E613">
        <v>45474</v>
      </c>
      <c r="F613">
        <v>1</v>
      </c>
      <c r="G613">
        <v>1</v>
      </c>
    </row>
    <row r="614" spans="1:7" x14ac:dyDescent="0.25">
      <c r="A614">
        <v>826</v>
      </c>
      <c r="B614" s="12">
        <v>45515.473090937499</v>
      </c>
      <c r="C614">
        <v>926</v>
      </c>
      <c r="D614">
        <v>45505</v>
      </c>
      <c r="E614">
        <v>45505</v>
      </c>
      <c r="F614">
        <v>0</v>
      </c>
      <c r="G614">
        <v>1</v>
      </c>
    </row>
    <row r="615" spans="1:7" x14ac:dyDescent="0.25">
      <c r="A615">
        <v>883</v>
      </c>
      <c r="B615" s="12">
        <v>45516.022028425898</v>
      </c>
      <c r="C615">
        <v>781</v>
      </c>
      <c r="D615">
        <v>45505</v>
      </c>
      <c r="E615">
        <v>45505</v>
      </c>
      <c r="F615">
        <v>0</v>
      </c>
      <c r="G615">
        <v>1</v>
      </c>
    </row>
    <row r="616" spans="1:7" x14ac:dyDescent="0.25">
      <c r="A616">
        <v>160</v>
      </c>
      <c r="B616" s="12">
        <v>45516.651493171303</v>
      </c>
      <c r="C616">
        <v>351</v>
      </c>
      <c r="D616">
        <v>45505</v>
      </c>
      <c r="E616">
        <v>45323</v>
      </c>
      <c r="F616">
        <v>6</v>
      </c>
      <c r="G616">
        <v>0</v>
      </c>
    </row>
    <row r="617" spans="1:7" x14ac:dyDescent="0.25">
      <c r="A617">
        <v>912</v>
      </c>
      <c r="B617" s="12">
        <v>45516.949309872703</v>
      </c>
      <c r="C617">
        <v>58</v>
      </c>
      <c r="D617">
        <v>45505</v>
      </c>
      <c r="E617">
        <v>45505</v>
      </c>
      <c r="F617">
        <v>0</v>
      </c>
      <c r="G617">
        <v>1</v>
      </c>
    </row>
    <row r="618" spans="1:7" x14ac:dyDescent="0.25">
      <c r="A618">
        <v>769</v>
      </c>
      <c r="B618" s="12">
        <v>45517.231752419</v>
      </c>
      <c r="C618">
        <v>552</v>
      </c>
      <c r="D618">
        <v>45505</v>
      </c>
      <c r="E618">
        <v>45505</v>
      </c>
      <c r="F618">
        <v>0</v>
      </c>
      <c r="G618">
        <v>1</v>
      </c>
    </row>
    <row r="619" spans="1:7" x14ac:dyDescent="0.25">
      <c r="A619">
        <v>160</v>
      </c>
      <c r="B619" s="12">
        <v>45517.553333263902</v>
      </c>
      <c r="C619">
        <v>897</v>
      </c>
      <c r="D619">
        <v>45505</v>
      </c>
      <c r="E619">
        <v>45323</v>
      </c>
      <c r="F619">
        <v>6</v>
      </c>
      <c r="G619">
        <v>1</v>
      </c>
    </row>
    <row r="620" spans="1:7" x14ac:dyDescent="0.25">
      <c r="A620">
        <v>796</v>
      </c>
      <c r="B620" s="12">
        <v>45518.062573865704</v>
      </c>
      <c r="C620">
        <v>526</v>
      </c>
      <c r="D620">
        <v>45505</v>
      </c>
      <c r="E620">
        <v>45474</v>
      </c>
      <c r="F620">
        <v>1</v>
      </c>
      <c r="G620">
        <v>1</v>
      </c>
    </row>
    <row r="621" spans="1:7" x14ac:dyDescent="0.25">
      <c r="A621">
        <v>732</v>
      </c>
      <c r="B621" s="12">
        <v>45519.267570231503</v>
      </c>
      <c r="C621">
        <v>581</v>
      </c>
      <c r="D621">
        <v>45505</v>
      </c>
      <c r="E621">
        <v>45505</v>
      </c>
      <c r="F621">
        <v>0</v>
      </c>
      <c r="G621">
        <v>1</v>
      </c>
    </row>
    <row r="622" spans="1:7" x14ac:dyDescent="0.25">
      <c r="A622">
        <v>273</v>
      </c>
      <c r="B622" s="12">
        <v>45519.525577812499</v>
      </c>
      <c r="C622">
        <v>582</v>
      </c>
      <c r="D622">
        <v>45505</v>
      </c>
      <c r="E622">
        <v>45505</v>
      </c>
      <c r="F622">
        <v>0</v>
      </c>
      <c r="G622">
        <v>1</v>
      </c>
    </row>
    <row r="623" spans="1:7" x14ac:dyDescent="0.25">
      <c r="A623">
        <v>2</v>
      </c>
      <c r="B623" s="12">
        <v>45519.546610775498</v>
      </c>
      <c r="C623">
        <v>922</v>
      </c>
      <c r="D623">
        <v>45505</v>
      </c>
      <c r="E623">
        <v>45292</v>
      </c>
      <c r="F623">
        <v>7</v>
      </c>
      <c r="G623">
        <v>1</v>
      </c>
    </row>
    <row r="624" spans="1:7" x14ac:dyDescent="0.25">
      <c r="A624">
        <v>730</v>
      </c>
      <c r="B624" s="12">
        <v>45519.866793599504</v>
      </c>
      <c r="C624">
        <v>492</v>
      </c>
      <c r="D624">
        <v>45505</v>
      </c>
      <c r="E624">
        <v>45474</v>
      </c>
      <c r="F624">
        <v>1</v>
      </c>
      <c r="G624">
        <v>1</v>
      </c>
    </row>
    <row r="625" spans="1:7" x14ac:dyDescent="0.25">
      <c r="A625">
        <v>377</v>
      </c>
      <c r="B625" s="12">
        <v>45520.087334606498</v>
      </c>
      <c r="C625">
        <v>555</v>
      </c>
      <c r="D625">
        <v>45505</v>
      </c>
      <c r="E625">
        <v>45505</v>
      </c>
      <c r="F625">
        <v>0</v>
      </c>
      <c r="G625">
        <v>1</v>
      </c>
    </row>
    <row r="626" spans="1:7" x14ac:dyDescent="0.25">
      <c r="A626">
        <v>648</v>
      </c>
      <c r="B626" s="12">
        <v>45520.1148248264</v>
      </c>
      <c r="C626">
        <v>563</v>
      </c>
      <c r="D626">
        <v>45505</v>
      </c>
      <c r="E626">
        <v>45323</v>
      </c>
      <c r="F626">
        <v>6</v>
      </c>
      <c r="G626">
        <v>1</v>
      </c>
    </row>
    <row r="627" spans="1:7" x14ac:dyDescent="0.25">
      <c r="A627">
        <v>279</v>
      </c>
      <c r="B627" s="12">
        <v>45520.672620787002</v>
      </c>
      <c r="C627">
        <v>336</v>
      </c>
      <c r="D627">
        <v>45505</v>
      </c>
      <c r="E627">
        <v>45505</v>
      </c>
      <c r="F627">
        <v>0</v>
      </c>
      <c r="G627">
        <v>1</v>
      </c>
    </row>
    <row r="628" spans="1:7" x14ac:dyDescent="0.25">
      <c r="A628">
        <v>472</v>
      </c>
      <c r="B628" s="12">
        <v>45521.280566504603</v>
      </c>
      <c r="C628">
        <v>939</v>
      </c>
      <c r="D628">
        <v>45505</v>
      </c>
      <c r="E628">
        <v>45505</v>
      </c>
      <c r="F628">
        <v>0</v>
      </c>
      <c r="G628">
        <v>1</v>
      </c>
    </row>
    <row r="629" spans="1:7" x14ac:dyDescent="0.25">
      <c r="A629">
        <v>682</v>
      </c>
      <c r="B629" s="12">
        <v>45521.693769224497</v>
      </c>
      <c r="C629">
        <v>171</v>
      </c>
      <c r="D629">
        <v>45505</v>
      </c>
      <c r="E629">
        <v>45352</v>
      </c>
      <c r="F629">
        <v>5</v>
      </c>
      <c r="G629">
        <v>1</v>
      </c>
    </row>
    <row r="630" spans="1:7" x14ac:dyDescent="0.25">
      <c r="A630">
        <v>435</v>
      </c>
      <c r="B630" s="12">
        <v>45521.943724039404</v>
      </c>
      <c r="C630">
        <v>858</v>
      </c>
      <c r="D630">
        <v>45505</v>
      </c>
      <c r="E630">
        <v>45505</v>
      </c>
      <c r="F630">
        <v>0</v>
      </c>
      <c r="G630">
        <v>1</v>
      </c>
    </row>
    <row r="631" spans="1:7" x14ac:dyDescent="0.25">
      <c r="A631">
        <v>735</v>
      </c>
      <c r="B631" s="12">
        <v>45522.065106863403</v>
      </c>
      <c r="C631">
        <v>75</v>
      </c>
      <c r="D631">
        <v>45505</v>
      </c>
      <c r="E631">
        <v>45505</v>
      </c>
      <c r="F631">
        <v>0</v>
      </c>
      <c r="G631">
        <v>1</v>
      </c>
    </row>
    <row r="632" spans="1:7" x14ac:dyDescent="0.25">
      <c r="A632">
        <v>485</v>
      </c>
      <c r="B632" s="12">
        <v>45522.311583032402</v>
      </c>
      <c r="C632">
        <v>740</v>
      </c>
      <c r="D632">
        <v>45505</v>
      </c>
      <c r="E632">
        <v>45444</v>
      </c>
      <c r="F632">
        <v>2</v>
      </c>
      <c r="G632">
        <v>1</v>
      </c>
    </row>
    <row r="633" spans="1:7" x14ac:dyDescent="0.25">
      <c r="A633">
        <v>215</v>
      </c>
      <c r="B633" s="12">
        <v>45522.801264594898</v>
      </c>
      <c r="C633">
        <v>77</v>
      </c>
      <c r="D633">
        <v>45505</v>
      </c>
      <c r="E633">
        <v>45444</v>
      </c>
      <c r="F633">
        <v>2</v>
      </c>
      <c r="G633">
        <v>1</v>
      </c>
    </row>
    <row r="634" spans="1:7" x14ac:dyDescent="0.25">
      <c r="A634">
        <v>233</v>
      </c>
      <c r="B634" s="12">
        <v>45523.391291400498</v>
      </c>
      <c r="C634">
        <v>207</v>
      </c>
      <c r="D634">
        <v>45505</v>
      </c>
      <c r="E634">
        <v>45352</v>
      </c>
      <c r="F634">
        <v>5</v>
      </c>
      <c r="G634">
        <v>1</v>
      </c>
    </row>
    <row r="635" spans="1:7" x14ac:dyDescent="0.25">
      <c r="A635">
        <v>602</v>
      </c>
      <c r="B635" s="12">
        <v>45523.652936562503</v>
      </c>
      <c r="C635">
        <v>212</v>
      </c>
      <c r="D635">
        <v>45505</v>
      </c>
      <c r="E635">
        <v>45505</v>
      </c>
      <c r="F635">
        <v>0</v>
      </c>
      <c r="G635">
        <v>1</v>
      </c>
    </row>
    <row r="636" spans="1:7" x14ac:dyDescent="0.25">
      <c r="A636">
        <v>771</v>
      </c>
      <c r="B636" s="12">
        <v>45524.283690717602</v>
      </c>
      <c r="C636">
        <v>782</v>
      </c>
      <c r="D636">
        <v>45505</v>
      </c>
      <c r="E636">
        <v>45505</v>
      </c>
      <c r="F636">
        <v>0</v>
      </c>
      <c r="G636">
        <v>1</v>
      </c>
    </row>
    <row r="637" spans="1:7" x14ac:dyDescent="0.25">
      <c r="A637">
        <v>843</v>
      </c>
      <c r="B637" s="12">
        <v>45524.759146759301</v>
      </c>
      <c r="C637">
        <v>223</v>
      </c>
      <c r="D637">
        <v>45505</v>
      </c>
      <c r="E637">
        <v>45505</v>
      </c>
      <c r="F637">
        <v>0</v>
      </c>
      <c r="G637">
        <v>1</v>
      </c>
    </row>
    <row r="638" spans="1:7" x14ac:dyDescent="0.25">
      <c r="A638">
        <v>601</v>
      </c>
      <c r="B638" s="12">
        <v>45525.298974027799</v>
      </c>
      <c r="C638">
        <v>957</v>
      </c>
      <c r="D638">
        <v>45505</v>
      </c>
      <c r="E638">
        <v>45352</v>
      </c>
      <c r="F638">
        <v>5</v>
      </c>
      <c r="G638">
        <v>1</v>
      </c>
    </row>
    <row r="639" spans="1:7" x14ac:dyDescent="0.25">
      <c r="A639">
        <v>256</v>
      </c>
      <c r="B639" s="12">
        <v>45526.664409872697</v>
      </c>
      <c r="C639">
        <v>905</v>
      </c>
      <c r="D639">
        <v>45505</v>
      </c>
      <c r="E639">
        <v>45352</v>
      </c>
      <c r="F639">
        <v>5</v>
      </c>
      <c r="G639">
        <v>1</v>
      </c>
    </row>
    <row r="640" spans="1:7" x14ac:dyDescent="0.25">
      <c r="A640">
        <v>624</v>
      </c>
      <c r="B640" s="12">
        <v>45526.690421990701</v>
      </c>
      <c r="C640">
        <v>685</v>
      </c>
      <c r="D640">
        <v>45505</v>
      </c>
      <c r="E640">
        <v>45505</v>
      </c>
      <c r="F640">
        <v>0</v>
      </c>
      <c r="G640">
        <v>1</v>
      </c>
    </row>
    <row r="641" spans="1:7" x14ac:dyDescent="0.25">
      <c r="A641">
        <v>393</v>
      </c>
      <c r="B641" s="12">
        <v>45526.960551875003</v>
      </c>
      <c r="C641">
        <v>583</v>
      </c>
      <c r="D641">
        <v>45505</v>
      </c>
      <c r="E641">
        <v>45323</v>
      </c>
      <c r="F641">
        <v>6</v>
      </c>
      <c r="G641">
        <v>1</v>
      </c>
    </row>
    <row r="642" spans="1:7" x14ac:dyDescent="0.25">
      <c r="A642">
        <v>988</v>
      </c>
      <c r="B642" s="12">
        <v>45527.288068842601</v>
      </c>
      <c r="C642">
        <v>391</v>
      </c>
      <c r="D642">
        <v>45505</v>
      </c>
      <c r="E642">
        <v>45474</v>
      </c>
      <c r="F642">
        <v>1</v>
      </c>
      <c r="G642">
        <v>1</v>
      </c>
    </row>
    <row r="643" spans="1:7" x14ac:dyDescent="0.25">
      <c r="A643">
        <v>607</v>
      </c>
      <c r="B643" s="12">
        <v>45527.376290034699</v>
      </c>
      <c r="C643">
        <v>909</v>
      </c>
      <c r="D643">
        <v>45505</v>
      </c>
      <c r="E643">
        <v>45505</v>
      </c>
      <c r="F643">
        <v>0</v>
      </c>
      <c r="G643">
        <v>1</v>
      </c>
    </row>
    <row r="644" spans="1:7" x14ac:dyDescent="0.25">
      <c r="A644">
        <v>611</v>
      </c>
      <c r="B644" s="12">
        <v>45527.510156446799</v>
      </c>
      <c r="C644">
        <v>199</v>
      </c>
      <c r="D644">
        <v>45505</v>
      </c>
      <c r="E644">
        <v>45505</v>
      </c>
      <c r="F644">
        <v>0</v>
      </c>
      <c r="G644">
        <v>1</v>
      </c>
    </row>
    <row r="645" spans="1:7" x14ac:dyDescent="0.25">
      <c r="A645">
        <v>316</v>
      </c>
      <c r="B645" s="12">
        <v>45528.121760856498</v>
      </c>
      <c r="C645">
        <v>443</v>
      </c>
      <c r="D645">
        <v>45505</v>
      </c>
      <c r="E645">
        <v>45505</v>
      </c>
      <c r="F645">
        <v>0</v>
      </c>
      <c r="G645">
        <v>1</v>
      </c>
    </row>
    <row r="646" spans="1:7" x14ac:dyDescent="0.25">
      <c r="A646">
        <v>323</v>
      </c>
      <c r="B646" s="12">
        <v>45528.249313935201</v>
      </c>
      <c r="C646">
        <v>311</v>
      </c>
      <c r="D646">
        <v>45505</v>
      </c>
      <c r="E646">
        <v>45292</v>
      </c>
      <c r="F646">
        <v>7</v>
      </c>
      <c r="G646">
        <v>1</v>
      </c>
    </row>
    <row r="647" spans="1:7" x14ac:dyDescent="0.25">
      <c r="A647">
        <v>764</v>
      </c>
      <c r="B647" s="12">
        <v>45528.420881458303</v>
      </c>
      <c r="C647">
        <v>533</v>
      </c>
      <c r="D647">
        <v>45505</v>
      </c>
      <c r="E647">
        <v>45352</v>
      </c>
      <c r="F647">
        <v>5</v>
      </c>
      <c r="G647">
        <v>0</v>
      </c>
    </row>
    <row r="648" spans="1:7" x14ac:dyDescent="0.25">
      <c r="A648">
        <v>447</v>
      </c>
      <c r="B648" s="12">
        <v>45528.993400266198</v>
      </c>
      <c r="C648">
        <v>59</v>
      </c>
      <c r="D648">
        <v>45505</v>
      </c>
      <c r="E648">
        <v>45505</v>
      </c>
      <c r="F648">
        <v>0</v>
      </c>
      <c r="G648">
        <v>1</v>
      </c>
    </row>
    <row r="649" spans="1:7" x14ac:dyDescent="0.25">
      <c r="A649">
        <v>626</v>
      </c>
      <c r="B649" s="12">
        <v>45530.146542777802</v>
      </c>
      <c r="C649">
        <v>675</v>
      </c>
      <c r="D649">
        <v>45505</v>
      </c>
      <c r="E649">
        <v>45505</v>
      </c>
      <c r="F649">
        <v>0</v>
      </c>
      <c r="G649">
        <v>1</v>
      </c>
    </row>
    <row r="650" spans="1:7" x14ac:dyDescent="0.25">
      <c r="A650">
        <v>842</v>
      </c>
      <c r="B650" s="12">
        <v>45531.289004537</v>
      </c>
      <c r="C650">
        <v>237</v>
      </c>
      <c r="D650">
        <v>45505</v>
      </c>
      <c r="E650">
        <v>45505</v>
      </c>
      <c r="F650">
        <v>0</v>
      </c>
      <c r="G650">
        <v>1</v>
      </c>
    </row>
    <row r="651" spans="1:7" x14ac:dyDescent="0.25">
      <c r="A651">
        <v>685</v>
      </c>
      <c r="B651" s="12">
        <v>45531.929752442098</v>
      </c>
      <c r="C651">
        <v>628</v>
      </c>
      <c r="D651">
        <v>45505</v>
      </c>
      <c r="E651">
        <v>45383</v>
      </c>
      <c r="F651">
        <v>4</v>
      </c>
      <c r="G651">
        <v>1</v>
      </c>
    </row>
    <row r="652" spans="1:7" x14ac:dyDescent="0.25">
      <c r="A652">
        <v>913</v>
      </c>
      <c r="B652" s="12">
        <v>45532.0390286111</v>
      </c>
      <c r="C652">
        <v>613</v>
      </c>
      <c r="D652">
        <v>45505</v>
      </c>
      <c r="E652">
        <v>45505</v>
      </c>
      <c r="F652">
        <v>0</v>
      </c>
      <c r="G652">
        <v>1</v>
      </c>
    </row>
    <row r="653" spans="1:7" x14ac:dyDescent="0.25">
      <c r="A653">
        <v>253</v>
      </c>
      <c r="B653" s="12">
        <v>45532.3172380787</v>
      </c>
      <c r="C653">
        <v>416</v>
      </c>
      <c r="D653">
        <v>45505</v>
      </c>
      <c r="E653">
        <v>45383</v>
      </c>
      <c r="F653">
        <v>4</v>
      </c>
      <c r="G653">
        <v>1</v>
      </c>
    </row>
    <row r="654" spans="1:7" x14ac:dyDescent="0.25">
      <c r="A654">
        <v>144</v>
      </c>
      <c r="B654" s="12">
        <v>45532.934236921297</v>
      </c>
      <c r="C654">
        <v>220</v>
      </c>
      <c r="D654">
        <v>45505</v>
      </c>
      <c r="E654">
        <v>45352</v>
      </c>
      <c r="F654">
        <v>5</v>
      </c>
      <c r="G654">
        <v>1</v>
      </c>
    </row>
    <row r="655" spans="1:7" x14ac:dyDescent="0.25">
      <c r="A655">
        <v>580</v>
      </c>
      <c r="B655" s="12">
        <v>45533.153880625003</v>
      </c>
      <c r="C655">
        <v>406</v>
      </c>
      <c r="D655">
        <v>45505</v>
      </c>
      <c r="E655">
        <v>45505</v>
      </c>
      <c r="F655">
        <v>0</v>
      </c>
      <c r="G655">
        <v>1</v>
      </c>
    </row>
    <row r="656" spans="1:7" x14ac:dyDescent="0.25">
      <c r="A656">
        <v>861</v>
      </c>
      <c r="B656" s="12">
        <v>45533.447170034699</v>
      </c>
      <c r="C656">
        <v>628</v>
      </c>
      <c r="D656">
        <v>45505</v>
      </c>
      <c r="E656">
        <v>45323</v>
      </c>
      <c r="F656">
        <v>6</v>
      </c>
      <c r="G656">
        <v>1</v>
      </c>
    </row>
    <row r="657" spans="1:7" x14ac:dyDescent="0.25">
      <c r="A657">
        <v>572</v>
      </c>
      <c r="B657" s="12">
        <v>45534.2159844907</v>
      </c>
      <c r="C657">
        <v>328</v>
      </c>
      <c r="D657">
        <v>45505</v>
      </c>
      <c r="E657">
        <v>45413</v>
      </c>
      <c r="F657">
        <v>3</v>
      </c>
      <c r="G657">
        <v>1</v>
      </c>
    </row>
    <row r="658" spans="1:7" x14ac:dyDescent="0.25">
      <c r="A658">
        <v>258</v>
      </c>
      <c r="B658" s="12">
        <v>45534.241235925903</v>
      </c>
      <c r="C658">
        <v>417</v>
      </c>
      <c r="D658">
        <v>45505</v>
      </c>
      <c r="E658">
        <v>45505</v>
      </c>
      <c r="F658">
        <v>0</v>
      </c>
      <c r="G658">
        <v>1</v>
      </c>
    </row>
    <row r="659" spans="1:7" x14ac:dyDescent="0.25">
      <c r="A659">
        <v>461</v>
      </c>
      <c r="B659" s="12">
        <v>45534.267703310201</v>
      </c>
      <c r="C659">
        <v>991</v>
      </c>
      <c r="D659">
        <v>45505</v>
      </c>
      <c r="E659">
        <v>45505</v>
      </c>
      <c r="F659">
        <v>0</v>
      </c>
      <c r="G659">
        <v>1</v>
      </c>
    </row>
    <row r="660" spans="1:7" x14ac:dyDescent="0.25">
      <c r="A660">
        <v>170</v>
      </c>
      <c r="B660" s="12">
        <v>45534.430626562498</v>
      </c>
      <c r="C660">
        <v>35</v>
      </c>
      <c r="D660">
        <v>45505</v>
      </c>
      <c r="E660">
        <v>45505</v>
      </c>
      <c r="F660">
        <v>0</v>
      </c>
      <c r="G660">
        <v>1</v>
      </c>
    </row>
    <row r="661" spans="1:7" x14ac:dyDescent="0.25">
      <c r="A661">
        <v>734</v>
      </c>
      <c r="B661" s="12">
        <v>45534.769069050897</v>
      </c>
      <c r="C661">
        <v>583</v>
      </c>
      <c r="D661">
        <v>45505</v>
      </c>
      <c r="E661">
        <v>45413</v>
      </c>
      <c r="F661">
        <v>3</v>
      </c>
      <c r="G661">
        <v>1</v>
      </c>
    </row>
    <row r="662" spans="1:7" x14ac:dyDescent="0.25">
      <c r="A662">
        <v>978</v>
      </c>
      <c r="B662" s="12">
        <v>45534.824580798602</v>
      </c>
      <c r="C662">
        <v>866</v>
      </c>
      <c r="D662">
        <v>45505</v>
      </c>
      <c r="E662">
        <v>45505</v>
      </c>
      <c r="F662">
        <v>0</v>
      </c>
      <c r="G662">
        <v>1</v>
      </c>
    </row>
    <row r="663" spans="1:7" x14ac:dyDescent="0.25">
      <c r="A663">
        <v>561</v>
      </c>
      <c r="B663" s="12">
        <v>45535.206131597202</v>
      </c>
      <c r="C663">
        <v>475</v>
      </c>
      <c r="D663">
        <v>45505</v>
      </c>
      <c r="E663">
        <v>45505</v>
      </c>
      <c r="F663">
        <v>0</v>
      </c>
      <c r="G663">
        <v>1</v>
      </c>
    </row>
    <row r="664" spans="1:7" x14ac:dyDescent="0.25">
      <c r="A664">
        <v>508</v>
      </c>
      <c r="B664" s="12">
        <v>45535.313922696798</v>
      </c>
      <c r="C664">
        <v>49</v>
      </c>
      <c r="D664">
        <v>45505</v>
      </c>
      <c r="E664">
        <v>45505</v>
      </c>
      <c r="F664">
        <v>0</v>
      </c>
      <c r="G664">
        <v>1</v>
      </c>
    </row>
    <row r="665" spans="1:7" x14ac:dyDescent="0.25">
      <c r="A665">
        <v>681</v>
      </c>
      <c r="B665" s="12">
        <v>45535.335953182897</v>
      </c>
      <c r="C665">
        <v>952</v>
      </c>
      <c r="D665">
        <v>45505</v>
      </c>
      <c r="E665">
        <v>45505</v>
      </c>
      <c r="F665">
        <v>0</v>
      </c>
      <c r="G665">
        <v>1</v>
      </c>
    </row>
    <row r="666" spans="1:7" x14ac:dyDescent="0.25">
      <c r="A666">
        <v>787</v>
      </c>
      <c r="B666" s="12">
        <v>45535.5732012269</v>
      </c>
      <c r="C666">
        <v>122</v>
      </c>
      <c r="D666">
        <v>45505</v>
      </c>
      <c r="E666">
        <v>45505</v>
      </c>
      <c r="F666">
        <v>0</v>
      </c>
      <c r="G666">
        <v>1</v>
      </c>
    </row>
    <row r="667" spans="1:7" x14ac:dyDescent="0.25">
      <c r="A667">
        <v>820</v>
      </c>
      <c r="B667" s="12">
        <v>45535.732341296301</v>
      </c>
      <c r="C667">
        <v>777</v>
      </c>
      <c r="D667">
        <v>45505</v>
      </c>
      <c r="E667">
        <v>45505</v>
      </c>
      <c r="F667">
        <v>0</v>
      </c>
      <c r="G667">
        <v>1</v>
      </c>
    </row>
    <row r="668" spans="1:7" x14ac:dyDescent="0.25">
      <c r="A668">
        <v>732</v>
      </c>
      <c r="B668" s="12">
        <v>45535.989983287</v>
      </c>
      <c r="C668">
        <v>140</v>
      </c>
      <c r="D668">
        <v>45505</v>
      </c>
      <c r="E668">
        <v>45505</v>
      </c>
      <c r="F668">
        <v>0</v>
      </c>
      <c r="G668">
        <v>0</v>
      </c>
    </row>
    <row r="669" spans="1:7" x14ac:dyDescent="0.25">
      <c r="A669">
        <v>903</v>
      </c>
      <c r="B669" s="12">
        <v>45536.046846840298</v>
      </c>
      <c r="C669">
        <v>236</v>
      </c>
      <c r="D669">
        <v>45536</v>
      </c>
      <c r="E669">
        <v>45323</v>
      </c>
      <c r="F669">
        <v>7</v>
      </c>
      <c r="G669">
        <v>1</v>
      </c>
    </row>
    <row r="670" spans="1:7" x14ac:dyDescent="0.25">
      <c r="A670">
        <v>38</v>
      </c>
      <c r="B670" s="12">
        <v>45536.187613981499</v>
      </c>
      <c r="C670">
        <v>550</v>
      </c>
      <c r="D670">
        <v>45536</v>
      </c>
      <c r="E670">
        <v>45536</v>
      </c>
      <c r="F670">
        <v>0</v>
      </c>
      <c r="G670">
        <v>1</v>
      </c>
    </row>
    <row r="671" spans="1:7" x14ac:dyDescent="0.25">
      <c r="A671">
        <v>96</v>
      </c>
      <c r="B671" s="12">
        <v>45536.5645636111</v>
      </c>
      <c r="C671">
        <v>393</v>
      </c>
      <c r="D671">
        <v>45536</v>
      </c>
      <c r="E671">
        <v>45505</v>
      </c>
      <c r="F671">
        <v>1</v>
      </c>
      <c r="G671">
        <v>1</v>
      </c>
    </row>
    <row r="672" spans="1:7" x14ac:dyDescent="0.25">
      <c r="A672">
        <v>577</v>
      </c>
      <c r="B672" s="12">
        <v>45536.763499212997</v>
      </c>
      <c r="C672">
        <v>565</v>
      </c>
      <c r="D672">
        <v>45536</v>
      </c>
      <c r="E672">
        <v>45536</v>
      </c>
      <c r="F672">
        <v>0</v>
      </c>
      <c r="G672">
        <v>1</v>
      </c>
    </row>
    <row r="673" spans="1:7" x14ac:dyDescent="0.25">
      <c r="A673">
        <v>393</v>
      </c>
      <c r="B673" s="12">
        <v>45537.405188449098</v>
      </c>
      <c r="C673">
        <v>207</v>
      </c>
      <c r="D673">
        <v>45536</v>
      </c>
      <c r="E673">
        <v>45323</v>
      </c>
      <c r="F673">
        <v>7</v>
      </c>
      <c r="G673">
        <v>1</v>
      </c>
    </row>
    <row r="674" spans="1:7" x14ac:dyDescent="0.25">
      <c r="A674">
        <v>883</v>
      </c>
      <c r="B674" s="12">
        <v>45537.996281145803</v>
      </c>
      <c r="C674">
        <v>199</v>
      </c>
      <c r="D674">
        <v>45536</v>
      </c>
      <c r="E674">
        <v>45505</v>
      </c>
      <c r="F674">
        <v>1</v>
      </c>
      <c r="G674">
        <v>1</v>
      </c>
    </row>
    <row r="675" spans="1:7" x14ac:dyDescent="0.25">
      <c r="A675">
        <v>664</v>
      </c>
      <c r="B675" s="12">
        <v>45538.378467291703</v>
      </c>
      <c r="C675">
        <v>917</v>
      </c>
      <c r="D675">
        <v>45536</v>
      </c>
      <c r="E675">
        <v>45352</v>
      </c>
      <c r="F675">
        <v>6</v>
      </c>
      <c r="G675">
        <v>1</v>
      </c>
    </row>
    <row r="676" spans="1:7" x14ac:dyDescent="0.25">
      <c r="A676">
        <v>48</v>
      </c>
      <c r="B676" s="12">
        <v>45539.684625046299</v>
      </c>
      <c r="C676">
        <v>892</v>
      </c>
      <c r="D676">
        <v>45536</v>
      </c>
      <c r="E676">
        <v>45536</v>
      </c>
      <c r="F676">
        <v>0</v>
      </c>
      <c r="G676">
        <v>1</v>
      </c>
    </row>
    <row r="677" spans="1:7" x14ac:dyDescent="0.25">
      <c r="A677">
        <v>506</v>
      </c>
      <c r="B677" s="12">
        <v>45539.956005428197</v>
      </c>
      <c r="C677">
        <v>545</v>
      </c>
      <c r="D677">
        <v>45536</v>
      </c>
      <c r="E677">
        <v>45536</v>
      </c>
      <c r="F677">
        <v>0</v>
      </c>
      <c r="G677">
        <v>1</v>
      </c>
    </row>
    <row r="678" spans="1:7" x14ac:dyDescent="0.25">
      <c r="A678">
        <v>109</v>
      </c>
      <c r="B678" s="12">
        <v>45540.1020263889</v>
      </c>
      <c r="C678">
        <v>252</v>
      </c>
      <c r="D678">
        <v>45536</v>
      </c>
      <c r="E678">
        <v>45536</v>
      </c>
      <c r="F678">
        <v>0</v>
      </c>
      <c r="G678">
        <v>1</v>
      </c>
    </row>
    <row r="679" spans="1:7" x14ac:dyDescent="0.25">
      <c r="A679">
        <v>615</v>
      </c>
      <c r="B679" s="12">
        <v>45540.603336597203</v>
      </c>
      <c r="C679">
        <v>752</v>
      </c>
      <c r="D679">
        <v>45536</v>
      </c>
      <c r="E679">
        <v>45536</v>
      </c>
      <c r="F679">
        <v>0</v>
      </c>
      <c r="G679">
        <v>1</v>
      </c>
    </row>
    <row r="680" spans="1:7" x14ac:dyDescent="0.25">
      <c r="A680">
        <v>682</v>
      </c>
      <c r="B680" s="12">
        <v>45541.570440463001</v>
      </c>
      <c r="C680">
        <v>415</v>
      </c>
      <c r="D680">
        <v>45536</v>
      </c>
      <c r="E680">
        <v>45352</v>
      </c>
      <c r="F680">
        <v>6</v>
      </c>
      <c r="G680">
        <v>1</v>
      </c>
    </row>
    <row r="681" spans="1:7" x14ac:dyDescent="0.25">
      <c r="A681">
        <v>502</v>
      </c>
      <c r="B681" s="12">
        <v>45542.404825023201</v>
      </c>
      <c r="C681">
        <v>373</v>
      </c>
      <c r="D681">
        <v>45536</v>
      </c>
      <c r="E681">
        <v>45536</v>
      </c>
      <c r="F681">
        <v>0</v>
      </c>
      <c r="G681">
        <v>1</v>
      </c>
    </row>
    <row r="682" spans="1:7" x14ac:dyDescent="0.25">
      <c r="A682">
        <v>387</v>
      </c>
      <c r="B682" s="12">
        <v>45542.4650900579</v>
      </c>
      <c r="C682">
        <v>768</v>
      </c>
      <c r="D682">
        <v>45536</v>
      </c>
      <c r="E682">
        <v>45413</v>
      </c>
      <c r="F682">
        <v>4</v>
      </c>
      <c r="G682">
        <v>1</v>
      </c>
    </row>
    <row r="683" spans="1:7" x14ac:dyDescent="0.25">
      <c r="A683">
        <v>578</v>
      </c>
      <c r="B683" s="12">
        <v>45542.907252395802</v>
      </c>
      <c r="C683">
        <v>995</v>
      </c>
      <c r="D683">
        <v>45536</v>
      </c>
      <c r="E683">
        <v>45536</v>
      </c>
      <c r="F683">
        <v>0</v>
      </c>
      <c r="G683">
        <v>1</v>
      </c>
    </row>
    <row r="684" spans="1:7" x14ac:dyDescent="0.25">
      <c r="A684">
        <v>791</v>
      </c>
      <c r="B684" s="12">
        <v>45543.931775451398</v>
      </c>
      <c r="C684">
        <v>170</v>
      </c>
      <c r="D684">
        <v>45536</v>
      </c>
      <c r="E684">
        <v>45536</v>
      </c>
      <c r="F684">
        <v>0</v>
      </c>
      <c r="G684">
        <v>1</v>
      </c>
    </row>
    <row r="685" spans="1:7" x14ac:dyDescent="0.25">
      <c r="A685">
        <v>793</v>
      </c>
      <c r="B685" s="12">
        <v>45545.189792986101</v>
      </c>
      <c r="C685">
        <v>932</v>
      </c>
      <c r="D685">
        <v>45536</v>
      </c>
      <c r="E685">
        <v>45536</v>
      </c>
      <c r="F685">
        <v>0</v>
      </c>
      <c r="G685">
        <v>1</v>
      </c>
    </row>
    <row r="686" spans="1:7" x14ac:dyDescent="0.25">
      <c r="A686">
        <v>415</v>
      </c>
      <c r="B686" s="12">
        <v>45545.574271365702</v>
      </c>
      <c r="C686">
        <v>226</v>
      </c>
      <c r="D686">
        <v>45536</v>
      </c>
      <c r="E686">
        <v>45292</v>
      </c>
      <c r="F686">
        <v>8</v>
      </c>
      <c r="G686">
        <v>1</v>
      </c>
    </row>
    <row r="687" spans="1:7" x14ac:dyDescent="0.25">
      <c r="A687">
        <v>626</v>
      </c>
      <c r="B687" s="12">
        <v>45545.806929571801</v>
      </c>
      <c r="C687">
        <v>607</v>
      </c>
      <c r="D687">
        <v>45536</v>
      </c>
      <c r="E687">
        <v>45505</v>
      </c>
      <c r="F687">
        <v>1</v>
      </c>
      <c r="G687">
        <v>1</v>
      </c>
    </row>
    <row r="688" spans="1:7" x14ac:dyDescent="0.25">
      <c r="A688">
        <v>690</v>
      </c>
      <c r="B688" s="12">
        <v>45546.076277407403</v>
      </c>
      <c r="C688">
        <v>229</v>
      </c>
      <c r="D688">
        <v>45536</v>
      </c>
      <c r="E688">
        <v>45536</v>
      </c>
      <c r="F688">
        <v>0</v>
      </c>
      <c r="G688">
        <v>1</v>
      </c>
    </row>
    <row r="689" spans="1:7" x14ac:dyDescent="0.25">
      <c r="A689">
        <v>749</v>
      </c>
      <c r="B689" s="12">
        <v>45546.309116828699</v>
      </c>
      <c r="C689">
        <v>751</v>
      </c>
      <c r="D689">
        <v>45536</v>
      </c>
      <c r="E689">
        <v>45536</v>
      </c>
      <c r="F689">
        <v>0</v>
      </c>
      <c r="G689">
        <v>1</v>
      </c>
    </row>
    <row r="690" spans="1:7" x14ac:dyDescent="0.25">
      <c r="A690">
        <v>867</v>
      </c>
      <c r="B690" s="12">
        <v>45546.754941701402</v>
      </c>
      <c r="C690">
        <v>877</v>
      </c>
      <c r="D690">
        <v>45536</v>
      </c>
      <c r="E690">
        <v>45444</v>
      </c>
      <c r="F690">
        <v>3</v>
      </c>
      <c r="G690">
        <v>1</v>
      </c>
    </row>
    <row r="691" spans="1:7" x14ac:dyDescent="0.25">
      <c r="A691">
        <v>545</v>
      </c>
      <c r="B691" s="12">
        <v>45547.416218333303</v>
      </c>
      <c r="C691">
        <v>915</v>
      </c>
      <c r="D691">
        <v>45536</v>
      </c>
      <c r="E691">
        <v>45536</v>
      </c>
      <c r="F691">
        <v>0</v>
      </c>
      <c r="G691">
        <v>1</v>
      </c>
    </row>
    <row r="692" spans="1:7" x14ac:dyDescent="0.25">
      <c r="A692">
        <v>62</v>
      </c>
      <c r="B692" s="12">
        <v>45548.209138101898</v>
      </c>
      <c r="C692">
        <v>363</v>
      </c>
      <c r="D692">
        <v>45536</v>
      </c>
      <c r="E692">
        <v>45536</v>
      </c>
      <c r="F692">
        <v>0</v>
      </c>
      <c r="G692">
        <v>1</v>
      </c>
    </row>
    <row r="693" spans="1:7" x14ac:dyDescent="0.25">
      <c r="A693">
        <v>477</v>
      </c>
      <c r="B693" s="12">
        <v>45548.6420240972</v>
      </c>
      <c r="C693">
        <v>833</v>
      </c>
      <c r="D693">
        <v>45536</v>
      </c>
      <c r="E693">
        <v>45352</v>
      </c>
      <c r="F693">
        <v>6</v>
      </c>
      <c r="G693">
        <v>1</v>
      </c>
    </row>
    <row r="694" spans="1:7" x14ac:dyDescent="0.25">
      <c r="A694">
        <v>475</v>
      </c>
      <c r="B694" s="12">
        <v>45548.787319768497</v>
      </c>
      <c r="C694">
        <v>320</v>
      </c>
      <c r="D694">
        <v>45536</v>
      </c>
      <c r="E694">
        <v>45536</v>
      </c>
      <c r="F694">
        <v>0</v>
      </c>
      <c r="G694">
        <v>1</v>
      </c>
    </row>
    <row r="695" spans="1:7" x14ac:dyDescent="0.25">
      <c r="A695">
        <v>386</v>
      </c>
      <c r="B695" s="12">
        <v>45548.8355845486</v>
      </c>
      <c r="C695">
        <v>642</v>
      </c>
      <c r="D695">
        <v>45536</v>
      </c>
      <c r="E695">
        <v>45474</v>
      </c>
      <c r="F695">
        <v>2</v>
      </c>
      <c r="G695">
        <v>0</v>
      </c>
    </row>
    <row r="696" spans="1:7" x14ac:dyDescent="0.25">
      <c r="A696">
        <v>517</v>
      </c>
      <c r="B696" s="12">
        <v>45549.338826446801</v>
      </c>
      <c r="C696">
        <v>263</v>
      </c>
      <c r="D696">
        <v>45536</v>
      </c>
      <c r="E696">
        <v>45536</v>
      </c>
      <c r="F696">
        <v>0</v>
      </c>
      <c r="G696">
        <v>1</v>
      </c>
    </row>
    <row r="697" spans="1:7" x14ac:dyDescent="0.25">
      <c r="A697">
        <v>285</v>
      </c>
      <c r="B697" s="12">
        <v>45549.535194560201</v>
      </c>
      <c r="C697">
        <v>924</v>
      </c>
      <c r="D697">
        <v>45536</v>
      </c>
      <c r="E697">
        <v>45536</v>
      </c>
      <c r="F697">
        <v>0</v>
      </c>
      <c r="G697">
        <v>1</v>
      </c>
    </row>
    <row r="698" spans="1:7" x14ac:dyDescent="0.25">
      <c r="A698">
        <v>41</v>
      </c>
      <c r="B698" s="12">
        <v>45549.551773726896</v>
      </c>
      <c r="C698">
        <v>386</v>
      </c>
      <c r="D698">
        <v>45536</v>
      </c>
      <c r="E698">
        <v>45413</v>
      </c>
      <c r="F698">
        <v>4</v>
      </c>
      <c r="G698">
        <v>1</v>
      </c>
    </row>
    <row r="699" spans="1:7" x14ac:dyDescent="0.25">
      <c r="A699">
        <v>112</v>
      </c>
      <c r="B699" s="12">
        <v>45550.017429629603</v>
      </c>
      <c r="C699">
        <v>181</v>
      </c>
      <c r="D699">
        <v>45536</v>
      </c>
      <c r="E699">
        <v>45536</v>
      </c>
      <c r="F699">
        <v>0</v>
      </c>
      <c r="G699">
        <v>1</v>
      </c>
    </row>
    <row r="700" spans="1:7" x14ac:dyDescent="0.25">
      <c r="A700">
        <v>953</v>
      </c>
      <c r="B700" s="12">
        <v>45550.024424143499</v>
      </c>
      <c r="C700">
        <v>845</v>
      </c>
      <c r="D700">
        <v>45536</v>
      </c>
      <c r="E700">
        <v>45323</v>
      </c>
      <c r="F700">
        <v>7</v>
      </c>
      <c r="G700">
        <v>1</v>
      </c>
    </row>
    <row r="701" spans="1:7" x14ac:dyDescent="0.25">
      <c r="A701">
        <v>785</v>
      </c>
      <c r="B701" s="12">
        <v>45550.159261099499</v>
      </c>
      <c r="C701">
        <v>446</v>
      </c>
      <c r="D701">
        <v>45536</v>
      </c>
      <c r="E701">
        <v>45536</v>
      </c>
      <c r="F701">
        <v>0</v>
      </c>
      <c r="G701">
        <v>1</v>
      </c>
    </row>
    <row r="702" spans="1:7" x14ac:dyDescent="0.25">
      <c r="A702">
        <v>39</v>
      </c>
      <c r="B702" s="12">
        <v>45550.635749884299</v>
      </c>
      <c r="C702">
        <v>81</v>
      </c>
      <c r="D702">
        <v>45536</v>
      </c>
      <c r="E702">
        <v>45383</v>
      </c>
      <c r="F702">
        <v>5</v>
      </c>
      <c r="G702">
        <v>1</v>
      </c>
    </row>
    <row r="703" spans="1:7" x14ac:dyDescent="0.25">
      <c r="A703">
        <v>943</v>
      </c>
      <c r="B703" s="12">
        <v>45550.771635752302</v>
      </c>
      <c r="C703">
        <v>230</v>
      </c>
      <c r="D703">
        <v>45536</v>
      </c>
      <c r="E703">
        <v>45474</v>
      </c>
      <c r="F703">
        <v>2</v>
      </c>
      <c r="G703">
        <v>1</v>
      </c>
    </row>
    <row r="704" spans="1:7" x14ac:dyDescent="0.25">
      <c r="A704">
        <v>892</v>
      </c>
      <c r="B704" s="12">
        <v>45550.793225925903</v>
      </c>
      <c r="C704">
        <v>195</v>
      </c>
      <c r="D704">
        <v>45536</v>
      </c>
      <c r="E704">
        <v>45292</v>
      </c>
      <c r="F704">
        <v>8</v>
      </c>
      <c r="G704">
        <v>1</v>
      </c>
    </row>
    <row r="705" spans="1:7" x14ac:dyDescent="0.25">
      <c r="A705">
        <v>830</v>
      </c>
      <c r="B705" s="12">
        <v>45550.951939814797</v>
      </c>
      <c r="C705">
        <v>19</v>
      </c>
      <c r="D705">
        <v>45536</v>
      </c>
      <c r="E705">
        <v>45536</v>
      </c>
      <c r="F705">
        <v>0</v>
      </c>
      <c r="G705">
        <v>1</v>
      </c>
    </row>
    <row r="706" spans="1:7" x14ac:dyDescent="0.25">
      <c r="A706">
        <v>907</v>
      </c>
      <c r="B706" s="12">
        <v>45551.0697378357</v>
      </c>
      <c r="C706">
        <v>660</v>
      </c>
      <c r="D706">
        <v>45536</v>
      </c>
      <c r="E706">
        <v>45536</v>
      </c>
      <c r="F706">
        <v>0</v>
      </c>
      <c r="G706">
        <v>1</v>
      </c>
    </row>
    <row r="707" spans="1:7" x14ac:dyDescent="0.25">
      <c r="A707">
        <v>192</v>
      </c>
      <c r="B707" s="12">
        <v>45551.449995324103</v>
      </c>
      <c r="C707">
        <v>942</v>
      </c>
      <c r="D707">
        <v>45536</v>
      </c>
      <c r="E707">
        <v>45444</v>
      </c>
      <c r="F707">
        <v>3</v>
      </c>
      <c r="G707">
        <v>1</v>
      </c>
    </row>
    <row r="708" spans="1:7" x14ac:dyDescent="0.25">
      <c r="A708">
        <v>511</v>
      </c>
      <c r="B708" s="12">
        <v>45551.622051157399</v>
      </c>
      <c r="C708">
        <v>388</v>
      </c>
      <c r="D708">
        <v>45536</v>
      </c>
      <c r="E708">
        <v>45292</v>
      </c>
      <c r="F708">
        <v>8</v>
      </c>
      <c r="G708">
        <v>0</v>
      </c>
    </row>
    <row r="709" spans="1:7" x14ac:dyDescent="0.25">
      <c r="A709">
        <v>223</v>
      </c>
      <c r="B709" s="12">
        <v>45552.410312673601</v>
      </c>
      <c r="C709">
        <v>286</v>
      </c>
      <c r="D709">
        <v>45536</v>
      </c>
      <c r="E709">
        <v>45292</v>
      </c>
      <c r="F709">
        <v>8</v>
      </c>
      <c r="G709">
        <v>1</v>
      </c>
    </row>
    <row r="710" spans="1:7" x14ac:dyDescent="0.25">
      <c r="A710">
        <v>242</v>
      </c>
      <c r="B710" s="12">
        <v>45552.413797708301</v>
      </c>
      <c r="C710">
        <v>347</v>
      </c>
      <c r="D710">
        <v>45536</v>
      </c>
      <c r="E710">
        <v>45323</v>
      </c>
      <c r="F710">
        <v>7</v>
      </c>
      <c r="G710">
        <v>1</v>
      </c>
    </row>
    <row r="711" spans="1:7" x14ac:dyDescent="0.25">
      <c r="A711">
        <v>47</v>
      </c>
      <c r="B711" s="12">
        <v>45552.542399571801</v>
      </c>
      <c r="C711">
        <v>931</v>
      </c>
      <c r="D711">
        <v>45536</v>
      </c>
      <c r="E711">
        <v>45292</v>
      </c>
      <c r="F711">
        <v>8</v>
      </c>
      <c r="G711">
        <v>1</v>
      </c>
    </row>
    <row r="712" spans="1:7" x14ac:dyDescent="0.25">
      <c r="A712">
        <v>833</v>
      </c>
      <c r="B712" s="12">
        <v>45554.003126550902</v>
      </c>
      <c r="C712">
        <v>688</v>
      </c>
      <c r="D712">
        <v>45536</v>
      </c>
      <c r="E712">
        <v>45536</v>
      </c>
      <c r="F712">
        <v>0</v>
      </c>
      <c r="G712">
        <v>1</v>
      </c>
    </row>
    <row r="713" spans="1:7" x14ac:dyDescent="0.25">
      <c r="A713">
        <v>441</v>
      </c>
      <c r="B713" s="12">
        <v>45554.319318287002</v>
      </c>
      <c r="C713">
        <v>584</v>
      </c>
      <c r="D713">
        <v>45536</v>
      </c>
      <c r="E713">
        <v>45536</v>
      </c>
      <c r="F713">
        <v>0</v>
      </c>
      <c r="G713">
        <v>1</v>
      </c>
    </row>
    <row r="714" spans="1:7" x14ac:dyDescent="0.25">
      <c r="A714">
        <v>455</v>
      </c>
      <c r="B714" s="12">
        <v>45554.447756180598</v>
      </c>
      <c r="C714">
        <v>797</v>
      </c>
      <c r="D714">
        <v>45536</v>
      </c>
      <c r="E714">
        <v>45383</v>
      </c>
      <c r="F714">
        <v>5</v>
      </c>
      <c r="G714">
        <v>1</v>
      </c>
    </row>
    <row r="715" spans="1:7" x14ac:dyDescent="0.25">
      <c r="A715">
        <v>404</v>
      </c>
      <c r="B715" s="12">
        <v>45554.653611793998</v>
      </c>
      <c r="C715">
        <v>282</v>
      </c>
      <c r="D715">
        <v>45536</v>
      </c>
      <c r="E715">
        <v>45536</v>
      </c>
      <c r="F715">
        <v>0</v>
      </c>
      <c r="G715">
        <v>1</v>
      </c>
    </row>
    <row r="716" spans="1:7" x14ac:dyDescent="0.25">
      <c r="A716">
        <v>511</v>
      </c>
      <c r="B716" s="12">
        <v>45554.824100347199</v>
      </c>
      <c r="C716">
        <v>428</v>
      </c>
      <c r="D716">
        <v>45536</v>
      </c>
      <c r="E716">
        <v>45292</v>
      </c>
      <c r="F716">
        <v>8</v>
      </c>
      <c r="G716">
        <v>1</v>
      </c>
    </row>
    <row r="717" spans="1:7" x14ac:dyDescent="0.25">
      <c r="A717">
        <v>873</v>
      </c>
      <c r="B717" s="12">
        <v>45554.848938449097</v>
      </c>
      <c r="C717">
        <v>602</v>
      </c>
      <c r="D717">
        <v>45536</v>
      </c>
      <c r="E717">
        <v>45536</v>
      </c>
      <c r="F717">
        <v>0</v>
      </c>
      <c r="G717">
        <v>1</v>
      </c>
    </row>
    <row r="718" spans="1:7" x14ac:dyDescent="0.25">
      <c r="A718">
        <v>916</v>
      </c>
      <c r="B718" s="12">
        <v>45555.375818472203</v>
      </c>
      <c r="C718">
        <v>369</v>
      </c>
      <c r="D718">
        <v>45536</v>
      </c>
      <c r="E718">
        <v>45536</v>
      </c>
      <c r="F718">
        <v>0</v>
      </c>
      <c r="G718">
        <v>1</v>
      </c>
    </row>
    <row r="719" spans="1:7" x14ac:dyDescent="0.25">
      <c r="A719">
        <v>416</v>
      </c>
      <c r="B719" s="12">
        <v>45555.591519548601</v>
      </c>
      <c r="C719">
        <v>52</v>
      </c>
      <c r="D719">
        <v>45536</v>
      </c>
      <c r="E719">
        <v>45536</v>
      </c>
      <c r="F719">
        <v>0</v>
      </c>
      <c r="G719">
        <v>1</v>
      </c>
    </row>
    <row r="720" spans="1:7" x14ac:dyDescent="0.25">
      <c r="A720">
        <v>930</v>
      </c>
      <c r="B720" s="12">
        <v>45557.821579062504</v>
      </c>
      <c r="C720">
        <v>199</v>
      </c>
      <c r="D720">
        <v>45536</v>
      </c>
      <c r="E720">
        <v>45536</v>
      </c>
      <c r="F720">
        <v>0</v>
      </c>
      <c r="G720">
        <v>1</v>
      </c>
    </row>
    <row r="721" spans="1:7" x14ac:dyDescent="0.25">
      <c r="A721">
        <v>225</v>
      </c>
      <c r="B721" s="12">
        <v>45558.0903774537</v>
      </c>
      <c r="C721">
        <v>406</v>
      </c>
      <c r="D721">
        <v>45536</v>
      </c>
      <c r="E721">
        <v>45323</v>
      </c>
      <c r="F721">
        <v>7</v>
      </c>
      <c r="G721">
        <v>1</v>
      </c>
    </row>
    <row r="722" spans="1:7" x14ac:dyDescent="0.25">
      <c r="A722">
        <v>956</v>
      </c>
      <c r="B722" s="12">
        <v>45558.152529143503</v>
      </c>
      <c r="C722">
        <v>215</v>
      </c>
      <c r="D722">
        <v>45536</v>
      </c>
      <c r="E722">
        <v>45323</v>
      </c>
      <c r="F722">
        <v>7</v>
      </c>
      <c r="G722">
        <v>1</v>
      </c>
    </row>
    <row r="723" spans="1:7" x14ac:dyDescent="0.25">
      <c r="A723">
        <v>386</v>
      </c>
      <c r="B723" s="12">
        <v>45558.896499664399</v>
      </c>
      <c r="C723">
        <v>724</v>
      </c>
      <c r="D723">
        <v>45536</v>
      </c>
      <c r="E723">
        <v>45474</v>
      </c>
      <c r="F723">
        <v>2</v>
      </c>
      <c r="G723">
        <v>1</v>
      </c>
    </row>
    <row r="724" spans="1:7" x14ac:dyDescent="0.25">
      <c r="A724">
        <v>769</v>
      </c>
      <c r="B724" s="12">
        <v>45558.953589525503</v>
      </c>
      <c r="C724">
        <v>133</v>
      </c>
      <c r="D724">
        <v>45536</v>
      </c>
      <c r="E724">
        <v>45505</v>
      </c>
      <c r="F724">
        <v>1</v>
      </c>
      <c r="G724">
        <v>1</v>
      </c>
    </row>
    <row r="725" spans="1:7" x14ac:dyDescent="0.25">
      <c r="A725">
        <v>476</v>
      </c>
      <c r="B725" s="12">
        <v>45559.5833414468</v>
      </c>
      <c r="C725">
        <v>837</v>
      </c>
      <c r="D725">
        <v>45536</v>
      </c>
      <c r="E725">
        <v>45474</v>
      </c>
      <c r="F725">
        <v>2</v>
      </c>
      <c r="G725">
        <v>1</v>
      </c>
    </row>
    <row r="726" spans="1:7" x14ac:dyDescent="0.25">
      <c r="A726">
        <v>983</v>
      </c>
      <c r="B726" s="12">
        <v>45559.770766678201</v>
      </c>
      <c r="C726">
        <v>19</v>
      </c>
      <c r="D726">
        <v>45536</v>
      </c>
      <c r="E726">
        <v>45536</v>
      </c>
      <c r="F726">
        <v>0</v>
      </c>
      <c r="G726">
        <v>1</v>
      </c>
    </row>
    <row r="727" spans="1:7" x14ac:dyDescent="0.25">
      <c r="A727">
        <v>309</v>
      </c>
      <c r="B727" s="12">
        <v>45559.809516273199</v>
      </c>
      <c r="C727">
        <v>123</v>
      </c>
      <c r="D727">
        <v>45536</v>
      </c>
      <c r="E727">
        <v>45536</v>
      </c>
      <c r="F727">
        <v>0</v>
      </c>
      <c r="G727">
        <v>1</v>
      </c>
    </row>
    <row r="728" spans="1:7" x14ac:dyDescent="0.25">
      <c r="A728">
        <v>133</v>
      </c>
      <c r="B728" s="12">
        <v>45559.914958368099</v>
      </c>
      <c r="C728">
        <v>163</v>
      </c>
      <c r="D728">
        <v>45536</v>
      </c>
      <c r="E728">
        <v>45536</v>
      </c>
      <c r="F728">
        <v>0</v>
      </c>
      <c r="G728">
        <v>1</v>
      </c>
    </row>
    <row r="729" spans="1:7" x14ac:dyDescent="0.25">
      <c r="A729">
        <v>203</v>
      </c>
      <c r="B729" s="12">
        <v>45560.0577222801</v>
      </c>
      <c r="C729">
        <v>417</v>
      </c>
      <c r="D729">
        <v>45536</v>
      </c>
      <c r="E729">
        <v>45536</v>
      </c>
      <c r="F729">
        <v>0</v>
      </c>
      <c r="G729">
        <v>1</v>
      </c>
    </row>
    <row r="730" spans="1:7" x14ac:dyDescent="0.25">
      <c r="A730">
        <v>776</v>
      </c>
      <c r="B730" s="12">
        <v>45560.0740570833</v>
      </c>
      <c r="C730">
        <v>275</v>
      </c>
      <c r="D730">
        <v>45536</v>
      </c>
      <c r="E730">
        <v>45352</v>
      </c>
      <c r="F730">
        <v>6</v>
      </c>
      <c r="G730">
        <v>1</v>
      </c>
    </row>
    <row r="731" spans="1:7" x14ac:dyDescent="0.25">
      <c r="A731">
        <v>607</v>
      </c>
      <c r="B731" s="12">
        <v>45560.135925289404</v>
      </c>
      <c r="C731">
        <v>884</v>
      </c>
      <c r="D731">
        <v>45536</v>
      </c>
      <c r="E731">
        <v>45505</v>
      </c>
      <c r="F731">
        <v>1</v>
      </c>
      <c r="G731">
        <v>1</v>
      </c>
    </row>
    <row r="732" spans="1:7" x14ac:dyDescent="0.25">
      <c r="A732">
        <v>28</v>
      </c>
      <c r="B732" s="12">
        <v>45560.319252222202</v>
      </c>
      <c r="C732">
        <v>681</v>
      </c>
      <c r="D732">
        <v>45536</v>
      </c>
      <c r="E732">
        <v>45536</v>
      </c>
      <c r="F732">
        <v>0</v>
      </c>
      <c r="G732">
        <v>1</v>
      </c>
    </row>
    <row r="733" spans="1:7" x14ac:dyDescent="0.25">
      <c r="A733">
        <v>69</v>
      </c>
      <c r="B733" s="12">
        <v>45560.667057036997</v>
      </c>
      <c r="C733">
        <v>311</v>
      </c>
      <c r="D733">
        <v>45536</v>
      </c>
      <c r="E733">
        <v>45505</v>
      </c>
      <c r="F733">
        <v>1</v>
      </c>
      <c r="G733">
        <v>1</v>
      </c>
    </row>
    <row r="734" spans="1:7" x14ac:dyDescent="0.25">
      <c r="A734">
        <v>472</v>
      </c>
      <c r="B734" s="12">
        <v>45561.001269594897</v>
      </c>
      <c r="C734">
        <v>581</v>
      </c>
      <c r="D734">
        <v>45536</v>
      </c>
      <c r="E734">
        <v>45505</v>
      </c>
      <c r="F734">
        <v>1</v>
      </c>
      <c r="G734">
        <v>1</v>
      </c>
    </row>
    <row r="735" spans="1:7" x14ac:dyDescent="0.25">
      <c r="A735">
        <v>658</v>
      </c>
      <c r="B735" s="12">
        <v>45561.269385312502</v>
      </c>
      <c r="C735">
        <v>664</v>
      </c>
      <c r="D735">
        <v>45536</v>
      </c>
      <c r="E735">
        <v>45536</v>
      </c>
      <c r="F735">
        <v>0</v>
      </c>
      <c r="G735">
        <v>1</v>
      </c>
    </row>
    <row r="736" spans="1:7" x14ac:dyDescent="0.25">
      <c r="A736">
        <v>656</v>
      </c>
      <c r="B736" s="12">
        <v>45561.502686689797</v>
      </c>
      <c r="C736">
        <v>694</v>
      </c>
      <c r="D736">
        <v>45536</v>
      </c>
      <c r="E736">
        <v>45536</v>
      </c>
      <c r="F736">
        <v>0</v>
      </c>
      <c r="G736">
        <v>1</v>
      </c>
    </row>
    <row r="737" spans="1:7" x14ac:dyDescent="0.25">
      <c r="A737">
        <v>473</v>
      </c>
      <c r="B737" s="12">
        <v>45562.282160844901</v>
      </c>
      <c r="C737">
        <v>599</v>
      </c>
      <c r="D737">
        <v>45536</v>
      </c>
      <c r="E737">
        <v>45413</v>
      </c>
      <c r="F737">
        <v>4</v>
      </c>
      <c r="G737">
        <v>1</v>
      </c>
    </row>
    <row r="738" spans="1:7" x14ac:dyDescent="0.25">
      <c r="A738">
        <v>613</v>
      </c>
      <c r="B738" s="12">
        <v>45562.645570254601</v>
      </c>
      <c r="C738">
        <v>785</v>
      </c>
      <c r="D738">
        <v>45536</v>
      </c>
      <c r="E738">
        <v>45352</v>
      </c>
      <c r="F738">
        <v>6</v>
      </c>
      <c r="G738">
        <v>1</v>
      </c>
    </row>
    <row r="739" spans="1:7" x14ac:dyDescent="0.25">
      <c r="A739">
        <v>124</v>
      </c>
      <c r="B739" s="12">
        <v>45562.945141296303</v>
      </c>
      <c r="C739">
        <v>549</v>
      </c>
      <c r="D739">
        <v>45536</v>
      </c>
      <c r="E739">
        <v>45536</v>
      </c>
      <c r="F739">
        <v>0</v>
      </c>
      <c r="G739">
        <v>1</v>
      </c>
    </row>
    <row r="740" spans="1:7" x14ac:dyDescent="0.25">
      <c r="A740">
        <v>750</v>
      </c>
      <c r="B740" s="12">
        <v>45564.468992604197</v>
      </c>
      <c r="C740">
        <v>358</v>
      </c>
      <c r="D740">
        <v>45536</v>
      </c>
      <c r="E740">
        <v>45536</v>
      </c>
      <c r="F740">
        <v>0</v>
      </c>
      <c r="G740">
        <v>1</v>
      </c>
    </row>
    <row r="741" spans="1:7" x14ac:dyDescent="0.25">
      <c r="A741">
        <v>154</v>
      </c>
      <c r="B741" s="12">
        <v>45564.4739538426</v>
      </c>
      <c r="C741">
        <v>639</v>
      </c>
      <c r="D741">
        <v>45536</v>
      </c>
      <c r="E741">
        <v>45536</v>
      </c>
      <c r="F741">
        <v>0</v>
      </c>
      <c r="G741">
        <v>1</v>
      </c>
    </row>
    <row r="742" spans="1:7" x14ac:dyDescent="0.25">
      <c r="A742">
        <v>190</v>
      </c>
      <c r="B742" s="12">
        <v>45565.037178634302</v>
      </c>
      <c r="C742">
        <v>345</v>
      </c>
      <c r="D742">
        <v>45536</v>
      </c>
      <c r="E742">
        <v>45323</v>
      </c>
      <c r="F742">
        <v>7</v>
      </c>
      <c r="G742">
        <v>1</v>
      </c>
    </row>
    <row r="743" spans="1:7" x14ac:dyDescent="0.25">
      <c r="A743">
        <v>298</v>
      </c>
      <c r="B743" s="12">
        <v>45565.386279004597</v>
      </c>
      <c r="C743">
        <v>128</v>
      </c>
      <c r="D743">
        <v>45536</v>
      </c>
      <c r="E743">
        <v>45536</v>
      </c>
      <c r="F743">
        <v>0</v>
      </c>
      <c r="G743">
        <v>1</v>
      </c>
    </row>
    <row r="744" spans="1:7" x14ac:dyDescent="0.25">
      <c r="A744">
        <v>987</v>
      </c>
      <c r="B744" s="12">
        <v>45565.433579432902</v>
      </c>
      <c r="C744">
        <v>794</v>
      </c>
      <c r="D744">
        <v>45536</v>
      </c>
      <c r="E744">
        <v>45536</v>
      </c>
      <c r="F744">
        <v>0</v>
      </c>
      <c r="G744">
        <v>1</v>
      </c>
    </row>
    <row r="745" spans="1:7" x14ac:dyDescent="0.25">
      <c r="A745">
        <v>878</v>
      </c>
      <c r="B745" s="12">
        <v>45565.897478009298</v>
      </c>
      <c r="C745">
        <v>553</v>
      </c>
      <c r="D745">
        <v>45536</v>
      </c>
      <c r="E745">
        <v>45536</v>
      </c>
      <c r="F745">
        <v>0</v>
      </c>
      <c r="G745">
        <v>1</v>
      </c>
    </row>
    <row r="746" spans="1:7" x14ac:dyDescent="0.25">
      <c r="A746">
        <v>148</v>
      </c>
      <c r="B746" s="12">
        <v>45565.9619769907</v>
      </c>
      <c r="C746">
        <v>346</v>
      </c>
      <c r="D746">
        <v>45536</v>
      </c>
      <c r="E746">
        <v>45536</v>
      </c>
      <c r="F746">
        <v>0</v>
      </c>
      <c r="G746">
        <v>1</v>
      </c>
    </row>
    <row r="747" spans="1:7" x14ac:dyDescent="0.25">
      <c r="A747">
        <v>796</v>
      </c>
      <c r="B747" s="12">
        <v>45566.192588854203</v>
      </c>
      <c r="C747">
        <v>222</v>
      </c>
      <c r="D747">
        <v>45566</v>
      </c>
      <c r="E747">
        <v>45474</v>
      </c>
      <c r="F747">
        <v>3</v>
      </c>
      <c r="G747">
        <v>1</v>
      </c>
    </row>
    <row r="748" spans="1:7" x14ac:dyDescent="0.25">
      <c r="A748">
        <v>954</v>
      </c>
      <c r="B748" s="12">
        <v>45566.6260084491</v>
      </c>
      <c r="C748">
        <v>735</v>
      </c>
      <c r="D748">
        <v>45566</v>
      </c>
      <c r="E748">
        <v>45566</v>
      </c>
      <c r="F748">
        <v>0</v>
      </c>
      <c r="G748">
        <v>1</v>
      </c>
    </row>
    <row r="749" spans="1:7" x14ac:dyDescent="0.25">
      <c r="A749">
        <v>506</v>
      </c>
      <c r="B749" s="12">
        <v>45566.680706909698</v>
      </c>
      <c r="C749">
        <v>317</v>
      </c>
      <c r="D749">
        <v>45566</v>
      </c>
      <c r="E749">
        <v>45536</v>
      </c>
      <c r="F749">
        <v>1</v>
      </c>
      <c r="G749">
        <v>1</v>
      </c>
    </row>
    <row r="750" spans="1:7" x14ac:dyDescent="0.25">
      <c r="A750">
        <v>151</v>
      </c>
      <c r="B750" s="12">
        <v>45567.2746020255</v>
      </c>
      <c r="C750">
        <v>580</v>
      </c>
      <c r="D750">
        <v>45566</v>
      </c>
      <c r="E750">
        <v>45566</v>
      </c>
      <c r="F750">
        <v>0</v>
      </c>
      <c r="G750">
        <v>1</v>
      </c>
    </row>
    <row r="751" spans="1:7" x14ac:dyDescent="0.25">
      <c r="A751">
        <v>167</v>
      </c>
      <c r="B751" s="12">
        <v>45567.2856876968</v>
      </c>
      <c r="C751">
        <v>485</v>
      </c>
      <c r="D751">
        <v>45566</v>
      </c>
      <c r="E751">
        <v>45413</v>
      </c>
      <c r="F751">
        <v>5</v>
      </c>
      <c r="G751">
        <v>1</v>
      </c>
    </row>
    <row r="752" spans="1:7" x14ac:dyDescent="0.25">
      <c r="A752">
        <v>689</v>
      </c>
      <c r="B752" s="12">
        <v>45567.303745648198</v>
      </c>
      <c r="C752">
        <v>314</v>
      </c>
      <c r="D752">
        <v>45566</v>
      </c>
      <c r="E752">
        <v>45566</v>
      </c>
      <c r="F752">
        <v>0</v>
      </c>
      <c r="G752">
        <v>1</v>
      </c>
    </row>
    <row r="753" spans="1:7" x14ac:dyDescent="0.25">
      <c r="A753">
        <v>704</v>
      </c>
      <c r="B753" s="12">
        <v>45567.464619363403</v>
      </c>
      <c r="C753">
        <v>459</v>
      </c>
      <c r="D753">
        <v>45566</v>
      </c>
      <c r="E753">
        <v>45323</v>
      </c>
      <c r="F753">
        <v>8</v>
      </c>
      <c r="G753">
        <v>1</v>
      </c>
    </row>
    <row r="754" spans="1:7" x14ac:dyDescent="0.25">
      <c r="A754">
        <v>608</v>
      </c>
      <c r="B754" s="12">
        <v>45568.081459479203</v>
      </c>
      <c r="C754">
        <v>578</v>
      </c>
      <c r="D754">
        <v>45566</v>
      </c>
      <c r="E754">
        <v>45444</v>
      </c>
      <c r="F754">
        <v>4</v>
      </c>
      <c r="G754">
        <v>1</v>
      </c>
    </row>
    <row r="755" spans="1:7" x14ac:dyDescent="0.25">
      <c r="A755">
        <v>676</v>
      </c>
      <c r="B755" s="12">
        <v>45568.353171782401</v>
      </c>
      <c r="C755">
        <v>486</v>
      </c>
      <c r="D755">
        <v>45566</v>
      </c>
      <c r="E755">
        <v>45413</v>
      </c>
      <c r="F755">
        <v>5</v>
      </c>
      <c r="G755">
        <v>1</v>
      </c>
    </row>
    <row r="756" spans="1:7" x14ac:dyDescent="0.25">
      <c r="A756">
        <v>660</v>
      </c>
      <c r="B756" s="12">
        <v>45568.444409502299</v>
      </c>
      <c r="C756">
        <v>563</v>
      </c>
      <c r="D756">
        <v>45566</v>
      </c>
      <c r="E756">
        <v>45444</v>
      </c>
      <c r="F756">
        <v>4</v>
      </c>
      <c r="G756">
        <v>1</v>
      </c>
    </row>
    <row r="757" spans="1:7" x14ac:dyDescent="0.25">
      <c r="A757">
        <v>33</v>
      </c>
      <c r="B757" s="12">
        <v>45569.117402418997</v>
      </c>
      <c r="C757">
        <v>607</v>
      </c>
      <c r="D757">
        <v>45566</v>
      </c>
      <c r="E757">
        <v>45566</v>
      </c>
      <c r="F757">
        <v>0</v>
      </c>
      <c r="G757">
        <v>1</v>
      </c>
    </row>
    <row r="758" spans="1:7" x14ac:dyDescent="0.25">
      <c r="A758">
        <v>922</v>
      </c>
      <c r="B758" s="12">
        <v>45569.308917419003</v>
      </c>
      <c r="C758">
        <v>541</v>
      </c>
      <c r="D758">
        <v>45566</v>
      </c>
      <c r="E758">
        <v>45566</v>
      </c>
      <c r="F758">
        <v>0</v>
      </c>
      <c r="G758">
        <v>1</v>
      </c>
    </row>
    <row r="759" spans="1:7" x14ac:dyDescent="0.25">
      <c r="A759">
        <v>231</v>
      </c>
      <c r="B759" s="12">
        <v>45569.595243101903</v>
      </c>
      <c r="C759">
        <v>992</v>
      </c>
      <c r="D759">
        <v>45566</v>
      </c>
      <c r="E759">
        <v>45323</v>
      </c>
      <c r="F759">
        <v>8</v>
      </c>
      <c r="G759">
        <v>1</v>
      </c>
    </row>
    <row r="760" spans="1:7" x14ac:dyDescent="0.25">
      <c r="A760">
        <v>672</v>
      </c>
      <c r="B760" s="12">
        <v>45570.632365324098</v>
      </c>
      <c r="C760">
        <v>622</v>
      </c>
      <c r="D760">
        <v>45566</v>
      </c>
      <c r="E760">
        <v>45474</v>
      </c>
      <c r="F760">
        <v>3</v>
      </c>
      <c r="G760">
        <v>1</v>
      </c>
    </row>
    <row r="761" spans="1:7" x14ac:dyDescent="0.25">
      <c r="A761">
        <v>565</v>
      </c>
      <c r="B761" s="12">
        <v>45570.705325057897</v>
      </c>
      <c r="C761">
        <v>587</v>
      </c>
      <c r="D761">
        <v>45566</v>
      </c>
      <c r="E761">
        <v>45413</v>
      </c>
      <c r="F761">
        <v>5</v>
      </c>
      <c r="G761">
        <v>1</v>
      </c>
    </row>
    <row r="762" spans="1:7" x14ac:dyDescent="0.25">
      <c r="A762">
        <v>551</v>
      </c>
      <c r="B762" s="12">
        <v>45570.831127349498</v>
      </c>
      <c r="C762">
        <v>365</v>
      </c>
      <c r="D762">
        <v>45566</v>
      </c>
      <c r="E762">
        <v>45292</v>
      </c>
      <c r="F762">
        <v>9</v>
      </c>
      <c r="G762">
        <v>1</v>
      </c>
    </row>
    <row r="763" spans="1:7" x14ac:dyDescent="0.25">
      <c r="A763">
        <v>191</v>
      </c>
      <c r="B763" s="12">
        <v>45571.033755069497</v>
      </c>
      <c r="C763">
        <v>884</v>
      </c>
      <c r="D763">
        <v>45566</v>
      </c>
      <c r="E763">
        <v>45413</v>
      </c>
      <c r="F763">
        <v>5</v>
      </c>
      <c r="G763">
        <v>1</v>
      </c>
    </row>
    <row r="764" spans="1:7" x14ac:dyDescent="0.25">
      <c r="A764">
        <v>767</v>
      </c>
      <c r="B764" s="12">
        <v>45571.610099976897</v>
      </c>
      <c r="C764">
        <v>654</v>
      </c>
      <c r="D764">
        <v>45566</v>
      </c>
      <c r="E764">
        <v>45292</v>
      </c>
      <c r="F764">
        <v>9</v>
      </c>
      <c r="G764">
        <v>1</v>
      </c>
    </row>
    <row r="765" spans="1:7" x14ac:dyDescent="0.25">
      <c r="A765">
        <v>243</v>
      </c>
      <c r="B765" s="12">
        <v>45572.6414435185</v>
      </c>
      <c r="C765">
        <v>74</v>
      </c>
      <c r="D765">
        <v>45566</v>
      </c>
      <c r="E765">
        <v>45566</v>
      </c>
      <c r="F765">
        <v>0</v>
      </c>
      <c r="G765">
        <v>1</v>
      </c>
    </row>
    <row r="766" spans="1:7" x14ac:dyDescent="0.25">
      <c r="A766">
        <v>620</v>
      </c>
      <c r="B766" s="12">
        <v>45573.986769224502</v>
      </c>
      <c r="C766">
        <v>887</v>
      </c>
      <c r="D766">
        <v>45566</v>
      </c>
      <c r="E766">
        <v>45444</v>
      </c>
      <c r="F766">
        <v>4</v>
      </c>
      <c r="G766">
        <v>1</v>
      </c>
    </row>
    <row r="767" spans="1:7" x14ac:dyDescent="0.25">
      <c r="A767">
        <v>196</v>
      </c>
      <c r="B767" s="12">
        <v>45574.132599074102</v>
      </c>
      <c r="C767">
        <v>208</v>
      </c>
      <c r="D767">
        <v>45566</v>
      </c>
      <c r="E767">
        <v>45292</v>
      </c>
      <c r="F767">
        <v>9</v>
      </c>
      <c r="G767">
        <v>1</v>
      </c>
    </row>
    <row r="768" spans="1:7" x14ac:dyDescent="0.25">
      <c r="A768">
        <v>770</v>
      </c>
      <c r="B768" s="12">
        <v>45574.975372083303</v>
      </c>
      <c r="C768">
        <v>758</v>
      </c>
      <c r="D768">
        <v>45566</v>
      </c>
      <c r="E768">
        <v>45566</v>
      </c>
      <c r="F768">
        <v>0</v>
      </c>
      <c r="G768">
        <v>1</v>
      </c>
    </row>
    <row r="769" spans="1:7" x14ac:dyDescent="0.25">
      <c r="A769">
        <v>725</v>
      </c>
      <c r="B769" s="12">
        <v>45574.9950737732</v>
      </c>
      <c r="C769">
        <v>809</v>
      </c>
      <c r="D769">
        <v>45566</v>
      </c>
      <c r="E769">
        <v>45566</v>
      </c>
      <c r="F769">
        <v>0</v>
      </c>
      <c r="G769">
        <v>1</v>
      </c>
    </row>
    <row r="770" spans="1:7" x14ac:dyDescent="0.25">
      <c r="A770">
        <v>986</v>
      </c>
      <c r="B770" s="12">
        <v>45575.004334919002</v>
      </c>
      <c r="C770">
        <v>427</v>
      </c>
      <c r="D770">
        <v>45566</v>
      </c>
      <c r="E770">
        <v>45566</v>
      </c>
      <c r="F770">
        <v>0</v>
      </c>
      <c r="G770">
        <v>1</v>
      </c>
    </row>
    <row r="771" spans="1:7" x14ac:dyDescent="0.25">
      <c r="A771">
        <v>451</v>
      </c>
      <c r="B771" s="12">
        <v>45575.148985729204</v>
      </c>
      <c r="C771">
        <v>914</v>
      </c>
      <c r="D771">
        <v>45566</v>
      </c>
      <c r="E771">
        <v>45566</v>
      </c>
      <c r="F771">
        <v>0</v>
      </c>
      <c r="G771">
        <v>1</v>
      </c>
    </row>
    <row r="772" spans="1:7" x14ac:dyDescent="0.25">
      <c r="A772">
        <v>163</v>
      </c>
      <c r="B772" s="12">
        <v>45575.517295381898</v>
      </c>
      <c r="C772">
        <v>506</v>
      </c>
      <c r="D772">
        <v>45566</v>
      </c>
      <c r="E772">
        <v>45566</v>
      </c>
      <c r="F772">
        <v>0</v>
      </c>
      <c r="G772">
        <v>1</v>
      </c>
    </row>
    <row r="773" spans="1:7" x14ac:dyDescent="0.25">
      <c r="A773">
        <v>703</v>
      </c>
      <c r="B773" s="12">
        <v>45576.275878194399</v>
      </c>
      <c r="C773">
        <v>445</v>
      </c>
      <c r="D773">
        <v>45566</v>
      </c>
      <c r="E773">
        <v>45566</v>
      </c>
      <c r="F773">
        <v>0</v>
      </c>
      <c r="G773">
        <v>1</v>
      </c>
    </row>
    <row r="774" spans="1:7" x14ac:dyDescent="0.25">
      <c r="A774">
        <v>692</v>
      </c>
      <c r="B774" s="12">
        <v>45576.3288400116</v>
      </c>
      <c r="C774">
        <v>545</v>
      </c>
      <c r="D774">
        <v>45566</v>
      </c>
      <c r="E774">
        <v>45383</v>
      </c>
      <c r="F774">
        <v>6</v>
      </c>
      <c r="G774">
        <v>1</v>
      </c>
    </row>
    <row r="775" spans="1:7" x14ac:dyDescent="0.25">
      <c r="A775">
        <v>519</v>
      </c>
      <c r="B775" s="12">
        <v>45577.462879594903</v>
      </c>
      <c r="C775">
        <v>390</v>
      </c>
      <c r="D775">
        <v>45566</v>
      </c>
      <c r="E775">
        <v>45566</v>
      </c>
      <c r="F775">
        <v>0</v>
      </c>
      <c r="G775">
        <v>1</v>
      </c>
    </row>
    <row r="776" spans="1:7" x14ac:dyDescent="0.25">
      <c r="A776">
        <v>135</v>
      </c>
      <c r="B776" s="12">
        <v>45577.474345254603</v>
      </c>
      <c r="C776">
        <v>245</v>
      </c>
      <c r="D776">
        <v>45566</v>
      </c>
      <c r="E776">
        <v>45566</v>
      </c>
      <c r="F776">
        <v>0</v>
      </c>
      <c r="G776">
        <v>0</v>
      </c>
    </row>
    <row r="777" spans="1:7" x14ac:dyDescent="0.25">
      <c r="A777">
        <v>456</v>
      </c>
      <c r="B777" s="12">
        <v>45577.736408969897</v>
      </c>
      <c r="C777">
        <v>934</v>
      </c>
      <c r="D777">
        <v>45566</v>
      </c>
      <c r="E777">
        <v>45566</v>
      </c>
      <c r="F777">
        <v>0</v>
      </c>
      <c r="G777">
        <v>0</v>
      </c>
    </row>
    <row r="778" spans="1:7" x14ac:dyDescent="0.25">
      <c r="A778">
        <v>656</v>
      </c>
      <c r="B778" s="12">
        <v>45577.848146354198</v>
      </c>
      <c r="C778">
        <v>719</v>
      </c>
      <c r="D778">
        <v>45566</v>
      </c>
      <c r="E778">
        <v>45536</v>
      </c>
      <c r="F778">
        <v>1</v>
      </c>
      <c r="G778">
        <v>1</v>
      </c>
    </row>
    <row r="779" spans="1:7" x14ac:dyDescent="0.25">
      <c r="A779">
        <v>574</v>
      </c>
      <c r="B779" s="12">
        <v>45577.9737657523</v>
      </c>
      <c r="C779">
        <v>409</v>
      </c>
      <c r="D779">
        <v>45566</v>
      </c>
      <c r="E779">
        <v>45566</v>
      </c>
      <c r="F779">
        <v>0</v>
      </c>
      <c r="G779">
        <v>1</v>
      </c>
    </row>
    <row r="780" spans="1:7" x14ac:dyDescent="0.25">
      <c r="A780">
        <v>420</v>
      </c>
      <c r="B780" s="12">
        <v>45578.006317430598</v>
      </c>
      <c r="C780">
        <v>994</v>
      </c>
      <c r="D780">
        <v>45566</v>
      </c>
      <c r="E780">
        <v>45566</v>
      </c>
      <c r="F780">
        <v>0</v>
      </c>
      <c r="G780">
        <v>1</v>
      </c>
    </row>
    <row r="781" spans="1:7" x14ac:dyDescent="0.25">
      <c r="A781">
        <v>365</v>
      </c>
      <c r="B781" s="12">
        <v>45578.071518888901</v>
      </c>
      <c r="C781">
        <v>472</v>
      </c>
      <c r="D781">
        <v>45566</v>
      </c>
      <c r="E781">
        <v>45352</v>
      </c>
      <c r="F781">
        <v>7</v>
      </c>
      <c r="G781">
        <v>1</v>
      </c>
    </row>
    <row r="782" spans="1:7" x14ac:dyDescent="0.25">
      <c r="A782">
        <v>285</v>
      </c>
      <c r="B782" s="12">
        <v>45578.427217129603</v>
      </c>
      <c r="C782">
        <v>605</v>
      </c>
      <c r="D782">
        <v>45566</v>
      </c>
      <c r="E782">
        <v>45536</v>
      </c>
      <c r="F782">
        <v>1</v>
      </c>
      <c r="G782">
        <v>1</v>
      </c>
    </row>
    <row r="783" spans="1:7" x14ac:dyDescent="0.25">
      <c r="A783">
        <v>131</v>
      </c>
      <c r="B783" s="12">
        <v>45578.7681116319</v>
      </c>
      <c r="C783">
        <v>792</v>
      </c>
      <c r="D783">
        <v>45566</v>
      </c>
      <c r="E783">
        <v>45413</v>
      </c>
      <c r="F783">
        <v>5</v>
      </c>
      <c r="G783">
        <v>0</v>
      </c>
    </row>
    <row r="784" spans="1:7" x14ac:dyDescent="0.25">
      <c r="A784">
        <v>641</v>
      </c>
      <c r="B784" s="12">
        <v>45579.075881099503</v>
      </c>
      <c r="C784">
        <v>669</v>
      </c>
      <c r="D784">
        <v>45566</v>
      </c>
      <c r="E784">
        <v>45383</v>
      </c>
      <c r="F784">
        <v>6</v>
      </c>
      <c r="G784">
        <v>1</v>
      </c>
    </row>
    <row r="785" spans="1:7" x14ac:dyDescent="0.25">
      <c r="A785">
        <v>259</v>
      </c>
      <c r="B785" s="12">
        <v>45579.483547986099</v>
      </c>
      <c r="C785">
        <v>580</v>
      </c>
      <c r="D785">
        <v>45566</v>
      </c>
      <c r="E785">
        <v>45505</v>
      </c>
      <c r="F785">
        <v>2</v>
      </c>
      <c r="G785">
        <v>1</v>
      </c>
    </row>
    <row r="786" spans="1:7" x14ac:dyDescent="0.25">
      <c r="A786">
        <v>277</v>
      </c>
      <c r="B786" s="12">
        <v>45580.3780581713</v>
      </c>
      <c r="C786">
        <v>913</v>
      </c>
      <c r="D786">
        <v>45566</v>
      </c>
      <c r="E786">
        <v>45323</v>
      </c>
      <c r="F786">
        <v>8</v>
      </c>
      <c r="G786">
        <v>1</v>
      </c>
    </row>
    <row r="787" spans="1:7" x14ac:dyDescent="0.25">
      <c r="A787">
        <v>922</v>
      </c>
      <c r="B787" s="12">
        <v>45581.432984594903</v>
      </c>
      <c r="C787">
        <v>681</v>
      </c>
      <c r="D787">
        <v>45566</v>
      </c>
      <c r="E787">
        <v>45566</v>
      </c>
      <c r="F787">
        <v>0</v>
      </c>
      <c r="G787">
        <v>0</v>
      </c>
    </row>
    <row r="788" spans="1:7" x14ac:dyDescent="0.25">
      <c r="A788">
        <v>993</v>
      </c>
      <c r="B788" s="12">
        <v>45582.364668194401</v>
      </c>
      <c r="C788">
        <v>233</v>
      </c>
      <c r="D788">
        <v>45566</v>
      </c>
      <c r="E788">
        <v>45292</v>
      </c>
      <c r="F788">
        <v>9</v>
      </c>
      <c r="G788">
        <v>1</v>
      </c>
    </row>
    <row r="789" spans="1:7" x14ac:dyDescent="0.25">
      <c r="A789">
        <v>612</v>
      </c>
      <c r="B789" s="12">
        <v>45582.403028669003</v>
      </c>
      <c r="C789">
        <v>591</v>
      </c>
      <c r="D789">
        <v>45566</v>
      </c>
      <c r="E789">
        <v>45352</v>
      </c>
      <c r="F789">
        <v>7</v>
      </c>
      <c r="G789">
        <v>1</v>
      </c>
    </row>
    <row r="790" spans="1:7" x14ac:dyDescent="0.25">
      <c r="A790">
        <v>225</v>
      </c>
      <c r="B790" s="12">
        <v>45582.481623911997</v>
      </c>
      <c r="C790">
        <v>519</v>
      </c>
      <c r="D790">
        <v>45566</v>
      </c>
      <c r="E790">
        <v>45323</v>
      </c>
      <c r="F790">
        <v>8</v>
      </c>
      <c r="G790">
        <v>1</v>
      </c>
    </row>
    <row r="791" spans="1:7" x14ac:dyDescent="0.25">
      <c r="A791">
        <v>836</v>
      </c>
      <c r="B791" s="12">
        <v>45583.181177106497</v>
      </c>
      <c r="C791">
        <v>630</v>
      </c>
      <c r="D791">
        <v>45566</v>
      </c>
      <c r="E791">
        <v>45566</v>
      </c>
      <c r="F791">
        <v>0</v>
      </c>
      <c r="G791">
        <v>1</v>
      </c>
    </row>
    <row r="792" spans="1:7" x14ac:dyDescent="0.25">
      <c r="A792">
        <v>403</v>
      </c>
      <c r="B792" s="12">
        <v>45583.496026967601</v>
      </c>
      <c r="C792">
        <v>458</v>
      </c>
      <c r="D792">
        <v>45566</v>
      </c>
      <c r="E792">
        <v>45323</v>
      </c>
      <c r="F792">
        <v>8</v>
      </c>
      <c r="G792">
        <v>1</v>
      </c>
    </row>
    <row r="793" spans="1:7" x14ac:dyDescent="0.25">
      <c r="A793">
        <v>230</v>
      </c>
      <c r="B793" s="12">
        <v>45583.827995624997</v>
      </c>
      <c r="C793">
        <v>932</v>
      </c>
      <c r="D793">
        <v>45566</v>
      </c>
      <c r="E793">
        <v>45383</v>
      </c>
      <c r="F793">
        <v>6</v>
      </c>
      <c r="G793">
        <v>1</v>
      </c>
    </row>
    <row r="794" spans="1:7" x14ac:dyDescent="0.25">
      <c r="A794">
        <v>456</v>
      </c>
      <c r="B794" s="12">
        <v>45583.916320439799</v>
      </c>
      <c r="C794">
        <v>546</v>
      </c>
      <c r="D794">
        <v>45566</v>
      </c>
      <c r="E794">
        <v>45566</v>
      </c>
      <c r="F794">
        <v>0</v>
      </c>
      <c r="G794">
        <v>1</v>
      </c>
    </row>
    <row r="795" spans="1:7" x14ac:dyDescent="0.25">
      <c r="A795">
        <v>749</v>
      </c>
      <c r="B795" s="12">
        <v>45584.061124363398</v>
      </c>
      <c r="C795">
        <v>617</v>
      </c>
      <c r="D795">
        <v>45566</v>
      </c>
      <c r="E795">
        <v>45536</v>
      </c>
      <c r="F795">
        <v>1</v>
      </c>
      <c r="G795">
        <v>1</v>
      </c>
    </row>
    <row r="796" spans="1:7" x14ac:dyDescent="0.25">
      <c r="A796">
        <v>402</v>
      </c>
      <c r="B796" s="12">
        <v>45584.187506608803</v>
      </c>
      <c r="C796">
        <v>118</v>
      </c>
      <c r="D796">
        <v>45566</v>
      </c>
      <c r="E796">
        <v>45323</v>
      </c>
      <c r="F796">
        <v>8</v>
      </c>
      <c r="G796">
        <v>1</v>
      </c>
    </row>
    <row r="797" spans="1:7" x14ac:dyDescent="0.25">
      <c r="A797">
        <v>398</v>
      </c>
      <c r="B797" s="12">
        <v>45584.189272476899</v>
      </c>
      <c r="C797">
        <v>400</v>
      </c>
      <c r="D797">
        <v>45566</v>
      </c>
      <c r="E797">
        <v>45474</v>
      </c>
      <c r="F797">
        <v>3</v>
      </c>
      <c r="G797">
        <v>1</v>
      </c>
    </row>
    <row r="798" spans="1:7" x14ac:dyDescent="0.25">
      <c r="A798">
        <v>445</v>
      </c>
      <c r="B798" s="12">
        <v>45584.498202372699</v>
      </c>
      <c r="C798">
        <v>503</v>
      </c>
      <c r="D798">
        <v>45566</v>
      </c>
      <c r="E798">
        <v>45413</v>
      </c>
      <c r="F798">
        <v>5</v>
      </c>
      <c r="G798">
        <v>1</v>
      </c>
    </row>
    <row r="799" spans="1:7" x14ac:dyDescent="0.25">
      <c r="A799">
        <v>499</v>
      </c>
      <c r="B799" s="12">
        <v>45584.760956527804</v>
      </c>
      <c r="C799">
        <v>651</v>
      </c>
      <c r="D799">
        <v>45566</v>
      </c>
      <c r="E799">
        <v>45383</v>
      </c>
      <c r="F799">
        <v>6</v>
      </c>
      <c r="G799">
        <v>1</v>
      </c>
    </row>
    <row r="800" spans="1:7" x14ac:dyDescent="0.25">
      <c r="A800">
        <v>663</v>
      </c>
      <c r="B800" s="12">
        <v>45585.065383449102</v>
      </c>
      <c r="C800">
        <v>575</v>
      </c>
      <c r="D800">
        <v>45566</v>
      </c>
      <c r="E800">
        <v>45566</v>
      </c>
      <c r="F800">
        <v>0</v>
      </c>
      <c r="G800">
        <v>1</v>
      </c>
    </row>
    <row r="801" spans="1:7" x14ac:dyDescent="0.25">
      <c r="A801">
        <v>506</v>
      </c>
      <c r="B801" s="12">
        <v>45585.660464282402</v>
      </c>
      <c r="C801">
        <v>851</v>
      </c>
      <c r="D801">
        <v>45566</v>
      </c>
      <c r="E801">
        <v>45536</v>
      </c>
      <c r="F801">
        <v>1</v>
      </c>
      <c r="G801">
        <v>0</v>
      </c>
    </row>
    <row r="802" spans="1:7" x14ac:dyDescent="0.25">
      <c r="A802">
        <v>566</v>
      </c>
      <c r="B802" s="12">
        <v>45585.719849560199</v>
      </c>
      <c r="C802">
        <v>865</v>
      </c>
      <c r="D802">
        <v>45566</v>
      </c>
      <c r="E802">
        <v>45292</v>
      </c>
      <c r="F802">
        <v>9</v>
      </c>
      <c r="G802">
        <v>1</v>
      </c>
    </row>
    <row r="803" spans="1:7" x14ac:dyDescent="0.25">
      <c r="A803">
        <v>162</v>
      </c>
      <c r="B803" s="12">
        <v>45586.035651435202</v>
      </c>
      <c r="C803">
        <v>911</v>
      </c>
      <c r="D803">
        <v>45566</v>
      </c>
      <c r="E803">
        <v>45566</v>
      </c>
      <c r="F803">
        <v>0</v>
      </c>
      <c r="G803">
        <v>1</v>
      </c>
    </row>
    <row r="804" spans="1:7" x14ac:dyDescent="0.25">
      <c r="A804">
        <v>828</v>
      </c>
      <c r="B804" s="12">
        <v>45586.636320555597</v>
      </c>
      <c r="C804">
        <v>915</v>
      </c>
      <c r="D804">
        <v>45566</v>
      </c>
      <c r="E804">
        <v>45566</v>
      </c>
      <c r="F804">
        <v>0</v>
      </c>
      <c r="G804">
        <v>1</v>
      </c>
    </row>
    <row r="805" spans="1:7" x14ac:dyDescent="0.25">
      <c r="A805">
        <v>161</v>
      </c>
      <c r="B805" s="12">
        <v>45586.839636099503</v>
      </c>
      <c r="C805">
        <v>158</v>
      </c>
      <c r="D805">
        <v>45566</v>
      </c>
      <c r="E805">
        <v>45383</v>
      </c>
      <c r="F805">
        <v>6</v>
      </c>
      <c r="G805">
        <v>1</v>
      </c>
    </row>
    <row r="806" spans="1:7" x14ac:dyDescent="0.25">
      <c r="A806">
        <v>144</v>
      </c>
      <c r="B806" s="12">
        <v>45587.784082036997</v>
      </c>
      <c r="C806">
        <v>787</v>
      </c>
      <c r="D806">
        <v>45566</v>
      </c>
      <c r="E806">
        <v>45352</v>
      </c>
      <c r="F806">
        <v>7</v>
      </c>
      <c r="G806">
        <v>1</v>
      </c>
    </row>
    <row r="807" spans="1:7" x14ac:dyDescent="0.25">
      <c r="A807">
        <v>380</v>
      </c>
      <c r="B807" s="12">
        <v>45587.914975277803</v>
      </c>
      <c r="C807">
        <v>456</v>
      </c>
      <c r="D807">
        <v>45566</v>
      </c>
      <c r="E807">
        <v>45292</v>
      </c>
      <c r="F807">
        <v>9</v>
      </c>
      <c r="G807">
        <v>1</v>
      </c>
    </row>
    <row r="808" spans="1:7" x14ac:dyDescent="0.25">
      <c r="A808">
        <v>18</v>
      </c>
      <c r="B808" s="12">
        <v>45587.967971794002</v>
      </c>
      <c r="C808">
        <v>740</v>
      </c>
      <c r="D808">
        <v>45566</v>
      </c>
      <c r="E808">
        <v>45566</v>
      </c>
      <c r="F808">
        <v>0</v>
      </c>
      <c r="G808">
        <v>1</v>
      </c>
    </row>
    <row r="809" spans="1:7" x14ac:dyDescent="0.25">
      <c r="A809">
        <v>974</v>
      </c>
      <c r="B809" s="12">
        <v>45588.8974911111</v>
      </c>
      <c r="C809">
        <v>435</v>
      </c>
      <c r="D809">
        <v>45566</v>
      </c>
      <c r="E809">
        <v>45566</v>
      </c>
      <c r="F809">
        <v>0</v>
      </c>
      <c r="G809">
        <v>1</v>
      </c>
    </row>
    <row r="810" spans="1:7" x14ac:dyDescent="0.25">
      <c r="A810">
        <v>247</v>
      </c>
      <c r="B810" s="12">
        <v>45589.500274062499</v>
      </c>
      <c r="C810">
        <v>394</v>
      </c>
      <c r="D810">
        <v>45566</v>
      </c>
      <c r="E810">
        <v>45566</v>
      </c>
      <c r="F810">
        <v>0</v>
      </c>
      <c r="G810">
        <v>1</v>
      </c>
    </row>
    <row r="811" spans="1:7" x14ac:dyDescent="0.25">
      <c r="A811">
        <v>213</v>
      </c>
      <c r="B811" s="12">
        <v>45589.616855370397</v>
      </c>
      <c r="C811">
        <v>553</v>
      </c>
      <c r="D811">
        <v>45566</v>
      </c>
      <c r="E811">
        <v>45566</v>
      </c>
      <c r="F811">
        <v>0</v>
      </c>
      <c r="G811">
        <v>1</v>
      </c>
    </row>
    <row r="812" spans="1:7" x14ac:dyDescent="0.25">
      <c r="A812">
        <v>570</v>
      </c>
      <c r="B812" s="12">
        <v>45589.681650300903</v>
      </c>
      <c r="C812">
        <v>121</v>
      </c>
      <c r="D812">
        <v>45566</v>
      </c>
      <c r="E812">
        <v>45323</v>
      </c>
      <c r="F812">
        <v>8</v>
      </c>
      <c r="G812">
        <v>1</v>
      </c>
    </row>
    <row r="813" spans="1:7" x14ac:dyDescent="0.25">
      <c r="A813">
        <v>86</v>
      </c>
      <c r="B813" s="12">
        <v>45590.1697114005</v>
      </c>
      <c r="C813">
        <v>572</v>
      </c>
      <c r="D813">
        <v>45566</v>
      </c>
      <c r="E813">
        <v>45566</v>
      </c>
      <c r="F813">
        <v>0</v>
      </c>
      <c r="G813">
        <v>1</v>
      </c>
    </row>
    <row r="814" spans="1:7" x14ac:dyDescent="0.25">
      <c r="A814">
        <v>921</v>
      </c>
      <c r="B814" s="12">
        <v>45590.173301643503</v>
      </c>
      <c r="C814">
        <v>701</v>
      </c>
      <c r="D814">
        <v>45566</v>
      </c>
      <c r="E814">
        <v>45352</v>
      </c>
      <c r="F814">
        <v>7</v>
      </c>
      <c r="G814">
        <v>1</v>
      </c>
    </row>
    <row r="815" spans="1:7" x14ac:dyDescent="0.25">
      <c r="A815">
        <v>852</v>
      </c>
      <c r="B815" s="12">
        <v>45590.392201493101</v>
      </c>
      <c r="C815">
        <v>912</v>
      </c>
      <c r="D815">
        <v>45566</v>
      </c>
      <c r="E815">
        <v>45566</v>
      </c>
      <c r="F815">
        <v>0</v>
      </c>
      <c r="G815">
        <v>1</v>
      </c>
    </row>
    <row r="816" spans="1:7" x14ac:dyDescent="0.25">
      <c r="A816">
        <v>173</v>
      </c>
      <c r="B816" s="12">
        <v>45590.567056238397</v>
      </c>
      <c r="C816">
        <v>269</v>
      </c>
      <c r="D816">
        <v>45566</v>
      </c>
      <c r="E816">
        <v>45383</v>
      </c>
      <c r="F816">
        <v>6</v>
      </c>
      <c r="G816">
        <v>1</v>
      </c>
    </row>
    <row r="817" spans="1:7" x14ac:dyDescent="0.25">
      <c r="A817">
        <v>125</v>
      </c>
      <c r="B817" s="12">
        <v>45591.603235023198</v>
      </c>
      <c r="C817">
        <v>707</v>
      </c>
      <c r="D817">
        <v>45566</v>
      </c>
      <c r="E817">
        <v>45566</v>
      </c>
      <c r="F817">
        <v>0</v>
      </c>
      <c r="G817">
        <v>1</v>
      </c>
    </row>
    <row r="818" spans="1:7" x14ac:dyDescent="0.25">
      <c r="A818">
        <v>182</v>
      </c>
      <c r="B818" s="12">
        <v>45591.777239606497</v>
      </c>
      <c r="C818">
        <v>517</v>
      </c>
      <c r="D818">
        <v>45566</v>
      </c>
      <c r="E818">
        <v>45566</v>
      </c>
      <c r="F818">
        <v>0</v>
      </c>
      <c r="G818">
        <v>1</v>
      </c>
    </row>
    <row r="819" spans="1:7" x14ac:dyDescent="0.25">
      <c r="A819">
        <v>220</v>
      </c>
      <c r="B819" s="12">
        <v>45591.955207893501</v>
      </c>
      <c r="C819">
        <v>864</v>
      </c>
      <c r="D819">
        <v>45566</v>
      </c>
      <c r="E819">
        <v>45323</v>
      </c>
      <c r="F819">
        <v>8</v>
      </c>
      <c r="G819">
        <v>1</v>
      </c>
    </row>
    <row r="820" spans="1:7" x14ac:dyDescent="0.25">
      <c r="A820">
        <v>131</v>
      </c>
      <c r="B820" s="12">
        <v>45592.261400138901</v>
      </c>
      <c r="C820">
        <v>490</v>
      </c>
      <c r="D820">
        <v>45566</v>
      </c>
      <c r="E820">
        <v>45413</v>
      </c>
      <c r="F820">
        <v>5</v>
      </c>
      <c r="G820">
        <v>1</v>
      </c>
    </row>
    <row r="821" spans="1:7" x14ac:dyDescent="0.25">
      <c r="A821">
        <v>117</v>
      </c>
      <c r="B821" s="12">
        <v>45592.650484224498</v>
      </c>
      <c r="C821">
        <v>622</v>
      </c>
      <c r="D821">
        <v>45566</v>
      </c>
      <c r="E821">
        <v>45292</v>
      </c>
      <c r="F821">
        <v>9</v>
      </c>
      <c r="G821">
        <v>1</v>
      </c>
    </row>
    <row r="822" spans="1:7" x14ac:dyDescent="0.25">
      <c r="A822">
        <v>575</v>
      </c>
      <c r="B822" s="12">
        <v>45592.743319282403</v>
      </c>
      <c r="C822">
        <v>464</v>
      </c>
      <c r="D822">
        <v>45566</v>
      </c>
      <c r="E822">
        <v>45352</v>
      </c>
      <c r="F822">
        <v>7</v>
      </c>
      <c r="G822">
        <v>1</v>
      </c>
    </row>
    <row r="823" spans="1:7" x14ac:dyDescent="0.25">
      <c r="A823">
        <v>664</v>
      </c>
      <c r="B823" s="12">
        <v>45592.888145682897</v>
      </c>
      <c r="C823">
        <v>813</v>
      </c>
      <c r="D823">
        <v>45566</v>
      </c>
      <c r="E823">
        <v>45352</v>
      </c>
      <c r="F823">
        <v>7</v>
      </c>
      <c r="G823">
        <v>1</v>
      </c>
    </row>
    <row r="824" spans="1:7" x14ac:dyDescent="0.25">
      <c r="A824">
        <v>135</v>
      </c>
      <c r="B824" s="12">
        <v>45593.8116126042</v>
      </c>
      <c r="C824">
        <v>108</v>
      </c>
      <c r="D824">
        <v>45566</v>
      </c>
      <c r="E824">
        <v>45566</v>
      </c>
      <c r="F824">
        <v>0</v>
      </c>
      <c r="G824">
        <v>1</v>
      </c>
    </row>
    <row r="825" spans="1:7" x14ac:dyDescent="0.25">
      <c r="A825">
        <v>663</v>
      </c>
      <c r="B825" s="12">
        <v>45594.000111018497</v>
      </c>
      <c r="C825">
        <v>454</v>
      </c>
      <c r="D825">
        <v>45566</v>
      </c>
      <c r="E825">
        <v>45566</v>
      </c>
      <c r="F825">
        <v>0</v>
      </c>
      <c r="G825">
        <v>0</v>
      </c>
    </row>
    <row r="826" spans="1:7" x14ac:dyDescent="0.25">
      <c r="A826">
        <v>906</v>
      </c>
      <c r="B826" s="12">
        <v>45594.013706469901</v>
      </c>
      <c r="C826">
        <v>695</v>
      </c>
      <c r="D826">
        <v>45566</v>
      </c>
      <c r="E826">
        <v>45566</v>
      </c>
      <c r="F826">
        <v>0</v>
      </c>
      <c r="G826">
        <v>1</v>
      </c>
    </row>
    <row r="827" spans="1:7" x14ac:dyDescent="0.25">
      <c r="A827">
        <v>254</v>
      </c>
      <c r="B827" s="12">
        <v>45594.1678801042</v>
      </c>
      <c r="C827">
        <v>269</v>
      </c>
      <c r="D827">
        <v>45566</v>
      </c>
      <c r="E827">
        <v>45292</v>
      </c>
      <c r="F827">
        <v>9</v>
      </c>
      <c r="G827">
        <v>1</v>
      </c>
    </row>
    <row r="828" spans="1:7" x14ac:dyDescent="0.25">
      <c r="A828">
        <v>453</v>
      </c>
      <c r="B828" s="12">
        <v>45594.308540046302</v>
      </c>
      <c r="C828">
        <v>942</v>
      </c>
      <c r="D828">
        <v>45566</v>
      </c>
      <c r="E828">
        <v>45444</v>
      </c>
      <c r="F828">
        <v>4</v>
      </c>
      <c r="G828">
        <v>1</v>
      </c>
    </row>
    <row r="829" spans="1:7" x14ac:dyDescent="0.25">
      <c r="A829">
        <v>283</v>
      </c>
      <c r="B829" s="12">
        <v>45595.2154946644</v>
      </c>
      <c r="C829">
        <v>616</v>
      </c>
      <c r="D829">
        <v>45566</v>
      </c>
      <c r="E829">
        <v>45292</v>
      </c>
      <c r="F829">
        <v>9</v>
      </c>
      <c r="G829">
        <v>1</v>
      </c>
    </row>
    <row r="830" spans="1:7" x14ac:dyDescent="0.25">
      <c r="A830">
        <v>511</v>
      </c>
      <c r="B830" s="12">
        <v>45595.478289363396</v>
      </c>
      <c r="C830">
        <v>445</v>
      </c>
      <c r="D830">
        <v>45566</v>
      </c>
      <c r="E830">
        <v>45292</v>
      </c>
      <c r="F830">
        <v>9</v>
      </c>
      <c r="G830">
        <v>1</v>
      </c>
    </row>
    <row r="831" spans="1:7" x14ac:dyDescent="0.25">
      <c r="A831">
        <v>762</v>
      </c>
      <c r="B831" s="12">
        <v>45595.860086504603</v>
      </c>
      <c r="C831">
        <v>940</v>
      </c>
      <c r="D831">
        <v>45566</v>
      </c>
      <c r="E831">
        <v>45352</v>
      </c>
      <c r="F831">
        <v>7</v>
      </c>
      <c r="G831">
        <v>1</v>
      </c>
    </row>
    <row r="832" spans="1:7" x14ac:dyDescent="0.25">
      <c r="A832">
        <v>54</v>
      </c>
      <c r="B832" s="12">
        <v>45596.004083449101</v>
      </c>
      <c r="C832">
        <v>924</v>
      </c>
      <c r="D832">
        <v>45566</v>
      </c>
      <c r="E832">
        <v>45566</v>
      </c>
      <c r="F832">
        <v>0</v>
      </c>
      <c r="G832">
        <v>1</v>
      </c>
    </row>
    <row r="833" spans="1:7" x14ac:dyDescent="0.25">
      <c r="A833">
        <v>277</v>
      </c>
      <c r="B833" s="12">
        <v>45596.414223692103</v>
      </c>
      <c r="C833">
        <v>97</v>
      </c>
      <c r="D833">
        <v>45566</v>
      </c>
      <c r="E833">
        <v>45323</v>
      </c>
      <c r="F833">
        <v>8</v>
      </c>
      <c r="G833">
        <v>0</v>
      </c>
    </row>
    <row r="834" spans="1:7" x14ac:dyDescent="0.25">
      <c r="A834">
        <v>49</v>
      </c>
      <c r="B834" s="12">
        <v>45596.512956643499</v>
      </c>
      <c r="C834">
        <v>422</v>
      </c>
      <c r="D834">
        <v>45566</v>
      </c>
      <c r="E834">
        <v>45566</v>
      </c>
      <c r="F834">
        <v>0</v>
      </c>
      <c r="G834">
        <v>1</v>
      </c>
    </row>
    <row r="835" spans="1:7" x14ac:dyDescent="0.25">
      <c r="A835">
        <v>339</v>
      </c>
      <c r="B835" s="12">
        <v>45596.876383194503</v>
      </c>
      <c r="C835">
        <v>106</v>
      </c>
      <c r="D835">
        <v>45566</v>
      </c>
      <c r="E835">
        <v>45566</v>
      </c>
      <c r="F835">
        <v>0</v>
      </c>
      <c r="G835">
        <v>1</v>
      </c>
    </row>
    <row r="836" spans="1:7" x14ac:dyDescent="0.25">
      <c r="A836">
        <v>855</v>
      </c>
      <c r="B836" s="12">
        <v>45596.883250138897</v>
      </c>
      <c r="C836">
        <v>182</v>
      </c>
      <c r="D836">
        <v>45566</v>
      </c>
      <c r="E836">
        <v>45566</v>
      </c>
      <c r="F836">
        <v>0</v>
      </c>
      <c r="G836">
        <v>1</v>
      </c>
    </row>
    <row r="837" spans="1:7" x14ac:dyDescent="0.25">
      <c r="A837">
        <v>657</v>
      </c>
      <c r="B837" s="12">
        <v>45596.883453020797</v>
      </c>
      <c r="C837">
        <v>610</v>
      </c>
      <c r="D837">
        <v>45566</v>
      </c>
      <c r="E837">
        <v>45352</v>
      </c>
      <c r="F837">
        <v>7</v>
      </c>
      <c r="G837">
        <v>1</v>
      </c>
    </row>
    <row r="838" spans="1:7" x14ac:dyDescent="0.25">
      <c r="A838">
        <v>929</v>
      </c>
      <c r="B838" s="12">
        <v>45597.386434606502</v>
      </c>
      <c r="C838">
        <v>138</v>
      </c>
      <c r="D838">
        <v>45597</v>
      </c>
      <c r="E838">
        <v>45474</v>
      </c>
      <c r="F838">
        <v>4</v>
      </c>
      <c r="G838">
        <v>0</v>
      </c>
    </row>
    <row r="839" spans="1:7" x14ac:dyDescent="0.25">
      <c r="A839">
        <v>120</v>
      </c>
      <c r="B839" s="12">
        <v>45597.482827187501</v>
      </c>
      <c r="C839">
        <v>840</v>
      </c>
      <c r="D839">
        <v>45597</v>
      </c>
      <c r="E839">
        <v>45444</v>
      </c>
      <c r="F839">
        <v>5</v>
      </c>
      <c r="G839">
        <v>1</v>
      </c>
    </row>
    <row r="840" spans="1:7" x14ac:dyDescent="0.25">
      <c r="A840">
        <v>233</v>
      </c>
      <c r="B840" s="12">
        <v>45597.670019189798</v>
      </c>
      <c r="C840">
        <v>569</v>
      </c>
      <c r="D840">
        <v>45597</v>
      </c>
      <c r="E840">
        <v>45352</v>
      </c>
      <c r="F840">
        <v>8</v>
      </c>
      <c r="G840">
        <v>1</v>
      </c>
    </row>
    <row r="841" spans="1:7" x14ac:dyDescent="0.25">
      <c r="A841">
        <v>834</v>
      </c>
      <c r="B841" s="12">
        <v>45597.995497256998</v>
      </c>
      <c r="C841">
        <v>282</v>
      </c>
      <c r="D841">
        <v>45597</v>
      </c>
      <c r="E841">
        <v>45597</v>
      </c>
      <c r="F841">
        <v>0</v>
      </c>
      <c r="G841">
        <v>1</v>
      </c>
    </row>
    <row r="842" spans="1:7" x14ac:dyDescent="0.25">
      <c r="A842">
        <v>928</v>
      </c>
      <c r="B842" s="12">
        <v>45598.404881863396</v>
      </c>
      <c r="C842">
        <v>482</v>
      </c>
      <c r="D842">
        <v>45597</v>
      </c>
      <c r="E842">
        <v>45597</v>
      </c>
      <c r="F842">
        <v>0</v>
      </c>
      <c r="G842">
        <v>1</v>
      </c>
    </row>
    <row r="843" spans="1:7" x14ac:dyDescent="0.25">
      <c r="A843">
        <v>697</v>
      </c>
      <c r="B843" s="12">
        <v>45598.521480705997</v>
      </c>
      <c r="C843">
        <v>766</v>
      </c>
      <c r="D843">
        <v>45597</v>
      </c>
      <c r="E843">
        <v>45597</v>
      </c>
      <c r="F843">
        <v>0</v>
      </c>
      <c r="G843">
        <v>1</v>
      </c>
    </row>
    <row r="844" spans="1:7" x14ac:dyDescent="0.25">
      <c r="A844">
        <v>420</v>
      </c>
      <c r="B844" s="12">
        <v>45598.840913981498</v>
      </c>
      <c r="C844">
        <v>322</v>
      </c>
      <c r="D844">
        <v>45597</v>
      </c>
      <c r="E844">
        <v>45566</v>
      </c>
      <c r="F844">
        <v>1</v>
      </c>
      <c r="G844">
        <v>1</v>
      </c>
    </row>
    <row r="845" spans="1:7" x14ac:dyDescent="0.25">
      <c r="A845">
        <v>59</v>
      </c>
      <c r="B845" s="12">
        <v>45599.216546076401</v>
      </c>
      <c r="C845">
        <v>271</v>
      </c>
      <c r="D845">
        <v>45597</v>
      </c>
      <c r="E845">
        <v>45597</v>
      </c>
      <c r="F845">
        <v>0</v>
      </c>
      <c r="G845">
        <v>1</v>
      </c>
    </row>
    <row r="846" spans="1:7" x14ac:dyDescent="0.25">
      <c r="A846">
        <v>963</v>
      </c>
      <c r="B846" s="12">
        <v>45599.227697349503</v>
      </c>
      <c r="C846">
        <v>871</v>
      </c>
      <c r="D846">
        <v>45597</v>
      </c>
      <c r="E846">
        <v>45413</v>
      </c>
      <c r="F846">
        <v>6</v>
      </c>
      <c r="G846">
        <v>1</v>
      </c>
    </row>
    <row r="847" spans="1:7" x14ac:dyDescent="0.25">
      <c r="A847">
        <v>369</v>
      </c>
      <c r="B847" s="12">
        <v>45599.386227245399</v>
      </c>
      <c r="C847">
        <v>495</v>
      </c>
      <c r="D847">
        <v>45597</v>
      </c>
      <c r="E847">
        <v>45474</v>
      </c>
      <c r="F847">
        <v>4</v>
      </c>
      <c r="G847">
        <v>1</v>
      </c>
    </row>
    <row r="848" spans="1:7" x14ac:dyDescent="0.25">
      <c r="A848">
        <v>914</v>
      </c>
      <c r="B848" s="12">
        <v>45599.664484131899</v>
      </c>
      <c r="C848">
        <v>926</v>
      </c>
      <c r="D848">
        <v>45597</v>
      </c>
      <c r="E848">
        <v>45597</v>
      </c>
      <c r="F848">
        <v>0</v>
      </c>
      <c r="G848">
        <v>1</v>
      </c>
    </row>
    <row r="849" spans="1:7" x14ac:dyDescent="0.25">
      <c r="A849">
        <v>459</v>
      </c>
      <c r="B849" s="12">
        <v>45599.6853771065</v>
      </c>
      <c r="C849">
        <v>559</v>
      </c>
      <c r="D849">
        <v>45597</v>
      </c>
      <c r="E849">
        <v>45597</v>
      </c>
      <c r="F849">
        <v>0</v>
      </c>
      <c r="G849">
        <v>1</v>
      </c>
    </row>
    <row r="850" spans="1:7" x14ac:dyDescent="0.25">
      <c r="A850">
        <v>668</v>
      </c>
      <c r="B850" s="12">
        <v>45599.694430694399</v>
      </c>
      <c r="C850">
        <v>391</v>
      </c>
      <c r="D850">
        <v>45597</v>
      </c>
      <c r="E850">
        <v>45597</v>
      </c>
      <c r="F850">
        <v>0</v>
      </c>
      <c r="G850">
        <v>1</v>
      </c>
    </row>
    <row r="851" spans="1:7" x14ac:dyDescent="0.25">
      <c r="A851">
        <v>990</v>
      </c>
      <c r="B851" s="12">
        <v>45599.7244206713</v>
      </c>
      <c r="C851">
        <v>387</v>
      </c>
      <c r="D851">
        <v>45597</v>
      </c>
      <c r="E851">
        <v>45597</v>
      </c>
      <c r="F851">
        <v>0</v>
      </c>
      <c r="G851">
        <v>1</v>
      </c>
    </row>
    <row r="852" spans="1:7" x14ac:dyDescent="0.25">
      <c r="A852">
        <v>659</v>
      </c>
      <c r="B852" s="12">
        <v>45600.220394502299</v>
      </c>
      <c r="C852">
        <v>235</v>
      </c>
      <c r="D852">
        <v>45597</v>
      </c>
      <c r="E852">
        <v>45444</v>
      </c>
      <c r="F852">
        <v>5</v>
      </c>
      <c r="G852">
        <v>1</v>
      </c>
    </row>
    <row r="853" spans="1:7" x14ac:dyDescent="0.25">
      <c r="A853">
        <v>686</v>
      </c>
      <c r="B853" s="12">
        <v>45603.077121967603</v>
      </c>
      <c r="C853">
        <v>509</v>
      </c>
      <c r="D853">
        <v>45597</v>
      </c>
      <c r="E853">
        <v>45597</v>
      </c>
      <c r="F853">
        <v>0</v>
      </c>
      <c r="G853">
        <v>1</v>
      </c>
    </row>
    <row r="854" spans="1:7" x14ac:dyDescent="0.25">
      <c r="A854">
        <v>330</v>
      </c>
      <c r="B854" s="12">
        <v>45603.159308854199</v>
      </c>
      <c r="C854">
        <v>140</v>
      </c>
      <c r="D854">
        <v>45597</v>
      </c>
      <c r="E854">
        <v>45597</v>
      </c>
      <c r="F854">
        <v>0</v>
      </c>
      <c r="G854">
        <v>1</v>
      </c>
    </row>
    <row r="855" spans="1:7" x14ac:dyDescent="0.25">
      <c r="A855">
        <v>824</v>
      </c>
      <c r="B855" s="12">
        <v>45604.111004444399</v>
      </c>
      <c r="C855">
        <v>229</v>
      </c>
      <c r="D855">
        <v>45597</v>
      </c>
      <c r="E855">
        <v>45292</v>
      </c>
      <c r="F855">
        <v>10</v>
      </c>
      <c r="G855">
        <v>1</v>
      </c>
    </row>
    <row r="856" spans="1:7" x14ac:dyDescent="0.25">
      <c r="A856">
        <v>861</v>
      </c>
      <c r="B856" s="12">
        <v>45604.433457777799</v>
      </c>
      <c r="C856">
        <v>158</v>
      </c>
      <c r="D856">
        <v>45597</v>
      </c>
      <c r="E856">
        <v>45323</v>
      </c>
      <c r="F856">
        <v>9</v>
      </c>
      <c r="G856">
        <v>1</v>
      </c>
    </row>
    <row r="857" spans="1:7" x14ac:dyDescent="0.25">
      <c r="A857">
        <v>35</v>
      </c>
      <c r="B857" s="12">
        <v>45604.601108275499</v>
      </c>
      <c r="C857">
        <v>971</v>
      </c>
      <c r="D857">
        <v>45597</v>
      </c>
      <c r="E857">
        <v>45413</v>
      </c>
      <c r="F857">
        <v>6</v>
      </c>
      <c r="G857">
        <v>1</v>
      </c>
    </row>
    <row r="858" spans="1:7" x14ac:dyDescent="0.25">
      <c r="A858">
        <v>896</v>
      </c>
      <c r="B858" s="12">
        <v>45605.201277280103</v>
      </c>
      <c r="C858">
        <v>423</v>
      </c>
      <c r="D858">
        <v>45597</v>
      </c>
      <c r="E858">
        <v>45444</v>
      </c>
      <c r="F858">
        <v>5</v>
      </c>
      <c r="G858">
        <v>0</v>
      </c>
    </row>
    <row r="859" spans="1:7" x14ac:dyDescent="0.25">
      <c r="A859">
        <v>564</v>
      </c>
      <c r="B859" s="12">
        <v>45605.407348414403</v>
      </c>
      <c r="C859">
        <v>965</v>
      </c>
      <c r="D859">
        <v>45597</v>
      </c>
      <c r="E859">
        <v>45352</v>
      </c>
      <c r="F859">
        <v>8</v>
      </c>
      <c r="G859">
        <v>1</v>
      </c>
    </row>
    <row r="860" spans="1:7" x14ac:dyDescent="0.25">
      <c r="A860">
        <v>373</v>
      </c>
      <c r="B860" s="12">
        <v>45605.626538819401</v>
      </c>
      <c r="C860">
        <v>111</v>
      </c>
      <c r="D860">
        <v>45597</v>
      </c>
      <c r="E860">
        <v>45413</v>
      </c>
      <c r="F860">
        <v>6</v>
      </c>
      <c r="G860">
        <v>1</v>
      </c>
    </row>
    <row r="861" spans="1:7" x14ac:dyDescent="0.25">
      <c r="A861">
        <v>547</v>
      </c>
      <c r="B861" s="12">
        <v>45606.878997118103</v>
      </c>
      <c r="C861">
        <v>286</v>
      </c>
      <c r="D861">
        <v>45597</v>
      </c>
      <c r="E861">
        <v>45413</v>
      </c>
      <c r="F861">
        <v>6</v>
      </c>
      <c r="G861">
        <v>1</v>
      </c>
    </row>
    <row r="862" spans="1:7" x14ac:dyDescent="0.25">
      <c r="A862">
        <v>471</v>
      </c>
      <c r="B862" s="12">
        <v>45607.632834560201</v>
      </c>
      <c r="C862">
        <v>649</v>
      </c>
      <c r="D862">
        <v>45597</v>
      </c>
      <c r="E862">
        <v>45323</v>
      </c>
      <c r="F862">
        <v>9</v>
      </c>
      <c r="G862">
        <v>1</v>
      </c>
    </row>
    <row r="863" spans="1:7" x14ac:dyDescent="0.25">
      <c r="A863">
        <v>958</v>
      </c>
      <c r="B863" s="12">
        <v>45607.969831886599</v>
      </c>
      <c r="C863">
        <v>404</v>
      </c>
      <c r="D863">
        <v>45597</v>
      </c>
      <c r="E863">
        <v>45292</v>
      </c>
      <c r="F863">
        <v>10</v>
      </c>
      <c r="G863">
        <v>1</v>
      </c>
    </row>
    <row r="864" spans="1:7" x14ac:dyDescent="0.25">
      <c r="A864">
        <v>540</v>
      </c>
      <c r="B864" s="12">
        <v>45608.130700821799</v>
      </c>
      <c r="C864">
        <v>220</v>
      </c>
      <c r="D864">
        <v>45597</v>
      </c>
      <c r="E864">
        <v>45597</v>
      </c>
      <c r="F864">
        <v>0</v>
      </c>
      <c r="G864">
        <v>1</v>
      </c>
    </row>
    <row r="865" spans="1:7" x14ac:dyDescent="0.25">
      <c r="A865">
        <v>869</v>
      </c>
      <c r="B865" s="12">
        <v>45608.341085358799</v>
      </c>
      <c r="C865">
        <v>949</v>
      </c>
      <c r="D865">
        <v>45597</v>
      </c>
      <c r="E865">
        <v>45413</v>
      </c>
      <c r="F865">
        <v>6</v>
      </c>
      <c r="G865">
        <v>1</v>
      </c>
    </row>
    <row r="866" spans="1:7" x14ac:dyDescent="0.25">
      <c r="A866">
        <v>566</v>
      </c>
      <c r="B866" s="12">
        <v>45609.4852684375</v>
      </c>
      <c r="C866">
        <v>119</v>
      </c>
      <c r="D866">
        <v>45597</v>
      </c>
      <c r="E866">
        <v>45292</v>
      </c>
      <c r="F866">
        <v>10</v>
      </c>
      <c r="G866">
        <v>1</v>
      </c>
    </row>
    <row r="867" spans="1:7" x14ac:dyDescent="0.25">
      <c r="A867">
        <v>86</v>
      </c>
      <c r="B867" s="12">
        <v>45609.657570671297</v>
      </c>
      <c r="C867">
        <v>22</v>
      </c>
      <c r="D867">
        <v>45597</v>
      </c>
      <c r="E867">
        <v>45566</v>
      </c>
      <c r="F867">
        <v>1</v>
      </c>
      <c r="G867">
        <v>1</v>
      </c>
    </row>
    <row r="868" spans="1:7" x14ac:dyDescent="0.25">
      <c r="A868">
        <v>192</v>
      </c>
      <c r="B868" s="12">
        <v>45610.806005300903</v>
      </c>
      <c r="C868">
        <v>32</v>
      </c>
      <c r="D868">
        <v>45597</v>
      </c>
      <c r="E868">
        <v>45444</v>
      </c>
      <c r="F868">
        <v>5</v>
      </c>
      <c r="G868">
        <v>1</v>
      </c>
    </row>
    <row r="869" spans="1:7" x14ac:dyDescent="0.25">
      <c r="A869">
        <v>509</v>
      </c>
      <c r="B869" s="12">
        <v>45611.240173495396</v>
      </c>
      <c r="C869">
        <v>777</v>
      </c>
      <c r="D869">
        <v>45597</v>
      </c>
      <c r="E869">
        <v>45597</v>
      </c>
      <c r="F869">
        <v>0</v>
      </c>
      <c r="G869">
        <v>1</v>
      </c>
    </row>
    <row r="870" spans="1:7" x14ac:dyDescent="0.25">
      <c r="A870">
        <v>361</v>
      </c>
      <c r="B870" s="12">
        <v>45611.564487418997</v>
      </c>
      <c r="C870">
        <v>395</v>
      </c>
      <c r="D870">
        <v>45597</v>
      </c>
      <c r="E870">
        <v>45597</v>
      </c>
      <c r="F870">
        <v>0</v>
      </c>
      <c r="G870">
        <v>1</v>
      </c>
    </row>
    <row r="871" spans="1:7" x14ac:dyDescent="0.25">
      <c r="A871">
        <v>28</v>
      </c>
      <c r="B871" s="12">
        <v>45611.587222442096</v>
      </c>
      <c r="C871">
        <v>914</v>
      </c>
      <c r="D871">
        <v>45597</v>
      </c>
      <c r="E871">
        <v>45536</v>
      </c>
      <c r="F871">
        <v>2</v>
      </c>
      <c r="G871">
        <v>1</v>
      </c>
    </row>
    <row r="872" spans="1:7" x14ac:dyDescent="0.25">
      <c r="A872">
        <v>151</v>
      </c>
      <c r="B872" s="12">
        <v>45611.617707338002</v>
      </c>
      <c r="C872">
        <v>178</v>
      </c>
      <c r="D872">
        <v>45597</v>
      </c>
      <c r="E872">
        <v>45566</v>
      </c>
      <c r="F872">
        <v>1</v>
      </c>
      <c r="G872">
        <v>1</v>
      </c>
    </row>
    <row r="873" spans="1:7" x14ac:dyDescent="0.25">
      <c r="A873">
        <v>344</v>
      </c>
      <c r="B873" s="12">
        <v>45611.957468877299</v>
      </c>
      <c r="C873">
        <v>296</v>
      </c>
      <c r="D873">
        <v>45597</v>
      </c>
      <c r="E873">
        <v>45323</v>
      </c>
      <c r="F873">
        <v>9</v>
      </c>
      <c r="G873">
        <v>1</v>
      </c>
    </row>
    <row r="874" spans="1:7" x14ac:dyDescent="0.25">
      <c r="A874">
        <v>929</v>
      </c>
      <c r="B874" s="12">
        <v>45612.827480544001</v>
      </c>
      <c r="C874">
        <v>930</v>
      </c>
      <c r="D874">
        <v>45597</v>
      </c>
      <c r="E874">
        <v>45474</v>
      </c>
      <c r="F874">
        <v>4</v>
      </c>
      <c r="G874">
        <v>1</v>
      </c>
    </row>
    <row r="875" spans="1:7" x14ac:dyDescent="0.25">
      <c r="A875">
        <v>787</v>
      </c>
      <c r="B875" s="12">
        <v>45613.036867314797</v>
      </c>
      <c r="C875">
        <v>595</v>
      </c>
      <c r="D875">
        <v>45597</v>
      </c>
      <c r="E875">
        <v>45505</v>
      </c>
      <c r="F875">
        <v>3</v>
      </c>
      <c r="G875">
        <v>1</v>
      </c>
    </row>
    <row r="876" spans="1:7" x14ac:dyDescent="0.25">
      <c r="A876">
        <v>820</v>
      </c>
      <c r="B876" s="12">
        <v>45614.7940973148</v>
      </c>
      <c r="C876">
        <v>441</v>
      </c>
      <c r="D876">
        <v>45597</v>
      </c>
      <c r="E876">
        <v>45505</v>
      </c>
      <c r="F876">
        <v>3</v>
      </c>
      <c r="G876">
        <v>1</v>
      </c>
    </row>
    <row r="877" spans="1:7" x14ac:dyDescent="0.25">
      <c r="A877">
        <v>316</v>
      </c>
      <c r="B877" s="12">
        <v>45614.833523379602</v>
      </c>
      <c r="C877">
        <v>535</v>
      </c>
      <c r="D877">
        <v>45597</v>
      </c>
      <c r="E877">
        <v>45505</v>
      </c>
      <c r="F877">
        <v>3</v>
      </c>
      <c r="G877">
        <v>1</v>
      </c>
    </row>
    <row r="878" spans="1:7" x14ac:dyDescent="0.25">
      <c r="A878">
        <v>106</v>
      </c>
      <c r="B878" s="12">
        <v>45615.197883958303</v>
      </c>
      <c r="C878">
        <v>345</v>
      </c>
      <c r="D878">
        <v>45597</v>
      </c>
      <c r="E878">
        <v>45352</v>
      </c>
      <c r="F878">
        <v>8</v>
      </c>
      <c r="G878">
        <v>1</v>
      </c>
    </row>
    <row r="879" spans="1:7" x14ac:dyDescent="0.25">
      <c r="A879">
        <v>872</v>
      </c>
      <c r="B879" s="12">
        <v>45615.276640289398</v>
      </c>
      <c r="C879">
        <v>402</v>
      </c>
      <c r="D879">
        <v>45597</v>
      </c>
      <c r="E879">
        <v>45444</v>
      </c>
      <c r="F879">
        <v>5</v>
      </c>
      <c r="G879">
        <v>1</v>
      </c>
    </row>
    <row r="880" spans="1:7" x14ac:dyDescent="0.25">
      <c r="A880">
        <v>560</v>
      </c>
      <c r="B880" s="12">
        <v>45615.339779062502</v>
      </c>
      <c r="C880">
        <v>84</v>
      </c>
      <c r="D880">
        <v>45597</v>
      </c>
      <c r="E880">
        <v>45597</v>
      </c>
      <c r="F880">
        <v>0</v>
      </c>
      <c r="G880">
        <v>1</v>
      </c>
    </row>
    <row r="881" spans="1:7" x14ac:dyDescent="0.25">
      <c r="A881">
        <v>397</v>
      </c>
      <c r="B881" s="12">
        <v>45615.496569155097</v>
      </c>
      <c r="C881">
        <v>432</v>
      </c>
      <c r="D881">
        <v>45597</v>
      </c>
      <c r="E881">
        <v>45413</v>
      </c>
      <c r="F881">
        <v>6</v>
      </c>
      <c r="G881">
        <v>1</v>
      </c>
    </row>
    <row r="882" spans="1:7" x14ac:dyDescent="0.25">
      <c r="A882">
        <v>96</v>
      </c>
      <c r="B882" s="12">
        <v>45615.593495891197</v>
      </c>
      <c r="C882">
        <v>192</v>
      </c>
      <c r="D882">
        <v>45597</v>
      </c>
      <c r="E882">
        <v>45505</v>
      </c>
      <c r="F882">
        <v>3</v>
      </c>
      <c r="G882">
        <v>1</v>
      </c>
    </row>
    <row r="883" spans="1:7" x14ac:dyDescent="0.25">
      <c r="A883">
        <v>21</v>
      </c>
      <c r="B883" s="12">
        <v>45615.874019988398</v>
      </c>
      <c r="C883">
        <v>471</v>
      </c>
      <c r="D883">
        <v>45597</v>
      </c>
      <c r="E883">
        <v>45292</v>
      </c>
      <c r="F883">
        <v>10</v>
      </c>
      <c r="G883">
        <v>1</v>
      </c>
    </row>
    <row r="884" spans="1:7" x14ac:dyDescent="0.25">
      <c r="A884">
        <v>203</v>
      </c>
      <c r="B884" s="12">
        <v>45615.942777893499</v>
      </c>
      <c r="C884">
        <v>658</v>
      </c>
      <c r="D884">
        <v>45597</v>
      </c>
      <c r="E884">
        <v>45536</v>
      </c>
      <c r="F884">
        <v>2</v>
      </c>
      <c r="G884">
        <v>1</v>
      </c>
    </row>
    <row r="885" spans="1:7" x14ac:dyDescent="0.25">
      <c r="A885">
        <v>724</v>
      </c>
      <c r="B885" s="12">
        <v>45616.143023715304</v>
      </c>
      <c r="C885">
        <v>235</v>
      </c>
      <c r="D885">
        <v>45597</v>
      </c>
      <c r="E885">
        <v>45597</v>
      </c>
      <c r="F885">
        <v>0</v>
      </c>
      <c r="G885">
        <v>1</v>
      </c>
    </row>
    <row r="886" spans="1:7" x14ac:dyDescent="0.25">
      <c r="A886">
        <v>496</v>
      </c>
      <c r="B886" s="12">
        <v>45616.600387858802</v>
      </c>
      <c r="C886">
        <v>236</v>
      </c>
      <c r="D886">
        <v>45597</v>
      </c>
      <c r="E886">
        <v>45597</v>
      </c>
      <c r="F886">
        <v>0</v>
      </c>
      <c r="G886">
        <v>1</v>
      </c>
    </row>
    <row r="887" spans="1:7" x14ac:dyDescent="0.25">
      <c r="A887">
        <v>288</v>
      </c>
      <c r="B887" s="12">
        <v>45616.6062009491</v>
      </c>
      <c r="C887">
        <v>243</v>
      </c>
      <c r="D887">
        <v>45597</v>
      </c>
      <c r="E887">
        <v>45597</v>
      </c>
      <c r="F887">
        <v>0</v>
      </c>
      <c r="G887">
        <v>1</v>
      </c>
    </row>
    <row r="888" spans="1:7" x14ac:dyDescent="0.25">
      <c r="A888">
        <v>247</v>
      </c>
      <c r="B888" s="12">
        <v>45616.756581273199</v>
      </c>
      <c r="C888">
        <v>634</v>
      </c>
      <c r="D888">
        <v>45597</v>
      </c>
      <c r="E888">
        <v>45566</v>
      </c>
      <c r="F888">
        <v>1</v>
      </c>
      <c r="G888">
        <v>1</v>
      </c>
    </row>
    <row r="889" spans="1:7" x14ac:dyDescent="0.25">
      <c r="A889">
        <v>33</v>
      </c>
      <c r="B889" s="12">
        <v>45616.779018634297</v>
      </c>
      <c r="C889">
        <v>503</v>
      </c>
      <c r="D889">
        <v>45597</v>
      </c>
      <c r="E889">
        <v>45566</v>
      </c>
      <c r="F889">
        <v>1</v>
      </c>
      <c r="G889">
        <v>1</v>
      </c>
    </row>
    <row r="890" spans="1:7" x14ac:dyDescent="0.25">
      <c r="A890">
        <v>864</v>
      </c>
      <c r="B890" s="12">
        <v>45617.412508842601</v>
      </c>
      <c r="C890">
        <v>232</v>
      </c>
      <c r="D890">
        <v>45597</v>
      </c>
      <c r="E890">
        <v>45323</v>
      </c>
      <c r="F890">
        <v>9</v>
      </c>
      <c r="G890">
        <v>1</v>
      </c>
    </row>
    <row r="891" spans="1:7" x14ac:dyDescent="0.25">
      <c r="A891">
        <v>202</v>
      </c>
      <c r="B891" s="12">
        <v>45618.010941539404</v>
      </c>
      <c r="C891">
        <v>34</v>
      </c>
      <c r="D891">
        <v>45597</v>
      </c>
      <c r="E891">
        <v>45597</v>
      </c>
      <c r="F891">
        <v>0</v>
      </c>
      <c r="G891">
        <v>1</v>
      </c>
    </row>
    <row r="892" spans="1:7" x14ac:dyDescent="0.25">
      <c r="A892">
        <v>740</v>
      </c>
      <c r="B892" s="12">
        <v>45618.3159101852</v>
      </c>
      <c r="C892">
        <v>404</v>
      </c>
      <c r="D892">
        <v>45597</v>
      </c>
      <c r="E892">
        <v>45597</v>
      </c>
      <c r="F892">
        <v>0</v>
      </c>
      <c r="G892">
        <v>1</v>
      </c>
    </row>
    <row r="893" spans="1:7" x14ac:dyDescent="0.25">
      <c r="A893">
        <v>574</v>
      </c>
      <c r="B893" s="12">
        <v>45618.727195266198</v>
      </c>
      <c r="C893">
        <v>222</v>
      </c>
      <c r="D893">
        <v>45597</v>
      </c>
      <c r="E893">
        <v>45566</v>
      </c>
      <c r="F893">
        <v>1</v>
      </c>
      <c r="G893">
        <v>1</v>
      </c>
    </row>
    <row r="894" spans="1:7" x14ac:dyDescent="0.25">
      <c r="A894">
        <v>233</v>
      </c>
      <c r="B894" s="12">
        <v>45619.572871111101</v>
      </c>
      <c r="C894">
        <v>542</v>
      </c>
      <c r="D894">
        <v>45597</v>
      </c>
      <c r="E894">
        <v>45352</v>
      </c>
      <c r="F894">
        <v>8</v>
      </c>
      <c r="G894">
        <v>0</v>
      </c>
    </row>
    <row r="895" spans="1:7" x14ac:dyDescent="0.25">
      <c r="A895">
        <v>226</v>
      </c>
      <c r="B895" s="12">
        <v>45620.5787417014</v>
      </c>
      <c r="C895">
        <v>416</v>
      </c>
      <c r="D895">
        <v>45597</v>
      </c>
      <c r="E895">
        <v>45597</v>
      </c>
      <c r="F895">
        <v>0</v>
      </c>
      <c r="G895">
        <v>1</v>
      </c>
    </row>
    <row r="896" spans="1:7" x14ac:dyDescent="0.25">
      <c r="A896">
        <v>883</v>
      </c>
      <c r="B896" s="12">
        <v>45620.621373900503</v>
      </c>
      <c r="C896">
        <v>543</v>
      </c>
      <c r="D896">
        <v>45597</v>
      </c>
      <c r="E896">
        <v>45505</v>
      </c>
      <c r="F896">
        <v>3</v>
      </c>
      <c r="G896">
        <v>1</v>
      </c>
    </row>
    <row r="897" spans="1:7" x14ac:dyDescent="0.25">
      <c r="A897">
        <v>750</v>
      </c>
      <c r="B897" s="12">
        <v>45620.667102071799</v>
      </c>
      <c r="C897">
        <v>475</v>
      </c>
      <c r="D897">
        <v>45597</v>
      </c>
      <c r="E897">
        <v>45536</v>
      </c>
      <c r="F897">
        <v>2</v>
      </c>
      <c r="G897">
        <v>1</v>
      </c>
    </row>
    <row r="898" spans="1:7" x14ac:dyDescent="0.25">
      <c r="A898">
        <v>700</v>
      </c>
      <c r="B898" s="12">
        <v>45620.859085972203</v>
      </c>
      <c r="C898">
        <v>492</v>
      </c>
      <c r="D898">
        <v>45597</v>
      </c>
      <c r="E898">
        <v>45292</v>
      </c>
      <c r="F898">
        <v>10</v>
      </c>
      <c r="G898">
        <v>1</v>
      </c>
    </row>
    <row r="899" spans="1:7" x14ac:dyDescent="0.25">
      <c r="A899">
        <v>898</v>
      </c>
      <c r="B899" s="12">
        <v>45621.2472702546</v>
      </c>
      <c r="C899">
        <v>868</v>
      </c>
      <c r="D899">
        <v>45597</v>
      </c>
      <c r="E899">
        <v>45383</v>
      </c>
      <c r="F899">
        <v>7</v>
      </c>
      <c r="G899">
        <v>1</v>
      </c>
    </row>
    <row r="900" spans="1:7" x14ac:dyDescent="0.25">
      <c r="A900">
        <v>628</v>
      </c>
      <c r="B900" s="12">
        <v>45621.468858761596</v>
      </c>
      <c r="C900">
        <v>497</v>
      </c>
      <c r="D900">
        <v>45597</v>
      </c>
      <c r="E900">
        <v>45292</v>
      </c>
      <c r="F900">
        <v>10</v>
      </c>
      <c r="G900">
        <v>1</v>
      </c>
    </row>
    <row r="901" spans="1:7" x14ac:dyDescent="0.25">
      <c r="A901">
        <v>503</v>
      </c>
      <c r="B901" s="12">
        <v>45621.984493750002</v>
      </c>
      <c r="C901">
        <v>699</v>
      </c>
      <c r="D901">
        <v>45597</v>
      </c>
      <c r="E901">
        <v>45292</v>
      </c>
      <c r="F901">
        <v>10</v>
      </c>
      <c r="G901">
        <v>1</v>
      </c>
    </row>
    <row r="902" spans="1:7" x14ac:dyDescent="0.25">
      <c r="A902">
        <v>58</v>
      </c>
      <c r="B902" s="12">
        <v>45622.114166736101</v>
      </c>
      <c r="C902">
        <v>219</v>
      </c>
      <c r="D902">
        <v>45597</v>
      </c>
      <c r="E902">
        <v>45292</v>
      </c>
      <c r="F902">
        <v>10</v>
      </c>
      <c r="G902">
        <v>1</v>
      </c>
    </row>
    <row r="903" spans="1:7" x14ac:dyDescent="0.25">
      <c r="A903">
        <v>858</v>
      </c>
      <c r="B903" s="12">
        <v>45622.198568333297</v>
      </c>
      <c r="C903">
        <v>528</v>
      </c>
      <c r="D903">
        <v>45597</v>
      </c>
      <c r="E903">
        <v>45352</v>
      </c>
      <c r="F903">
        <v>8</v>
      </c>
      <c r="G903">
        <v>1</v>
      </c>
    </row>
    <row r="904" spans="1:7" x14ac:dyDescent="0.25">
      <c r="A904">
        <v>909</v>
      </c>
      <c r="B904" s="12">
        <v>45622.630140729198</v>
      </c>
      <c r="C904">
        <v>807</v>
      </c>
      <c r="D904">
        <v>45597</v>
      </c>
      <c r="E904">
        <v>45597</v>
      </c>
      <c r="F904">
        <v>0</v>
      </c>
      <c r="G904">
        <v>1</v>
      </c>
    </row>
    <row r="905" spans="1:7" x14ac:dyDescent="0.25">
      <c r="A905">
        <v>640</v>
      </c>
      <c r="B905" s="12">
        <v>45622.811692152798</v>
      </c>
      <c r="C905">
        <v>926</v>
      </c>
      <c r="D905">
        <v>45597</v>
      </c>
      <c r="E905">
        <v>45505</v>
      </c>
      <c r="F905">
        <v>3</v>
      </c>
      <c r="G905">
        <v>1</v>
      </c>
    </row>
    <row r="906" spans="1:7" x14ac:dyDescent="0.25">
      <c r="A906">
        <v>43</v>
      </c>
      <c r="B906" s="12">
        <v>45623.327036180599</v>
      </c>
      <c r="C906">
        <v>705</v>
      </c>
      <c r="D906">
        <v>45597</v>
      </c>
      <c r="E906">
        <v>45597</v>
      </c>
      <c r="F906">
        <v>0</v>
      </c>
      <c r="G906">
        <v>1</v>
      </c>
    </row>
    <row r="907" spans="1:7" x14ac:dyDescent="0.25">
      <c r="A907">
        <v>525</v>
      </c>
      <c r="B907" s="12">
        <v>45623.3913201389</v>
      </c>
      <c r="C907">
        <v>29</v>
      </c>
      <c r="D907">
        <v>45597</v>
      </c>
      <c r="E907">
        <v>45292</v>
      </c>
      <c r="F907">
        <v>10</v>
      </c>
      <c r="G907">
        <v>1</v>
      </c>
    </row>
    <row r="908" spans="1:7" x14ac:dyDescent="0.25">
      <c r="A908">
        <v>780</v>
      </c>
      <c r="B908" s="12">
        <v>45624.121007731497</v>
      </c>
      <c r="C908">
        <v>165</v>
      </c>
      <c r="D908">
        <v>45597</v>
      </c>
      <c r="E908">
        <v>45383</v>
      </c>
      <c r="F908">
        <v>7</v>
      </c>
      <c r="G908">
        <v>1</v>
      </c>
    </row>
    <row r="909" spans="1:7" x14ac:dyDescent="0.25">
      <c r="A909">
        <v>144</v>
      </c>
      <c r="B909" s="12">
        <v>45624.1608372107</v>
      </c>
      <c r="C909">
        <v>659</v>
      </c>
      <c r="D909">
        <v>45597</v>
      </c>
      <c r="E909">
        <v>45352</v>
      </c>
      <c r="F909">
        <v>8</v>
      </c>
      <c r="G909">
        <v>1</v>
      </c>
    </row>
    <row r="910" spans="1:7" x14ac:dyDescent="0.25">
      <c r="A910">
        <v>790</v>
      </c>
      <c r="B910" s="12">
        <v>45624.1633412269</v>
      </c>
      <c r="C910">
        <v>982</v>
      </c>
      <c r="D910">
        <v>45597</v>
      </c>
      <c r="E910">
        <v>45597</v>
      </c>
      <c r="F910">
        <v>0</v>
      </c>
      <c r="G910">
        <v>1</v>
      </c>
    </row>
    <row r="911" spans="1:7" x14ac:dyDescent="0.25">
      <c r="A911">
        <v>39</v>
      </c>
      <c r="B911" s="12">
        <v>45624.519060486098</v>
      </c>
      <c r="C911">
        <v>713</v>
      </c>
      <c r="D911">
        <v>45597</v>
      </c>
      <c r="E911">
        <v>45383</v>
      </c>
      <c r="F911">
        <v>7</v>
      </c>
      <c r="G911">
        <v>1</v>
      </c>
    </row>
    <row r="912" spans="1:7" x14ac:dyDescent="0.25">
      <c r="A912">
        <v>453</v>
      </c>
      <c r="B912" s="12">
        <v>45624.631782627301</v>
      </c>
      <c r="C912">
        <v>362</v>
      </c>
      <c r="D912">
        <v>45597</v>
      </c>
      <c r="E912">
        <v>45444</v>
      </c>
      <c r="F912">
        <v>5</v>
      </c>
      <c r="G912">
        <v>1</v>
      </c>
    </row>
    <row r="913" spans="1:7" x14ac:dyDescent="0.25">
      <c r="A913">
        <v>957</v>
      </c>
      <c r="B913" s="12">
        <v>45624.974379201398</v>
      </c>
      <c r="C913">
        <v>409</v>
      </c>
      <c r="D913">
        <v>45597</v>
      </c>
      <c r="E913">
        <v>45323</v>
      </c>
      <c r="F913">
        <v>9</v>
      </c>
      <c r="G913">
        <v>1</v>
      </c>
    </row>
    <row r="914" spans="1:7" x14ac:dyDescent="0.25">
      <c r="A914">
        <v>103</v>
      </c>
      <c r="B914" s="12">
        <v>45625.2307819907</v>
      </c>
      <c r="C914">
        <v>415</v>
      </c>
      <c r="D914">
        <v>45597</v>
      </c>
      <c r="E914">
        <v>45352</v>
      </c>
      <c r="F914">
        <v>8</v>
      </c>
      <c r="G914">
        <v>1</v>
      </c>
    </row>
    <row r="915" spans="1:7" x14ac:dyDescent="0.25">
      <c r="A915">
        <v>896</v>
      </c>
      <c r="B915" s="12">
        <v>45625.447687673601</v>
      </c>
      <c r="C915">
        <v>131</v>
      </c>
      <c r="D915">
        <v>45597</v>
      </c>
      <c r="E915">
        <v>45444</v>
      </c>
      <c r="F915">
        <v>5</v>
      </c>
      <c r="G915">
        <v>1</v>
      </c>
    </row>
    <row r="916" spans="1:7" x14ac:dyDescent="0.25">
      <c r="A916">
        <v>795</v>
      </c>
      <c r="B916" s="12">
        <v>45625.5855191667</v>
      </c>
      <c r="C916">
        <v>75</v>
      </c>
      <c r="D916">
        <v>45597</v>
      </c>
      <c r="E916">
        <v>45292</v>
      </c>
      <c r="F916">
        <v>10</v>
      </c>
      <c r="G916">
        <v>1</v>
      </c>
    </row>
    <row r="917" spans="1:7" x14ac:dyDescent="0.25">
      <c r="A917">
        <v>99</v>
      </c>
      <c r="B917" s="12">
        <v>45625.769717488402</v>
      </c>
      <c r="C917">
        <v>113</v>
      </c>
      <c r="D917">
        <v>45597</v>
      </c>
      <c r="E917">
        <v>45323</v>
      </c>
      <c r="F917">
        <v>9</v>
      </c>
      <c r="G917">
        <v>1</v>
      </c>
    </row>
    <row r="918" spans="1:7" x14ac:dyDescent="0.25">
      <c r="A918">
        <v>932</v>
      </c>
      <c r="B918" s="12">
        <v>45625.878707986099</v>
      </c>
      <c r="C918">
        <v>329</v>
      </c>
      <c r="D918">
        <v>45597</v>
      </c>
      <c r="E918">
        <v>45413</v>
      </c>
      <c r="F918">
        <v>6</v>
      </c>
      <c r="G918">
        <v>1</v>
      </c>
    </row>
    <row r="919" spans="1:7" x14ac:dyDescent="0.25">
      <c r="A919">
        <v>943</v>
      </c>
      <c r="B919" s="12">
        <v>45626.164660300899</v>
      </c>
      <c r="C919">
        <v>611</v>
      </c>
      <c r="D919">
        <v>45597</v>
      </c>
      <c r="E919">
        <v>45474</v>
      </c>
      <c r="F919">
        <v>4</v>
      </c>
      <c r="G919">
        <v>1</v>
      </c>
    </row>
    <row r="920" spans="1:7" x14ac:dyDescent="0.25">
      <c r="A920">
        <v>181</v>
      </c>
      <c r="B920" s="12">
        <v>45626.709979479201</v>
      </c>
      <c r="C920">
        <v>458</v>
      </c>
      <c r="D920">
        <v>45597</v>
      </c>
      <c r="E920">
        <v>45597</v>
      </c>
      <c r="F920">
        <v>0</v>
      </c>
      <c r="G920">
        <v>1</v>
      </c>
    </row>
    <row r="921" spans="1:7" x14ac:dyDescent="0.25">
      <c r="A921">
        <v>672</v>
      </c>
      <c r="B921" s="12">
        <v>45627.183341388904</v>
      </c>
      <c r="C921">
        <v>514</v>
      </c>
      <c r="D921">
        <v>45627</v>
      </c>
      <c r="E921">
        <v>45474</v>
      </c>
      <c r="F921">
        <v>5</v>
      </c>
      <c r="G921">
        <v>1</v>
      </c>
    </row>
    <row r="922" spans="1:7" x14ac:dyDescent="0.25">
      <c r="A922">
        <v>194</v>
      </c>
      <c r="B922" s="12">
        <v>45628.857736817103</v>
      </c>
      <c r="C922">
        <v>769</v>
      </c>
      <c r="D922">
        <v>45627</v>
      </c>
      <c r="E922">
        <v>45627</v>
      </c>
      <c r="F922">
        <v>0</v>
      </c>
      <c r="G922">
        <v>1</v>
      </c>
    </row>
    <row r="923" spans="1:7" x14ac:dyDescent="0.25">
      <c r="A923">
        <v>691</v>
      </c>
      <c r="B923" s="12">
        <v>45629.560265694498</v>
      </c>
      <c r="C923">
        <v>535</v>
      </c>
      <c r="D923">
        <v>45627</v>
      </c>
      <c r="E923">
        <v>45352</v>
      </c>
      <c r="F923">
        <v>9</v>
      </c>
      <c r="G923">
        <v>1</v>
      </c>
    </row>
    <row r="924" spans="1:7" x14ac:dyDescent="0.25">
      <c r="A924">
        <v>54</v>
      </c>
      <c r="B924" s="12">
        <v>45629.580863576397</v>
      </c>
      <c r="C924">
        <v>411</v>
      </c>
      <c r="D924">
        <v>45627</v>
      </c>
      <c r="E924">
        <v>45566</v>
      </c>
      <c r="F924">
        <v>2</v>
      </c>
      <c r="G924">
        <v>1</v>
      </c>
    </row>
    <row r="925" spans="1:7" x14ac:dyDescent="0.25">
      <c r="A925">
        <v>473</v>
      </c>
      <c r="B925" s="12">
        <v>45630.267221747701</v>
      </c>
      <c r="C925">
        <v>444</v>
      </c>
      <c r="D925">
        <v>45627</v>
      </c>
      <c r="E925">
        <v>45413</v>
      </c>
      <c r="F925">
        <v>7</v>
      </c>
      <c r="G925">
        <v>1</v>
      </c>
    </row>
    <row r="926" spans="1:7" x14ac:dyDescent="0.25">
      <c r="A926">
        <v>659</v>
      </c>
      <c r="B926" s="12">
        <v>45630.536071435199</v>
      </c>
      <c r="C926">
        <v>25</v>
      </c>
      <c r="D926">
        <v>45627</v>
      </c>
      <c r="E926">
        <v>45444</v>
      </c>
      <c r="F926">
        <v>6</v>
      </c>
      <c r="G926">
        <v>0</v>
      </c>
    </row>
    <row r="927" spans="1:7" x14ac:dyDescent="0.25">
      <c r="A927">
        <v>227</v>
      </c>
      <c r="B927" s="12">
        <v>45631.386912453701</v>
      </c>
      <c r="C927">
        <v>734</v>
      </c>
      <c r="D927">
        <v>45627</v>
      </c>
      <c r="E927">
        <v>45292</v>
      </c>
      <c r="F927">
        <v>11</v>
      </c>
      <c r="G927">
        <v>1</v>
      </c>
    </row>
    <row r="928" spans="1:7" x14ac:dyDescent="0.25">
      <c r="A928">
        <v>302</v>
      </c>
      <c r="B928" s="12">
        <v>45632.193840023101</v>
      </c>
      <c r="C928">
        <v>524</v>
      </c>
      <c r="D928">
        <v>45627</v>
      </c>
      <c r="E928">
        <v>45474</v>
      </c>
      <c r="F928">
        <v>5</v>
      </c>
      <c r="G928">
        <v>1</v>
      </c>
    </row>
    <row r="929" spans="1:7" x14ac:dyDescent="0.25">
      <c r="A929">
        <v>143</v>
      </c>
      <c r="B929" s="12">
        <v>45632.489796134301</v>
      </c>
      <c r="C929">
        <v>66</v>
      </c>
      <c r="D929">
        <v>45627</v>
      </c>
      <c r="E929">
        <v>45413</v>
      </c>
      <c r="F929">
        <v>7</v>
      </c>
      <c r="G929">
        <v>1</v>
      </c>
    </row>
    <row r="930" spans="1:7" x14ac:dyDescent="0.25">
      <c r="A930">
        <v>253</v>
      </c>
      <c r="B930" s="12">
        <v>45632.604982500001</v>
      </c>
      <c r="C930">
        <v>791</v>
      </c>
      <c r="D930">
        <v>45627</v>
      </c>
      <c r="E930">
        <v>45383</v>
      </c>
      <c r="F930">
        <v>8</v>
      </c>
      <c r="G930">
        <v>0</v>
      </c>
    </row>
    <row r="931" spans="1:7" x14ac:dyDescent="0.25">
      <c r="A931">
        <v>556</v>
      </c>
      <c r="B931" s="12">
        <v>45633.012038078698</v>
      </c>
      <c r="C931">
        <v>946</v>
      </c>
      <c r="D931">
        <v>45627</v>
      </c>
      <c r="E931">
        <v>45292</v>
      </c>
      <c r="F931">
        <v>11</v>
      </c>
      <c r="G931">
        <v>1</v>
      </c>
    </row>
    <row r="932" spans="1:7" x14ac:dyDescent="0.25">
      <c r="A932">
        <v>727</v>
      </c>
      <c r="B932" s="12">
        <v>45633.081649409702</v>
      </c>
      <c r="C932">
        <v>592</v>
      </c>
      <c r="D932">
        <v>45627</v>
      </c>
      <c r="E932">
        <v>45383</v>
      </c>
      <c r="F932">
        <v>8</v>
      </c>
      <c r="G932">
        <v>0</v>
      </c>
    </row>
    <row r="933" spans="1:7" x14ac:dyDescent="0.25">
      <c r="A933">
        <v>53</v>
      </c>
      <c r="B933" s="12">
        <v>45633.180570046301</v>
      </c>
      <c r="C933">
        <v>826</v>
      </c>
      <c r="D933">
        <v>45627</v>
      </c>
      <c r="E933">
        <v>45474</v>
      </c>
      <c r="F933">
        <v>5</v>
      </c>
      <c r="G933">
        <v>0</v>
      </c>
    </row>
    <row r="934" spans="1:7" x14ac:dyDescent="0.25">
      <c r="A934">
        <v>640</v>
      </c>
      <c r="B934" s="12">
        <v>45633.371274027799</v>
      </c>
      <c r="C934">
        <v>265</v>
      </c>
      <c r="D934">
        <v>45627</v>
      </c>
      <c r="E934">
        <v>45505</v>
      </c>
      <c r="F934">
        <v>4</v>
      </c>
      <c r="G934">
        <v>1</v>
      </c>
    </row>
    <row r="935" spans="1:7" x14ac:dyDescent="0.25">
      <c r="A935">
        <v>99</v>
      </c>
      <c r="B935" s="12">
        <v>45634.070758865702</v>
      </c>
      <c r="C935">
        <v>269</v>
      </c>
      <c r="D935">
        <v>45627</v>
      </c>
      <c r="E935">
        <v>45323</v>
      </c>
      <c r="F935">
        <v>10</v>
      </c>
      <c r="G935">
        <v>1</v>
      </c>
    </row>
    <row r="936" spans="1:7" x14ac:dyDescent="0.25">
      <c r="A936">
        <v>342</v>
      </c>
      <c r="B936" s="12">
        <v>45634.3734859838</v>
      </c>
      <c r="C936">
        <v>690</v>
      </c>
      <c r="D936">
        <v>45627</v>
      </c>
      <c r="E936">
        <v>45474</v>
      </c>
      <c r="F936">
        <v>5</v>
      </c>
      <c r="G936">
        <v>1</v>
      </c>
    </row>
    <row r="937" spans="1:7" x14ac:dyDescent="0.25">
      <c r="A937">
        <v>830</v>
      </c>
      <c r="B937" s="12">
        <v>45634.663807291698</v>
      </c>
      <c r="C937">
        <v>822</v>
      </c>
      <c r="D937">
        <v>45627</v>
      </c>
      <c r="E937">
        <v>45536</v>
      </c>
      <c r="F937">
        <v>3</v>
      </c>
      <c r="G937">
        <v>1</v>
      </c>
    </row>
    <row r="938" spans="1:7" x14ac:dyDescent="0.25">
      <c r="A938">
        <v>976</v>
      </c>
      <c r="B938" s="12">
        <v>45634.854792650498</v>
      </c>
      <c r="C938">
        <v>351</v>
      </c>
      <c r="D938">
        <v>45627</v>
      </c>
      <c r="E938">
        <v>45627</v>
      </c>
      <c r="F938">
        <v>0</v>
      </c>
      <c r="G938">
        <v>1</v>
      </c>
    </row>
    <row r="939" spans="1:7" x14ac:dyDescent="0.25">
      <c r="A939">
        <v>229</v>
      </c>
      <c r="B939" s="12">
        <v>45634.885193333299</v>
      </c>
      <c r="C939">
        <v>916</v>
      </c>
      <c r="D939">
        <v>45627</v>
      </c>
      <c r="E939">
        <v>45627</v>
      </c>
      <c r="F939">
        <v>0</v>
      </c>
      <c r="G939">
        <v>1</v>
      </c>
    </row>
    <row r="940" spans="1:7" x14ac:dyDescent="0.25">
      <c r="A940">
        <v>163</v>
      </c>
      <c r="B940" s="12">
        <v>45635.187423958298</v>
      </c>
      <c r="C940">
        <v>392</v>
      </c>
      <c r="D940">
        <v>45627</v>
      </c>
      <c r="E940">
        <v>45566</v>
      </c>
      <c r="F940">
        <v>2</v>
      </c>
      <c r="G940">
        <v>1</v>
      </c>
    </row>
    <row r="941" spans="1:7" x14ac:dyDescent="0.25">
      <c r="A941">
        <v>201</v>
      </c>
      <c r="B941" s="12">
        <v>45635.381949294002</v>
      </c>
      <c r="C941">
        <v>158</v>
      </c>
      <c r="D941">
        <v>45627</v>
      </c>
      <c r="E941">
        <v>45292</v>
      </c>
      <c r="F941">
        <v>11</v>
      </c>
      <c r="G941">
        <v>1</v>
      </c>
    </row>
    <row r="942" spans="1:7" x14ac:dyDescent="0.25">
      <c r="A942">
        <v>774</v>
      </c>
      <c r="B942" s="12">
        <v>45635.391993703699</v>
      </c>
      <c r="C942">
        <v>118</v>
      </c>
      <c r="D942">
        <v>45627</v>
      </c>
      <c r="E942">
        <v>45627</v>
      </c>
      <c r="F942">
        <v>0</v>
      </c>
      <c r="G942">
        <v>1</v>
      </c>
    </row>
    <row r="943" spans="1:7" x14ac:dyDescent="0.25">
      <c r="A943">
        <v>999</v>
      </c>
      <c r="B943" s="12">
        <v>45635.587610891198</v>
      </c>
      <c r="C943">
        <v>862</v>
      </c>
      <c r="D943">
        <v>45627</v>
      </c>
      <c r="E943">
        <v>45413</v>
      </c>
      <c r="F943">
        <v>7</v>
      </c>
      <c r="G943">
        <v>1</v>
      </c>
    </row>
    <row r="944" spans="1:7" x14ac:dyDescent="0.25">
      <c r="A944">
        <v>338</v>
      </c>
      <c r="B944" s="12">
        <v>45635.939878738398</v>
      </c>
      <c r="C944">
        <v>955</v>
      </c>
      <c r="D944">
        <v>45627</v>
      </c>
      <c r="E944">
        <v>45292</v>
      </c>
      <c r="F944">
        <v>11</v>
      </c>
      <c r="G944">
        <v>1</v>
      </c>
    </row>
    <row r="945" spans="1:7" x14ac:dyDescent="0.25">
      <c r="A945">
        <v>648</v>
      </c>
      <c r="B945" s="12">
        <v>45636.3275577315</v>
      </c>
      <c r="C945">
        <v>381</v>
      </c>
      <c r="D945">
        <v>45627</v>
      </c>
      <c r="E945">
        <v>45323</v>
      </c>
      <c r="F945">
        <v>10</v>
      </c>
      <c r="G945">
        <v>1</v>
      </c>
    </row>
    <row r="946" spans="1:7" x14ac:dyDescent="0.25">
      <c r="A946">
        <v>168</v>
      </c>
      <c r="B946" s="12">
        <v>45636.344218460697</v>
      </c>
      <c r="C946">
        <v>805</v>
      </c>
      <c r="D946">
        <v>45627</v>
      </c>
      <c r="E946">
        <v>45505</v>
      </c>
      <c r="F946">
        <v>4</v>
      </c>
      <c r="G946">
        <v>1</v>
      </c>
    </row>
    <row r="947" spans="1:7" x14ac:dyDescent="0.25">
      <c r="A947">
        <v>948</v>
      </c>
      <c r="B947" s="12">
        <v>45636.779208263899</v>
      </c>
      <c r="C947">
        <v>597</v>
      </c>
      <c r="D947">
        <v>45627</v>
      </c>
      <c r="E947">
        <v>45627</v>
      </c>
      <c r="F947">
        <v>0</v>
      </c>
      <c r="G947">
        <v>1</v>
      </c>
    </row>
    <row r="948" spans="1:7" x14ac:dyDescent="0.25">
      <c r="A948">
        <v>204</v>
      </c>
      <c r="B948" s="12">
        <v>45636.897678171299</v>
      </c>
      <c r="C948">
        <v>989</v>
      </c>
      <c r="D948">
        <v>45627</v>
      </c>
      <c r="E948">
        <v>45627</v>
      </c>
      <c r="F948">
        <v>0</v>
      </c>
      <c r="G948">
        <v>1</v>
      </c>
    </row>
    <row r="949" spans="1:7" x14ac:dyDescent="0.25">
      <c r="A949">
        <v>374</v>
      </c>
      <c r="B949" s="12">
        <v>45636.980812407397</v>
      </c>
      <c r="C949">
        <v>434</v>
      </c>
      <c r="D949">
        <v>45627</v>
      </c>
      <c r="E949">
        <v>45627</v>
      </c>
      <c r="F949">
        <v>0</v>
      </c>
      <c r="G949">
        <v>1</v>
      </c>
    </row>
    <row r="950" spans="1:7" x14ac:dyDescent="0.25">
      <c r="A950">
        <v>208</v>
      </c>
      <c r="B950" s="12">
        <v>45637.194163055603</v>
      </c>
      <c r="C950">
        <v>531</v>
      </c>
      <c r="D950">
        <v>45627</v>
      </c>
      <c r="E950">
        <v>45627</v>
      </c>
      <c r="F950">
        <v>0</v>
      </c>
      <c r="G950">
        <v>1</v>
      </c>
    </row>
    <row r="951" spans="1:7" x14ac:dyDescent="0.25">
      <c r="A951">
        <v>800</v>
      </c>
      <c r="B951" s="12">
        <v>45637.478265902799</v>
      </c>
      <c r="C951">
        <v>128</v>
      </c>
      <c r="D951">
        <v>45627</v>
      </c>
      <c r="E951">
        <v>45627</v>
      </c>
      <c r="F951">
        <v>0</v>
      </c>
      <c r="G951">
        <v>1</v>
      </c>
    </row>
    <row r="952" spans="1:7" x14ac:dyDescent="0.25">
      <c r="A952">
        <v>687</v>
      </c>
      <c r="B952" s="12">
        <v>45637.673162986102</v>
      </c>
      <c r="C952">
        <v>499</v>
      </c>
      <c r="D952">
        <v>45627</v>
      </c>
      <c r="E952">
        <v>45627</v>
      </c>
      <c r="F952">
        <v>0</v>
      </c>
      <c r="G952">
        <v>1</v>
      </c>
    </row>
    <row r="953" spans="1:7" x14ac:dyDescent="0.25">
      <c r="A953">
        <v>664</v>
      </c>
      <c r="B953" s="12">
        <v>45638.010028009303</v>
      </c>
      <c r="C953">
        <v>26</v>
      </c>
      <c r="D953">
        <v>45627</v>
      </c>
      <c r="E953">
        <v>45352</v>
      </c>
      <c r="F953">
        <v>9</v>
      </c>
      <c r="G953">
        <v>1</v>
      </c>
    </row>
    <row r="954" spans="1:7" x14ac:dyDescent="0.25">
      <c r="A954">
        <v>670</v>
      </c>
      <c r="B954" s="12">
        <v>45638.1183357755</v>
      </c>
      <c r="C954">
        <v>779</v>
      </c>
      <c r="D954">
        <v>45627</v>
      </c>
      <c r="E954">
        <v>45474</v>
      </c>
      <c r="F954">
        <v>5</v>
      </c>
      <c r="G954">
        <v>1</v>
      </c>
    </row>
    <row r="955" spans="1:7" x14ac:dyDescent="0.25">
      <c r="A955">
        <v>837</v>
      </c>
      <c r="B955" s="12">
        <v>45638.4120167824</v>
      </c>
      <c r="C955">
        <v>322</v>
      </c>
      <c r="D955">
        <v>45627</v>
      </c>
      <c r="E955">
        <v>45474</v>
      </c>
      <c r="F955">
        <v>5</v>
      </c>
      <c r="G955">
        <v>1</v>
      </c>
    </row>
    <row r="956" spans="1:7" x14ac:dyDescent="0.25">
      <c r="A956">
        <v>656</v>
      </c>
      <c r="B956" s="12">
        <v>45639.0060768287</v>
      </c>
      <c r="C956">
        <v>256</v>
      </c>
      <c r="D956">
        <v>45627</v>
      </c>
      <c r="E956">
        <v>45536</v>
      </c>
      <c r="F956">
        <v>3</v>
      </c>
      <c r="G956">
        <v>1</v>
      </c>
    </row>
    <row r="957" spans="1:7" x14ac:dyDescent="0.25">
      <c r="A957">
        <v>398</v>
      </c>
      <c r="B957" s="12">
        <v>45639.212335011602</v>
      </c>
      <c r="C957">
        <v>647</v>
      </c>
      <c r="D957">
        <v>45627</v>
      </c>
      <c r="E957">
        <v>45474</v>
      </c>
      <c r="F957">
        <v>5</v>
      </c>
      <c r="G957">
        <v>1</v>
      </c>
    </row>
    <row r="958" spans="1:7" x14ac:dyDescent="0.25">
      <c r="A958">
        <v>241</v>
      </c>
      <c r="B958" s="12">
        <v>45641.058688807898</v>
      </c>
      <c r="C958">
        <v>654</v>
      </c>
      <c r="D958">
        <v>45627</v>
      </c>
      <c r="E958">
        <v>45627</v>
      </c>
      <c r="F958">
        <v>0</v>
      </c>
      <c r="G958">
        <v>1</v>
      </c>
    </row>
    <row r="959" spans="1:7" x14ac:dyDescent="0.25">
      <c r="A959">
        <v>53</v>
      </c>
      <c r="B959" s="12">
        <v>45641.082231400498</v>
      </c>
      <c r="C959">
        <v>17</v>
      </c>
      <c r="D959">
        <v>45627</v>
      </c>
      <c r="E959">
        <v>45474</v>
      </c>
      <c r="F959">
        <v>5</v>
      </c>
      <c r="G959">
        <v>1</v>
      </c>
    </row>
    <row r="960" spans="1:7" x14ac:dyDescent="0.25">
      <c r="A960">
        <v>342</v>
      </c>
      <c r="B960" s="12">
        <v>45642.453750335699</v>
      </c>
      <c r="C960">
        <v>445</v>
      </c>
      <c r="D960">
        <v>45627</v>
      </c>
      <c r="E960">
        <v>45474</v>
      </c>
      <c r="F960">
        <v>5</v>
      </c>
      <c r="G960">
        <v>0</v>
      </c>
    </row>
    <row r="961" spans="1:7" x14ac:dyDescent="0.25">
      <c r="A961">
        <v>773</v>
      </c>
      <c r="B961" s="12">
        <v>45642.491239583302</v>
      </c>
      <c r="C961">
        <v>472</v>
      </c>
      <c r="D961">
        <v>45627</v>
      </c>
      <c r="E961">
        <v>45627</v>
      </c>
      <c r="F961">
        <v>0</v>
      </c>
      <c r="G961">
        <v>1</v>
      </c>
    </row>
    <row r="962" spans="1:7" x14ac:dyDescent="0.25">
      <c r="A962">
        <v>36</v>
      </c>
      <c r="B962" s="12">
        <v>45642.805047546302</v>
      </c>
      <c r="C962">
        <v>814</v>
      </c>
      <c r="D962">
        <v>45627</v>
      </c>
      <c r="E962">
        <v>45474</v>
      </c>
      <c r="F962">
        <v>5</v>
      </c>
      <c r="G962">
        <v>1</v>
      </c>
    </row>
    <row r="963" spans="1:7" x14ac:dyDescent="0.25">
      <c r="A963">
        <v>388</v>
      </c>
      <c r="B963" s="12">
        <v>45643.124042314797</v>
      </c>
      <c r="C963">
        <v>16</v>
      </c>
      <c r="D963">
        <v>45627</v>
      </c>
      <c r="E963">
        <v>45383</v>
      </c>
      <c r="F963">
        <v>8</v>
      </c>
      <c r="G963">
        <v>1</v>
      </c>
    </row>
    <row r="964" spans="1:7" x14ac:dyDescent="0.25">
      <c r="A964">
        <v>272</v>
      </c>
      <c r="B964" s="12">
        <v>45643.173276655099</v>
      </c>
      <c r="C964">
        <v>514</v>
      </c>
      <c r="D964">
        <v>45627</v>
      </c>
      <c r="E964">
        <v>45627</v>
      </c>
      <c r="F964">
        <v>0</v>
      </c>
      <c r="G964">
        <v>1</v>
      </c>
    </row>
    <row r="965" spans="1:7" x14ac:dyDescent="0.25">
      <c r="A965">
        <v>277</v>
      </c>
      <c r="B965" s="12">
        <v>45644.563997754602</v>
      </c>
      <c r="C965">
        <v>458</v>
      </c>
      <c r="D965">
        <v>45627</v>
      </c>
      <c r="E965">
        <v>45323</v>
      </c>
      <c r="F965">
        <v>10</v>
      </c>
      <c r="G965">
        <v>1</v>
      </c>
    </row>
    <row r="966" spans="1:7" x14ac:dyDescent="0.25">
      <c r="A966">
        <v>857</v>
      </c>
      <c r="B966" s="12">
        <v>45645.050974143502</v>
      </c>
      <c r="C966">
        <v>205</v>
      </c>
      <c r="D966">
        <v>45627</v>
      </c>
      <c r="E966">
        <v>45383</v>
      </c>
      <c r="F966">
        <v>8</v>
      </c>
      <c r="G966">
        <v>1</v>
      </c>
    </row>
    <row r="967" spans="1:7" x14ac:dyDescent="0.25">
      <c r="A967">
        <v>513</v>
      </c>
      <c r="B967" s="12">
        <v>45645.297298935198</v>
      </c>
      <c r="C967">
        <v>996</v>
      </c>
      <c r="D967">
        <v>45627</v>
      </c>
      <c r="E967">
        <v>45383</v>
      </c>
      <c r="F967">
        <v>8</v>
      </c>
      <c r="G967">
        <v>1</v>
      </c>
    </row>
    <row r="968" spans="1:7" x14ac:dyDescent="0.25">
      <c r="A968">
        <v>497</v>
      </c>
      <c r="B968" s="12">
        <v>45645.306703344897</v>
      </c>
      <c r="C968">
        <v>270</v>
      </c>
      <c r="D968">
        <v>45627</v>
      </c>
      <c r="E968">
        <v>45292</v>
      </c>
      <c r="F968">
        <v>11</v>
      </c>
      <c r="G968">
        <v>1</v>
      </c>
    </row>
    <row r="969" spans="1:7" x14ac:dyDescent="0.25">
      <c r="A969">
        <v>373</v>
      </c>
      <c r="B969" s="12">
        <v>45646.5589287037</v>
      </c>
      <c r="C969">
        <v>120</v>
      </c>
      <c r="D969">
        <v>45627</v>
      </c>
      <c r="E969">
        <v>45413</v>
      </c>
      <c r="F969">
        <v>7</v>
      </c>
      <c r="G969">
        <v>0</v>
      </c>
    </row>
    <row r="970" spans="1:7" x14ac:dyDescent="0.25">
      <c r="A970">
        <v>253</v>
      </c>
      <c r="B970" s="12">
        <v>45646.757060752301</v>
      </c>
      <c r="C970">
        <v>875</v>
      </c>
      <c r="D970">
        <v>45627</v>
      </c>
      <c r="E970">
        <v>45383</v>
      </c>
      <c r="F970">
        <v>8</v>
      </c>
      <c r="G970">
        <v>1</v>
      </c>
    </row>
    <row r="971" spans="1:7" x14ac:dyDescent="0.25">
      <c r="A971">
        <v>655</v>
      </c>
      <c r="B971" s="12">
        <v>45647.199483796299</v>
      </c>
      <c r="C971">
        <v>600</v>
      </c>
      <c r="D971">
        <v>45627</v>
      </c>
      <c r="E971">
        <v>45627</v>
      </c>
      <c r="F971">
        <v>0</v>
      </c>
      <c r="G971">
        <v>1</v>
      </c>
    </row>
    <row r="972" spans="1:7" x14ac:dyDescent="0.25">
      <c r="A972">
        <v>475</v>
      </c>
      <c r="B972" s="12">
        <v>45647.404274838002</v>
      </c>
      <c r="C972">
        <v>229</v>
      </c>
      <c r="D972">
        <v>45627</v>
      </c>
      <c r="E972">
        <v>45536</v>
      </c>
      <c r="F972">
        <v>3</v>
      </c>
      <c r="G972">
        <v>1</v>
      </c>
    </row>
    <row r="973" spans="1:7" x14ac:dyDescent="0.25">
      <c r="A973">
        <v>727</v>
      </c>
      <c r="B973" s="12">
        <v>45647.5068078935</v>
      </c>
      <c r="C973">
        <v>589</v>
      </c>
      <c r="D973">
        <v>45627</v>
      </c>
      <c r="E973">
        <v>45383</v>
      </c>
      <c r="F973">
        <v>8</v>
      </c>
      <c r="G973">
        <v>1</v>
      </c>
    </row>
    <row r="974" spans="1:7" x14ac:dyDescent="0.25">
      <c r="A974">
        <v>617</v>
      </c>
      <c r="B974" s="12">
        <v>45647.528824143497</v>
      </c>
      <c r="C974">
        <v>664</v>
      </c>
      <c r="D974">
        <v>45627</v>
      </c>
      <c r="E974">
        <v>45627</v>
      </c>
      <c r="F974">
        <v>0</v>
      </c>
      <c r="G974">
        <v>1</v>
      </c>
    </row>
    <row r="975" spans="1:7" x14ac:dyDescent="0.25">
      <c r="A975">
        <v>1</v>
      </c>
      <c r="B975" s="12">
        <v>45648.503942847201</v>
      </c>
      <c r="C975">
        <v>857</v>
      </c>
      <c r="D975">
        <v>45627</v>
      </c>
      <c r="E975">
        <v>45627</v>
      </c>
      <c r="F975">
        <v>0</v>
      </c>
      <c r="G975">
        <v>1</v>
      </c>
    </row>
    <row r="976" spans="1:7" x14ac:dyDescent="0.25">
      <c r="A976">
        <v>373</v>
      </c>
      <c r="B976" s="12">
        <v>45648.7224234491</v>
      </c>
      <c r="C976">
        <v>747</v>
      </c>
      <c r="D976">
        <v>45627</v>
      </c>
      <c r="E976">
        <v>45413</v>
      </c>
      <c r="F976">
        <v>7</v>
      </c>
      <c r="G976">
        <v>1</v>
      </c>
    </row>
    <row r="977" spans="1:7" x14ac:dyDescent="0.25">
      <c r="A977">
        <v>456</v>
      </c>
      <c r="B977" s="12">
        <v>45649.329258946796</v>
      </c>
      <c r="C977">
        <v>477</v>
      </c>
      <c r="D977">
        <v>45627</v>
      </c>
      <c r="E977">
        <v>45566</v>
      </c>
      <c r="F977">
        <v>2</v>
      </c>
      <c r="G977">
        <v>1</v>
      </c>
    </row>
    <row r="978" spans="1:7" x14ac:dyDescent="0.25">
      <c r="A978">
        <v>90</v>
      </c>
      <c r="B978" s="12">
        <v>45649.378245833301</v>
      </c>
      <c r="C978">
        <v>274</v>
      </c>
      <c r="D978">
        <v>45627</v>
      </c>
      <c r="E978">
        <v>45323</v>
      </c>
      <c r="F978">
        <v>10</v>
      </c>
      <c r="G978">
        <v>1</v>
      </c>
    </row>
    <row r="979" spans="1:7" x14ac:dyDescent="0.25">
      <c r="A979">
        <v>736</v>
      </c>
      <c r="B979" s="12">
        <v>45649.432079664402</v>
      </c>
      <c r="C979">
        <v>362</v>
      </c>
      <c r="D979">
        <v>45627</v>
      </c>
      <c r="E979">
        <v>45292</v>
      </c>
      <c r="F979">
        <v>11</v>
      </c>
      <c r="G979">
        <v>1</v>
      </c>
    </row>
    <row r="980" spans="1:7" x14ac:dyDescent="0.25">
      <c r="A980">
        <v>867</v>
      </c>
      <c r="B980" s="12">
        <v>45649.7172320139</v>
      </c>
      <c r="C980">
        <v>298</v>
      </c>
      <c r="D980">
        <v>45627</v>
      </c>
      <c r="E980">
        <v>45444</v>
      </c>
      <c r="F980">
        <v>6</v>
      </c>
      <c r="G980">
        <v>1</v>
      </c>
    </row>
    <row r="981" spans="1:7" x14ac:dyDescent="0.25">
      <c r="A981">
        <v>150</v>
      </c>
      <c r="B981" s="12">
        <v>45650.016022430602</v>
      </c>
      <c r="C981">
        <v>64</v>
      </c>
      <c r="D981">
        <v>45627</v>
      </c>
      <c r="E981">
        <v>45627</v>
      </c>
      <c r="F981">
        <v>0</v>
      </c>
      <c r="G981">
        <v>1</v>
      </c>
    </row>
    <row r="982" spans="1:7" x14ac:dyDescent="0.25">
      <c r="A982">
        <v>761</v>
      </c>
      <c r="B982" s="12">
        <v>45650.219927129598</v>
      </c>
      <c r="C982">
        <v>30</v>
      </c>
      <c r="D982">
        <v>45627</v>
      </c>
      <c r="E982">
        <v>45627</v>
      </c>
      <c r="F982">
        <v>0</v>
      </c>
      <c r="G982">
        <v>1</v>
      </c>
    </row>
    <row r="983" spans="1:7" x14ac:dyDescent="0.25">
      <c r="A983">
        <v>872</v>
      </c>
      <c r="B983" s="12">
        <v>45650.469662465301</v>
      </c>
      <c r="C983">
        <v>624</v>
      </c>
      <c r="D983">
        <v>45627</v>
      </c>
      <c r="E983">
        <v>45444</v>
      </c>
      <c r="F983">
        <v>6</v>
      </c>
      <c r="G983">
        <v>0</v>
      </c>
    </row>
    <row r="984" spans="1:7" x14ac:dyDescent="0.25">
      <c r="A984">
        <v>872</v>
      </c>
      <c r="B984" s="12">
        <v>45650.880234988399</v>
      </c>
      <c r="C984">
        <v>173</v>
      </c>
      <c r="D984">
        <v>45627</v>
      </c>
      <c r="E984">
        <v>45444</v>
      </c>
      <c r="F984">
        <v>6</v>
      </c>
      <c r="G984">
        <v>1</v>
      </c>
    </row>
    <row r="985" spans="1:7" x14ac:dyDescent="0.25">
      <c r="A985">
        <v>659</v>
      </c>
      <c r="B985" s="12">
        <v>45651.030790601901</v>
      </c>
      <c r="C985">
        <v>490</v>
      </c>
      <c r="D985">
        <v>45627</v>
      </c>
      <c r="E985">
        <v>45444</v>
      </c>
      <c r="F985">
        <v>6</v>
      </c>
      <c r="G985">
        <v>1</v>
      </c>
    </row>
    <row r="986" spans="1:7" x14ac:dyDescent="0.25">
      <c r="A986">
        <v>8</v>
      </c>
      <c r="B986" s="12">
        <v>45651.235505613397</v>
      </c>
      <c r="C986">
        <v>236</v>
      </c>
      <c r="D986">
        <v>45627</v>
      </c>
      <c r="E986">
        <v>45627</v>
      </c>
      <c r="F986">
        <v>0</v>
      </c>
      <c r="G986">
        <v>1</v>
      </c>
    </row>
    <row r="987" spans="1:7" x14ac:dyDescent="0.25">
      <c r="A987">
        <v>461</v>
      </c>
      <c r="B987" s="12">
        <v>45651.313850277802</v>
      </c>
      <c r="C987">
        <v>991</v>
      </c>
      <c r="D987">
        <v>45627</v>
      </c>
      <c r="E987">
        <v>45505</v>
      </c>
      <c r="F987">
        <v>4</v>
      </c>
      <c r="G987">
        <v>1</v>
      </c>
    </row>
    <row r="988" spans="1:7" x14ac:dyDescent="0.25">
      <c r="A988">
        <v>268</v>
      </c>
      <c r="B988" s="12">
        <v>45651.609579236101</v>
      </c>
      <c r="C988">
        <v>241</v>
      </c>
      <c r="D988">
        <v>45627</v>
      </c>
      <c r="E988">
        <v>45444</v>
      </c>
      <c r="F988">
        <v>6</v>
      </c>
      <c r="G988">
        <v>1</v>
      </c>
    </row>
    <row r="989" spans="1:7" x14ac:dyDescent="0.25">
      <c r="A989">
        <v>613</v>
      </c>
      <c r="B989" s="12">
        <v>45651.682373946802</v>
      </c>
      <c r="C989">
        <v>829</v>
      </c>
      <c r="D989">
        <v>45627</v>
      </c>
      <c r="E989">
        <v>45352</v>
      </c>
      <c r="F989">
        <v>9</v>
      </c>
      <c r="G989">
        <v>1</v>
      </c>
    </row>
    <row r="990" spans="1:7" x14ac:dyDescent="0.25">
      <c r="A990">
        <v>970</v>
      </c>
      <c r="B990" s="12">
        <v>45651.852004270797</v>
      </c>
      <c r="C990">
        <v>769</v>
      </c>
      <c r="D990">
        <v>45627</v>
      </c>
      <c r="E990">
        <v>45627</v>
      </c>
      <c r="F990">
        <v>0</v>
      </c>
      <c r="G990">
        <v>1</v>
      </c>
    </row>
    <row r="991" spans="1:7" x14ac:dyDescent="0.25">
      <c r="A991">
        <v>331</v>
      </c>
      <c r="B991" s="12">
        <v>45652.394636666701</v>
      </c>
      <c r="C991">
        <v>469</v>
      </c>
      <c r="D991">
        <v>45627</v>
      </c>
      <c r="E991">
        <v>45444</v>
      </c>
      <c r="F991">
        <v>6</v>
      </c>
      <c r="G991">
        <v>1</v>
      </c>
    </row>
    <row r="992" spans="1:7" x14ac:dyDescent="0.25">
      <c r="A992">
        <v>992</v>
      </c>
      <c r="B992" s="12">
        <v>45653.364894189799</v>
      </c>
      <c r="C992">
        <v>551</v>
      </c>
      <c r="D992">
        <v>45627</v>
      </c>
      <c r="E992">
        <v>45627</v>
      </c>
      <c r="F992">
        <v>0</v>
      </c>
      <c r="G992">
        <v>1</v>
      </c>
    </row>
    <row r="993" spans="1:7" x14ac:dyDescent="0.25">
      <c r="A993">
        <v>19</v>
      </c>
      <c r="B993" s="12">
        <v>45653.921212106499</v>
      </c>
      <c r="C993">
        <v>186</v>
      </c>
      <c r="D993">
        <v>45627</v>
      </c>
      <c r="E993">
        <v>45627</v>
      </c>
      <c r="F993">
        <v>0</v>
      </c>
      <c r="G993">
        <v>1</v>
      </c>
    </row>
    <row r="994" spans="1:7" x14ac:dyDescent="0.25">
      <c r="A994">
        <v>880</v>
      </c>
      <c r="B994" s="12">
        <v>45654.762494745402</v>
      </c>
      <c r="C994">
        <v>963</v>
      </c>
      <c r="D994">
        <v>45627</v>
      </c>
      <c r="E994">
        <v>45627</v>
      </c>
      <c r="F994">
        <v>0</v>
      </c>
      <c r="G994">
        <v>1</v>
      </c>
    </row>
    <row r="995" spans="1:7" x14ac:dyDescent="0.25">
      <c r="A995">
        <v>851</v>
      </c>
      <c r="B995" s="12">
        <v>45655.593046516202</v>
      </c>
      <c r="C995">
        <v>75</v>
      </c>
      <c r="D995">
        <v>45627</v>
      </c>
      <c r="E995">
        <v>45627</v>
      </c>
      <c r="F995">
        <v>0</v>
      </c>
      <c r="G995">
        <v>1</v>
      </c>
    </row>
    <row r="996" spans="1:7" x14ac:dyDescent="0.25">
      <c r="A996">
        <v>816</v>
      </c>
      <c r="B996" s="12">
        <v>45655.652339131899</v>
      </c>
      <c r="C996">
        <v>926</v>
      </c>
      <c r="D996">
        <v>45627</v>
      </c>
      <c r="E996">
        <v>45444</v>
      </c>
      <c r="F996">
        <v>6</v>
      </c>
      <c r="G996">
        <v>1</v>
      </c>
    </row>
    <row r="997" spans="1:7" x14ac:dyDescent="0.25">
      <c r="A997">
        <v>220</v>
      </c>
      <c r="B997" s="12">
        <v>45655.7037410185</v>
      </c>
      <c r="C997">
        <v>247</v>
      </c>
      <c r="D997">
        <v>45627</v>
      </c>
      <c r="E997">
        <v>45323</v>
      </c>
      <c r="F997">
        <v>10</v>
      </c>
      <c r="G997">
        <v>1</v>
      </c>
    </row>
    <row r="998" spans="1:7" x14ac:dyDescent="0.25">
      <c r="A998">
        <v>201</v>
      </c>
      <c r="B998" s="12">
        <v>45656.101903125003</v>
      </c>
      <c r="C998">
        <v>508</v>
      </c>
      <c r="D998">
        <v>45627</v>
      </c>
      <c r="E998">
        <v>45292</v>
      </c>
      <c r="F998">
        <v>11</v>
      </c>
      <c r="G998">
        <v>0</v>
      </c>
    </row>
    <row r="999" spans="1:7" x14ac:dyDescent="0.25">
      <c r="A999">
        <v>852</v>
      </c>
      <c r="B999" s="12">
        <v>45656.129424351901</v>
      </c>
      <c r="C999">
        <v>423</v>
      </c>
      <c r="D999">
        <v>45627</v>
      </c>
      <c r="E999">
        <v>45566</v>
      </c>
      <c r="F999">
        <v>2</v>
      </c>
      <c r="G999">
        <v>1</v>
      </c>
    </row>
    <row r="1000" spans="1:7" x14ac:dyDescent="0.25">
      <c r="A1000">
        <v>145</v>
      </c>
      <c r="B1000" s="12">
        <v>45656.619917893498</v>
      </c>
      <c r="C1000">
        <v>466</v>
      </c>
      <c r="D1000">
        <v>45627</v>
      </c>
      <c r="E1000">
        <v>45627</v>
      </c>
      <c r="F1000">
        <v>0</v>
      </c>
      <c r="G1000">
        <v>1</v>
      </c>
    </row>
    <row r="1001" spans="1:7" x14ac:dyDescent="0.25">
      <c r="A1001">
        <v>231</v>
      </c>
      <c r="B1001" s="12">
        <v>45656.838567789397</v>
      </c>
      <c r="C1001">
        <v>638</v>
      </c>
      <c r="D1001">
        <v>45627</v>
      </c>
      <c r="E1001">
        <v>45323</v>
      </c>
      <c r="F1001">
        <v>10</v>
      </c>
      <c r="G1001">
        <v>1</v>
      </c>
    </row>
    <row r="1002" spans="1:7" x14ac:dyDescent="0.25">
      <c r="A1002">
        <v>289</v>
      </c>
      <c r="B1002" s="12">
        <v>45656.8653584028</v>
      </c>
      <c r="C1002">
        <v>611</v>
      </c>
      <c r="D1002">
        <v>45627</v>
      </c>
      <c r="E1002">
        <v>45474</v>
      </c>
      <c r="F1002">
        <v>5</v>
      </c>
      <c r="G10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Transactions</vt:lpstr>
      <vt:lpstr>Cohorts</vt:lpstr>
      <vt:lpstr>Retention</vt:lpstr>
      <vt:lpstr>Sheet1</vt:lpstr>
      <vt:lpstr>cohortData</vt:lpstr>
      <vt:lpstr>CohortIndex</vt:lpstr>
      <vt:lpstr>CohortMonthYear</vt:lpstr>
      <vt:lpstr>sort_column</vt:lpstr>
      <vt:lpstr>UniqueInPeriod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Artem Makovskyi</cp:lastModifiedBy>
  <cp:revision>1</cp:revision>
  <dcterms:created xsi:type="dcterms:W3CDTF">2026-10-09T12:04:14Z</dcterms:created>
  <dcterms:modified xsi:type="dcterms:W3CDTF">2026-10-09T13:10:41Z</dcterms:modified>
  <dc:language>en-US</dc:language>
</cp:coreProperties>
</file>